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시뮬레이터" sheetId="1" r:id="rId1"/>
    <sheet name="PC 공격 시간" sheetId="2" r:id="rId2"/>
    <sheet name="몬스터 공격 시간" sheetId="3" r:id="rId3"/>
  </sheets>
  <definedNames>
    <definedName name="PC_공격_평균_시간">'PC 공격 시간'!$B$4</definedName>
    <definedName name="PC_스킬_가져오기">INDEX(PC_스킬_시전_시간,MATCH(시뮬레이터!$N$49,스킬_목록,0))</definedName>
    <definedName name="PC_스킬_시전_시간">'PC 공격 시간'!$E$1:$E$5</definedName>
    <definedName name="기본_공격_목록">'PC 공격 시간'!$A$1:$A$4</definedName>
    <definedName name="몬스터_기본_공격_평균_시간">'몬스터 공격 시간'!$E$4</definedName>
    <definedName name="몬스터_기본공격_목록">'몬스터 공격 시간'!$D$1:$D$4</definedName>
    <definedName name="몬스터_스킬_가져오기">INDEX(몬스터_스킬_시전_시간, MATCH(시뮬레이터!$C$49, 몬스터_스킬_목록,0))</definedName>
    <definedName name="몬스터_스킬_목록">'몬스터 공격 시간'!$A$1:$A$25</definedName>
    <definedName name="몬스터_스킬_시전_시간">'몬스터 공격 시간'!$B$1:$B$25</definedName>
    <definedName name="스킬_목록">'PC 공격 시간'!$D$1:$D$5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2" i="1" l="1"/>
  <c r="G62" i="1" s="1"/>
  <c r="K48" i="1"/>
  <c r="K57" i="1"/>
  <c r="D49" i="1"/>
  <c r="O49" i="1"/>
  <c r="O48" i="1"/>
  <c r="E4" i="3"/>
  <c r="D48" i="1" s="1"/>
  <c r="D52" i="1" s="1"/>
  <c r="B4" i="2"/>
  <c r="K46" i="1"/>
  <c r="N36" i="1"/>
  <c r="K11" i="1" s="1"/>
  <c r="K55" i="1" s="1"/>
  <c r="N31" i="1"/>
  <c r="H10" i="1" s="1"/>
  <c r="C23" i="1"/>
  <c r="H11" i="1" s="1"/>
  <c r="C19" i="1"/>
  <c r="K10" i="1" s="1"/>
  <c r="H55" i="1" l="1"/>
  <c r="K12" i="1"/>
  <c r="K13" i="1"/>
  <c r="K15" i="1" s="1"/>
  <c r="H46" i="1"/>
  <c r="G50" i="1" s="1"/>
  <c r="H12" i="1"/>
  <c r="H13" i="1" s="1"/>
  <c r="H15" i="1" s="1"/>
  <c r="G59" i="1" l="1"/>
</calcChain>
</file>

<file path=xl/sharedStrings.xml><?xml version="1.0" encoding="utf-8"?>
<sst xmlns="http://schemas.openxmlformats.org/spreadsheetml/2006/main" count="222" uniqueCount="195">
  <si>
    <t>적 개체</t>
    <phoneticPr fontId="1" type="noConversion"/>
  </si>
  <si>
    <t>이름</t>
    <phoneticPr fontId="1" type="noConversion"/>
  </si>
  <si>
    <t>콘텐츠</t>
    <phoneticPr fontId="1" type="noConversion"/>
  </si>
  <si>
    <t>타입</t>
    <phoneticPr fontId="1" type="noConversion"/>
  </si>
  <si>
    <t>교전</t>
    <phoneticPr fontId="1" type="noConversion"/>
  </si>
  <si>
    <t>속성</t>
    <phoneticPr fontId="1" type="noConversion"/>
  </si>
  <si>
    <t>NAGAA</t>
    <phoneticPr fontId="1" type="noConversion"/>
  </si>
  <si>
    <t>일반 변이체</t>
    <phoneticPr fontId="1" type="noConversion"/>
  </si>
  <si>
    <t>선공</t>
    <phoneticPr fontId="1" type="noConversion"/>
  </si>
  <si>
    <t>차단</t>
    <phoneticPr fontId="1" type="noConversion"/>
  </si>
  <si>
    <t>전투 STATUS</t>
    <phoneticPr fontId="1" type="noConversion"/>
  </si>
  <si>
    <t>생명력</t>
    <phoneticPr fontId="1" type="noConversion"/>
  </si>
  <si>
    <t>기본 공격력</t>
    <phoneticPr fontId="1" type="noConversion"/>
  </si>
  <si>
    <t>공격 STATUS</t>
    <phoneticPr fontId="1" type="noConversion"/>
  </si>
  <si>
    <t>공격 보정</t>
    <phoneticPr fontId="1" type="noConversion"/>
  </si>
  <si>
    <t>최종 공격력</t>
    <phoneticPr fontId="1" type="noConversion"/>
  </si>
  <si>
    <t>기본 방어력</t>
    <phoneticPr fontId="1" type="noConversion"/>
  </si>
  <si>
    <t>방어 STATUS</t>
    <phoneticPr fontId="1" type="noConversion"/>
  </si>
  <si>
    <t>방어 보정</t>
    <phoneticPr fontId="1" type="noConversion"/>
  </si>
  <si>
    <t>밀치기 충격</t>
    <phoneticPr fontId="1" type="noConversion"/>
  </si>
  <si>
    <t>낮은 무게 중심</t>
    <phoneticPr fontId="1" type="noConversion"/>
  </si>
  <si>
    <t>스킬</t>
    <phoneticPr fontId="1" type="noConversion"/>
  </si>
  <si>
    <t>스킬 1</t>
    <phoneticPr fontId="1" type="noConversion"/>
  </si>
  <si>
    <t>스킬 2</t>
    <phoneticPr fontId="1" type="noConversion"/>
  </si>
  <si>
    <t>스킬 3</t>
    <phoneticPr fontId="1" type="noConversion"/>
  </si>
  <si>
    <t>스킬 4</t>
    <phoneticPr fontId="1" type="noConversion"/>
  </si>
  <si>
    <t>나가!</t>
    <phoneticPr fontId="1" type="noConversion"/>
  </si>
  <si>
    <t>출구는 내 자리</t>
    <phoneticPr fontId="1" type="noConversion"/>
  </si>
  <si>
    <t>바닥으로 꺼져!</t>
    <phoneticPr fontId="1" type="noConversion"/>
  </si>
  <si>
    <t>-</t>
    <phoneticPr fontId="1" type="noConversion"/>
  </si>
  <si>
    <t>-</t>
    <phoneticPr fontId="1" type="noConversion"/>
  </si>
  <si>
    <t>스킬 이미지</t>
    <phoneticPr fontId="1" type="noConversion"/>
  </si>
  <si>
    <t>스킬명</t>
    <phoneticPr fontId="1" type="noConversion"/>
  </si>
  <si>
    <t>타입</t>
    <phoneticPr fontId="1" type="noConversion"/>
  </si>
  <si>
    <t>상태이상</t>
    <phoneticPr fontId="1" type="noConversion"/>
  </si>
  <si>
    <t>피해 계수</t>
    <phoneticPr fontId="1" type="noConversion"/>
  </si>
  <si>
    <t>스킬 상세</t>
    <phoneticPr fontId="1" type="noConversion"/>
  </si>
  <si>
    <t>나가!</t>
    <phoneticPr fontId="1" type="noConversion"/>
  </si>
  <si>
    <t>액티브</t>
    <phoneticPr fontId="1" type="noConversion"/>
  </si>
  <si>
    <t>밀려남 1.5칸</t>
    <phoneticPr fontId="1" type="noConversion"/>
  </si>
  <si>
    <t>설명</t>
    <phoneticPr fontId="1" type="noConversion"/>
  </si>
  <si>
    <t>몸체, 집게, 외피로 목표를 밀어 안전 위치에서 벗어나게 함.</t>
    <phoneticPr fontId="1" type="noConversion"/>
  </si>
  <si>
    <t>쿨타임(초)</t>
    <phoneticPr fontId="1" type="noConversion"/>
  </si>
  <si>
    <t>시전 필요 시간</t>
    <phoneticPr fontId="1" type="noConversion"/>
  </si>
  <si>
    <t>비고</t>
    <phoneticPr fontId="1" type="noConversion"/>
  </si>
  <si>
    <t>쐐기 집게와 넓은 꼬리판으로 시민을 안전 구역 밖으로 밀어낸다. 관절 안쪽만 보랏빛으로 발광한다.</t>
    <phoneticPr fontId="1" type="noConversion"/>
  </si>
  <si>
    <t>플레이어</t>
    <phoneticPr fontId="1" type="noConversion"/>
  </si>
  <si>
    <t>캐릭터 이미지</t>
    <phoneticPr fontId="1" type="noConversion"/>
  </si>
  <si>
    <t>이름</t>
    <phoneticPr fontId="1" type="noConversion"/>
  </si>
  <si>
    <t>콘텐츠명</t>
    <phoneticPr fontId="1" type="noConversion"/>
  </si>
  <si>
    <t>전투 상태</t>
    <phoneticPr fontId="1" type="noConversion"/>
  </si>
  <si>
    <t>현재 스킬</t>
    <phoneticPr fontId="1" type="noConversion"/>
  </si>
  <si>
    <t>현재 상태</t>
    <phoneticPr fontId="1" type="noConversion"/>
  </si>
  <si>
    <t>무기</t>
    <phoneticPr fontId="1" type="noConversion"/>
  </si>
  <si>
    <t>이미지</t>
    <phoneticPr fontId="1" type="noConversion"/>
  </si>
  <si>
    <t>철봉</t>
    <phoneticPr fontId="1" type="noConversion"/>
  </si>
  <si>
    <t>방어구</t>
    <phoneticPr fontId="1" type="noConversion"/>
  </si>
  <si>
    <t>이미지</t>
    <phoneticPr fontId="1" type="noConversion"/>
  </si>
  <si>
    <t>조끼</t>
    <phoneticPr fontId="1" type="noConversion"/>
  </si>
  <si>
    <t>손</t>
    <phoneticPr fontId="1" type="noConversion"/>
  </si>
  <si>
    <t>머리, 얼굴</t>
    <phoneticPr fontId="1" type="noConversion"/>
  </si>
  <si>
    <t>신발</t>
    <phoneticPr fontId="1" type="noConversion"/>
  </si>
  <si>
    <t>액세서리</t>
    <phoneticPr fontId="1" type="noConversion"/>
  </si>
  <si>
    <t>보조 장비</t>
    <phoneticPr fontId="1" type="noConversion"/>
  </si>
  <si>
    <t>소모품</t>
    <phoneticPr fontId="1" type="noConversion"/>
  </si>
  <si>
    <t>STATUS</t>
    <phoneticPr fontId="1" type="noConversion"/>
  </si>
  <si>
    <t>기본 공격력</t>
    <phoneticPr fontId="1" type="noConversion"/>
  </si>
  <si>
    <t>장비 공격 합</t>
    <phoneticPr fontId="1" type="noConversion"/>
  </si>
  <si>
    <t>최종 공격력</t>
    <phoneticPr fontId="1" type="noConversion"/>
  </si>
  <si>
    <t>공격 속성</t>
    <phoneticPr fontId="1" type="noConversion"/>
  </si>
  <si>
    <t>장비 방어 합</t>
    <phoneticPr fontId="1" type="noConversion"/>
  </si>
  <si>
    <t>최종 방어력</t>
    <phoneticPr fontId="1" type="noConversion"/>
  </si>
  <si>
    <t>방어 속성</t>
    <phoneticPr fontId="1" type="noConversion"/>
  </si>
  <si>
    <t>공명</t>
    <phoneticPr fontId="1" type="noConversion"/>
  </si>
  <si>
    <t>플레이어 현재 스킬</t>
    <phoneticPr fontId="1" type="noConversion"/>
  </si>
  <si>
    <t>스킬명</t>
    <phoneticPr fontId="1" type="noConversion"/>
  </si>
  <si>
    <t>타입</t>
    <phoneticPr fontId="1" type="noConversion"/>
  </si>
  <si>
    <t>상태/효과</t>
    <phoneticPr fontId="1" type="noConversion"/>
  </si>
  <si>
    <t>피해 계수</t>
    <phoneticPr fontId="1" type="noConversion"/>
  </si>
  <si>
    <t>스킬 아이콘</t>
    <phoneticPr fontId="1" type="noConversion"/>
  </si>
  <si>
    <t>공명</t>
    <phoneticPr fontId="1" type="noConversion"/>
  </si>
  <si>
    <t>액티브</t>
    <phoneticPr fontId="1" type="noConversion"/>
  </si>
  <si>
    <t>-</t>
    <phoneticPr fontId="1" type="noConversion"/>
  </si>
  <si>
    <t>쿨타임(초)</t>
    <phoneticPr fontId="1" type="noConversion"/>
  </si>
  <si>
    <t>전투</t>
    <phoneticPr fontId="1" type="noConversion"/>
  </si>
  <si>
    <t>VS</t>
    <phoneticPr fontId="1" type="noConversion"/>
  </si>
  <si>
    <t>PC → 몬스터</t>
    <phoneticPr fontId="1" type="noConversion"/>
  </si>
  <si>
    <t>공격 속성</t>
    <phoneticPr fontId="1" type="noConversion"/>
  </si>
  <si>
    <t>방어 속성</t>
    <phoneticPr fontId="1" type="noConversion"/>
  </si>
  <si>
    <t>상성 K</t>
    <phoneticPr fontId="1" type="noConversion"/>
  </si>
  <si>
    <t>공격력</t>
    <phoneticPr fontId="1" type="noConversion"/>
  </si>
  <si>
    <t>상대 방어력</t>
    <phoneticPr fontId="1" type="noConversion"/>
  </si>
  <si>
    <t>1회 기본 공격 피해</t>
    <phoneticPr fontId="1" type="noConversion"/>
  </si>
  <si>
    <t>몬스터 처치 필요 공격</t>
    <phoneticPr fontId="1" type="noConversion"/>
  </si>
  <si>
    <t>공격 간격 (초)</t>
    <phoneticPr fontId="1" type="noConversion"/>
  </si>
  <si>
    <t>ttk(초)</t>
    <phoneticPr fontId="1" type="noConversion"/>
  </si>
  <si>
    <t>상성 판정</t>
    <phoneticPr fontId="1" type="noConversion"/>
  </si>
  <si>
    <t>공명</t>
    <phoneticPr fontId="1" type="noConversion"/>
  </si>
  <si>
    <t>차단</t>
    <phoneticPr fontId="1" type="noConversion"/>
  </si>
  <si>
    <t>우세</t>
    <phoneticPr fontId="1" type="noConversion"/>
  </si>
  <si>
    <t>차단</t>
    <phoneticPr fontId="1" type="noConversion"/>
  </si>
  <si>
    <t>몬스터 → PC</t>
    <phoneticPr fontId="1" type="noConversion"/>
  </si>
  <si>
    <t>열세</t>
    <phoneticPr fontId="1" type="noConversion"/>
  </si>
  <si>
    <t>전투 결과</t>
    <phoneticPr fontId="1" type="noConversion"/>
  </si>
  <si>
    <t>차한해 승리</t>
    <phoneticPr fontId="1" type="noConversion"/>
  </si>
  <si>
    <t>승패 = 기본 공격 기준 TTK 비교</t>
    <phoneticPr fontId="1" type="noConversion"/>
  </si>
  <si>
    <t>데미지 모델</t>
    <phoneticPr fontId="1" type="noConversion"/>
  </si>
  <si>
    <t>기본 공격 피해 = MAX(1, ROUND(공격력 - 상대 방어력) * 상성 K, 0))</t>
    <phoneticPr fontId="1" type="noConversion"/>
  </si>
  <si>
    <t>처치 필요 횟수 = ROUND(상대 HP + 1회 피해, 0) / TTK = (필요 횟수 -1) * 공격 간격</t>
    <phoneticPr fontId="1" type="noConversion"/>
  </si>
  <si>
    <t>검증 콘솔</t>
    <phoneticPr fontId="1" type="noConversion"/>
  </si>
  <si>
    <t>PC 최종 ATK</t>
    <phoneticPr fontId="1" type="noConversion"/>
  </si>
  <si>
    <t>MON 최종 DEF</t>
    <phoneticPr fontId="1" type="noConversion"/>
  </si>
  <si>
    <t>MON HP</t>
    <phoneticPr fontId="1" type="noConversion"/>
  </si>
  <si>
    <t>PC 1회 피해</t>
    <phoneticPr fontId="1" type="noConversion"/>
  </si>
  <si>
    <t>PC 필요 타격</t>
    <phoneticPr fontId="1" type="noConversion"/>
  </si>
  <si>
    <t>PC TTK</t>
    <phoneticPr fontId="1" type="noConversion"/>
  </si>
  <si>
    <t>PC 공격 속성</t>
    <phoneticPr fontId="1" type="noConversion"/>
  </si>
  <si>
    <t>PC K</t>
    <phoneticPr fontId="1" type="noConversion"/>
  </si>
  <si>
    <t>공명</t>
    <phoneticPr fontId="1" type="noConversion"/>
  </si>
  <si>
    <t>MON 최종 ATK</t>
    <phoneticPr fontId="1" type="noConversion"/>
  </si>
  <si>
    <t>PC 최종 DEF</t>
    <phoneticPr fontId="1" type="noConversion"/>
  </si>
  <si>
    <t>PC HP</t>
    <phoneticPr fontId="1" type="noConversion"/>
  </si>
  <si>
    <t>MON 1회 피해</t>
    <phoneticPr fontId="1" type="noConversion"/>
  </si>
  <si>
    <t>MON 필요 타격</t>
    <phoneticPr fontId="1" type="noConversion"/>
  </si>
  <si>
    <t>MON TTK</t>
    <phoneticPr fontId="1" type="noConversion"/>
  </si>
  <si>
    <t>MON 공격 속성</t>
    <phoneticPr fontId="1" type="noConversion"/>
  </si>
  <si>
    <t>MON K</t>
    <phoneticPr fontId="1" type="noConversion"/>
  </si>
  <si>
    <t>공격자</t>
    <phoneticPr fontId="1" type="noConversion"/>
  </si>
  <si>
    <t>차한해</t>
    <phoneticPr fontId="1" type="noConversion"/>
  </si>
  <si>
    <t>방어지</t>
    <phoneticPr fontId="1" type="noConversion"/>
  </si>
  <si>
    <t>방어자의 생명력</t>
    <phoneticPr fontId="1" type="noConversion"/>
  </si>
  <si>
    <t>전투</t>
    <phoneticPr fontId="1" type="noConversion"/>
  </si>
  <si>
    <t>A 상황</t>
    <phoneticPr fontId="1" type="noConversion"/>
  </si>
  <si>
    <t>B 상황</t>
    <phoneticPr fontId="1" type="noConversion"/>
  </si>
  <si>
    <t>NAGAA</t>
    <phoneticPr fontId="1" type="noConversion"/>
  </si>
  <si>
    <t>차한해</t>
    <phoneticPr fontId="1" type="noConversion"/>
  </si>
  <si>
    <t>속성</t>
    <phoneticPr fontId="1" type="noConversion"/>
  </si>
  <si>
    <t>공명</t>
    <phoneticPr fontId="1" type="noConversion"/>
  </si>
  <si>
    <t>속성</t>
    <phoneticPr fontId="1" type="noConversion"/>
  </si>
  <si>
    <t>차단</t>
    <phoneticPr fontId="1" type="noConversion"/>
  </si>
  <si>
    <t>속성 공격력</t>
    <phoneticPr fontId="1" type="noConversion"/>
  </si>
  <si>
    <t>우위</t>
    <phoneticPr fontId="1" type="noConversion"/>
  </si>
  <si>
    <t>공격자 우위 여부</t>
    <phoneticPr fontId="1" type="noConversion"/>
  </si>
  <si>
    <t>차단</t>
    <phoneticPr fontId="1" type="noConversion"/>
  </si>
  <si>
    <t>공명</t>
    <phoneticPr fontId="1" type="noConversion"/>
  </si>
  <si>
    <t>열세</t>
    <phoneticPr fontId="1" type="noConversion"/>
  </si>
  <si>
    <t>속성 추가 전 데미지</t>
    <phoneticPr fontId="1" type="noConversion"/>
  </si>
  <si>
    <t>속성 추가 전 데미지</t>
    <phoneticPr fontId="1" type="noConversion"/>
  </si>
  <si>
    <t>생명력</t>
    <phoneticPr fontId="1" type="noConversion"/>
  </si>
  <si>
    <t>최종 생명력</t>
    <phoneticPr fontId="1" type="noConversion"/>
  </si>
  <si>
    <t>PC 처치 필요 공격</t>
    <phoneticPr fontId="1" type="noConversion"/>
  </si>
  <si>
    <t>기본 공격</t>
    <phoneticPr fontId="1" type="noConversion"/>
  </si>
  <si>
    <t>기본 공격2</t>
    <phoneticPr fontId="1" type="noConversion"/>
  </si>
  <si>
    <t>기본 공격3</t>
  </si>
  <si>
    <t>기본 공격3</t>
    <phoneticPr fontId="1" type="noConversion"/>
  </si>
  <si>
    <t>평균 시간</t>
    <phoneticPr fontId="1" type="noConversion"/>
  </si>
  <si>
    <t>스킬1</t>
  </si>
  <si>
    <t>스킬1</t>
    <phoneticPr fontId="1" type="noConversion"/>
  </si>
  <si>
    <t>스킬2</t>
  </si>
  <si>
    <t>스킬2</t>
    <phoneticPr fontId="1" type="noConversion"/>
  </si>
  <si>
    <t>스킬3</t>
  </si>
  <si>
    <t>스킬3</t>
    <phoneticPr fontId="1" type="noConversion"/>
  </si>
  <si>
    <t>스킬4</t>
  </si>
  <si>
    <t>스킬5</t>
  </si>
  <si>
    <t>스킬6</t>
  </si>
  <si>
    <t>스킬7</t>
  </si>
  <si>
    <t>스킬8</t>
  </si>
  <si>
    <t>스킬9</t>
  </si>
  <si>
    <t>스킬10</t>
  </si>
  <si>
    <t>스킬11</t>
  </si>
  <si>
    <t>스킬12</t>
  </si>
  <si>
    <t>스킬13</t>
  </si>
  <si>
    <t>스킬14</t>
  </si>
  <si>
    <t>스킬15</t>
  </si>
  <si>
    <t>스킬16</t>
  </si>
  <si>
    <t>스킬17</t>
  </si>
  <si>
    <t>스킬18</t>
  </si>
  <si>
    <t>스킬19</t>
  </si>
  <si>
    <t>스킬20</t>
  </si>
  <si>
    <t>스킬21</t>
  </si>
  <si>
    <t>스킬22</t>
  </si>
  <si>
    <t>스킬23</t>
  </si>
  <si>
    <t>스킬24</t>
  </si>
  <si>
    <t>스킬25</t>
  </si>
  <si>
    <t>기본 공격1</t>
    <phoneticPr fontId="1" type="noConversion"/>
  </si>
  <si>
    <t>기본 공격2</t>
    <phoneticPr fontId="1" type="noConversion"/>
  </si>
  <si>
    <t>평균</t>
    <phoneticPr fontId="1" type="noConversion"/>
  </si>
  <si>
    <t>스킬1</t>
    <phoneticPr fontId="1" type="noConversion"/>
  </si>
  <si>
    <t>1회 공격 시간</t>
    <phoneticPr fontId="1" type="noConversion"/>
  </si>
  <si>
    <t>1회 공격 시간</t>
    <phoneticPr fontId="1" type="noConversion"/>
  </si>
  <si>
    <t>일반 공격 평균</t>
    <phoneticPr fontId="1" type="noConversion"/>
  </si>
  <si>
    <t>일반 공격 평균</t>
    <phoneticPr fontId="1" type="noConversion"/>
  </si>
  <si>
    <t>공격 횟수</t>
    <phoneticPr fontId="1" type="noConversion"/>
  </si>
  <si>
    <t>총 공격 시간</t>
    <phoneticPr fontId="1" type="noConversion"/>
  </si>
  <si>
    <t>승자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</si>
</sst>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50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DEEFF"/>
        <bgColor indexed="64"/>
      </patternFill>
    </fill>
  </fills>
  <borders count="37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BDEEFF"/>
      </left>
      <right/>
      <top style="thin">
        <color rgb="FFBDEEFF"/>
      </top>
      <bottom/>
      <diagonal/>
    </border>
    <border>
      <left/>
      <right/>
      <top style="thin">
        <color rgb="FFBDEEFF"/>
      </top>
      <bottom/>
      <diagonal/>
    </border>
    <border>
      <left/>
      <right style="thin">
        <color rgb="FFBDEEFF"/>
      </right>
      <top style="thin">
        <color rgb="FFBDEEFF"/>
      </top>
      <bottom/>
      <diagonal/>
    </border>
    <border>
      <left style="thin">
        <color rgb="FFBDEEFF"/>
      </left>
      <right/>
      <top/>
      <bottom/>
      <diagonal/>
    </border>
    <border>
      <left/>
      <right style="thin">
        <color rgb="FFBDEEFF"/>
      </right>
      <top/>
      <bottom/>
      <diagonal/>
    </border>
    <border>
      <left style="thin">
        <color rgb="FFBDEEFF"/>
      </left>
      <right/>
      <top/>
      <bottom style="thin">
        <color rgb="FFBDEEFF"/>
      </bottom>
      <diagonal/>
    </border>
    <border>
      <left/>
      <right/>
      <top/>
      <bottom style="thin">
        <color rgb="FFBDEEFF"/>
      </bottom>
      <diagonal/>
    </border>
    <border>
      <left/>
      <right style="thin">
        <color rgb="FFBDEEFF"/>
      </right>
      <top/>
      <bottom style="thin">
        <color rgb="FFBDEEF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DEEFF"/>
      <color rgb="FFA3FFCD"/>
      <color rgb="FFE2C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D$51" max="100" min="1" page="10" val="15"/>
</file>

<file path=xl/ctrlProps/ctrlProp2.xml><?xml version="1.0" encoding="utf-8"?>
<formControlPr xmlns="http://schemas.microsoft.com/office/spreadsheetml/2009/9/main" objectType="Spin" dx="22" fmlaLink="$O$51" max="100" min="1" page="10" val="18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16452</xdr:colOff>
      <xdr:row>2</xdr:row>
      <xdr:rowOff>96982</xdr:rowOff>
    </xdr:from>
    <xdr:to>
      <xdr:col>3</xdr:col>
      <xdr:colOff>1107403</xdr:colOff>
      <xdr:row>6</xdr:row>
      <xdr:rowOff>30307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393497" y="512618"/>
          <a:ext cx="1090951" cy="76459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23628</xdr:colOff>
          <xdr:row>49</xdr:row>
          <xdr:rowOff>15586</xdr:rowOff>
        </xdr:from>
        <xdr:to>
          <xdr:col>4</xdr:col>
          <xdr:colOff>353787</xdr:colOff>
          <xdr:row>50</xdr:row>
          <xdr:rowOff>190499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16327</xdr:colOff>
          <xdr:row>48</xdr:row>
          <xdr:rowOff>187778</xdr:rowOff>
        </xdr:from>
        <xdr:to>
          <xdr:col>15</xdr:col>
          <xdr:colOff>378277</xdr:colOff>
          <xdr:row>50</xdr:row>
          <xdr:rowOff>187778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63"/>
  <sheetViews>
    <sheetView tabSelected="1" topLeftCell="B42" zoomScaleNormal="100" workbookViewId="0">
      <selection activeCell="H57" sqref="H57"/>
    </sheetView>
  </sheetViews>
  <sheetFormatPr defaultRowHeight="16.5" x14ac:dyDescent="0.3"/>
  <cols>
    <col min="1" max="1" width="9" style="2"/>
    <col min="2" max="2" width="14.625" style="2" customWidth="1"/>
    <col min="3" max="3" width="18.125" style="2" customWidth="1"/>
    <col min="4" max="4" width="20" style="2" customWidth="1"/>
    <col min="5" max="5" width="10.625" style="2" customWidth="1"/>
    <col min="6" max="6" width="9" style="2"/>
    <col min="7" max="7" width="22" style="2" customWidth="1"/>
    <col min="8" max="8" width="22.75" style="2" customWidth="1"/>
    <col min="9" max="9" width="9" style="2"/>
    <col min="10" max="11" width="22.75" style="2" customWidth="1"/>
    <col min="12" max="12" width="9" style="2"/>
    <col min="13" max="13" width="14.375" style="2" customWidth="1"/>
    <col min="14" max="14" width="15.875" style="2" customWidth="1"/>
    <col min="15" max="15" width="11.5" style="2" customWidth="1"/>
    <col min="16" max="16384" width="9" style="2"/>
  </cols>
  <sheetData>
    <row r="2" spans="2:16" x14ac:dyDescent="0.3">
      <c r="B2" s="7" t="s">
        <v>0</v>
      </c>
      <c r="C2" s="7"/>
      <c r="D2" s="7"/>
      <c r="E2" s="7"/>
      <c r="H2" s="1" t="s">
        <v>84</v>
      </c>
      <c r="I2" s="1"/>
      <c r="J2" s="1"/>
      <c r="K2" s="5"/>
      <c r="M2" s="7" t="s">
        <v>46</v>
      </c>
      <c r="N2" s="7"/>
      <c r="O2" s="7"/>
      <c r="P2" s="7"/>
    </row>
    <row r="3" spans="2:16" x14ac:dyDescent="0.3">
      <c r="B3" s="1"/>
      <c r="C3" s="1"/>
      <c r="D3" s="1"/>
      <c r="E3" s="1"/>
      <c r="I3" s="1" t="s">
        <v>85</v>
      </c>
      <c r="M3" s="1" t="s">
        <v>47</v>
      </c>
      <c r="N3" s="1"/>
      <c r="O3" s="1"/>
      <c r="P3" s="1"/>
    </row>
    <row r="4" spans="2:16" x14ac:dyDescent="0.3">
      <c r="B4" s="1"/>
      <c r="C4" s="1"/>
      <c r="D4" s="1"/>
      <c r="E4" s="1"/>
      <c r="I4" s="1"/>
      <c r="M4" s="1"/>
      <c r="N4" s="1"/>
      <c r="O4" s="1"/>
      <c r="P4" s="1"/>
    </row>
    <row r="5" spans="2:16" x14ac:dyDescent="0.3">
      <c r="B5" s="1"/>
      <c r="C5" s="1"/>
      <c r="D5" s="1"/>
      <c r="E5" s="1"/>
      <c r="I5" s="1"/>
      <c r="M5" s="1"/>
      <c r="N5" s="1"/>
      <c r="O5" s="1"/>
      <c r="P5" s="1"/>
    </row>
    <row r="6" spans="2:16" x14ac:dyDescent="0.3">
      <c r="B6" s="1"/>
      <c r="C6" s="1"/>
      <c r="D6" s="1"/>
      <c r="E6" s="1"/>
      <c r="G6" s="1" t="s">
        <v>86</v>
      </c>
      <c r="H6" s="1"/>
      <c r="J6" s="1" t="s">
        <v>101</v>
      </c>
      <c r="K6" s="1"/>
      <c r="M6" s="1"/>
      <c r="N6" s="1"/>
      <c r="O6" s="1"/>
      <c r="P6" s="1"/>
    </row>
    <row r="7" spans="2:16" x14ac:dyDescent="0.3">
      <c r="B7" s="1"/>
      <c r="C7" s="1"/>
      <c r="D7" s="1"/>
      <c r="E7" s="1"/>
      <c r="G7" s="2" t="s">
        <v>87</v>
      </c>
      <c r="H7" s="8" t="s">
        <v>97</v>
      </c>
      <c r="J7" s="2" t="s">
        <v>87</v>
      </c>
      <c r="K7" s="8" t="s">
        <v>100</v>
      </c>
      <c r="M7" s="1"/>
      <c r="N7" s="1"/>
      <c r="O7" s="1"/>
      <c r="P7" s="1"/>
    </row>
    <row r="8" spans="2:16" x14ac:dyDescent="0.3">
      <c r="B8" s="6" t="s">
        <v>1</v>
      </c>
      <c r="C8" s="1" t="s">
        <v>6</v>
      </c>
      <c r="D8" s="1"/>
      <c r="E8" s="1"/>
      <c r="G8" s="2" t="s">
        <v>88</v>
      </c>
      <c r="H8" s="8" t="s">
        <v>98</v>
      </c>
      <c r="J8" s="2" t="s">
        <v>88</v>
      </c>
      <c r="K8" s="8" t="s">
        <v>97</v>
      </c>
      <c r="M8" s="6" t="s">
        <v>48</v>
      </c>
    </row>
    <row r="9" spans="2:16" x14ac:dyDescent="0.3">
      <c r="B9" s="6" t="s">
        <v>2</v>
      </c>
      <c r="C9" s="1">
        <v>130</v>
      </c>
      <c r="D9" s="1"/>
      <c r="E9" s="1"/>
      <c r="G9" s="2" t="s">
        <v>89</v>
      </c>
      <c r="H9" s="8">
        <v>1.7</v>
      </c>
      <c r="J9" s="2" t="s">
        <v>89</v>
      </c>
      <c r="K9" s="8">
        <v>0.3</v>
      </c>
      <c r="M9" s="6" t="s">
        <v>49</v>
      </c>
    </row>
    <row r="10" spans="2:16" x14ac:dyDescent="0.3">
      <c r="B10" s="6" t="s">
        <v>3</v>
      </c>
      <c r="C10" s="1" t="s">
        <v>7</v>
      </c>
      <c r="D10" s="1"/>
      <c r="E10" s="1"/>
      <c r="G10" s="2" t="s">
        <v>90</v>
      </c>
      <c r="H10" s="8">
        <f>N31</f>
        <v>350</v>
      </c>
      <c r="J10" s="2" t="s">
        <v>90</v>
      </c>
      <c r="K10" s="8">
        <f>C19</f>
        <v>71</v>
      </c>
      <c r="M10" s="6" t="s">
        <v>50</v>
      </c>
    </row>
    <row r="11" spans="2:16" x14ac:dyDescent="0.3">
      <c r="B11" s="6" t="s">
        <v>4</v>
      </c>
      <c r="C11" s="1" t="s">
        <v>8</v>
      </c>
      <c r="D11" s="1"/>
      <c r="E11" s="1"/>
      <c r="G11" s="2" t="s">
        <v>91</v>
      </c>
      <c r="H11" s="8">
        <f>C23</f>
        <v>2340</v>
      </c>
      <c r="J11" s="2" t="s">
        <v>91</v>
      </c>
      <c r="K11" s="8">
        <f>N36</f>
        <v>300</v>
      </c>
      <c r="M11" s="6" t="s">
        <v>51</v>
      </c>
    </row>
    <row r="12" spans="2:16" x14ac:dyDescent="0.3">
      <c r="B12" s="6" t="s">
        <v>5</v>
      </c>
      <c r="C12" s="1" t="s">
        <v>9</v>
      </c>
      <c r="D12" s="1"/>
      <c r="E12" s="1"/>
      <c r="G12" s="2" t="s">
        <v>92</v>
      </c>
      <c r="H12" s="8">
        <f>H10*H9</f>
        <v>595</v>
      </c>
      <c r="J12" s="2" t="s">
        <v>92</v>
      </c>
      <c r="K12" s="8">
        <f>K10*K9</f>
        <v>21.3</v>
      </c>
    </row>
    <row r="13" spans="2:16" x14ac:dyDescent="0.3">
      <c r="G13" s="2" t="s">
        <v>93</v>
      </c>
      <c r="H13" s="8">
        <f>ROUNDUP(H11/H12,0)</f>
        <v>4</v>
      </c>
      <c r="J13" s="2" t="s">
        <v>150</v>
      </c>
      <c r="K13" s="8">
        <f>ROUNDUP(K11/K10,0)</f>
        <v>5</v>
      </c>
    </row>
    <row r="14" spans="2:16" x14ac:dyDescent="0.3">
      <c r="B14" s="7" t="s">
        <v>10</v>
      </c>
      <c r="C14" s="7"/>
      <c r="D14" s="7"/>
      <c r="E14" s="7"/>
      <c r="G14" s="2" t="s">
        <v>94</v>
      </c>
      <c r="H14" s="8">
        <v>0.3</v>
      </c>
      <c r="J14" s="2" t="s">
        <v>94</v>
      </c>
      <c r="K14" s="8">
        <v>0.3</v>
      </c>
      <c r="M14" s="7" t="s">
        <v>52</v>
      </c>
      <c r="N14" s="7"/>
      <c r="O14" s="7"/>
      <c r="P14" s="7"/>
    </row>
    <row r="15" spans="2:16" x14ac:dyDescent="0.3">
      <c r="B15" s="6" t="s">
        <v>11</v>
      </c>
      <c r="C15" s="1">
        <v>2000</v>
      </c>
      <c r="D15" s="1"/>
      <c r="E15" s="1"/>
      <c r="G15" s="2" t="s">
        <v>95</v>
      </c>
      <c r="H15" s="8">
        <f>H13*H14</f>
        <v>1.2</v>
      </c>
      <c r="J15" s="2" t="s">
        <v>95</v>
      </c>
      <c r="K15" s="8">
        <f>K13*K14</f>
        <v>1.5</v>
      </c>
      <c r="M15" s="7" t="s">
        <v>53</v>
      </c>
      <c r="N15" s="7"/>
      <c r="O15" s="7" t="s">
        <v>56</v>
      </c>
      <c r="P15" s="7"/>
    </row>
    <row r="16" spans="2:16" x14ac:dyDescent="0.3">
      <c r="B16" s="6" t="s">
        <v>12</v>
      </c>
      <c r="C16" s="1">
        <v>50</v>
      </c>
      <c r="D16" s="1"/>
      <c r="E16" s="1"/>
      <c r="G16" s="2" t="s">
        <v>96</v>
      </c>
      <c r="H16" s="8" t="s">
        <v>99</v>
      </c>
      <c r="J16" s="2" t="s">
        <v>96</v>
      </c>
      <c r="K16" s="8" t="s">
        <v>102</v>
      </c>
      <c r="M16" s="7" t="s">
        <v>54</v>
      </c>
      <c r="N16" s="7" t="s">
        <v>55</v>
      </c>
      <c r="O16" s="7" t="s">
        <v>57</v>
      </c>
      <c r="P16" s="7" t="s">
        <v>58</v>
      </c>
    </row>
    <row r="17" spans="2:16" x14ac:dyDescent="0.3">
      <c r="B17" s="6" t="s">
        <v>13</v>
      </c>
      <c r="C17" s="1" t="s">
        <v>19</v>
      </c>
      <c r="D17" s="1"/>
      <c r="E17" s="1"/>
      <c r="M17" s="7"/>
      <c r="N17" s="7"/>
      <c r="O17" s="7"/>
      <c r="P17" s="7"/>
    </row>
    <row r="18" spans="2:16" x14ac:dyDescent="0.3">
      <c r="B18" s="6" t="s">
        <v>14</v>
      </c>
      <c r="C18" s="1">
        <v>21</v>
      </c>
      <c r="D18" s="1"/>
      <c r="E18" s="1"/>
      <c r="M18" s="7" t="s">
        <v>59</v>
      </c>
      <c r="N18" s="7"/>
      <c r="O18" s="7" t="s">
        <v>60</v>
      </c>
      <c r="P18" s="7"/>
    </row>
    <row r="19" spans="2:16" x14ac:dyDescent="0.3">
      <c r="B19" s="6" t="s">
        <v>15</v>
      </c>
      <c r="C19" s="1">
        <f>C16+C18</f>
        <v>71</v>
      </c>
      <c r="D19" s="1"/>
      <c r="E19" s="1"/>
      <c r="H19" s="1" t="s">
        <v>103</v>
      </c>
      <c r="I19" s="1"/>
      <c r="J19" s="1"/>
      <c r="M19" s="7"/>
      <c r="N19" s="7"/>
      <c r="O19" s="7"/>
      <c r="P19" s="7"/>
    </row>
    <row r="20" spans="2:16" x14ac:dyDescent="0.3">
      <c r="B20" s="6" t="s">
        <v>16</v>
      </c>
      <c r="C20" s="1">
        <v>300</v>
      </c>
      <c r="D20" s="1"/>
      <c r="E20" s="1"/>
      <c r="H20" s="1" t="s">
        <v>104</v>
      </c>
      <c r="I20" s="1"/>
      <c r="J20" s="1"/>
      <c r="M20" s="7"/>
      <c r="N20" s="7"/>
      <c r="O20" s="7"/>
      <c r="P20" s="7"/>
    </row>
    <row r="21" spans="2:16" x14ac:dyDescent="0.3">
      <c r="B21" s="6" t="s">
        <v>17</v>
      </c>
      <c r="C21" s="1" t="s">
        <v>20</v>
      </c>
      <c r="D21" s="1"/>
      <c r="E21" s="1"/>
      <c r="H21" s="1" t="s">
        <v>105</v>
      </c>
      <c r="I21" s="1"/>
      <c r="J21" s="1"/>
      <c r="M21" s="7" t="s">
        <v>61</v>
      </c>
      <c r="N21" s="7"/>
      <c r="O21" s="7" t="s">
        <v>62</v>
      </c>
      <c r="P21" s="7"/>
    </row>
    <row r="22" spans="2:16" x14ac:dyDescent="0.3">
      <c r="B22" s="6" t="s">
        <v>18</v>
      </c>
      <c r="C22" s="1">
        <v>40</v>
      </c>
      <c r="D22" s="1"/>
      <c r="E22" s="1"/>
      <c r="M22" s="7"/>
      <c r="N22" s="7"/>
      <c r="O22" s="7"/>
      <c r="P22" s="7"/>
    </row>
    <row r="23" spans="2:16" x14ac:dyDescent="0.3">
      <c r="B23" s="6" t="s">
        <v>149</v>
      </c>
      <c r="C23" s="1">
        <f>C15+C20+C22</f>
        <v>2340</v>
      </c>
      <c r="D23" s="1"/>
      <c r="E23" s="1"/>
      <c r="H23" s="1" t="s">
        <v>106</v>
      </c>
      <c r="I23" s="1"/>
      <c r="J23" s="1"/>
      <c r="M23" s="7"/>
      <c r="N23" s="7"/>
      <c r="O23" s="7"/>
      <c r="P23" s="7"/>
    </row>
    <row r="24" spans="2:16" x14ac:dyDescent="0.3">
      <c r="H24" s="1" t="s">
        <v>107</v>
      </c>
      <c r="I24" s="1"/>
      <c r="J24" s="1"/>
      <c r="M24" s="7" t="s">
        <v>63</v>
      </c>
      <c r="N24" s="7"/>
      <c r="O24" s="7" t="s">
        <v>64</v>
      </c>
      <c r="P24" s="7"/>
    </row>
    <row r="25" spans="2:16" x14ac:dyDescent="0.3">
      <c r="B25" s="7" t="s">
        <v>21</v>
      </c>
      <c r="C25" s="7"/>
      <c r="D25" s="7"/>
      <c r="E25" s="7"/>
      <c r="M25" s="1"/>
      <c r="N25" s="1"/>
      <c r="O25" s="1"/>
      <c r="P25" s="1"/>
    </row>
    <row r="26" spans="2:16" x14ac:dyDescent="0.3">
      <c r="B26" s="6" t="s">
        <v>22</v>
      </c>
      <c r="C26" s="2" t="s">
        <v>26</v>
      </c>
      <c r="E26" s="3">
        <v>0.5</v>
      </c>
      <c r="H26" s="1" t="s">
        <v>108</v>
      </c>
      <c r="I26" s="1"/>
      <c r="J26" s="1"/>
      <c r="M26" s="1"/>
      <c r="N26" s="1"/>
      <c r="O26" s="1"/>
      <c r="P26" s="1"/>
    </row>
    <row r="27" spans="2:16" x14ac:dyDescent="0.3">
      <c r="B27" s="6" t="s">
        <v>23</v>
      </c>
      <c r="C27" s="2" t="s">
        <v>27</v>
      </c>
      <c r="E27" s="3">
        <v>0.3</v>
      </c>
    </row>
    <row r="28" spans="2:16" x14ac:dyDescent="0.3">
      <c r="B28" s="6" t="s">
        <v>24</v>
      </c>
      <c r="C28" s="2" t="s">
        <v>28</v>
      </c>
      <c r="E28" s="3">
        <v>0.2</v>
      </c>
      <c r="H28" s="1" t="s">
        <v>109</v>
      </c>
      <c r="I28" s="1"/>
      <c r="J28" s="1"/>
      <c r="M28" s="7" t="s">
        <v>65</v>
      </c>
      <c r="N28" s="7"/>
      <c r="O28" s="7"/>
      <c r="P28" s="7"/>
    </row>
    <row r="29" spans="2:16" x14ac:dyDescent="0.3">
      <c r="B29" s="6" t="s">
        <v>25</v>
      </c>
      <c r="C29" s="2" t="s">
        <v>29</v>
      </c>
      <c r="E29" s="2" t="s">
        <v>30</v>
      </c>
      <c r="H29" s="2" t="s">
        <v>110</v>
      </c>
      <c r="I29" s="2">
        <v>243</v>
      </c>
      <c r="J29" s="2" t="s">
        <v>119</v>
      </c>
      <c r="K29" s="2">
        <v>25</v>
      </c>
      <c r="M29" s="6" t="s">
        <v>66</v>
      </c>
      <c r="N29" s="1">
        <v>50</v>
      </c>
      <c r="O29" s="1"/>
      <c r="P29" s="1"/>
    </row>
    <row r="30" spans="2:16" x14ac:dyDescent="0.3">
      <c r="H30" s="2" t="s">
        <v>111</v>
      </c>
      <c r="I30" s="2">
        <v>13</v>
      </c>
      <c r="J30" s="2" t="s">
        <v>120</v>
      </c>
      <c r="K30" s="2">
        <v>144</v>
      </c>
      <c r="M30" s="6" t="s">
        <v>67</v>
      </c>
      <c r="N30" s="1">
        <v>300</v>
      </c>
      <c r="O30" s="1"/>
      <c r="P30" s="1"/>
    </row>
    <row r="31" spans="2:16" x14ac:dyDescent="0.3">
      <c r="B31" s="1" t="s">
        <v>36</v>
      </c>
      <c r="C31" s="1"/>
      <c r="D31" s="1"/>
      <c r="E31" s="1"/>
      <c r="H31" s="2" t="s">
        <v>112</v>
      </c>
      <c r="I31" s="2">
        <v>165</v>
      </c>
      <c r="J31" s="2" t="s">
        <v>121</v>
      </c>
      <c r="K31" s="2">
        <v>200</v>
      </c>
      <c r="M31" s="6" t="s">
        <v>68</v>
      </c>
      <c r="N31" s="1">
        <f>N29+N30</f>
        <v>350</v>
      </c>
      <c r="O31" s="1"/>
      <c r="P31" s="1"/>
    </row>
    <row r="32" spans="2:16" x14ac:dyDescent="0.3">
      <c r="B32" s="7" t="s">
        <v>31</v>
      </c>
      <c r="C32" s="6" t="s">
        <v>32</v>
      </c>
      <c r="D32" s="1" t="s">
        <v>37</v>
      </c>
      <c r="E32" s="1"/>
      <c r="H32" s="2" t="s">
        <v>113</v>
      </c>
      <c r="I32" s="2">
        <v>391</v>
      </c>
      <c r="J32" s="2" t="s">
        <v>122</v>
      </c>
      <c r="K32" s="2">
        <v>1</v>
      </c>
      <c r="M32" s="6" t="s">
        <v>69</v>
      </c>
      <c r="N32" s="1" t="s">
        <v>73</v>
      </c>
      <c r="O32" s="1"/>
      <c r="P32" s="1"/>
    </row>
    <row r="33" spans="2:16" x14ac:dyDescent="0.3">
      <c r="B33" s="7"/>
      <c r="C33" s="6" t="s">
        <v>33</v>
      </c>
      <c r="D33" s="1" t="s">
        <v>38</v>
      </c>
      <c r="E33" s="1"/>
      <c r="H33" s="2" t="s">
        <v>114</v>
      </c>
      <c r="I33" s="2">
        <v>1</v>
      </c>
      <c r="J33" s="2" t="s">
        <v>123</v>
      </c>
      <c r="K33" s="2">
        <v>200</v>
      </c>
      <c r="M33" s="6" t="s">
        <v>16</v>
      </c>
      <c r="N33" s="1">
        <v>50</v>
      </c>
      <c r="O33" s="1"/>
      <c r="P33" s="1"/>
    </row>
    <row r="34" spans="2:16" x14ac:dyDescent="0.3">
      <c r="B34" s="7"/>
      <c r="C34" s="6" t="s">
        <v>34</v>
      </c>
      <c r="D34" s="1" t="s">
        <v>39</v>
      </c>
      <c r="E34" s="1"/>
      <c r="H34" s="2" t="s">
        <v>115</v>
      </c>
      <c r="I34" s="2">
        <v>0</v>
      </c>
      <c r="J34" s="2" t="s">
        <v>124</v>
      </c>
      <c r="K34" s="2">
        <v>59.7</v>
      </c>
      <c r="M34" s="6" t="s">
        <v>70</v>
      </c>
      <c r="N34" s="1">
        <v>150</v>
      </c>
      <c r="O34" s="1"/>
      <c r="P34" s="1"/>
    </row>
    <row r="35" spans="2:16" x14ac:dyDescent="0.3">
      <c r="B35" s="7"/>
      <c r="C35" s="6" t="s">
        <v>35</v>
      </c>
      <c r="E35" s="2">
        <v>0.75</v>
      </c>
      <c r="H35" s="2" t="s">
        <v>116</v>
      </c>
      <c r="I35" s="2" t="s">
        <v>118</v>
      </c>
      <c r="J35" s="2" t="s">
        <v>125</v>
      </c>
      <c r="K35" s="2" t="s">
        <v>100</v>
      </c>
      <c r="M35" s="6" t="s">
        <v>148</v>
      </c>
      <c r="N35" s="1">
        <v>100</v>
      </c>
      <c r="O35" s="1"/>
      <c r="P35" s="1"/>
    </row>
    <row r="36" spans="2:16" x14ac:dyDescent="0.3">
      <c r="B36" s="31"/>
      <c r="C36" s="6"/>
      <c r="M36" s="6" t="s">
        <v>71</v>
      </c>
      <c r="N36" s="1">
        <f>N33+N34+N35</f>
        <v>300</v>
      </c>
      <c r="O36" s="1"/>
      <c r="P36" s="1"/>
    </row>
    <row r="37" spans="2:16" x14ac:dyDescent="0.3">
      <c r="B37" s="6" t="s">
        <v>40</v>
      </c>
      <c r="C37" s="4" t="s">
        <v>41</v>
      </c>
      <c r="D37" s="4"/>
      <c r="E37" s="4"/>
      <c r="H37" s="2" t="s">
        <v>117</v>
      </c>
      <c r="I37" s="2">
        <v>1.7</v>
      </c>
      <c r="J37" s="2" t="s">
        <v>126</v>
      </c>
      <c r="K37" s="2">
        <v>0.3</v>
      </c>
      <c r="M37" s="6" t="s">
        <v>72</v>
      </c>
      <c r="N37" s="1" t="s">
        <v>73</v>
      </c>
      <c r="O37" s="1"/>
      <c r="P37" s="1"/>
    </row>
    <row r="38" spans="2:16" x14ac:dyDescent="0.3">
      <c r="B38" s="6" t="s">
        <v>42</v>
      </c>
      <c r="C38" s="2">
        <v>3.5</v>
      </c>
      <c r="D38" s="6" t="s">
        <v>43</v>
      </c>
      <c r="E38" s="2">
        <v>0.55000000000000004</v>
      </c>
      <c r="M38" s="6"/>
    </row>
    <row r="39" spans="2:16" x14ac:dyDescent="0.3">
      <c r="B39" s="6" t="s">
        <v>44</v>
      </c>
      <c r="C39" s="1" t="s">
        <v>45</v>
      </c>
      <c r="D39" s="1"/>
      <c r="E39" s="1"/>
      <c r="H39" s="1"/>
      <c r="I39" s="1"/>
      <c r="J39" s="1"/>
      <c r="M39" s="7" t="s">
        <v>74</v>
      </c>
      <c r="N39" s="7"/>
      <c r="O39" s="7"/>
      <c r="P39" s="7"/>
    </row>
    <row r="40" spans="2:16" x14ac:dyDescent="0.3">
      <c r="M40" s="6" t="s">
        <v>75</v>
      </c>
      <c r="N40" s="1" t="s">
        <v>80</v>
      </c>
      <c r="O40" s="1"/>
      <c r="P40" s="1"/>
    </row>
    <row r="41" spans="2:16" x14ac:dyDescent="0.3">
      <c r="M41" s="6" t="s">
        <v>76</v>
      </c>
      <c r="N41" s="1" t="s">
        <v>81</v>
      </c>
      <c r="O41" s="1"/>
      <c r="P41" s="1"/>
    </row>
    <row r="42" spans="2:16" x14ac:dyDescent="0.3">
      <c r="M42" s="6" t="s">
        <v>77</v>
      </c>
      <c r="N42" s="1" t="s">
        <v>82</v>
      </c>
      <c r="O42" s="1"/>
      <c r="P42" s="1"/>
    </row>
    <row r="43" spans="2:16" x14ac:dyDescent="0.3">
      <c r="G43" s="25" t="s">
        <v>132</v>
      </c>
      <c r="H43" s="26"/>
      <c r="I43" s="26"/>
      <c r="J43" s="26"/>
      <c r="K43" s="27"/>
      <c r="M43" s="6" t="s">
        <v>78</v>
      </c>
      <c r="N43" s="2">
        <v>1.35</v>
      </c>
      <c r="O43" s="2" t="s">
        <v>83</v>
      </c>
      <c r="P43" s="2">
        <v>2.5</v>
      </c>
    </row>
    <row r="44" spans="2:16" x14ac:dyDescent="0.3">
      <c r="G44" s="9" t="s">
        <v>127</v>
      </c>
      <c r="H44" s="10" t="s">
        <v>128</v>
      </c>
      <c r="I44" s="10"/>
      <c r="J44" s="10" t="s">
        <v>129</v>
      </c>
      <c r="K44" s="11" t="s">
        <v>134</v>
      </c>
      <c r="M44" s="6" t="s">
        <v>79</v>
      </c>
      <c r="N44" s="1"/>
      <c r="O44" s="1"/>
      <c r="P44" s="1"/>
    </row>
    <row r="45" spans="2:16" x14ac:dyDescent="0.3">
      <c r="G45" s="9"/>
      <c r="H45" s="10"/>
      <c r="I45" s="10"/>
      <c r="J45" s="10"/>
      <c r="K45" s="11"/>
    </row>
    <row r="46" spans="2:16" x14ac:dyDescent="0.3">
      <c r="G46" s="9" t="s">
        <v>146</v>
      </c>
      <c r="H46" s="10">
        <f>H10</f>
        <v>350</v>
      </c>
      <c r="I46" s="10"/>
      <c r="J46" s="10" t="s">
        <v>130</v>
      </c>
      <c r="K46" s="11">
        <f>H11</f>
        <v>2340</v>
      </c>
    </row>
    <row r="47" spans="2:16" x14ac:dyDescent="0.3">
      <c r="G47" s="9" t="s">
        <v>136</v>
      </c>
      <c r="H47" s="10" t="s">
        <v>137</v>
      </c>
      <c r="I47" s="10"/>
      <c r="J47" s="10" t="s">
        <v>138</v>
      </c>
      <c r="K47" s="11" t="s">
        <v>139</v>
      </c>
    </row>
    <row r="48" spans="2:16" x14ac:dyDescent="0.3">
      <c r="B48" s="37" t="s">
        <v>189</v>
      </c>
      <c r="C48" s="38" t="s">
        <v>190</v>
      </c>
      <c r="D48" s="33">
        <f>몬스터_기본_공격_평균_시간</f>
        <v>0.5</v>
      </c>
      <c r="G48" s="9" t="s">
        <v>142</v>
      </c>
      <c r="H48" s="10" t="s">
        <v>141</v>
      </c>
      <c r="I48" s="10"/>
      <c r="J48" s="10" t="s">
        <v>140</v>
      </c>
      <c r="K48" s="11">
        <f>H46*H9*O51</f>
        <v>10710</v>
      </c>
      <c r="M48" s="41" t="s">
        <v>188</v>
      </c>
      <c r="N48" s="42" t="s">
        <v>191</v>
      </c>
      <c r="O48" s="35">
        <f>PC_공격_평균_시간</f>
        <v>0.40000000000000008</v>
      </c>
    </row>
    <row r="49" spans="2:15" x14ac:dyDescent="0.3">
      <c r="B49" s="39"/>
      <c r="C49" s="40" t="s">
        <v>163</v>
      </c>
      <c r="D49" s="34">
        <f>몬스터_스킬_가져오기</f>
        <v>10</v>
      </c>
      <c r="G49" s="12" t="s">
        <v>131</v>
      </c>
      <c r="H49" s="13"/>
      <c r="I49" s="13"/>
      <c r="J49" s="13"/>
      <c r="K49" s="14"/>
      <c r="M49" s="43"/>
      <c r="N49" s="44" t="s">
        <v>156</v>
      </c>
      <c r="O49" s="36">
        <f>PC_스킬_가져오기</f>
        <v>1</v>
      </c>
    </row>
    <row r="50" spans="2:15" x14ac:dyDescent="0.3">
      <c r="G50" s="15">
        <f>K46-K48</f>
        <v>-8370</v>
      </c>
      <c r="H50" s="16"/>
      <c r="I50" s="16"/>
      <c r="J50" s="16"/>
      <c r="K50" s="17"/>
    </row>
    <row r="51" spans="2:15" x14ac:dyDescent="0.3">
      <c r="C51" s="6" t="s">
        <v>192</v>
      </c>
      <c r="D51" s="45">
        <v>15</v>
      </c>
      <c r="N51" s="6" t="s">
        <v>192</v>
      </c>
      <c r="O51" s="46">
        <v>18</v>
      </c>
    </row>
    <row r="52" spans="2:15" x14ac:dyDescent="0.3">
      <c r="C52" s="6" t="s">
        <v>193</v>
      </c>
      <c r="D52" s="2">
        <f>D51*D48</f>
        <v>7.5</v>
      </c>
      <c r="G52" s="28" t="s">
        <v>133</v>
      </c>
      <c r="H52" s="29"/>
      <c r="I52" s="29"/>
      <c r="J52" s="29"/>
      <c r="K52" s="30"/>
      <c r="N52" s="6" t="s">
        <v>193</v>
      </c>
      <c r="O52" s="2">
        <f>O51*O48</f>
        <v>7.2000000000000011</v>
      </c>
    </row>
    <row r="53" spans="2:15" x14ac:dyDescent="0.3">
      <c r="G53" s="18" t="s">
        <v>127</v>
      </c>
      <c r="H53" s="10" t="s">
        <v>6</v>
      </c>
      <c r="I53" s="10"/>
      <c r="J53" s="10" t="s">
        <v>129</v>
      </c>
      <c r="K53" s="19" t="s">
        <v>135</v>
      </c>
    </row>
    <row r="54" spans="2:15" x14ac:dyDescent="0.3">
      <c r="G54" s="18"/>
      <c r="H54" s="10"/>
      <c r="I54" s="10"/>
      <c r="J54" s="10"/>
      <c r="K54" s="19"/>
    </row>
    <row r="55" spans="2:15" x14ac:dyDescent="0.3">
      <c r="G55" s="18" t="s">
        <v>147</v>
      </c>
      <c r="H55" s="10">
        <f>K10</f>
        <v>71</v>
      </c>
      <c r="I55" s="10"/>
      <c r="J55" s="10" t="s">
        <v>130</v>
      </c>
      <c r="K55" s="19">
        <f>K11</f>
        <v>300</v>
      </c>
    </row>
    <row r="56" spans="2:15" x14ac:dyDescent="0.3">
      <c r="G56" s="18" t="s">
        <v>136</v>
      </c>
      <c r="H56" s="10" t="s">
        <v>143</v>
      </c>
      <c r="I56" s="10"/>
      <c r="J56" s="10" t="s">
        <v>138</v>
      </c>
      <c r="K56" s="19" t="s">
        <v>144</v>
      </c>
    </row>
    <row r="57" spans="2:15" x14ac:dyDescent="0.3">
      <c r="G57" s="18" t="s">
        <v>142</v>
      </c>
      <c r="H57" s="10" t="s">
        <v>145</v>
      </c>
      <c r="I57" s="10"/>
      <c r="J57" s="10" t="s">
        <v>140</v>
      </c>
      <c r="K57" s="19">
        <f>H55*K9*D51</f>
        <v>319.5</v>
      </c>
    </row>
    <row r="58" spans="2:15" x14ac:dyDescent="0.3">
      <c r="G58" s="20" t="s">
        <v>131</v>
      </c>
      <c r="H58" s="13"/>
      <c r="I58" s="13"/>
      <c r="J58" s="13"/>
      <c r="K58" s="21"/>
    </row>
    <row r="59" spans="2:15" x14ac:dyDescent="0.3">
      <c r="G59" s="22">
        <f>K55-K57</f>
        <v>-19.5</v>
      </c>
      <c r="H59" s="23"/>
      <c r="I59" s="23"/>
      <c r="J59" s="23"/>
      <c r="K59" s="24"/>
    </row>
    <row r="61" spans="2:15" x14ac:dyDescent="0.3">
      <c r="G61" s="47" t="s">
        <v>194</v>
      </c>
      <c r="H61" s="48"/>
      <c r="I61" s="48"/>
      <c r="J61" s="48"/>
      <c r="K61" s="49"/>
    </row>
    <row r="62" spans="2:15" x14ac:dyDescent="0.3">
      <c r="G62" s="50" t="str">
        <f>IF(D52&lt;O52,"몬스터",IF(D52&gt;O52,"차한해","동일"))</f>
        <v>차한해</v>
      </c>
      <c r="H62" s="51"/>
      <c r="I62" s="51"/>
      <c r="J62" s="51"/>
      <c r="K62" s="52"/>
    </row>
    <row r="63" spans="2:15" ht="78.75" customHeight="1" x14ac:dyDescent="0.3">
      <c r="G63" s="53"/>
      <c r="H63" s="54"/>
      <c r="I63" s="54"/>
      <c r="J63" s="54"/>
      <c r="K63" s="55"/>
    </row>
  </sheetData>
  <mergeCells count="87">
    <mergeCell ref="G61:K61"/>
    <mergeCell ref="G62:K63"/>
    <mergeCell ref="G49:K49"/>
    <mergeCell ref="G43:K43"/>
    <mergeCell ref="G50:K50"/>
    <mergeCell ref="G52:K52"/>
    <mergeCell ref="G58:K58"/>
    <mergeCell ref="G59:K59"/>
    <mergeCell ref="H21:J21"/>
    <mergeCell ref="H23:J23"/>
    <mergeCell ref="H24:J24"/>
    <mergeCell ref="H26:J26"/>
    <mergeCell ref="H28:J28"/>
    <mergeCell ref="H39:J39"/>
    <mergeCell ref="N42:P42"/>
    <mergeCell ref="N44:P44"/>
    <mergeCell ref="H2:J2"/>
    <mergeCell ref="I3:I5"/>
    <mergeCell ref="G6:H6"/>
    <mergeCell ref="J6:K6"/>
    <mergeCell ref="H19:J19"/>
    <mergeCell ref="H20:J20"/>
    <mergeCell ref="N34:P34"/>
    <mergeCell ref="N35:P35"/>
    <mergeCell ref="N37:P37"/>
    <mergeCell ref="M39:P39"/>
    <mergeCell ref="N40:P40"/>
    <mergeCell ref="N41:P41"/>
    <mergeCell ref="N36:P36"/>
    <mergeCell ref="M28:P28"/>
    <mergeCell ref="N29:P29"/>
    <mergeCell ref="N30:P30"/>
    <mergeCell ref="N31:P31"/>
    <mergeCell ref="N32:P32"/>
    <mergeCell ref="N33:P33"/>
    <mergeCell ref="M24:N24"/>
    <mergeCell ref="O24:P24"/>
    <mergeCell ref="M25:M26"/>
    <mergeCell ref="N25:N26"/>
    <mergeCell ref="O25:O26"/>
    <mergeCell ref="P25:P26"/>
    <mergeCell ref="M21:N21"/>
    <mergeCell ref="O21:P21"/>
    <mergeCell ref="M22:M23"/>
    <mergeCell ref="N22:N23"/>
    <mergeCell ref="O22:O23"/>
    <mergeCell ref="P22:P23"/>
    <mergeCell ref="M18:N18"/>
    <mergeCell ref="O18:P18"/>
    <mergeCell ref="M19:M20"/>
    <mergeCell ref="N19:N20"/>
    <mergeCell ref="O19:O20"/>
    <mergeCell ref="P19:P20"/>
    <mergeCell ref="C39:E39"/>
    <mergeCell ref="M2:P2"/>
    <mergeCell ref="M3:P7"/>
    <mergeCell ref="M14:P14"/>
    <mergeCell ref="M15:N15"/>
    <mergeCell ref="M16:M17"/>
    <mergeCell ref="N16:N17"/>
    <mergeCell ref="O15:P15"/>
    <mergeCell ref="O16:O17"/>
    <mergeCell ref="P16:P17"/>
    <mergeCell ref="B31:E31"/>
    <mergeCell ref="B32:B35"/>
    <mergeCell ref="C37:E37"/>
    <mergeCell ref="D32:E32"/>
    <mergeCell ref="D33:E33"/>
    <mergeCell ref="D34:E34"/>
    <mergeCell ref="C19:E19"/>
    <mergeCell ref="C20:E20"/>
    <mergeCell ref="C21:E21"/>
    <mergeCell ref="C22:E22"/>
    <mergeCell ref="C23:E23"/>
    <mergeCell ref="B25:E25"/>
    <mergeCell ref="C12:E12"/>
    <mergeCell ref="B14:E14"/>
    <mergeCell ref="C15:E15"/>
    <mergeCell ref="C16:E16"/>
    <mergeCell ref="C17:E17"/>
    <mergeCell ref="C18:E18"/>
    <mergeCell ref="B2:E2"/>
    <mergeCell ref="B3:E7"/>
    <mergeCell ref="C8:E8"/>
    <mergeCell ref="C9:E9"/>
    <mergeCell ref="C10:E10"/>
    <mergeCell ref="C11:E11"/>
  </mergeCells>
  <phoneticPr fontId="1" type="noConversion"/>
  <dataValidations count="2">
    <dataValidation type="list" allowBlank="1" showInputMessage="1" showErrorMessage="1" sqref="C49">
      <formula1>몬스터_스킬_목록</formula1>
    </dataValidation>
    <dataValidation type="list" allowBlank="1" showInputMessage="1" showErrorMessage="1" sqref="N49">
      <formula1>스킬_목록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4</xdr:col>
                    <xdr:colOff>19050</xdr:colOff>
                    <xdr:row>49</xdr:row>
                    <xdr:rowOff>19050</xdr:rowOff>
                  </from>
                  <to>
                    <xdr:col>4</xdr:col>
                    <xdr:colOff>352425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Pict="0">
                <anchor moveWithCells="1" sizeWithCells="1">
                  <from>
                    <xdr:col>15</xdr:col>
                    <xdr:colOff>19050</xdr:colOff>
                    <xdr:row>48</xdr:row>
                    <xdr:rowOff>190500</xdr:rowOff>
                  </from>
                  <to>
                    <xdr:col>15</xdr:col>
                    <xdr:colOff>381000</xdr:colOff>
                    <xdr:row>50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5" sqref="C15"/>
    </sheetView>
  </sheetViews>
  <sheetFormatPr defaultRowHeight="16.5" x14ac:dyDescent="0.3"/>
  <cols>
    <col min="1" max="1" width="10.75" customWidth="1"/>
  </cols>
  <sheetData>
    <row r="1" spans="1:5" x14ac:dyDescent="0.3">
      <c r="A1" s="32" t="s">
        <v>151</v>
      </c>
      <c r="B1">
        <v>0.2</v>
      </c>
      <c r="D1" s="32" t="s">
        <v>187</v>
      </c>
      <c r="E1">
        <v>1</v>
      </c>
    </row>
    <row r="2" spans="1:5" x14ac:dyDescent="0.3">
      <c r="A2" s="32" t="s">
        <v>152</v>
      </c>
      <c r="B2">
        <v>0.6</v>
      </c>
      <c r="D2" s="32" t="s">
        <v>158</v>
      </c>
      <c r="E2">
        <v>2</v>
      </c>
    </row>
    <row r="3" spans="1:5" x14ac:dyDescent="0.3">
      <c r="A3" s="32" t="s">
        <v>154</v>
      </c>
      <c r="B3">
        <v>0.4</v>
      </c>
      <c r="D3" s="32" t="s">
        <v>160</v>
      </c>
      <c r="E3">
        <v>3</v>
      </c>
    </row>
    <row r="4" spans="1:5" x14ac:dyDescent="0.3">
      <c r="A4" s="32" t="s">
        <v>155</v>
      </c>
      <c r="B4">
        <f>AVERAGE(B1:B3)</f>
        <v>0.40000000000000008</v>
      </c>
      <c r="D4" s="32" t="s">
        <v>162</v>
      </c>
      <c r="E4">
        <v>4</v>
      </c>
    </row>
    <row r="5" spans="1:5" x14ac:dyDescent="0.3">
      <c r="D5" s="32" t="s">
        <v>163</v>
      </c>
      <c r="E5">
        <v>5</v>
      </c>
    </row>
    <row r="6" spans="1:5" x14ac:dyDescent="0.3">
      <c r="D6" s="3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4" sqref="E4"/>
    </sheetView>
  </sheetViews>
  <sheetFormatPr defaultRowHeight="16.5" x14ac:dyDescent="0.3"/>
  <cols>
    <col min="4" max="4" width="10.625" customWidth="1"/>
    <col min="5" max="5" width="10.75" customWidth="1"/>
  </cols>
  <sheetData>
    <row r="1" spans="1:5" x14ac:dyDescent="0.3">
      <c r="A1" s="32" t="s">
        <v>157</v>
      </c>
      <c r="B1">
        <v>2</v>
      </c>
      <c r="D1" s="32" t="s">
        <v>184</v>
      </c>
      <c r="E1">
        <v>0.3</v>
      </c>
    </row>
    <row r="2" spans="1:5" x14ac:dyDescent="0.3">
      <c r="A2" s="32" t="s">
        <v>159</v>
      </c>
      <c r="B2">
        <v>4</v>
      </c>
      <c r="D2" s="32" t="s">
        <v>185</v>
      </c>
      <c r="E2">
        <v>0.5</v>
      </c>
    </row>
    <row r="3" spans="1:5" x14ac:dyDescent="0.3">
      <c r="A3" s="32" t="s">
        <v>161</v>
      </c>
      <c r="B3">
        <v>6</v>
      </c>
      <c r="D3" s="32" t="s">
        <v>153</v>
      </c>
      <c r="E3">
        <v>0.7</v>
      </c>
    </row>
    <row r="4" spans="1:5" x14ac:dyDescent="0.3">
      <c r="A4" s="32" t="s">
        <v>162</v>
      </c>
      <c r="B4">
        <v>8</v>
      </c>
      <c r="D4" s="32" t="s">
        <v>186</v>
      </c>
      <c r="E4">
        <f>AVERAGE(E1:E3)</f>
        <v>0.5</v>
      </c>
    </row>
    <row r="5" spans="1:5" x14ac:dyDescent="0.3">
      <c r="A5" s="32" t="s">
        <v>163</v>
      </c>
      <c r="B5">
        <v>10</v>
      </c>
    </row>
    <row r="6" spans="1:5" x14ac:dyDescent="0.3">
      <c r="A6" s="32" t="s">
        <v>164</v>
      </c>
      <c r="B6">
        <v>12</v>
      </c>
    </row>
    <row r="7" spans="1:5" x14ac:dyDescent="0.3">
      <c r="A7" s="32" t="s">
        <v>165</v>
      </c>
      <c r="B7">
        <v>14</v>
      </c>
    </row>
    <row r="8" spans="1:5" x14ac:dyDescent="0.3">
      <c r="A8" s="32" t="s">
        <v>166</v>
      </c>
      <c r="B8">
        <v>16</v>
      </c>
    </row>
    <row r="9" spans="1:5" x14ac:dyDescent="0.3">
      <c r="A9" s="32" t="s">
        <v>167</v>
      </c>
      <c r="B9">
        <v>18</v>
      </c>
    </row>
    <row r="10" spans="1:5" x14ac:dyDescent="0.3">
      <c r="A10" s="32" t="s">
        <v>168</v>
      </c>
      <c r="B10">
        <v>20</v>
      </c>
    </row>
    <row r="11" spans="1:5" x14ac:dyDescent="0.3">
      <c r="A11" s="32" t="s">
        <v>169</v>
      </c>
      <c r="B11">
        <v>22</v>
      </c>
    </row>
    <row r="12" spans="1:5" x14ac:dyDescent="0.3">
      <c r="A12" s="32" t="s">
        <v>170</v>
      </c>
      <c r="B12">
        <v>24</v>
      </c>
    </row>
    <row r="13" spans="1:5" x14ac:dyDescent="0.3">
      <c r="A13" s="32" t="s">
        <v>171</v>
      </c>
      <c r="B13">
        <v>26</v>
      </c>
    </row>
    <row r="14" spans="1:5" x14ac:dyDescent="0.3">
      <c r="A14" s="32" t="s">
        <v>172</v>
      </c>
      <c r="B14">
        <v>28</v>
      </c>
    </row>
    <row r="15" spans="1:5" x14ac:dyDescent="0.3">
      <c r="A15" s="32" t="s">
        <v>173</v>
      </c>
      <c r="B15">
        <v>30</v>
      </c>
    </row>
    <row r="16" spans="1:5" x14ac:dyDescent="0.3">
      <c r="A16" s="32" t="s">
        <v>174</v>
      </c>
      <c r="B16">
        <v>32</v>
      </c>
    </row>
    <row r="17" spans="1:2" x14ac:dyDescent="0.3">
      <c r="A17" s="32" t="s">
        <v>175</v>
      </c>
      <c r="B17">
        <v>34</v>
      </c>
    </row>
    <row r="18" spans="1:2" x14ac:dyDescent="0.3">
      <c r="A18" s="32" t="s">
        <v>176</v>
      </c>
      <c r="B18">
        <v>36</v>
      </c>
    </row>
    <row r="19" spans="1:2" x14ac:dyDescent="0.3">
      <c r="A19" s="32" t="s">
        <v>177</v>
      </c>
      <c r="B19">
        <v>38</v>
      </c>
    </row>
    <row r="20" spans="1:2" x14ac:dyDescent="0.3">
      <c r="A20" s="32" t="s">
        <v>178</v>
      </c>
      <c r="B20">
        <v>40</v>
      </c>
    </row>
    <row r="21" spans="1:2" x14ac:dyDescent="0.3">
      <c r="A21" s="32" t="s">
        <v>179</v>
      </c>
      <c r="B21">
        <v>42</v>
      </c>
    </row>
    <row r="22" spans="1:2" x14ac:dyDescent="0.3">
      <c r="A22" s="32" t="s">
        <v>180</v>
      </c>
      <c r="B22">
        <v>44</v>
      </c>
    </row>
    <row r="23" spans="1:2" x14ac:dyDescent="0.3">
      <c r="A23" s="32" t="s">
        <v>181</v>
      </c>
      <c r="B23">
        <v>46</v>
      </c>
    </row>
    <row r="24" spans="1:2" x14ac:dyDescent="0.3">
      <c r="A24" s="32" t="s">
        <v>182</v>
      </c>
      <c r="B24">
        <v>48</v>
      </c>
    </row>
    <row r="25" spans="1:2" x14ac:dyDescent="0.3">
      <c r="A25" s="32" t="s">
        <v>183</v>
      </c>
      <c r="B25">
        <v>50</v>
      </c>
    </row>
    <row r="26" spans="1:2" x14ac:dyDescent="0.3">
      <c r="A26" s="3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8</vt:i4>
      </vt:variant>
    </vt:vector>
  </HeadingPairs>
  <TitlesOfParts>
    <vt:vector size="11" baseType="lpstr">
      <vt:lpstr>시뮬레이터</vt:lpstr>
      <vt:lpstr>PC 공격 시간</vt:lpstr>
      <vt:lpstr>몬스터 공격 시간</vt:lpstr>
      <vt:lpstr>PC_공격_평균_시간</vt:lpstr>
      <vt:lpstr>PC_스킬_시전_시간</vt:lpstr>
      <vt:lpstr>기본_공격_목록</vt:lpstr>
      <vt:lpstr>몬스터_기본_공격_평균_시간</vt:lpstr>
      <vt:lpstr>몬스터_기본공격_목록</vt:lpstr>
      <vt:lpstr>몬스터_스킬_목록</vt:lpstr>
      <vt:lpstr>몬스터_스킬_시전_시간</vt:lpstr>
      <vt:lpstr>스킬_목록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2026-08-10T06:49:37Z</dcterms:modified>
</cp:coreProperties>
</file>
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Gihoek_7\"/>
    </mc:Choice>
  </mc:AlternateContent>
  <bookViews>
    <workbookView xWindow="0" yWindow="0" windowWidth="21345" windowHeight="8640" tabRatio="500"/>
  </bookViews>
  <sheets>
    <sheet name="밸런스 문서" sheetId="1" r:id="rId1"/>
    <sheet name="밸런스 팩터" sheetId="2" r:id="rId2"/>
    <sheet name="작성 기준" sheetId="3" r:id="rId3"/>
    <sheet name="밸런스 곡선" sheetId="4" r:id="rId4"/>
  </sheets>
  <calcPr calcId="162913"/>
</workbook>
</file>

<file path=xl/calcChain.xml><?xml version="1.0" encoding="utf-8"?>
<calcChain xmlns="http://schemas.openxmlformats.org/spreadsheetml/2006/main">
  <c r="AA152" i="1" l="1"/>
  <c r="Z152" i="1"/>
  <c r="Y152" i="1"/>
  <c r="AA150" i="1"/>
  <c r="Z150" i="1"/>
  <c r="Y150" i="1"/>
  <c r="AA149" i="1"/>
  <c r="Z149" i="1"/>
  <c r="Y149" i="1"/>
  <c r="AA148" i="1"/>
  <c r="Z148" i="1"/>
  <c r="Y148" i="1"/>
  <c r="AA147" i="1"/>
  <c r="Z147" i="1"/>
  <c r="Y147" i="1"/>
  <c r="AA146" i="1"/>
  <c r="Z146" i="1"/>
  <c r="Y146" i="1"/>
  <c r="AA143" i="1"/>
  <c r="Z143" i="1"/>
  <c r="Y143" i="1"/>
  <c r="AA142" i="1"/>
  <c r="Z142" i="1"/>
  <c r="Y142" i="1"/>
  <c r="AA141" i="1"/>
  <c r="Z141" i="1"/>
  <c r="Y141" i="1"/>
  <c r="AA140" i="1"/>
  <c r="Z140" i="1"/>
  <c r="Y140" i="1"/>
  <c r="AA139" i="1"/>
  <c r="Z139" i="1"/>
  <c r="Y139" i="1"/>
  <c r="AA138" i="1"/>
  <c r="Z138" i="1"/>
  <c r="Y138" i="1"/>
  <c r="AA137" i="1"/>
  <c r="Z137" i="1"/>
  <c r="Y137" i="1"/>
  <c r="AA136" i="1"/>
  <c r="Z136" i="1"/>
  <c r="Y136" i="1"/>
  <c r="AA132" i="1"/>
  <c r="Z132" i="1"/>
  <c r="Y132" i="1"/>
  <c r="AA131" i="1"/>
  <c r="Z131" i="1"/>
  <c r="Y131" i="1"/>
  <c r="AA129" i="1"/>
  <c r="Z129" i="1"/>
  <c r="Y129" i="1"/>
  <c r="AA128" i="1"/>
  <c r="Z128" i="1"/>
  <c r="Y128" i="1"/>
  <c r="AA127" i="1"/>
  <c r="Z127" i="1"/>
  <c r="Y127" i="1"/>
  <c r="AA126" i="1"/>
  <c r="Z126" i="1"/>
  <c r="Y126" i="1"/>
  <c r="AA125" i="1"/>
  <c r="Z125" i="1"/>
  <c r="Y125" i="1"/>
  <c r="AA124" i="1"/>
  <c r="Z124" i="1"/>
  <c r="Y124" i="1"/>
  <c r="AA123" i="1"/>
  <c r="Z123" i="1"/>
  <c r="Y123" i="1"/>
  <c r="AA122" i="1"/>
  <c r="Z122" i="1"/>
  <c r="Y122" i="1"/>
  <c r="AA120" i="1"/>
  <c r="Z120" i="1"/>
  <c r="Y120" i="1"/>
  <c r="AA119" i="1"/>
  <c r="Z119" i="1"/>
  <c r="Y119" i="1"/>
  <c r="AA117" i="1"/>
  <c r="Z117" i="1"/>
  <c r="Y117" i="1"/>
  <c r="AA116" i="1"/>
  <c r="Z116" i="1"/>
  <c r="Y116" i="1"/>
  <c r="AA115" i="1"/>
  <c r="Z115" i="1"/>
  <c r="Y115" i="1"/>
  <c r="AA114" i="1"/>
  <c r="Z114" i="1"/>
  <c r="Y114" i="1"/>
  <c r="AA113" i="1"/>
  <c r="Z113" i="1"/>
  <c r="Y113" i="1"/>
  <c r="AA112" i="1"/>
  <c r="Z112" i="1"/>
  <c r="Y112" i="1"/>
  <c r="AA111" i="1"/>
  <c r="Z111" i="1"/>
  <c r="Y111" i="1"/>
  <c r="AA109" i="1"/>
  <c r="Z109" i="1"/>
  <c r="Y109" i="1"/>
  <c r="AA108" i="1"/>
  <c r="Z108" i="1"/>
  <c r="Y108" i="1"/>
  <c r="AA107" i="1"/>
  <c r="Z107" i="1"/>
  <c r="Y107" i="1"/>
  <c r="AA106" i="1"/>
  <c r="Z106" i="1"/>
  <c r="Y106" i="1"/>
  <c r="AA105" i="1"/>
  <c r="Z105" i="1"/>
  <c r="Y105" i="1"/>
  <c r="AA104" i="1"/>
  <c r="Z104" i="1"/>
  <c r="Y104" i="1"/>
  <c r="AA101" i="1"/>
  <c r="Z101" i="1"/>
  <c r="Y101" i="1"/>
  <c r="AA99" i="1"/>
  <c r="Z99" i="1"/>
  <c r="Y99" i="1"/>
  <c r="AA97" i="1"/>
  <c r="Z97" i="1"/>
  <c r="Y97" i="1"/>
  <c r="U97" i="1"/>
  <c r="S97" i="1"/>
  <c r="AA96" i="1"/>
  <c r="Z96" i="1"/>
  <c r="Y96" i="1"/>
  <c r="AA95" i="1"/>
  <c r="Z95" i="1"/>
  <c r="Y95" i="1"/>
  <c r="AA94" i="1"/>
  <c r="Z94" i="1"/>
  <c r="Y94" i="1"/>
  <c r="U94" i="1"/>
  <c r="S94" i="1"/>
  <c r="AA93" i="1"/>
  <c r="Z93" i="1"/>
  <c r="Y93" i="1"/>
  <c r="AA92" i="1"/>
  <c r="Z92" i="1"/>
  <c r="Y92" i="1"/>
  <c r="AA91" i="1"/>
  <c r="Z91" i="1"/>
  <c r="Y91" i="1"/>
  <c r="AA89" i="1"/>
  <c r="Z89" i="1"/>
  <c r="Y89" i="1"/>
  <c r="AA88" i="1"/>
  <c r="Z88" i="1"/>
  <c r="Y88" i="1"/>
  <c r="AA87" i="1"/>
  <c r="Z87" i="1"/>
  <c r="Y87" i="1"/>
  <c r="AA86" i="1"/>
  <c r="Z86" i="1"/>
  <c r="Y86" i="1"/>
  <c r="AA85" i="1"/>
  <c r="Z85" i="1"/>
  <c r="Y85" i="1"/>
  <c r="AA84" i="1"/>
  <c r="Z84" i="1"/>
  <c r="Y84" i="1"/>
  <c r="AA83" i="1"/>
  <c r="Z83" i="1"/>
  <c r="Y83" i="1"/>
  <c r="AA82" i="1"/>
  <c r="Z82" i="1"/>
  <c r="Y82" i="1"/>
  <c r="AA80" i="1"/>
  <c r="Z80" i="1"/>
  <c r="Y80" i="1"/>
  <c r="AA79" i="1"/>
  <c r="Z79" i="1"/>
  <c r="Y79" i="1"/>
  <c r="AA78" i="1"/>
  <c r="Z78" i="1"/>
  <c r="Y78" i="1"/>
  <c r="AA67" i="1"/>
  <c r="Z67" i="1"/>
  <c r="Y67" i="1"/>
  <c r="AA65" i="1"/>
  <c r="Z65" i="1"/>
  <c r="Y65" i="1"/>
  <c r="AA64" i="1"/>
  <c r="Z64" i="1"/>
  <c r="Y64" i="1"/>
  <c r="AA62" i="1"/>
  <c r="Z62" i="1"/>
  <c r="Y62" i="1"/>
  <c r="AA61" i="1"/>
  <c r="Z61" i="1"/>
  <c r="Y61" i="1"/>
  <c r="AA60" i="1"/>
  <c r="Z60" i="1"/>
  <c r="Y60" i="1"/>
  <c r="AA53" i="1"/>
  <c r="Z53" i="1"/>
  <c r="Y53" i="1"/>
  <c r="AA52" i="1"/>
  <c r="Z52" i="1"/>
  <c r="Y52" i="1"/>
  <c r="AA51" i="1"/>
  <c r="Z51" i="1"/>
  <c r="Y51" i="1"/>
  <c r="AA50" i="1"/>
  <c r="Z50" i="1"/>
  <c r="Y50" i="1"/>
  <c r="AA46" i="1"/>
  <c r="Z46" i="1"/>
  <c r="Y46" i="1"/>
  <c r="AA45" i="1"/>
  <c r="Z45" i="1"/>
  <c r="Y45" i="1"/>
  <c r="AA44" i="1"/>
  <c r="Z44" i="1"/>
  <c r="Y44" i="1"/>
  <c r="AA43" i="1"/>
  <c r="Z43" i="1"/>
  <c r="Y43" i="1"/>
  <c r="AA40" i="1"/>
  <c r="Z40" i="1"/>
  <c r="Y40" i="1"/>
  <c r="AA39" i="1"/>
  <c r="Z39" i="1"/>
  <c r="Y39" i="1"/>
  <c r="AA38" i="1"/>
  <c r="Z38" i="1"/>
  <c r="Y38" i="1"/>
  <c r="AA36" i="1"/>
  <c r="Z36" i="1"/>
  <c r="Y36" i="1"/>
  <c r="AA35" i="1"/>
  <c r="Z35" i="1"/>
  <c r="Y35" i="1"/>
  <c r="AA32" i="1"/>
  <c r="Z32" i="1"/>
  <c r="Y32" i="1"/>
  <c r="AA29" i="1"/>
  <c r="Z29" i="1"/>
  <c r="Y29" i="1"/>
  <c r="AA28" i="1"/>
  <c r="Z28" i="1"/>
  <c r="Y28" i="1"/>
  <c r="AA27" i="1"/>
  <c r="Z27" i="1"/>
  <c r="AA24" i="1"/>
  <c r="Z24" i="1"/>
  <c r="Y24" i="1"/>
  <c r="Y23" i="1"/>
  <c r="AA22" i="1"/>
  <c r="Z22" i="1"/>
  <c r="Y22" i="1"/>
  <c r="AA21" i="1"/>
  <c r="Z21" i="1"/>
  <c r="Y21" i="1"/>
  <c r="AA20" i="1"/>
  <c r="Z20" i="1"/>
  <c r="Y20" i="1"/>
  <c r="AA16" i="1"/>
  <c r="Z16" i="1"/>
  <c r="Y16" i="1"/>
  <c r="AA13" i="1"/>
  <c r="Z13" i="1"/>
  <c r="Y13" i="1"/>
  <c r="AA12" i="1"/>
  <c r="Z12" i="1"/>
  <c r="Y12" i="1"/>
  <c r="N7" i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N49" i="1" s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N69" i="1" s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N85" i="1" s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N107" i="1" s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R3" i="1"/>
  <c r="Q3" i="1"/>
</calcChain>
</file>

<file path=xl/sharedStrings.xml><?xml version="1.0" encoding="utf-8"?>
<sst xmlns="http://schemas.openxmlformats.org/spreadsheetml/2006/main" count="2544" uniqueCount="1054">
  <si>
    <t>2/10 – 등장 인물 수·장면 전환 속도·결과 연결성이 난이도를 결정함</t>
  </si>
  <si>
    <t>6/10 – 회피 타이밍·짧은 약점 노출·공명 공격 방향이 난이도를 결정함</t>
  </si>
  <si>
    <t>4/10 – 분류 종류 수·외형 유사도·오답 허용 횟수가 난이도를 결정함</t>
  </si>
  <si>
    <t>UI 미션뿐 아니라 이동·조사·대화·전투·업적성 행동·연출 확인까지 포함</t>
  </si>
  <si>
    <t>6/10 – 후보 수·공통 특징 수·추가 단서의 명확성이 난이도를 결정함</t>
  </si>
  <si>
    <t>위험 패턴이 멈춘 순간에 접근해 계단에 쓰러진 이웃 주민를 안전 지점으로 옮김</t>
  </si>
  <si>
    <t>7/10 – 적 속도·공격 범위·예고 시간·안전 지점 수가 난이도를 결정함</t>
  </si>
  <si>
    <t>4/10 – 후보 공 수·공명 노출 시간·환영 시야 방해가 난이도를 결정함</t>
  </si>
  <si>
    <t>회수 실패 시 농구공이 중앙으로 재생성되지만 보스의 공격 패턴이 1회 추가됨</t>
  </si>
  <si>
    <t>짧은 시간 동안 화면을 지나가는 대상이라 시선을 다른 곳에 두면 놓칠 수 있음</t>
  </si>
  <si>
    <t>균열이 적은 잔해부터 선택하고 반복 입력으로 통로를 막는 잔해 6개를 제거함</t>
  </si>
  <si>
    <t>5/10 – 후보 물품 수·인벤토리 제한·필수 조합 수가 난이도를 결정함</t>
  </si>
  <si>
    <t>7/10 – 위험 주기·대상 체력·이동 거리·구조 단계 수가 난이도를 결정함</t>
  </si>
  <si>
    <t>구역별 표지와 상품 외형을 비교하며 편의점 안 신상 과자 진열대를 조사함</t>
  </si>
  <si>
    <t>6/10 – 동행 인원·속도 차이·장애물 수·허용 거리가 난이도를 결정함</t>
  </si>
  <si>
    <t>8/10 – 기억 물건 수·가짜 설명의 설득력·선택 제한시간이 난이도를 결정함</t>
  </si>
  <si>
    <t>제한된 가방 칸 때문에 모든 물품을 챙길 수 없고 우선순위 판단이 필요함</t>
  </si>
  <si>
    <t>5/10 – 목표 수량·배치 밀도·가림 오브젝트·탐색 범위가 난이도를 결정함</t>
  </si>
  <si>
    <t>4/10 – 목표 수량·배치 밀도·가림 오브젝트·탐색 범위가 난이도를 결정함</t>
  </si>
  <si>
    <t>표지판·미니맵·NPC 이동 방향을 확인하며 대피소에서 붕괴 지역까지 이동함</t>
  </si>
  <si>
    <t>7/10 – 분류 종류 수·외형 유사도·오답 허용 횟수가 난이도를 결정함</t>
  </si>
  <si>
    <t>요청받은 품목을 확인하고 상품 선택→계산대 상호작용→결제를 순서대로 진행함</t>
  </si>
  <si>
    <t>6/10 – 분류 종류 수·외형 유사도·오답 허용 횟수가 난이도를 결정함</t>
  </si>
  <si>
    <t>기획자가 해당 구간이 이 정도로 재미있기를 기대하며 정하는 정성적 목표값</t>
  </si>
  <si>
    <t>9/10 – 무기 전환·거리 조절·반사 궤적·패턴 연계가 난이도를 결정함</t>
  </si>
  <si>
    <t>집으로 돌아가는 길에 공원 진입하기</t>
  </si>
  <si>
    <t>총 사격과 회피 입력 연습하기</t>
  </si>
  <si>
    <t>농구공으로 기억 개입 패턴 끊기</t>
  </si>
  <si>
    <t>시민 피해 없이 괴물 2체 제압</t>
  </si>
  <si>
    <t>위험이 지속되는 동안 대상 상태를 확인하고 구조 행동을 여러 번 수행해야 함</t>
  </si>
  <si>
    <t>6/10 – 숫자 변환 단계·방향 입력 수·오답 초기화 범위가 난이도를 결정함</t>
  </si>
  <si>
    <t>날짜·필체·교사 도장을 비교해 친구가 도움을 요청했지만 문제 학생으로 처리된 사실을 재구성함</t>
  </si>
  <si>
    <t>사랑의 매로 외피를 깨고 거리를 벌린 뒤 농구공을 던져 약점을 맞히며 반사된 공을 회수함</t>
  </si>
  <si>
    <t>8/10 – 돌진 속도·공명 타격 거리·방어막 재생 시간·환영체 개입이 난이도를 결정함</t>
  </si>
  <si>
    <t>착지 예고 지점을 확인하고 장애물을 끼고 이동해 농구공을 회수한 뒤 다시 투척 거리로 복귀함</t>
  </si>
  <si>
    <t>핵심 목표 달성 55 / 수행 정확도 25 / 실패·피해 최소화 10 / 완료 시간 10</t>
  </si>
  <si>
    <t>기억 장면이 전투 화면을 덮는 동안 멀리 있는 기억 핵을 농구공의 반사 궤적으로 맞혀야 함</t>
  </si>
  <si>
    <t>수집한 기록을 비교하고 서로 다른 기억 문을 선택하는 퍼즐의 규칙에 맞게 단계별로 입력함</t>
  </si>
  <si>
    <t>정답·핵심 목표 60 / 오답·힌트 관리 30 / 수행 정확도 18 / 완료 시간 12</t>
  </si>
  <si>
    <t>구간 완주 54 / 피격·발각 관리 30 / 경로·판단 정확도 24 / 완료 시간 12</t>
  </si>
  <si>
    <t>핵심 목표 달성 66 / 수행 정확도 30 / 실패·피해 최소화 12 / 완료 시간 12</t>
  </si>
  <si>
    <t>폐교의 어두운 환경과 임시 무기 탐색을 고려해 손전등·공명 탐지기·회복품을 우선 선택함</t>
  </si>
  <si>
    <t>필수 대상 확인 35 / 불필요 행동 최소화 14 / 누락·오답 관리 14 / 완료 시간 7</t>
  </si>
  <si>
    <t>막힘 원인을 먼저 제거한 뒤 제한 시간 동안 재활용·일반·세척 대상을 우선순위대로 분류함</t>
  </si>
  <si>
    <t>첫 괴물을 넉백시켜 두 적을 한 방향에 모은 뒤 금속 프레임의 넓은 휘두르기로 빠르게 제압함</t>
  </si>
  <si>
    <t>지급 총으로 돌진을 늦추고 회피 직후 보랏빛 철제 지지봉으로 외피와 약점을 차례로 타격함</t>
  </si>
  <si>
    <t>공격을 멈추고 환영 속 친구의 목소리를 따라 안전 지점을 이동하며 죄책감 파동 5회를 버팀</t>
  </si>
  <si>
    <t>총으로 괴물의 접근을 잠시 늦춘 뒤 고정핀을 순서대로 제거하고 보랏빛 지지봉을 뽑아 듦</t>
  </si>
  <si>
    <t>서로 다른 쓰레기를 연속으로 정확히 주워야 콤보가 유지되며 잘못 집으면 게이지가 초기화됨</t>
  </si>
  <si>
    <t>주요 보도 문구와 주변 인물 반응을 순서대로 확인해 생방송과 주변 시민의 반응을 확인함</t>
  </si>
  <si>
    <t>가까운 쓰레기의 종류와 다음 분리수거 위치를 미리 확인해 이동 동선을 끊지 않고 수거함</t>
  </si>
  <si>
    <t>전투 후 공명 무기가 보랏빛 잔류물과 함께 부서져 다음 지역에서는 새 무기를 찾아야 함</t>
  </si>
  <si>
    <t>필수 대상 확인 25 / 불필요 행동 최소화 10 / 누락·오답 관리 10 / 완료 시간 5</t>
  </si>
  <si>
    <t>열차 경고 주기를 확인해 안전 시간에 선로 가장자리로 접근하고 전광판 프레임을 끌어올림</t>
  </si>
  <si>
    <t>비어 있는 진열칸과 손글씨 품절 안내 가까이 이동한 뒤 상호작용 아이콘이 나타날 때 조사함</t>
  </si>
  <si>
    <t>던진 공은 적을 맞힌 뒤 벽과 바닥에 튕겨 떨어지므로 공격과 회수를 동시에 계획해야 함</t>
  </si>
  <si>
    <t>찌그러진 공·골대 아래 충격 흔적·바닥의 보랏빛 잔광을 순서대로 조사해 공명 농구공을 식별함</t>
  </si>
  <si>
    <t>재질·오염 여부·남은 내용물을 확인하고 플라스틱·캔·종이 10개를 올바른 수거함에 넣음</t>
  </si>
  <si>
    <t>필수 대상 확인 15 / 불필요 행동 최소화 6 / 누락·오답 관리 6 / 완료 시간 3</t>
  </si>
  <si>
    <t>각 인물의 요구와 주인공의 상태를 비교하며 가족·관리국·시민의 희생 요구의 의미를 판단함</t>
  </si>
  <si>
    <t>사랑의 매는 방어막에 강하지만 타격할 때마다 교사의 체벌 기억이 겹쳐 시야와 조작이 흔들림</t>
  </si>
  <si>
    <t>10/10 – 패턴 수·동시 관리 자원·안전 구역 크기·체크포인트 간격이 난이도를 결정함</t>
  </si>
  <si>
    <t>강당의 여러 공 가운데 하나만 친구가 농구 골대처럼 취급받으며 공을 맞았던 기억과 공명함</t>
  </si>
  <si>
    <t>탐지기의 반응 강도와 바닥의 잔광을 비교해 괴물의 공격을 피하며 공명 물체의 위치를 좁힘</t>
  </si>
  <si>
    <t>구간 완주 45 / 피격·발각 관리 25 / 경로·판단 정확도 20 / 완료 시간 10</t>
  </si>
  <si>
    <t>요청 위치를 묶어 처리하고 우선순위를 정해 작은 부탁이 끊임없이 추가되는 상황을 정리함</t>
  </si>
  <si>
    <t>핵심 목표 달성 82 / 수행 정확도 38 / 실패·피해 최소화 15 / 완료 시간 15</t>
  </si>
  <si>
    <t>도망치던 괴물이 아파트 현관 앞에서 다시 나타나지만 공격보다 먼저 주인공에게 손을 뻗음</t>
  </si>
  <si>
    <t>잔여 수량과 각 구역 상태를 확인해 공원 미수거 구역과 남은 수량의 미완료 항목을 점검함</t>
  </si>
  <si>
    <t>시선·행동·복장·주변 오브젝트를 순서대로 확인해 균열의 빛·소리·주변 반응의 특징을 파악함</t>
  </si>
  <si>
    <t>카메라 이동과 NPC 시선을 따라 영화관 출구 앞을 지나가는 편의점 물류 트럭을 확인함</t>
  </si>
  <si>
    <t>카메라가 강조하는 인물과 오브젝트를 보며 분리수거장 바닥에서 열리는 도덕 균열를 확인함</t>
  </si>
  <si>
    <t>복장·소지품·대화 반응을 함께 비교해 대화 단서와 복장 단서가 일치하는 거래자를 선택함</t>
  </si>
  <si>
    <t>철제 지지봉이 보랏빛 재로 변하는 연출과 관리국 통신을 확인해 새로운 괴물마다 그 기억과 공명하는 물체를 찾아야 함을 이해함</t>
  </si>
  <si>
    <t>플레이어가 실제 입력을 수행할 때 느끼는 손 조작의 어려움</t>
  </si>
  <si>
    <t>새로 열린 우회로를 따라가며 붕괴하는 폐교에서 파티원을 기다림</t>
  </si>
  <si>
    <t>핵심 UI를 한 항목씩 점멸시키고 확인 전에는 다음 안내를 잠금</t>
  </si>
  <si>
    <t>2/10 – 보고 항목 수·정보 분산 정도가 난이도를 결정함</t>
  </si>
  <si>
    <t>목적지 주변에 잘못된 진입로와 위험 오브젝트가 배치되어 있음</t>
  </si>
  <si>
    <t>동료마다 역할과 행동 우선순위가 달라 협력 방식을 이해해야 함</t>
  </si>
  <si>
    <t>관찰·판단·공략의 어려움과 그 난이도를 만드는 요인을 함께 기록</t>
  </si>
  <si>
    <t>방 구조가 반복되고 일부 길이 연결되어 현재 위치를 잃기 쉬움</t>
  </si>
  <si>
    <t>첫 회피 예고를 느리게 재생하고 실패 시 같은 패턴을 즉시 반복</t>
  </si>
  <si>
    <t>UI 변화가 서서히 나타나 원인과 의미를 알아차리기 어려움</t>
  </si>
  <si>
    <t>5/10 – 가짜 흔적 수·조명 변화·분기 수가 난이도를 결정함</t>
  </si>
  <si>
    <t>손전등과 안전한 발판을 확인하며 환영이 반복되는 계단을 통과함</t>
  </si>
  <si>
    <t>전투에서 사용하던 공격 입력과 반대되는 행동을 선택해야 함</t>
  </si>
  <si>
    <t>붕괴로 기존 길이 막히고 동료와 함께 제한시간 안에 탈출해야 함</t>
  </si>
  <si>
    <t>5/10 – 문서 수·모순 정보·대조 단계 수가 난이도를 결정함</t>
  </si>
  <si>
    <t>콤보 실패 후 다음 3개 쓰레기의 분류 아이콘을 미리 표시</t>
  </si>
  <si>
    <t>6/10 – 방 수·연결 구조·지도 정보량이 난이도를 결정함</t>
  </si>
  <si>
    <t>탐지기와 표지물을 확인하며 폐교 정문의 안전한 진입로로 이동함</t>
  </si>
  <si>
    <t>첫 두 발은 조준 보정을 적용하고 피해 비교 UI를 크게 표시</t>
  </si>
  <si>
    <t>3/10 – 보고 항목 수·정보 분산 정도가 난이도를 결정함</t>
  </si>
  <si>
    <t>탐색·긴장·감정·반전·성취를 모두 포함하며 실제 테스트값이 아님</t>
  </si>
  <si>
    <t>반사음과 가짜 목소리 때문에 실제 방향을 잘못 판단할 수 있음</t>
  </si>
  <si>
    <t>4/10 – 단서 크기·배경 대비·오인 가능성이 난이도를 결정함</t>
  </si>
  <si>
    <t>시민들이 서로 다른 속도로 이동하고 공포 상태에서 경로를 이탈함</t>
  </si>
  <si>
    <t>가장 느린 시민 속도에 맞추고 위험 앞에서 집결 명령을 사용함</t>
  </si>
  <si>
    <t>화면에 표시되는 키를 순서대로 입력하고 각 동작의 결과를 확인함</t>
  </si>
  <si>
    <t>현재와 과거 장면이 교차해 사건의 시간 순서를 혼동할 수 있음</t>
  </si>
  <si>
    <t>3/10 – 목표 간 충돌 정도·브리핑 정보량이 난이도를 결정함</t>
  </si>
  <si>
    <t>6/10 – 통로 폭·시야 범위·장애물 간격이 난이도를 결정함</t>
  </si>
  <si>
    <t>적의 시야와 공격 범위가 넓어 직선 이동만으로는 회피하기 어려움</t>
  </si>
  <si>
    <t>3/10 – 정보 비대칭·목표 충돌 정도가 난이도를 결정함</t>
  </si>
  <si>
    <t>1은 단순 확인·대화, 10은 빠른 보스 패턴과 복합 입력</t>
  </si>
  <si>
    <t>예고 시간을 늘리고 공격 범위를 외곽선과 아이콘으로 동시에 표시</t>
  </si>
  <si>
    <t>3/10 – 동시 정보량·필수 관찰 대상 수가 난이도를 결정함</t>
  </si>
  <si>
    <t>소리 크기와 탐지기 반응을 비교하며 잔해 속 구조 신호를 탐색함</t>
  </si>
  <si>
    <t>6/10 – 탐색 범위·가짜 신호 수·제한시간이 난이도를 결정함</t>
  </si>
  <si>
    <t>이전 상태와 비교하며 표정·UI 색상·독백의 변화 단계를 확인함</t>
  </si>
  <si>
    <t>구역을 일정한 방향으로 순회하고 반짝임·잔여 개수 UI를 확인하며 벤치와 가려진 틈의 쓰레기 6개를 수거함</t>
  </si>
  <si>
    <t>괴물이 가까이 접근한 상태에서 처음 사용하는 근접 공명 무기의 짧은 사거리와 큰 후딜레이를 감당해야 함</t>
  </si>
  <si>
    <t>관리국 지급 총은 익숙한 형태지만 괴물에게 유효한 무기인지 알 수 없고 전투 UI 정보가 한꺼번에 표시됨</t>
  </si>
  <si>
    <t>복도 환영체를 일렬로 유도해 외피를 한 번에 깨뜨리고, 기억 연출이 끝난 직후 두 번째 타격으로 제압함</t>
  </si>
  <si>
    <t>빨래·심부름 목록·우정 반지 등 이전 챕터에서 직접 다룬 물건을 실제 기억과 연결해 거짓 환영을 깨뜨림</t>
  </si>
  <si>
    <t>시선·행동·복장·주변 오브젝트를 순서대로 확인해 회색 후드 특징이 겹치는 세 명의 후보의 특징을 파악함</t>
  </si>
  <si>
    <t>탄환이 명중해도 괴물의 체력은 거의 줄지 않고 움직임만 잠시 둔해져 일반 무기의 역할을 오해하기 쉬움</t>
  </si>
  <si>
    <t>첫 전투에서 얻은 강력한 무기를 계속 사용할 수 있을 것처럼 보이지만 전투 종료와 함께 무기가 붕괴함</t>
  </si>
  <si>
    <t>사랑의 매를 휘두를 때 친구가 교사에게 체벌당했던 기억이 겹쳐 화면이 흔들리고 공격 후 경직이 길어짐</t>
  </si>
  <si>
    <t>※ 레벨 시스템 없음: S~V는 전투 구간 1회 클리어용 내부 환산값. 비전투·튜토리얼은 텍스트로 구분</t>
  </si>
  <si>
    <t>충격파 예고를 보고 안전 지점에서 대기한 뒤 주기적으로 충격파를 내보내는 균열 핵에 단계적으로 접근함</t>
  </si>
  <si>
    <t>막힘 제거 후 쓰레기 10개를 오분류 없이 처리</t>
  </si>
  <si>
    <t>가짜 반응을 제외하고 공명 차단기 막대 발견</t>
  </si>
  <si>
    <t>공명 무기가 보랏빛 재로 소멸하는 현상 확인하기</t>
  </si>
  <si>
    <t>오답 후 서로 일치하는 항목 하나를 자동 연결</t>
  </si>
  <si>
    <t>실패 후 목표 범위 확대와 중간 체크포인트 제공</t>
  </si>
  <si>
    <t>기억 속 물건으로 가족 환영의 거짓말 깨뜨리기</t>
  </si>
  <si>
    <t>공격하지 않은 상태로 죄책감 파동 5회 생존</t>
  </si>
  <si>
    <t>공을 회수 불가 구역에 보내면 시작 위치로 재배치</t>
  </si>
  <si>
    <t>공원 출구까지 날아가면 시작 지점에서 다시 추격</t>
  </si>
  <si>
    <t>오답 경로 선택 시 불필요한 탐색 시간이 추가됨</t>
  </si>
  <si>
    <t>무기 소멸 연출과 전투 기록의 신규 규칙 확인</t>
  </si>
  <si>
    <t>오분류 시 콤보만 초기화되고 수거 진행도는 유지</t>
  </si>
  <si>
    <t>오답 후 일치하지 않는 단서 하나에 취소 표시</t>
  </si>
  <si>
    <t>공명 무기 소멸 확인 및 필수 장비·회복품 준비</t>
  </si>
  <si>
    <t>현재 상황과 주인공의 독백을 확인한 뒤 공원을 지나갈지 쓰레기를 치울지 판단에 대한 행동을 결정함</t>
  </si>
  <si>
    <t>구역을 일정한 방향으로 순회하고 반짝임·잔여 개수 UI를 확인하며 잔디 구역 쓰레기 8개를 수거함</t>
  </si>
  <si>
    <t>시선·행동·복장·주변 오브젝트를 순서대로 확인해 떠나는 시민과 공원에 남은 쓰레기의 특징을 파악함</t>
  </si>
  <si>
    <t>보스가 친구를 공격한 기억과 주인공의 선택을 겹쳐 보여 공격 입력 자체가 죄책감 게이지를 높임</t>
  </si>
  <si>
    <t>입력 강도와 타이밍을 조절해 선의와 자아 마모도를 맞추는 입력의 두 수치를 목표 범위에 유지함</t>
  </si>
  <si>
    <t>재질·오염 여부·남은 내용물을 확인하고 내용물이 남거나 오염된 쓰레기 6개를 올바른 수거함에 넣음</t>
  </si>
  <si>
    <t>시선·행동·복장·주변 오브젝트를 순서대로 확인해 낙서·찢어진 공책·잠긴 사물함의 특징을 파악함</t>
  </si>
  <si>
    <t>공격 버튼 대신 상호작용 입력을 선택해 괴물에게 손을 대고 보랏빛 균열처럼 흩어지는 반응을 관찰함</t>
  </si>
  <si>
    <t>2/10 – 위협 연출 속에서 공격이 아닌 상호작용을 선택해야 하는 심리적 압박이 난이도를 결정함</t>
  </si>
  <si>
    <t>공명하는 철제 지지봉이 잔해 아래 끼어 있고 괴물이 가까워지는 동안 여러 고정 장치를 풀어야 함</t>
  </si>
  <si>
    <t>수집한 기록을 비교하고 교실 단서를 순서대로 입력하는 잠금 장치의 규칙에 맞게 단계별로 입력함</t>
  </si>
  <si>
    <t>말의 내용보다 행동과 기억의 모순을 확인해 칭찬과 비난을 반복하는 가족 환영을 무시하고 진행함</t>
  </si>
  <si>
    <t>사라진 임시 무기와 남은 장비를 확인하고 탐지기·회복품·지급 총을 다음 출동 기준에 맞게 정비함</t>
  </si>
  <si>
    <t>벽 반사 각도를 조절해 기억 핵을 타격하고 공이 떨어지는 위치를 예측해 다음 패턴 전에 회수함</t>
  </si>
  <si>
    <t>교탁 안의 사랑의 매를 조사하고 교사의 체벌 기억과 무기의 보랏빛 반응이 연결되는 연출을 확인함</t>
  </si>
  <si>
    <t>소환체를 피하며 사랑의 매로 방어막의 균열 부위를 타격하고 기억 재생이 끝난 직후 연속 공격함</t>
  </si>
  <si>
    <t>구역을 일정한 방향으로 순회하고 반짝임·잔여 개수 UI를 확인하며 산책로 쓰레기 7개를 수거함</t>
  </si>
  <si>
    <t>근접 무기는 외피 파괴에, 농구공은 원거리 약점 공격에 유리해 보스의 자세에 따라 즉시 전환해야 함</t>
  </si>
  <si>
    <t>두 게이지가 서로 반대로 움직여 하나만 맞추면 다른 값이 벗어남</t>
  </si>
  <si>
    <t>같은 부위에 사격한 뒤 피해량과 경직량을 비교해 지급 총은 결정타가 아니라 거리 확보용 보조 수단임을 확인함</t>
  </si>
  <si>
    <t>큰 원은 플레이 전반에 미치는 영향이 큰 핵심 팩터이며, 작은 원은 장면·미션 단위에서 조정하는 세부 팩터임</t>
  </si>
  <si>
    <t>기억 조각이 위험 구역과 멀리 떨어져 있어 수집 순서가 중요함</t>
  </si>
  <si>
    <t>※ 스테이지 점수는 콘텐츠별 중요도·난이도·분량을 반영한 가중치 방식. S가 기준 점수이며 A/B/C는 85/70/55%</t>
  </si>
  <si>
    <t>입양 이후 가족 안에서 희생을 요구받아 온 과거를 보여주는 연출이 길게 이어져 플레이어가 핵심 정보를 놓칠 수 있음</t>
  </si>
  <si>
    <t>붕괴 표지판의 철제 지지봉 회수하기</t>
  </si>
  <si>
    <t>사랑의 매 조사 및 공명 연출 확인</t>
  </si>
  <si>
    <t>승강장 괴물 2체 연속 제압하기</t>
  </si>
  <si>
    <t>핵심 규칙을 전투 기록에 자동 저장</t>
  </si>
  <si>
    <t>복도에 남은 보랏빛 발자국 추적하기</t>
  </si>
  <si>
    <t>비닐봉지를 3번째 착지 이전에 회수</t>
  </si>
  <si>
    <t>공명 타격으로 환영체 1체 제압</t>
  </si>
  <si>
    <t>발자국과 스티커 단서 대조하기</t>
  </si>
  <si>
    <t>요청 품목에 작은 임무 아이콘 표시</t>
  </si>
  <si>
    <t>잠금 방향 5단계를 정확히 입력</t>
  </si>
  <si>
    <t>사랑의 매의 공명 타격 시험하기</t>
  </si>
  <si>
    <t>골목 지름길의 장애물 돌파하기</t>
  </si>
  <si>
    <t>세 문서의 모순점 6개를 표시</t>
  </si>
  <si>
    <t>주차 차단기 막대의 공명 찾기</t>
  </si>
  <si>
    <t>짧은 연출 안에서 사건의 원인과 인물의 태도를 동시에 이해해야 함</t>
  </si>
  <si>
    <t>8/10 – 후보 수·복제 정확도·행동 단서의 명확성이 난이도를 결정함</t>
  </si>
  <si>
    <t>7/10 – 후보 오브젝트 수·외형 유사도·탐색 범위가 난이도를 결정함</t>
  </si>
  <si>
    <t>공격 전 몸동작과 경고 아이콘을 비교해 서로 다른 공격 3회를 피함</t>
  </si>
  <si>
    <t>시민 체력 0 또는 주인공 체력 0 시 전투 시작부터 재시작</t>
  </si>
  <si>
    <t>재시도 시 첫 넉백 거리를 늘리고 시민 주변에 보호 구역 표시</t>
  </si>
  <si>
    <t>실패 후 바람 방향 예고 시간을 늘리고 봉지 이동속도를 낮춤</t>
  </si>
  <si>
    <t>재시도마다 트럭 속도를 소폭 낮추고 안전한 지름길 입구를 강조</t>
  </si>
  <si>
    <t>재시도 시 탐지기 반응 범위를 넓히고 다음 흔적이 짧게 점멸</t>
  </si>
  <si>
    <t>예: 신상 과자 진열대 찾기, 균열 괴물과 첫 전투 치르기</t>
  </si>
  <si>
    <t>재시도 시 열차 경고 시간을 늘리고 안전 구역을 선으로 표시</t>
  </si>
  <si>
    <t>오답 후 가짜 흔적 하나가 사라지고 진짜 흔적의 잔광이 강화</t>
  </si>
  <si>
    <t>총으로 경직 2회, 지지봉 약점 타격 3회, 괴물 1체 제압</t>
  </si>
  <si>
    <t>첫 시도에는 예상 궤적선을 표시하고 실패 후 반사 각도를 보정</t>
  </si>
  <si>
    <t>사랑의 매 3회·농구공 3회 공명 공격 성공 후 2페이즈 종료</t>
  </si>
  <si>
    <t>공격을 선택해도 진행되지만 이후 관리국 분석 대사가 달라짐</t>
  </si>
  <si>
    <t>제목만 읽어도 플레이어가 무엇을 해야 하는지 보이도록 작성</t>
  </si>
  <si>
    <t>재시도 시 돌진 예고 시간을 늘리고 다음 경적 위치를 표시</t>
  </si>
  <si>
    <t>첫 실패 후 약점 노출 시간을 늘리고 공격 방향 보정 적용</t>
  </si>
  <si>
    <t>회피 후 사격할 빈틈 파악하기</t>
  </si>
  <si>
    <t>잔여 수량 0 및 오류 항목 0</t>
  </si>
  <si>
    <t>잔디 구역 쓰레기 8개 전부 수거</t>
  </si>
  <si>
    <t>산책로 쓰레기 7개 전부 수거</t>
  </si>
  <si>
    <t>회피 후 약점 사격 2회 성공</t>
  </si>
  <si>
    <t>8/10 – 조작 반전·반사 각도·기억 핵 노출 시간·공 회수 동선이 난이도를 결정함</t>
  </si>
  <si>
    <t>7/10 – 총으로 만드는 경직·근접 전환 시점·공명 공격 후 경직이 난이도를 결정함</t>
  </si>
  <si>
    <t>괴물이 연속 돌진해 공격 가능한 시간이 짧지만 공명 무기의 타격은 큰 피해를 줌</t>
  </si>
  <si>
    <t>핵심 목표 달성 44 / 수행 정확도 20 / 실패·피해 최소화 8 / 완료 시간 8</t>
  </si>
  <si>
    <t>가족의 칭찬과 실제 기억이 충돌하며 잘못된 물건을 선택하면 자아 마모도가 증가함</t>
  </si>
  <si>
    <t>목표 제압 68 / 피격·자원 관리 38 / 패턴 대응 30 / 완료 시간 14</t>
  </si>
  <si>
    <t>차량 경적을 순서대로 작동시켜 괴물을 넓은 통로로 유인하고 시민과의 거리를 벌림</t>
  </si>
  <si>
    <t>낡은 체벌 도구가 평범한 오브젝트처럼 보이지만 친구의 기억이 재생될 때만 공명함</t>
  </si>
  <si>
    <t>핵심 목표 달성 11 / 수행 정확도 5 / 실패·피해 최소화 2 / 완료 시간 2</t>
  </si>
  <si>
    <t>괴물을 피해 이동하는 동안 희미한 보랏빛 흔적이 잔해와 경고등에 섞여 잘 보이지 않음</t>
  </si>
  <si>
    <t>8/10 – 반사 궤적·보스 공격 주기·환영체 위치·회수 가능 시간이 난이도를 결정함</t>
  </si>
  <si>
    <t>바람 방향 표시와 봉지의 그림자를 보고 다음 착지 지점을 예측해 세 번 안에 붙잡음</t>
  </si>
  <si>
    <t>핵심 목표 달성 28 / 수행 정확도 12 / 실패·피해 최소화 5 / 완료 시간 5</t>
  </si>
  <si>
    <t>핵심 목표 달성 33 / 수행 정확도 15 / 실패·피해 최소화 6 / 완료 시간 6</t>
  </si>
  <si>
    <t>예상 궤적을 조절해 표적을 맞히고 반사된 공의 착지 지점으로 이동해 다시 회수함</t>
  </si>
  <si>
    <t>정전과 열차 진입 경고 속에서 공명 물체가 선로 가까이에 떨어져 접근 시간이 제한됨</t>
  </si>
  <si>
    <t>두 괴물이 다른 방향에서 공격하지만 공명 무기는 한 번에 한 방향만 넓게 타격함</t>
  </si>
  <si>
    <t>돌진을 옆으로 피한 뒤 차단기 막대로 약점을 두 번 가격해 짧은 시간 안에 제압함</t>
  </si>
  <si>
    <t>교사의 체벌 기록에 적힌 숫자와 교탁 잠금 장치의 방향 규칙을 함께 해석해야 함</t>
  </si>
  <si>
    <t>구간 완주 27 / 피격·발각 관리 15 / 경로·판단 정확도 12 / 완료 시간 6</t>
  </si>
  <si>
    <t>공을 회수하러 이동하는 동안 보스의 추적 공격이 이어져 최단 경로와 안전 경로가 다름</t>
  </si>
  <si>
    <t>장애물의 이동 방향을 예측해 짧은 지름길을 선택하고 넘기·비켜가기 조작을 연결함</t>
  </si>
  <si>
    <t>정답·핵심 목표 30 / 오답·힌트 관리 15 / 수행 정확도 9 / 완료 시간 6</t>
  </si>
  <si>
    <t>6/10 – 플레이어와 대상의 속도 차이·허용 거리·시야 차단물이 난이도를 결정함</t>
  </si>
  <si>
    <t>비슷한 운동화 자국과 축제 스티커가 여러 방향으로 이어져 잘못된 동선을 선택하기 쉬움</t>
  </si>
  <si>
    <t>7/10 – 동행 인원·속도 편차·위험 구간 수·명령 재사용 시간이 난이도를 결정함</t>
  </si>
  <si>
    <t>6/10 – 경쟁 NPC 수·충돌 범위·재고 수량·접근 가능 시간이 난이도를 결정함</t>
  </si>
  <si>
    <t>목표 제압 54 / 피격·자원 관리 30 / 패턴 대응 24 / 완료 시간 12</t>
  </si>
  <si>
    <t>구간 완주 36 / 피격·발각 관리 20 / 경로·판단 정확도 16 / 완료 시간 8</t>
  </si>
  <si>
    <t>핵심 목표 달성 16 / 수행 정확도 8 / 실패·피해 최소화 3 / 완료 시간 3</t>
  </si>
  <si>
    <t>체벌 횟수·날짜·자리 배치 단서를 방향 입력으로 변환해 교탁의 숨은 칸을 해제함</t>
  </si>
  <si>
    <t>장면 순서와 반복되는 상징을 보며 도시 곳곳의 균열과 괴물이 소멸한 결과를 확인함</t>
  </si>
  <si>
    <t>7/10 – 목표 수·동선 길이·위험 구역 밀도·자아 마모도 증가량이 난이도를 결정함</t>
  </si>
  <si>
    <t>군중의 이동 방향을 예측하고 빈 공간으로 우회해 편의점 진열대 앞 군중에 접근함</t>
  </si>
  <si>
    <t>잔여 수량과 각 구역 상태를 확인해 모든 분류함과 오분류 여부의 미완료 항목을 점검함</t>
  </si>
  <si>
    <t>요청 지역·구조 대상·예상 위험을 확인한 뒤 도심 잔해 구역 구조 요청을 수락함</t>
  </si>
  <si>
    <t>대화와 자료를 확인해 폐교 균열 조사와 실종자 수색의 공식 목표와 숨은 위험을 구분함</t>
  </si>
  <si>
    <t>표지판·미니맵·NPC 이동 방향을 확인하며 아파트에서 임시 안전 구역까지 이동함</t>
  </si>
  <si>
    <t>게임 「넌 착해!」의 플레이 경험에 영향을 주는 주요 조정 요소를 원형으로 정리</t>
  </si>
  <si>
    <t>4/10 – 측정 단계 수·대기 시간·비정상 결과의 설명 명확성이 난이도를 결정함</t>
  </si>
  <si>
    <t>방문 기록과 단서 목록을 확인하며 친구의 과거를 보여주는 기억 단서 5개를 수집함</t>
  </si>
  <si>
    <t>대피 상황에 필요한 물품을 비교해 가방·물·손전등·구급품 중 필수 물품를 선택함</t>
  </si>
  <si>
    <t>장면 순서와 반복되는 상징을 보며 가족·한도윤·친구·시민의 변화와 그 결과를 확인함</t>
  </si>
  <si>
    <t>소리 크기 변화와 파티원의 반응을 비교하며 복도마다 방향이 달라지는 목소리를 추적함</t>
  </si>
  <si>
    <t>표지판·미니맵·NPC 이동 방향을 확인하며 편의점에서 지하철역 개찰구까지 이동함</t>
  </si>
  <si>
    <t>5/10 – 측정 단계 수·대기 시간·비정상 결과의 설명 명확성이 난이도를 결정함</t>
  </si>
  <si>
    <t>임무 결과·인원·특이사항을 확인하고 친구 복원 사실과 균열 정보를 순서대로 보고함</t>
  </si>
  <si>
    <t>2/10 – 대상 노출 시간·화면 내 이동속도·시선 유도 강도가 난이도를 결정함</t>
  </si>
  <si>
    <t>9/10 – 게이지 이동속도·목표 범위·동시 입력 수·초기화 범위가 난이도를 결정함</t>
  </si>
  <si>
    <t>제안 내용과 조건을 확인해 영웅 대우를 전제로 한 관리국의 제안의 의미를 파악함</t>
  </si>
  <si>
    <t>장애물 뒤로 이동하고 공격 예고를 확인하며 새벽에 출현한 균열 괴물의 공격을 피함</t>
  </si>
  <si>
    <t>안내에 따라 손을 올리고 재측정 절차를 완료해 오류로 의심받는 무한대 수치를 확인함</t>
  </si>
  <si>
    <t>표지판·미니맵·NPC 이동 방향을 확인하며 지하철역에서 축제 종료 공원까지 이동함</t>
  </si>
  <si>
    <t>2/10 – NPC 후보 수·위치 이동 여부·의뢰 단서 명확성이 난이도를 결정함</t>
  </si>
  <si>
    <t>지금까지 수집한 정보와 관계 변화를 확인해 자신의 소멸과 균열 소멸의 관계를 결정함</t>
  </si>
  <si>
    <t>레벨 업을 위한 전투시간</t>
  </si>
  <si>
    <t>산책로 쓰레기 수거하기</t>
  </si>
  <si>
    <t>전체 밸런스 곡선 요약</t>
  </si>
  <si>
    <t>가짜 경로 끝에 도달하면 추가 환영 전투 발생</t>
  </si>
  <si>
    <t>주인공 또는 필수 동료 전멸 시 페이즈 재시작</t>
  </si>
  <si>
    <t>명령의 공개 정보와 숨겨진 조건을 구분해 표시</t>
  </si>
  <si>
    <t>미니맵에 담당 구역을 서로 다른 테두리로 표시</t>
  </si>
  <si>
    <t>목표 수량 달성, 트리거 진입, 보스 체력 0 등</t>
  </si>
  <si>
    <t>필수 수량을 채우지 못하면 다음 구역 진행 불가</t>
  </si>
  <si>
    <t>체력 0 시 자동 회복 후 현재 연습부터 재시작</t>
  </si>
  <si>
    <t>시스템이 완료를 판정할 수 있는 명확한 조건</t>
  </si>
  <si>
    <t>부모와 동생에 관한 대화를 마지막 문장까지 진행</t>
  </si>
  <si>
    <t>오답 선택 누적 시 죄책감 수치와 피격 위험 증가</t>
  </si>
  <si>
    <t>편의점에서 지하철역 개찰구의 도착 트리거에 진입</t>
  </si>
  <si>
    <t>체력 0 또는 자아 마모도 최대 시 전투 재시작</t>
  </si>
  <si>
    <t>발각되지 않거나 추적을 끊고 종료 지점 도착</t>
  </si>
  <si>
    <t>비슷한 위치의 부탁을 한 묶음으로 지도에 표시</t>
  </si>
  <si>
    <t>여러 조작을 한 번에 제시하면 입력 방법을 혼동할 수 있음</t>
  </si>
  <si>
    <t>방향 표시, 반짝임, 속도 감소, 체크포인트, 오답 힌트 등</t>
  </si>
  <si>
    <t>핵의 충격파가 일정 주기로 넓어져 접근 가능한 시간이 짧음</t>
  </si>
  <si>
    <t>비슷한 복장의 NPC가 있어 물건의 주인을 잘못 선택할 수 있음</t>
  </si>
  <si>
    <t>5/10 – 잡음 강도·대사 길이·감정적 부담이 난이도를 결정함</t>
  </si>
  <si>
    <t>기존에 알고 있던 세계 규칙과 반대되는 정보가 연속으로 제시됨</t>
  </si>
  <si>
    <t>균열 인근 대피 안내의 대피 위치와 위험 지역을 먼저 확인함</t>
  </si>
  <si>
    <t>해당 행의 목표를 완료하기 위해 필요한 행동·대상·단계의 수</t>
  </si>
  <si>
    <t>추격 거리 초과, 체력 0, 제한시간 종료, 오답 누적 등</t>
  </si>
  <si>
    <t>막힌 플레이어가 목표를 다시 파악하도록 돕는 힌트와 보정 장치</t>
  </si>
  <si>
    <t>잔해와 효과음 때문에 구조 신호의 방향을 정확히 판단하기 어려움</t>
  </si>
  <si>
    <t>2/10 – 동시 정보량·경고 문구의 명확성이 난이도를 결정함</t>
  </si>
  <si>
    <t>통신이 끊기고 잡음이 섞여 상대의 의도를 정확히 듣기 어려움</t>
  </si>
  <si>
    <t>영화관 출구 앞을 지나가는 편의점 물류 트럭을 화면 안에서 확인</t>
  </si>
  <si>
    <t>선의 측정과 등급제 설명에 관한 대화를 마지막 문장까지 진행</t>
  </si>
  <si>
    <t>1/10 – 연출 속도·동시에 제시되는 정보량이 난이도를 결정함</t>
  </si>
  <si>
    <t>현관문 가까이 이동한 뒤 상호작용 아이콘이 나타날 때 조사함</t>
  </si>
  <si>
    <t>중고 거래 물품 수령 요청에 관한 대화를 마지막 문장까지 진행</t>
  </si>
  <si>
    <t>중요한 단서가 여러 인물과 배경 오브젝트 사이에 분산되어 있음</t>
  </si>
  <si>
    <t>여러 지역과 인물의 변화를 짧은 장면 안에서 연결해 이해해야 함</t>
  </si>
  <si>
    <t>5/10 – 통로 폭·시야 범위·장애물 간격이 난이도를 결정함</t>
  </si>
  <si>
    <t>자원이 움직이는 지형과 위험 구역에 분산되어 수집 동선이 길어짐</t>
  </si>
  <si>
    <t>60초 이상 미발견 시 가장 가까운 미수거 대상 방향 표시</t>
  </si>
  <si>
    <t>7/10 – 선택의 비가역성과 감정적 부담이 난이도를 결정함</t>
  </si>
  <si>
    <t>3/10 – 목표 수·위험 정보량·선택지 수가 난이도를 결정함</t>
  </si>
  <si>
    <t>구조 대상 체력이 0이 되면 체크포인트 재시작</t>
  </si>
  <si>
    <t>남은 기억 방향과 안전 경로를 단계적으로 표시</t>
  </si>
  <si>
    <t>서로 다른 공격 패턴 3회를 피격 없이 회피</t>
  </si>
  <si>
    <t>잔해마다 필요한 조작과 안전한 제거 순서가 다름</t>
  </si>
  <si>
    <t>시민 1명이라도 체력 0이 되면 체크포인트 재시작</t>
  </si>
  <si>
    <t>필수 수량 미달 시 심층부 통로 활성화 불가</t>
  </si>
  <si>
    <t>도시에서 대형 균열 중심의 도착 트리거에 진입</t>
  </si>
  <si>
    <t>잘못된 환영 선택 누적 시 자아 마모도 증가</t>
  </si>
  <si>
    <t>반복 실패 시 체크포인트 세분화와 회복 자원 추가</t>
  </si>
  <si>
    <t>자아 마모도 최대 시 직전 체크포인트 재시작</t>
  </si>
  <si>
    <t>누적 수치가 높을 때 감소 가능한 선택을 강조</t>
  </si>
  <si>
    <t>기억 장면마다 시간 표식과 인물 관계 아이콘 표시</t>
  </si>
  <si>
    <t>입력 타이밍 범위를 넓히고 단계 체크포인트 제공</t>
  </si>
  <si>
    <t>주인공의 접촉으로 괴물이 소멸하는 현상 확인하기</t>
  </si>
  <si>
    <t>괴물에게 붙잡히면 마지막 고정핀 단계부터 재시작</t>
  </si>
  <si>
    <t>낙하 또는 장애물 피격 3회 시 구간 재시작</t>
  </si>
  <si>
    <t>출구가 무너지고 안전 경로가 짧은 시간마다 바뀜</t>
  </si>
  <si>
    <t>농구공 관련 흔적 3개 조사 및 공명 농구공 획득</t>
  </si>
  <si>
    <t>아파트에서 임시 안전 구역의 도착 트리거에 진입</t>
  </si>
  <si>
    <t>첫 변화 발생 시 이전·현재 상태 비교 창 제공</t>
  </si>
  <si>
    <t>위험 지역 진입 후 체력 0 시 체크포인트 재시작</t>
  </si>
  <si>
    <t>안전한 제거 순서를 색이 아닌 아이콘으로 표시</t>
  </si>
  <si>
    <t>동행 NPC가 멀어지면 화면 가장자리에 방향 표시</t>
  </si>
  <si>
    <t>문자를 닫은 뒤 화면에 대피 목표를 고정 표시</t>
  </si>
  <si>
    <t>핵심 사실을 단계별로 요약해 기록 메뉴에 저장</t>
  </si>
  <si>
    <t>오답 후 일반 농구공 하나의 상호작용 표시 제거</t>
  </si>
  <si>
    <t>오염도 게이지가 최대가 되면 구간 시작부터 재시작</t>
  </si>
  <si>
    <t>사랑의 매와 농구공을 교대해 인간형 보스 공략하기</t>
  </si>
  <si>
    <t>낙하 또는 제한시간 종료 시 직전 지점 재시작</t>
  </si>
  <si>
    <t>사랑의 매 공명 타격으로 방어막 3단계 파괴</t>
  </si>
  <si>
    <t>필수 물품이 없으면 확인 단계에서 진행 불가</t>
  </si>
  <si>
    <t>4/10 – 예고 시간·공격 범위 차이·연속 패턴 수가 난이도를 결정함</t>
  </si>
  <si>
    <t>3/10 – 서사 단서와 공명 타이밍을 연결해 이해하는 난이도가 중심임</t>
  </si>
  <si>
    <t>완료 정보와 새로 발견한 사실 중 무엇을 보고해야 하는지 구분해야 함</t>
  </si>
  <si>
    <t>조사 가능한 가구가 많아 조작 가능한 대상을 바로 알아보기 어려움</t>
  </si>
  <si>
    <t>7/10 – 요청 수·이동 거리·동시 활성 목표 수가 난이도를 결정함</t>
  </si>
  <si>
    <t>주변 단서와 장치 반응을 확인해 균열 문양 4개를 순서대로 해제함</t>
  </si>
  <si>
    <t>최종 선택을 실행하면 되돌릴 수 없다는 사실이 강한 심리적 부담을 줌</t>
  </si>
  <si>
    <t>4/10 – 새 정보량·기존 정보와의 충돌 정도가 난이도를 결정함</t>
  </si>
  <si>
    <t>환영이 동료의 외형과 목소리를 복제해 단순 외형만으로 구분할 수 없음</t>
  </si>
  <si>
    <t>4/10 – 진입로 수·위험 구역 범위·탐지기 명확성이 난이도를 결정함</t>
  </si>
  <si>
    <t>통로가 붕괴하고 화면 왜곡이 심해져 이동 경로를 오래 유지할 수 없음</t>
  </si>
  <si>
    <t>칭찬과 비난이 번갈아 제시되어 올바른 길보다 감정적 반응을 유도함</t>
  </si>
  <si>
    <t>1/10 – 추가 장면의 노출 시간과 배치 간격이 난이도를 결정함</t>
  </si>
  <si>
    <t>지도에 방문 구역을 표시하며 교실·교무실·복도를 한 방향으로 탐색함</t>
  </si>
  <si>
    <t>7/10 – 화면 왜곡 강도·안전 표식 수·통로 폭이 난이도를 결정함</t>
  </si>
  <si>
    <t>6/10 – 단서 수·방 분산 정도·환영 연출 길이가 난이도를 결정함</t>
  </si>
  <si>
    <t>6/10 – 맵 크기·갈림길 수·목적지 표식의 가시성이 난이도를 결정함</t>
  </si>
  <si>
    <t>주변 단서와 장치 반응을 확인해 봉인된 강당 출입문를 순서대로 해제함</t>
  </si>
  <si>
    <t>5/10 – 장면 수·시간 순서의 복잡도·인물 수가 난이도를 결정함</t>
  </si>
  <si>
    <t>대상이 빠르게 이동하고 시민과 건물이 시야를 가려 추적이 끊길 수 있음</t>
  </si>
  <si>
    <t>이전 대화와 행동 습관을 비교해 동료와 똑같이 행동하는 환영을 판별함</t>
  </si>
  <si>
    <t>어떤 선택도 완전한 보상이 없고 플레이어가 결말을 직접 확정해야 함</t>
  </si>
  <si>
    <t>5/10 – 기존 조작 습관과 선택의 감정적 부담이 난이도를 결정함</t>
  </si>
  <si>
    <t>7/10 – 적 감지 범위·순찰 주기·은폐물 간격이 난이도를 결정함</t>
  </si>
  <si>
    <t>여러 인물이 서로 다른 이유로 같은 희생을 요구해 감정적 압박이 커짐</t>
  </si>
  <si>
    <t>8/10 – 결과의 비가역성·정보량·감정적 부담이 난이도를 결정함</t>
  </si>
  <si>
    <t>5/10 – 투척 각도·반사 횟수·공 회수 동선이 난이도를 결정함</t>
  </si>
  <si>
    <t>복원 과정 중 친구의 상태와 주인공의 선의 수치를 동시에 유지해야 함</t>
  </si>
  <si>
    <t>5/10 – 시야 방해·탐지기 반응 지연·괴물 압박이 난이도를 결정함</t>
  </si>
  <si>
    <t>4/10 – 파티원 수·역할 차이·지원 조건 수가 난이도를 결정함</t>
  </si>
  <si>
    <t>필수 단서가 여러 방에 흩어져 있고 일부는 환영 연출 뒤에 숨겨짐</t>
  </si>
  <si>
    <t>게임 시작부터 엔딩까지 해금되는 모든 플레이 내용을 순서대로 기록</t>
  </si>
  <si>
    <t>표지판·미니맵·NPC 이동 방향을 확인하며 편의점에서 다이소까지 이동함</t>
  </si>
  <si>
    <t>4/10 – 가짜 반응 수·시야 점멸·탐색 범위가 난이도를 결정함</t>
  </si>
  <si>
    <t>재입고 시간과 물류 트럭 정보에 관한 대화를 마지막 문장까지 진행</t>
  </si>
  <si>
    <t>4/10 – 조준 흔들림·탄약 제한·피해 수치 해석이 난이도를 결정함</t>
  </si>
  <si>
    <t>비슷한 오브젝트와 진열대가 많아 목표 대상을 한 번에 찾기 어려움</t>
  </si>
  <si>
    <t>4/10 – 후보 경로 수·단서 유사도·비교 단계 수가 난이도를 결정함</t>
  </si>
  <si>
    <t>상호작용 가능 순간에 공격 아이콘과 다른 보랏빛 손 아이콘을 표시</t>
  </si>
  <si>
    <t>움직이는 트럭의 적재함이 잠깐 열리며 비슷한 상자 표식이 동시에 노출됨</t>
  </si>
  <si>
    <t>비슷한 후보, 넓은 탐색 범위, 제한시간, 시야 차단, 감정적 압박 등</t>
  </si>
  <si>
    <t>구조 대상 위치와 촬영 지시를 확인하고 시민 구조를 우선 목표로 설정함</t>
  </si>
  <si>
    <t>6/10 – 돌진 예고·회피 타이밍·약점 노출 시간이 난이도를 결정함</t>
  </si>
  <si>
    <t>1/10 – 상호작용 표시의 가시성과 조사 범위가 난이도를 결정함</t>
  </si>
  <si>
    <t>구역별 표지와 상품 외형을 비교하며 생활용품 코너의 헤어롤을 조사함</t>
  </si>
  <si>
    <t>표지판·미니맵·NPC 이동 방향을 확인하며 아파트에서 편의점까지 이동함</t>
  </si>
  <si>
    <t>스테이지 점수 산정 기준</t>
  </si>
  <si>
    <t>X
콘텐츠 진행 포인트</t>
  </si>
  <si>
    <t>한마리 몬스터가 주는 경험치</t>
  </si>
  <si>
    <t>밸런스 문서 작성 기준</t>
  </si>
  <si>
    <t>한마리 몬스터와 전투시간</t>
  </si>
  <si>
    <t>콘텐츠 진행 포인트 누적</t>
  </si>
  <si>
    <t>숫자/10 + 원인 설명</t>
  </si>
  <si>
    <t>축제 종료 현장 관찰하기</t>
  </si>
  <si>
    <t>필수 관찰 대상 모두 조사</t>
  </si>
  <si>
    <t>누락 항목 경고와 추천 장비 표시</t>
  </si>
  <si>
    <t>현재 측정 단계와 남은 시간을 표시</t>
  </si>
  <si>
    <t>이탈 시민 방향과 안전 경로를 표시</t>
  </si>
  <si>
    <t>안전 발판 테두리와 체크포인트 제공</t>
  </si>
  <si>
    <t>필수 방송 및 NPC 반응 확인</t>
  </si>
  <si>
    <t>제안 조건의 핵심 문구를 강조</t>
  </si>
  <si>
    <t>첫 상호작용 대상에 반짝임 표시</t>
  </si>
  <si>
    <t>괴물을 지정된 넓은 통로까지 유인</t>
  </si>
  <si>
    <t>실패한 동작만 즉시 다시 연습</t>
  </si>
  <si>
    <t>오답 입력 5회 시 장치 초기화</t>
  </si>
  <si>
    <t>호화 숙소와 전용 지원 제안 받기</t>
  </si>
  <si>
    <t>대상 체력 경고와 안전 경로 표시</t>
  </si>
  <si>
    <t>필수 확인 대상을 목록으로 표시</t>
  </si>
  <si>
    <t>미보고 항목을 체크리스트로 표시</t>
  </si>
  <si>
    <t>안전 진입로에 탐지기 반응 강화</t>
  </si>
  <si>
    <t>필수 물품 누락 시 용도 힌트 표시</t>
  </si>
  <si>
    <t>3회 실패 후 공격 예고 시간 증가</t>
  </si>
  <si>
    <t>제한시간 안에 탈출 지점 도착</t>
  </si>
  <si>
    <t>괴물의 공격 예고 신호 파악하기</t>
  </si>
  <si>
    <t>잠자기 확인 후 다음 장면 전환</t>
  </si>
  <si>
    <t>누락 항목이 있으면 보고 완료 불가</t>
  </si>
  <si>
    <t>필수 장비 미장착 시 출동 불가</t>
  </si>
  <si>
    <t>필수 장비 누락 시 출발 불가</t>
  </si>
  <si>
    <t>공원에서 집의 도착 트리거에 진입</t>
  </si>
  <si>
    <t>실패 후 제한시간 10초 증가</t>
  </si>
  <si>
    <t>수락 후 목표를 세 줄로 요약 표시</t>
  </si>
  <si>
    <t>임시 대피소의 도착 트리거에 진입</t>
  </si>
  <si>
    <t>전투 UI에 역할 아이콘 고정 표시</t>
  </si>
  <si>
    <t>피격 시 현재 패턴부터 다시 시작</t>
  </si>
  <si>
    <t>모든 파티원 소개 및 역할 확인</t>
  </si>
  <si>
    <t>미수집 단서가 있는 방에 지도 표시</t>
  </si>
  <si>
    <t>모든 동행 NPC가 대피 지점 도착</t>
  </si>
  <si>
    <t>바람에 날린 비닐봉지 추격하기</t>
  </si>
  <si>
    <t>실패 후 모순되는 대사의 일부 강조</t>
  </si>
  <si>
    <t>괴물과 상호작용해 소멸 연출 확인</t>
  </si>
  <si>
    <t>강당 농구공의 보랏빛 공명 확인하기</t>
  </si>
  <si>
    <t>정확 수거 콤보 12회를 달성</t>
  </si>
  <si>
    <t>공명 타격 2회로 괴물 1체 제압</t>
  </si>
  <si>
    <t>3-F | 지하철 승강장 구조</t>
  </si>
  <si>
    <t>배송 상자의 재입고 표식 기억하기</t>
  </si>
  <si>
    <t>오프닝 재생이 끝나면 자동 완료</t>
  </si>
  <si>
    <t>일시정지·배속·다시 보기 기능 제공</t>
  </si>
  <si>
    <t>Y
레벨업을 위한 필요 경험치</t>
  </si>
  <si>
    <t>접근 실패 후 안전 지점 표시</t>
  </si>
  <si>
    <t>모든 생존 파티원이 출구 도착</t>
  </si>
  <si>
    <t>실패 후 고정 표식의 밝기 증가</t>
  </si>
  <si>
    <t>일반쓰레기 8개 전부 올바르게 분류</t>
  </si>
  <si>
    <t>핵심 대사 자막을 화면에 오래 유지</t>
  </si>
  <si>
    <t>오답 2회 후 분류 기준 그림 표시</t>
  </si>
  <si>
    <t>구체적 판정 조건 또는 실패 없음</t>
  </si>
  <si>
    <t>입력하지 않은 키 안내를 계속 유지</t>
  </si>
  <si>
    <t>실패 후 충격파 예고 시간 증가</t>
  </si>
  <si>
    <t>구간별 체크포인트와 안전 발판 강조</t>
  </si>
  <si>
    <t>보스 체력 0 및 주인공 생존</t>
  </si>
  <si>
    <t>1-A | 집·튜토리얼</t>
  </si>
  <si>
    <t>올바른 거래자와 대화 시작</t>
  </si>
  <si>
    <t>균열 심층부로 이동하기</t>
  </si>
  <si>
    <t>환영 구역 종료 지점 도착</t>
  </si>
  <si>
    <t>알바생 NPC와 대화하기</t>
  </si>
  <si>
    <t>스킵·다시 보기 기능 제공</t>
  </si>
  <si>
    <t>필수 진실 기록 전부 확인</t>
  </si>
  <si>
    <t>벤치 주변 쓰레기 수거하기</t>
  </si>
  <si>
    <t>잔디 구역 쓰레기 수거하기</t>
  </si>
  <si>
    <t>우정 반지 단서 발견하기</t>
  </si>
  <si>
    <t>1-E | 편의점 재입고</t>
  </si>
  <si>
    <t>안내된 수거 행동 3회 완료</t>
  </si>
  <si>
    <t>균열 수호체 전투 치르기</t>
  </si>
  <si>
    <t>거래자 후보 3명 관찰하기</t>
  </si>
  <si>
    <t>편의점 물류 트럭 따라가기</t>
  </si>
  <si>
    <t>한도윤과 구역 분담하기</t>
  </si>
  <si>
    <t>2-A | 공원 축제·청소</t>
  </si>
  <si>
    <t>동생에게 심부름 지시 받기</t>
  </si>
  <si>
    <t>쓰레기를 치우기로 결정하기</t>
  </si>
  <si>
    <t>편의점 물류 트럭 발견하기</t>
  </si>
  <si>
    <t>신상 과자 진열대 찾기</t>
  </si>
  <si>
    <t>5-C | 균열 심층부</t>
  </si>
  <si>
    <t>신상 과자 오픈런 참가하기</t>
  </si>
  <si>
    <t>첫 시도에는 표식을 순차적으로 확대하고 오답 후 다른 표식 하나를 제거</t>
  </si>
  <si>
    <t>1/10 – 대사 길이·핵심 정보의 명확성·선택지 수가 난이도를 결정함</t>
  </si>
  <si>
    <t>생활기록부·상담일지·반성문에서 같은 사건이 서로 다르게 기록되어 있음</t>
  </si>
  <si>
    <t>2/10 – 상충하는 목표 문구와 선택의 감정적 부담이 난이도를 결정함</t>
  </si>
  <si>
    <t>보행자·자전거·배송 상자가 골목을 막고 트럭과의 거리가 계속 벌어짐</t>
  </si>
  <si>
    <t>갈림길과 주변 상호작용 오브젝트 때문에 목적지 방향을 놓칠 수 있음</t>
  </si>
  <si>
    <t>1/10 – 맵 크기·갈림길 수·목적지 표식의 가시성이 난이도를 결정함</t>
  </si>
  <si>
    <t>표지판·미니맵·NPC 이동 방향을 확인하며 다이소에서 영화관까지 이동함</t>
  </si>
  <si>
    <t>강조되는 핵심 단어와 NPC의 요구를 확인하며 대화를 끝까지 진행함</t>
  </si>
  <si>
    <t>외형이 비슷하거나 내용물이 남은 쓰레기는 분류 기준을 혼동하기 쉬움</t>
  </si>
  <si>
    <t>1 매우 느림, 3 보통, 5 빠름. 이동이 핵심이 아닐 때는 공란</t>
  </si>
  <si>
    <t>혼자 청소하는 이유와 도움 제안에 관한 대화를 마지막 문장까지 진행</t>
  </si>
  <si>
    <t>조사 대상이 배경 오브젝트와 비슷해 상호작용 가능 여부를 놓칠 수 있음</t>
  </si>
  <si>
    <t>3/10 – 후보 오브젝트 수·외형 유사도·탐색 범위가 난이도를 결정함</t>
  </si>
  <si>
    <t>핵심 장면의 시선 유도와 짧은 자막을 통해 관계와 감정 변화를 이해함</t>
  </si>
  <si>
    <t>초회 플레이어가 해당 콘텐츠를 완료하는 데 걸릴 것으로 예상하는 시간</t>
  </si>
  <si>
    <t>목표를 바로 달성하지 못하게 만드는 맵·NPC·시간·정보·전투 요소</t>
  </si>
  <si>
    <t>목표물이 작고 수거 가능한 쓰레기 사이에 섞여 있어 탐색 부담이 큼</t>
  </si>
  <si>
    <t>반짝임 표시가 있는 산책로의 첫 쓰레기에 접근해 줍기 입력을 수행함</t>
  </si>
  <si>
    <t>동행 NPC가 장애물에 걸리거나 플레이어와 멀어지면 대피가 중단됨</t>
  </si>
  <si>
    <t>방해요소를 해결하기 위해 플레이어가 관찰·판단·조작해야 하는 내용</t>
  </si>
  <si>
    <t>첫 공명 타격은 슬로 모션으로 연출하고 실패 후 약점 노출 시간을 늘림</t>
  </si>
  <si>
    <t>3/10 – 조건 문구의 간접성·선택지의 감정적 부담이 난이도를 결정함</t>
  </si>
  <si>
    <t>재시도 시 컨베이어 속도를 낮추고 오염 확산 대상에 경고 테두리 표시</t>
  </si>
  <si>
    <t>발자국이 오래된 낙서와 환영체의 이동 흔적에 겹쳐 여러 방향으로 갈라짐</t>
  </si>
  <si>
    <t>표지판·미니맵·NPC 이동 방향을 확인하며 임시 대피소까지 이동함</t>
  </si>
  <si>
    <t>표지판·미니맵·NPC 이동 방향을 확인하며 거실에서 현관문까지 이동함</t>
  </si>
  <si>
    <t>신상 과자·헤어롤·팝콘 심부름에 관한 대화를 마지막 문장까지 진행</t>
  </si>
  <si>
    <t>평균 재미율</t>
  </si>
  <si>
    <t>스테이지</t>
  </si>
  <si>
    <t>1분 10초</t>
  </si>
  <si>
    <t>값/형식</t>
  </si>
  <si>
    <t>수행 과제 수</t>
  </si>
  <si>
    <t>3분 10초</t>
  </si>
  <si>
    <t>A (85%)</t>
  </si>
  <si>
    <t>밸런스 팩터</t>
  </si>
  <si>
    <t>실패 결과</t>
  </si>
  <si>
    <t>1분 25초</t>
  </si>
  <si>
    <t>미션개수</t>
  </si>
  <si>
    <t>2분 10초</t>
  </si>
  <si>
    <t>미들 유저</t>
  </si>
  <si>
    <t>C (55%)</t>
  </si>
  <si>
    <t>3분 40초</t>
  </si>
  <si>
    <t>행동형 제목</t>
  </si>
  <si>
    <t>플레이 흥미도</t>
  </si>
  <si>
    <t>가족 찾기</t>
  </si>
  <si>
    <t>1~5 상대값</t>
  </si>
  <si>
    <t>작성 방식</t>
  </si>
  <si>
    <t>플레이 난이도</t>
  </si>
  <si>
    <t>체감 난이도</t>
  </si>
  <si>
    <t>보스전 합산</t>
  </si>
  <si>
    <t>공략 방법</t>
  </si>
  <si>
    <t>방해요소</t>
  </si>
  <si>
    <t>B (70%)</t>
  </si>
  <si>
    <t>방해요소 공략</t>
  </si>
  <si>
    <t>1분 50초</t>
  </si>
  <si>
    <t>1분 35초</t>
  </si>
  <si>
    <t>목적지 도착</t>
  </si>
  <si>
    <t>3분 30초</t>
  </si>
  <si>
    <t>플레이 난관</t>
  </si>
  <si>
    <t>플레이 목표</t>
  </si>
  <si>
    <t>총 콘텐츠 수</t>
  </si>
  <si>
    <t>헤비 유저</t>
  </si>
  <si>
    <t>4분 20초</t>
  </si>
  <si>
    <t>경험치 그래프</t>
  </si>
  <si>
    <t>3분</t>
  </si>
  <si>
    <t>45초</t>
  </si>
  <si>
    <t>항목</t>
  </si>
  <si>
    <t>25초</t>
  </si>
  <si>
    <t>2분</t>
  </si>
  <si>
    <t>-</t>
  </si>
  <si>
    <t>챕터</t>
  </si>
  <si>
    <t>초/분</t>
  </si>
  <si>
    <t>a</t>
  </si>
  <si>
    <t>55초</t>
  </si>
  <si>
    <t>미션</t>
  </si>
  <si>
    <t>50초</t>
  </si>
  <si>
    <t>잠자기</t>
  </si>
  <si>
    <t>b</t>
  </si>
  <si>
    <t>30초</t>
  </si>
  <si>
    <t>4분</t>
  </si>
  <si>
    <t>재미율</t>
  </si>
  <si>
    <t>—</t>
  </si>
  <si>
    <t>정수</t>
  </si>
  <si>
    <t>20초</t>
  </si>
  <si>
    <t>1분</t>
  </si>
  <si>
    <t>40초</t>
  </si>
  <si>
    <t>35초</t>
  </si>
  <si>
    <t>구체적 서술</t>
  </si>
  <si>
    <t>균열 구경하기</t>
  </si>
  <si>
    <t>라이트 유저</t>
  </si>
  <si>
    <t>연습 구간</t>
  </si>
  <si>
    <t>팝콘 구매하기</t>
  </si>
  <si>
    <t>이동속도 A</t>
  </si>
  <si>
    <t>1분 15초</t>
  </si>
  <si>
    <t>통신 종료</t>
  </si>
  <si>
    <t>1분 5초</t>
  </si>
  <si>
    <t>조작난이도</t>
  </si>
  <si>
    <t>심층부 도착</t>
  </si>
  <si>
    <t>빨래 개기</t>
  </si>
  <si>
    <t>1분 20초</t>
  </si>
  <si>
    <t>1분 30초</t>
  </si>
  <si>
    <t>균열의 진실</t>
  </si>
  <si>
    <t>이동속도 B</t>
  </si>
  <si>
    <t>성공 미션조건</t>
  </si>
  <si>
    <t>1분 40초</t>
  </si>
  <si>
    <t>2분 50초</t>
  </si>
  <si>
    <t>전투 비적용</t>
  </si>
  <si>
    <t>1~10 숫자</t>
  </si>
  <si>
    <t>실패 미션조건</t>
  </si>
  <si>
    <t>문서 범위</t>
  </si>
  <si>
    <t>2분 40초</t>
  </si>
  <si>
    <t>2분 30초</t>
  </si>
  <si>
    <t>크레딧 종료</t>
  </si>
  <si>
    <t>처치 없음</t>
  </si>
  <si>
    <t>2분 20초</t>
  </si>
  <si>
    <t>최고 재미율</t>
  </si>
  <si>
    <t>잔해 제거하기</t>
  </si>
  <si>
    <t>3분 20초</t>
  </si>
  <si>
    <t>오답 후 잘못된 단계만 표시</t>
  </si>
  <si>
    <t>새벽 재난 문자 확인하기</t>
  </si>
  <si>
    <t>본관 2층으로 이동하기</t>
  </si>
  <si>
    <t>균열과 몬스터 소멸 확인하기</t>
  </si>
  <si>
    <t>분리수거장으로 이동하기</t>
  </si>
  <si>
    <t>4-F | 폐교 강당·보스전</t>
  </si>
  <si>
    <t>균열 내부 첫 구역 도착</t>
  </si>
  <si>
    <t>올바른 NPC에게 물품 전달</t>
  </si>
  <si>
    <t>죄책감 축적 패턴 버티기</t>
  </si>
  <si>
    <t>3-C | 대피소·선의관리국</t>
  </si>
  <si>
    <t>첫 구조 임무 수락하기</t>
  </si>
  <si>
    <t>4-C | 폐교 본관 1층</t>
  </si>
  <si>
    <t>도심 잔해 구역으로 이동하기</t>
  </si>
  <si>
    <t>선택의 분기 퍼즐 해결하기</t>
  </si>
  <si>
    <t>보스 앞 상호작용 지점 도착</t>
  </si>
  <si>
    <t>상태 안내와 독백 확인</t>
  </si>
  <si>
    <t>실패 후 적 청각 범위 감소</t>
  </si>
  <si>
    <t>4-E | 폐교 본관 3층</t>
  </si>
  <si>
    <t>자아 마모도 변화 확인하기</t>
  </si>
  <si>
    <t>괴물의 첫 습격 회피하기</t>
  </si>
  <si>
    <t>구조 임무 완료 보고하기</t>
  </si>
  <si>
    <t>구조 대상이 안전 지점 도착</t>
  </si>
  <si>
    <t>5-A | 대형 균열 외부</t>
  </si>
  <si>
    <t>통로를 막는 잔해 전부 제거</t>
  </si>
  <si>
    <t>필수 기억 장면 모두 확인</t>
  </si>
  <si>
    <t>균열 중심부로 이동하기</t>
  </si>
  <si>
    <t>재난 문자 핵심 항목 확인</t>
  </si>
  <si>
    <t>아파트 계단으로 이동하기</t>
  </si>
  <si>
    <t>3-D | 도심 구조 임무</t>
  </si>
  <si>
    <t>컴퓨터 잠금 퍼즐 해결하기</t>
  </si>
  <si>
    <t>필수 기억 단서 전부 수집</t>
  </si>
  <si>
    <t>고등급자 파티에 합류하기</t>
  </si>
  <si>
    <t>모든 구조 대상 위치 확인</t>
  </si>
  <si>
    <t>회피 구간 종료 지점 도착</t>
  </si>
  <si>
    <t>교실 기억 단서 수집하기</t>
  </si>
  <si>
    <t>4-G | 폐교 탈출·귀환</t>
  </si>
  <si>
    <t>무한대 수치 재측정하기</t>
  </si>
  <si>
    <t>학교폭력 흔적 조사하기</t>
  </si>
  <si>
    <t>3-E | 지하 주차장 구조</t>
  </si>
  <si>
    <t>농구공의 투척 궤적 익히기</t>
  </si>
  <si>
    <t>3-A | 아파트 재난</t>
  </si>
  <si>
    <t>지하 주차장 구조 임무 수락</t>
  </si>
  <si>
    <t>올바른 강당 방향 도착</t>
  </si>
  <si>
    <t>중학생에게 반지 전달하기</t>
  </si>
  <si>
    <t>친구를 인간으로 복원하기</t>
  </si>
  <si>
    <t>관리국에 귀환 보고하기</t>
  </si>
  <si>
    <t>차단기 막대로 괴물 제압하기</t>
  </si>
  <si>
    <t>아파트 밖으로 탈출하기</t>
  </si>
  <si>
    <t>보랏빛 공명 흔적 추적하기</t>
  </si>
  <si>
    <t>튕겨 나온 농구공 회수하기</t>
  </si>
  <si>
    <t>복원 게이지 100% 달성</t>
  </si>
  <si>
    <t>분리수거 라인 막힘 해소하기</t>
  </si>
  <si>
    <t>차한해의 과거 오프닝 감상</t>
  </si>
  <si>
    <t>장비 역할과 추천 조합 표시</t>
  </si>
  <si>
    <t>시민들의 연속 부탁 처리하기</t>
  </si>
  <si>
    <t>지하 주차장 구조 요청 받기</t>
  </si>
  <si>
    <t>필수 보고 항목 모두 선택</t>
  </si>
  <si>
    <t>본관 3층으로 이동하기</t>
  </si>
  <si>
    <t>차량 사이로 괴물 유인하기</t>
  </si>
  <si>
    <t>교무실 체벌 기록 대조하기</t>
  </si>
  <si>
    <t>피해 비교용(보상 없음)</t>
  </si>
  <si>
    <t>친구의 목소리 추적하기</t>
  </si>
  <si>
    <t>원리 확인 1분 10초</t>
  </si>
  <si>
    <t>4-D | 폐교 본관 2층</t>
  </si>
  <si>
    <t>최종 행동 확인 입력 완료</t>
  </si>
  <si>
    <t>5-D | 최종 선택·후일담</t>
  </si>
  <si>
    <t>한도윤과 마지막 통신하기</t>
  </si>
  <si>
    <t>생존자들의 후일담 확인하기</t>
  </si>
  <si>
    <t>후일담 장면 전부 재생</t>
  </si>
  <si>
    <t>이중 확인과 자동 저장 제공</t>
  </si>
  <si>
    <t>균열 핵 상호작용 지점 도착</t>
  </si>
  <si>
    <t>동기화 게이지 100% 달성</t>
  </si>
  <si>
    <t>다음 층 도착 트리거 진입</t>
  </si>
  <si>
    <t>강제 출동 압박 견디기</t>
  </si>
  <si>
    <t>오염된 쓰레기 분류하기</t>
  </si>
  <si>
    <t>가짜 가족 환영 돌파하기</t>
  </si>
  <si>
    <t>침대에 임무 아이콘 표시</t>
  </si>
  <si>
    <t>안전 구역으로 이동하기</t>
  </si>
  <si>
    <t>편의점에서 다이소의 도착 트리거에 진입</t>
  </si>
  <si>
    <t>필수 구역과 상호작용 대상 모두 확인</t>
  </si>
  <si>
    <t>정체 45초 후 실제 방향의 음량을 강화</t>
  </si>
  <si>
    <t>필수 물품이 포함된 상태로 준비 완료</t>
  </si>
  <si>
    <t>오답 누적 시 퍼즐 단계 일부 초기화</t>
  </si>
  <si>
    <t>반복 실패 시 회복 아이템 1개 추가</t>
  </si>
  <si>
    <t>대피소에서 붕괴 지역의 도착 트리거에 진입</t>
  </si>
  <si>
    <t>단서 부족 시 다음 퍼즐 활성화 불가</t>
  </si>
  <si>
    <t>죄책감 최대치 또는 체력 0 시 재시작</t>
  </si>
  <si>
    <t>오답 후 구분 가능한 행동 단서 1개 표시</t>
  </si>
  <si>
    <t>불안정 수치 최대 시 동기화 단계 재시작</t>
  </si>
  <si>
    <t>대상을 놓치면 짧은 연출이 다시 재생됨</t>
  </si>
  <si>
    <t>벤치와 가려진 틈의 쓰레기 6개 전부 수거</t>
  </si>
  <si>
    <t>대화 사이에 독백과 상태 확인 시간을 제공</t>
  </si>
  <si>
    <t>인물별 이름과 이전 선택 결과를 함께 표시</t>
  </si>
  <si>
    <t>방문한 문과 미방문 문을 아이콘으로 구분</t>
  </si>
  <si>
    <t>환영 선택 시 전투 또는 체력 감소 발생</t>
  </si>
  <si>
    <t>고립 시민 5명 전원이 안전 지점 도착</t>
  </si>
  <si>
    <t>공격 선택 시 다른 결말 분기로 전환</t>
  </si>
  <si>
    <t>중간 이탈 시 측정 단계 처음부터 재진행</t>
  </si>
  <si>
    <t>공격 예고 시간을 늘리고 안전 지점 표시</t>
  </si>
  <si>
    <t>제한시간 종료 또는 3회 피격 시 재시작</t>
  </si>
  <si>
    <t>신상 과자 1봉 구매 후 인벤토리에 등록</t>
  </si>
  <si>
    <t>필수 부탁을 포기하면 해당 구간 보상 감소</t>
  </si>
  <si>
    <t>중단 게이지 최대 시 복원 단계 재시작</t>
  </si>
  <si>
    <t>제한시간 종료 또는 파티원 전멸 시 재시작</t>
  </si>
  <si>
    <t>재입고 상자 표식 3개를 순서대로 선택</t>
  </si>
  <si>
    <t>선택 전 저장 및 주요 결과 요약 제공</t>
  </si>
  <si>
    <t>보랏빛 철제 지지봉으로 첫 괴물 제압하기</t>
  </si>
  <si>
    <t>선의관리국 지급 총과 상태 UI 확인하기</t>
  </si>
  <si>
    <t>농구공 반사 공격으로 기억 핵 3회 명중</t>
  </si>
  <si>
    <t>3-G | 임무 후 대피소·영웅화 압박</t>
  </si>
  <si>
    <t>사랑의 매로 괴물형 보스의 방어막 깨기</t>
  </si>
  <si>
    <t>고정 장치 3개 해제 후 금속 프레임 획득</t>
  </si>
  <si>
    <t>오답 5회 시 현재 문서 비교 단계 초기화</t>
  </si>
  <si>
    <t>충격파 5회 피격 또는 체력 0 시 재시작</t>
  </si>
  <si>
    <t>승강장 전광판의 금속 프레임 회수하기</t>
  </si>
  <si>
    <t>체력 0 시 유인 완료 지점부터 재시작</t>
  </si>
  <si>
    <t>가짜 경로 끝에 도달하면 환영체 추격 발생</t>
  </si>
  <si>
    <t>레벨 업을 위해 잡아야하는 몬스터 수</t>
  </si>
  <si>
    <t>세 단서를 연결해 올바른 탐색 구역 선택</t>
  </si>
  <si>
    <t>오답 3회 후 사용하지 않은 단서 강조</t>
  </si>
  <si>
    <t>현재 문서에는 총 149개 콘텐츠를 기록</t>
  </si>
  <si>
    <t>남은 자원의 대략적 방향과 거리 표시</t>
  </si>
  <si>
    <t>오탐 4회 시 괴물의 위치가 가까워짐</t>
  </si>
  <si>
    <t>오답 후 사용하지 않은 기록 문구를 강조</t>
  </si>
  <si>
    <t>표적 3회 명중 및 농구공 3회 회수</t>
  </si>
  <si>
    <t>진짜 발자국 5개를 연결해 본관 진입</t>
  </si>
  <si>
    <t>파티 전멸 시 2페이즈 시작 지점 재시작</t>
  </si>
  <si>
    <t>실패 후 붕괴 주기 완화 및 우회로 표시</t>
  </si>
  <si>
    <t>잔류 공격에 4회 피격 시 구간 재시작</t>
  </si>
  <si>
    <t>이 표에서 가장 핵심적인 항목으로 작성</t>
  </si>
  <si>
    <t>실패 후 모순 단서 노출 시간을 늘림</t>
  </si>
  <si>
    <t>탐지기 반응 범위를 넓히고 방향 표시 제공</t>
  </si>
  <si>
    <t>왜곡 구역 낙하 3회 시 체크포인트 재시작</t>
  </si>
  <si>
    <t>게임 시작부터 엔딩까지 모든 콘텐츠를 작성</t>
  </si>
  <si>
    <t>총알 3발 명중과 회피 2회를 모두 성공</t>
  </si>
  <si>
    <t>관리국 지급 총의 낮은 피해 확인하기</t>
  </si>
  <si>
    <t>재시도 시 경쟁 NPC 수 1명 감소</t>
  </si>
  <si>
    <t>플레이어 담당 구역의 목표 수량 달성</t>
  </si>
  <si>
    <t>농구공을 3회 연속 회수해 공격 기회 유지</t>
  </si>
  <si>
    <t>잘못된 품목 구매 시 다시 선택해야 함</t>
  </si>
  <si>
    <t>헤어롤 1개 구매 후 인벤토리에 등록</t>
  </si>
  <si>
    <t>공원에서 분리수거장의 도착 트리거에 진입</t>
  </si>
  <si>
    <t>단서를 버리려 하면 경고 후 행동 취소</t>
  </si>
  <si>
    <t>체력 0 시 첫 흔적 체크포인트에서 재시작</t>
  </si>
  <si>
    <t>보랏빛으로 빛나는 사랑의 매 발견하기</t>
  </si>
  <si>
    <t>다이소에서 영화관의 도착 트리거에 진입</t>
  </si>
  <si>
    <t>조건 미달 시 완료 상호작용이 비활성화됨</t>
  </si>
  <si>
    <t>소파 옆 주인공에서 조사 입력 1회 완료</t>
  </si>
  <si>
    <t>침대를 조사하고 휴식 확인 선택지를 선택함</t>
  </si>
  <si>
    <t>체력 0 시 시험 직전 체크포인트 재시작</t>
  </si>
  <si>
    <t>공명 흔적 4개를 따라 무기 위치 도달</t>
  </si>
  <si>
    <t>아파트에서 편의점의 도착 트리거에 진입</t>
  </si>
  <si>
    <t>상호작용 가능 범위를 넓히고 아이콘 표시</t>
  </si>
  <si>
    <t>오답 누적 시 현재 환영 묶음 재시작</t>
  </si>
  <si>
    <t>고정핀 3개 해제 후 철제 지지봉 획득</t>
  </si>
  <si>
    <t>핵심 오브젝트에 카메라 줌과 효과음 적용</t>
  </si>
  <si>
    <t>오답 3회 시 마지막 두 단계 초기화</t>
  </si>
  <si>
    <t>생활용품 코너의 헤어롤 발견 및 조사 완료</t>
  </si>
  <si>
    <t>허용 거리 안에서 추적 종료 지점 도착</t>
  </si>
  <si>
    <t>거실에서 현관문의 도착 트리거에 진입</t>
  </si>
  <si>
    <t>대화를 통해 역할이 다른 고등급자 3명의 역할과 지원 조건을 확인함</t>
  </si>
  <si>
    <t>2/10 – 맵 크기·갈림길 수·목적지 표식의 가시성이 난이도를 결정함</t>
  </si>
  <si>
    <t>재난 문자와 주변 효과음이 동시에 출력되어 핵심 행동을 놓칠 수 있음</t>
  </si>
  <si>
    <t>7/10 – 잔해 수·입력 횟수·위험 순서·피격 빈도가 난이도를 결정함</t>
  </si>
  <si>
    <t>목표 아이콘과 도로 방향을 보며 허용 거리 안에서 물류 트럭을 따라감</t>
  </si>
  <si>
    <t>임무 목표와 위험 요소가 한 번에 제시되어 우선순위를 놓칠 수 있음</t>
  </si>
  <si>
    <t>호의처럼 보이는 제안 안에 이후 행동을 제한하는 조건이 포함되어 있음</t>
  </si>
  <si>
    <t>6/10 – 목표물 크기·탐색 범위·가짜 후보 수가 난이도를 결정함</t>
  </si>
  <si>
    <t>3/10 – 상품 후보 수·품목 유사도·구매 단계 수가 난이도를 결정함</t>
  </si>
  <si>
    <t>2/10 – UI 정보량·강조 순서·설명 노출 시간이 난이도를 결정함</t>
  </si>
  <si>
    <t>구역별 표지와 상품 외형을 비교하며 공원 관리함의 집게와 봉투를 조사함</t>
  </si>
  <si>
    <t>6/10 – 관찰 대상 수·단서의 명확성·외형 유사도가 난이도를 결정함</t>
  </si>
  <si>
    <t>4/10 – 변화의 시각적 차이·설명 문구의 명확성이 난이도를 결정함</t>
  </si>
  <si>
    <t>4/10 – 장비 후보 수·슬롯 제한·역할 중복이 난이도를 결정함</t>
  </si>
  <si>
    <t>3/10 – 관찰 대상 수·단서의 명확성·외형 유사도가 난이도를 결정함</t>
  </si>
  <si>
    <t>5/10 – 단계 수·단서 위치·오답 초기화 범위가 난이도를 결정함</t>
  </si>
  <si>
    <t>작은 단서가 쓰레기와 배경에 섞여 있어 일반 수거물로 오인할 수 있음</t>
  </si>
  <si>
    <t>크레딧 사이의 주요 장면을 확인하며 엔딩 크레딧을 마지막까지 감상함</t>
  </si>
  <si>
    <t>6/10 – 단계 수·단서 위치·오답 초기화 범위가 난이도를 결정함</t>
  </si>
  <si>
    <t>잔류 공격 사이의 빈틈을 이용해 공격을 멈춘 친구에게 단계적으로 접근함</t>
  </si>
  <si>
    <t>적이 소리에 반응하고 시야 밖에서도 이동해 안전 구간을 예측하기 어려움</t>
  </si>
  <si>
    <t>5/10 – 관찰 대상 수·단서의 명확성·외형 유사도가 난이도를 결정함</t>
  </si>
  <si>
    <t>5/10 – 확인 항목 수·인벤토리 복잡도·추천 정보가 난이도를 결정함</t>
  </si>
  <si>
    <t>4/10 – 맵 크기·갈림길 수·목적지 표식의 가시성이 난이도를 결정함</t>
  </si>
  <si>
    <t>4/10 – 검사 항목 수·오류 위치의 분산 정도가 난이도를 결정함</t>
  </si>
  <si>
    <t>2/10 – 대사 길이·핵심 정보의 명확성·선택지 수가 난이도를 결정함</t>
  </si>
  <si>
    <t>방송 화면·시민 반응·관리국 설명이 동시에 제시되어 의미가 분산됨</t>
  </si>
  <si>
    <t>2/10 – 상품 후보 수·품목 유사도·구매 단계 수가 난이도를 결정함</t>
  </si>
  <si>
    <t>쓰레기가 넓은 구역과 가려진 틈에 흩어져 있어 남은 대상을 찾기 어려움</t>
  </si>
  <si>
    <t>후보들이 공통 특징을 가지고 있어 한 가지 단서만으로는 구별할 수 없음</t>
  </si>
  <si>
    <t>카메라가 강조하는 인물과 오브젝트를 보며 아이와 가족의 행동을 확인함</t>
  </si>
  <si>
    <t>여러 NPC가 동시에 진열대로 이동해 접근 경로와 상호작용 위치가 막힘</t>
  </si>
  <si>
    <t>5/10 – 맵 크기·갈림길 수·목적지 표식의 가시성이 난이도를 결정함</t>
  </si>
  <si>
    <t>혼란 속에서 신호를 보내는 한도윤에 관한 대화를 마지막 문장까지 진행</t>
  </si>
  <si>
    <t>두 선택 모두 이후 상황에 영향을 주므로 감정적 판단 부담이 발생함</t>
  </si>
  <si>
    <t>완료한 것처럼 보여도 남은 대상이나 오분류 항목이 존재할 수 있음</t>
  </si>
  <si>
    <t>장치 반응과 안내 문구가 평소와 달라 오류인지 결과인지 판단하기 어려움</t>
  </si>
  <si>
    <t>3/10 – 대사 길이·핵심 정보의 명확성·선택지 수가 난이도를 결정함</t>
  </si>
  <si>
    <t>안내에 따라 손을 올리고 재측정 절차를 완료해 선의 측정 장치를 확인함</t>
  </si>
  <si>
    <t>동료가 담당하는 구역과 플레이어 구역이 겹치면 불필요한 이동이 발생함</t>
  </si>
  <si>
    <t>붕괴 경고 표시를 보고 붕괴되는 출입구의 열린 통로로 빠르게 이동함</t>
  </si>
  <si>
    <t>표지판·미니맵·NPC 이동 방향을 확인하며 공원에서 집까지 이동함</t>
  </si>
  <si>
    <t>4/10 – 관찰 대상 수·단서의 명확성·외형 유사도가 난이도를 결정함</t>
  </si>
  <si>
    <t>동행자 속도에 맞춰 이동하고 위험 구역 앞에서 부모와 동생를 기다림</t>
  </si>
  <si>
    <t>7/10 – 제한시간·안전 경로 폭·장애물 발생 주기가 난이도를 결정함</t>
  </si>
  <si>
    <t>수거 대상 반짝임과 상호작용 범위를 크게 설정</t>
  </si>
  <si>
    <t>쓰레기 사이에 섞인 작은 반지 발견 후 획득</t>
  </si>
  <si>
    <t>구매 대상·수량·결제 순서를 잘못 선택할 수 있음</t>
  </si>
  <si>
    <t>대화 종료 후 핵심 내용을 화면 한쪽에 요약 표시</t>
  </si>
  <si>
    <t>오분류 5회 누적 시 해당 분류 단계 재시작</t>
  </si>
  <si>
    <t>일정 시간 정체 시 목적지 방향 화살표 표시</t>
  </si>
  <si>
    <t>1/10 – 연출 길이와 정보량이 난이도를 결정함</t>
  </si>
  <si>
    <t>재고가 모두 소진되면 직전 체크포인트에서 재시도</t>
  </si>
  <si>
    <t>선택 직전 핵심 상황을 한 문장으로 다시 표시</t>
  </si>
  <si>
    <t>오답 3회 시 트럭 등장 연출부터 다시 확인</t>
  </si>
  <si>
    <t>비어 있는 진열칸과 손글씨 품절 안내 조사 완료</t>
  </si>
  <si>
    <t>대상 등장 직전 효과음과 화면 가장자리 표시</t>
  </si>
  <si>
    <t>플라스틱·캔·종이 10개 전부 올바르게 분류</t>
  </si>
  <si>
    <t>재고가 남아 있을 때 목표 상품 상호작용 성공</t>
  </si>
  <si>
    <t>동생이 부탁한 중고 물품 구매 후 인벤토리에 등록</t>
  </si>
  <si>
    <t>필수 대상 위에 짧은 시선 유도 아이콘 표시</t>
  </si>
  <si>
    <t>아이가 쓰레기에 걸려 넘어질 뻔한 장면 목격하기</t>
  </si>
  <si>
    <t>공원 관리함의 집게와 봉투 발견 및 조사 완료</t>
  </si>
  <si>
    <t>편의점 안 신상 과자 진열대 발견 및 조사 완료</t>
  </si>
  <si>
    <t>오답 2회 후 확인하지 않은 단서 목록 표시</t>
  </si>
  <si>
    <t>대상과 6초 이상 거리 초과 시 추격 구간 재시작</t>
  </si>
  <si>
    <t>미완료 구역과 오류 수량을 별도 UI로 표시</t>
  </si>
  <si>
    <t>의뢰 NPC 머리 위에 약한 대화 아이콘 표시</t>
  </si>
  <si>
    <t>단서에 일반 쓰레기와 다른 약한 빛 효과 적용</t>
  </si>
  <si>
    <t>오답 NPC 선택 시 전달이 취소되고 다시 선택</t>
  </si>
  <si>
    <t>지하철역에서 축제 종료 공원의 도착 트리거에 진입</t>
  </si>
  <si>
    <t>동생이 지정한 팝콘 구매 후 인벤토리에 등록</t>
  </si>
  <si>
    <t>7/10 – 제한시간·우회로 길이·동행 인원·붕괴 주기가 난이도를 결정함</t>
  </si>
  <si>
    <t>적 이동 소리와 순찰 경로를 확인해 소리에 반응하는 환영체를 피하며 이동함</t>
  </si>
  <si>
    <t>3/10 – 등장 인물 수·장면 전환 속도·결과 연결성이 난이도를 결정함</t>
  </si>
  <si>
    <t>대화에서 정한 담당 구역을 확인하고 서로 다른 공원 구역를 순서대로 처리함</t>
  </si>
  <si>
    <t>확인 문구와 지금까지의 결과를 검토한 뒤 균열과 함께 소멸하는 선택을 실행함</t>
  </si>
  <si>
    <t>임무 결과·인원·특이사항을 확인하고 구조 인원과 현장 상태를 순서대로 보고함</t>
  </si>
  <si>
    <t>9/10 – 누적 속도·감소 수단·제한시간·체력 회복량이 난이도를 결정함</t>
  </si>
  <si>
    <t>7/10 – 붕괴 속도·통로 폭·왜곡 강도·체크포인트 간격이 난이도를 결정함</t>
  </si>
  <si>
    <t>중학생이 잃어버린 반지의 흔적의 형태와 주변 대사를 확인하고 별도 조사함</t>
  </si>
  <si>
    <t>기록·기억·균열 반응을 비교해 차한해가 균열에서 태어난 존재라는 사실을 확인함</t>
  </si>
  <si>
    <t>6/10 – 요구 인물 수·대사 강도·선택지의 감정적 부담이 난이도를 결정함</t>
  </si>
  <si>
    <t>반복되는 핵심 문구를 확인하며 귀환을 요청하는 한도윤의 마지막 대화를 진행함</t>
  </si>
  <si>
    <t>표지판·미니맵·NPC 이동 방향을 확인하며 공원에서 분리수거장까지 이동함</t>
  </si>
  <si>
    <t>주인공의 기억과 친구의 상태를 확인하고 처치 대신 포옹하는 선택을 실행함</t>
  </si>
  <si>
    <t>7/10 – 목표 수량·배치 거리·위험 주기·이동 지형이 난이도를 결정함</t>
  </si>
  <si>
    <t>4/10 – 구역 수·동료 행동 예측 가능성·이동 동선이 난이도를 결정함</t>
  </si>
  <si>
    <t>마지막 목격 위치와 반짝임 주기를 이용해 쓰레기 사이에 섞인 작은 반지를 찾음</t>
  </si>
  <si>
    <t>안내되는 타이밍에 상호작용해 선의가 고갈된 친구의 변이 수치를 단계적으로 낮춤</t>
  </si>
  <si>
    <t>반지에 묻은 흙·신발 자국·가방 스티커를 비교해 중학생이 지나간 경로를 좁힘</t>
  </si>
  <si>
    <t>자료와 대화를 확인해 주인공만 진입 가능한 대형 균열의 목적과 위험을 이해함</t>
  </si>
  <si>
    <t>재질·오염 여부·남은 내용물을 확인하고 일반쓰레기 8개를 올바른 수거함에 넣음</t>
  </si>
  <si>
    <t>구역별 표지와 상품 외형을 비교하며 관리실·음악실·방송실의 열쇠 후보를 조사함</t>
  </si>
  <si>
    <t>7/10 – 가짜 신호 수·방향 변화 빈도·이동 거리의 차이가 난이도를 결정함</t>
  </si>
  <si>
    <t>8/10 – 잔류 패턴 수·안전 구간 길이·필요 접근 횟수가 난이도를 결정함</t>
  </si>
  <si>
    <t>4/10 – 입력 타이밍·유지 시간·실패 시 초기화 범위가 난이도를 결정함</t>
  </si>
  <si>
    <t>5/10 – 반격 가능 시간·연속 입력 수·실패 시 피해량이 난이도를 결정함</t>
  </si>
  <si>
    <t>반복되는 사물과 대사를 기준으로 주인공의 탄생과 가족의 기억의 순서를 맞춤</t>
  </si>
  <si>
    <t>3/10 – 정보의 불완전성·결과 예측 가능성·감정적 부담이 난이도를 결정함</t>
  </si>
  <si>
    <t>괴물의 몸동작과 바닥 경고 아이콘을 함께 보고 공격 방향과 범위를 판단해야 함</t>
  </si>
  <si>
    <t>8/10 – 단서 수·추론 단계·오답 페널티·초기화 범위가 난이도를 결정함</t>
  </si>
  <si>
    <t>7/10 – 단서 수·추론 단계·오답 페널티·초기화 범위가 난이도를 결정함</t>
  </si>
  <si>
    <t>공식 명령과 주인공의 생존 가능성이 충돌해 목표를 단순히 받아들이기 어려움</t>
  </si>
  <si>
    <t>회피 직후 너무 빠르거나 늦게 조준하면 반격 기회를 놓치거나 추가 피해를 받음</t>
  </si>
  <si>
    <t>상자의 줄무늬·색 띠·배송 코드를 순서대로 기억해 편의점 재입고 상자를 판별함</t>
  </si>
  <si>
    <t>경보 주기와 무관하게 반응하는 물체를 비교해 부러진 주차 차단기 막대를 찾아냄</t>
  </si>
  <si>
    <t>고정된 빛 표식과 바닥 파동을 기준으로 왜곡된 진입 통로의 통로를 통과함</t>
  </si>
  <si>
    <t>2/10 – 조사 대상의 크기·배경과의 대비·상호작용 범위가 난이도를 결정함</t>
  </si>
  <si>
    <t>비상등과 차량 경보가 반복되어 탐지기 반응과 보랏빛 잔광을 구분하기 어려움</t>
  </si>
  <si>
    <t>훈련 표적에 총알 3발을 명중한 뒤 공격 예고에 맞춰 회피를 2회 성공함</t>
  </si>
  <si>
    <t>7/10 – 적 간격·공격 방향·넉백 거리·연속 공격 타이밍이 난이도를 결정함</t>
  </si>
  <si>
    <t>9/10 – 환영 수·가짜 단서의 설득력·자아 마모도 누적량이 난이도를 결정함</t>
  </si>
  <si>
    <t>3/10 – 조준 이동속도·사격 후 경직·회피 허용 시간이 난이도를 결정함</t>
  </si>
  <si>
    <t>붕괴 예고와 고정 표식을 보며 붕괴하는 균열 통로까지 짧은 구간 단위로 이동함</t>
  </si>
  <si>
    <t>6/10 – 통로 폭·돌진 속도·경적 재사용 시간·시민 위치가 난이도를 결정함</t>
  </si>
  <si>
    <t>가장 안전한 경로를 정하고 주인공이 지키고 싶었던 사람들의 기억 5개를 회수함</t>
  </si>
  <si>
    <t>1/10 – 조사 대상의 크기·배경과의 대비·상호작용 범위가 난이도를 결정함</t>
  </si>
  <si>
    <t>4/10 – 방향 전환 빈도·장애물 배치·포획 가능 시간이 난이도를 결정함</t>
  </si>
  <si>
    <t>강한 공격을 회피한 뒤 경직 표시가 유지되는 동안 조준 사격을 2회 성공함</t>
  </si>
  <si>
    <t>안전 구역을 확보하고 약점 노출 때 집중 공격해 균열 심층부 수호체를 처치함</t>
  </si>
  <si>
    <t>3/10 – 표식 노출 시간·유사 표식 수·기억해야 할 순서가 난이도를 결정함</t>
  </si>
  <si>
    <t>관리국은 시민 구조보다 괴물 제압 영상을 우선 요구하며 임무 목적이 충돌함</t>
  </si>
  <si>
    <t>표지판·미니맵·NPC 이동 방향을 확인하며 도시에서 대형 균열 중심까지 이동함</t>
  </si>
  <si>
    <t>한꺼번에 들어온 쓰레기로 컨베이어가 막히고 오염물이 다른 분류함으로 번짐</t>
  </si>
  <si>
    <t>위험 주기를 피하며 가까운 순서로 균열 내부에 흩어진 선의 조각 8개를 수집함</t>
  </si>
  <si>
    <t>1/10 – 동시에 제시되는 조작 수와 입력 허용 시간이 난이도를 결정함</t>
  </si>
  <si>
    <t>6/10 – 경고 주기·접근 가능 시간·상호작용 지속시간이 난이도를 결정함</t>
  </si>
  <si>
    <t>9/10 – 충격파 주기·안전 지점 거리·필요 접근 횟수가 난이도를 결정함</t>
  </si>
  <si>
    <t>5/10 – 접근 제한시간·고정핀 순서·사격과 상호작용 전환이 난이도를 결정함</t>
  </si>
  <si>
    <t>돌풍이 불 때마다 비닐봉지의 방향이 바뀌고 사람과 벤치가 이동 경로를 막음</t>
  </si>
  <si>
    <t>조준 중 이동속도가 낮아지고 사격 후 회피 입력 타이밍을 처음 익혀야 함</t>
  </si>
  <si>
    <t>체력·회피·탄창 UI를 확인하고 지급 총의 조준과 재장전 방식을 순서대로 익힘</t>
  </si>
  <si>
    <t>4/10 – 콤보 유지 시간·쓰레기 간 거리·오분류 페널티가 난이도를 결정함</t>
  </si>
  <si>
    <t>5/10 – 동시 등장 수·오염 확산 속도·우선순위 판단이 난이도를 결정함</t>
  </si>
  <si>
    <t>좁은 차량 사이에서는 회피 공간이 부족하고 경보음이 괴물의 돌진 방향을 바꿈</t>
  </si>
  <si>
    <t>장비 칸이 제한되어 탐색 장비와 공명 탐지기·회복품을 모두 챙길 수 없음</t>
  </si>
  <si>
    <t>5/10 – 장애물 밀도·트럭과의 거리·지름길 선택 시간이 난이도를 결정함</t>
  </si>
  <si>
    <t>탐지기 반응과 발자국 크기·끌린 자국을 비교해 최근에 생긴 흔적만 골라 이동함</t>
  </si>
  <si>
    <t>목표 제압 36 / 피격·자원 관리 20 / 패턴 대응 16 / 완료 시간 8</t>
  </si>
  <si>
    <t>청소 콤보 유지하기</t>
  </si>
  <si>
    <t>명중 1회 약 14초</t>
  </si>
  <si>
    <t>누적 플레이 시간</t>
  </si>
  <si>
    <t>목표 달성 조건</t>
  </si>
  <si>
    <t>1부터 연속 넘버링</t>
  </si>
  <si>
    <t>구체적 판정 조건</t>
  </si>
  <si>
    <t>필요한 경우 작성</t>
  </si>
  <si>
    <t>S (100%)</t>
  </si>
  <si>
    <t>예상 기준 (미들)</t>
  </si>
  <si>
    <t>우리 게임 적용 기준</t>
  </si>
  <si>
    <t>예상 소요 시간</t>
  </si>
  <si>
    <t>컨텐츠 제시순서</t>
  </si>
  <si>
    <t>콘텐츠 진행 순서</t>
  </si>
  <si>
    <t>최소 50개 이상</t>
  </si>
  <si>
    <t>구체적 플레이 절차</t>
  </si>
  <si>
    <t>1 | 동생 심부름</t>
  </si>
  <si>
    <t>난이도 조절 요소</t>
  </si>
  <si>
    <t>교탁 비밀칸 해제하기</t>
  </si>
  <si>
    <t>최고 방해요인 난이도</t>
  </si>
  <si>
    <t>임시 대피소 도착하기</t>
  </si>
  <si>
    <t>다이소로 이동하기</t>
  </si>
  <si>
    <t>3-B | 대피 경로</t>
  </si>
  <si>
    <t>이동 조작 안내 확인</t>
  </si>
  <si>
    <t>최고 조작난이도</t>
  </si>
  <si>
    <t>선의 측정 받기</t>
  </si>
  <si>
    <t>1-B | 편의점</t>
  </si>
  <si>
    <t>선의관리국 안내 듣기</t>
  </si>
  <si>
    <t>평균 조작난이도</t>
  </si>
  <si>
    <t>난이도 보정 컨텐츠</t>
  </si>
  <si>
    <t>방해요인의 난이도</t>
  </si>
  <si>
    <t>한도윤과 합류하기</t>
  </si>
  <si>
    <t>예상 플레이타임</t>
  </si>
  <si>
    <t>이웃 주민 구조하기</t>
  </si>
  <si>
    <t>현관으로 이동하기</t>
  </si>
  <si>
    <t>품절 안내 조사하기</t>
  </si>
  <si>
    <t>집 밖으로 나가기</t>
  </si>
  <si>
    <t>현관문 조사 완료</t>
  </si>
  <si>
    <t>편의점으로 이동하기</t>
  </si>
  <si>
    <t>1-D | 영화관</t>
  </si>
  <si>
    <t>1-C | 다이소</t>
  </si>
  <si>
    <t>신상 과자 구매하기</t>
  </si>
  <si>
    <t>1-F | 지하철역</t>
  </si>
  <si>
    <t>지하철역으로 이동하기</t>
  </si>
  <si>
    <t>선택지 1개 확정</t>
  </si>
  <si>
    <t>분리수거 완료하기</t>
  </si>
  <si>
    <t>헤어롤 진열대 찾기</t>
  </si>
  <si>
    <t>첫 쓰레기 줍기</t>
  </si>
  <si>
    <t>영화관으로 이동하기</t>
  </si>
  <si>
    <t>헤어롤 구매하기</t>
  </si>
  <si>
    <t>사건 연출 종료</t>
  </si>
  <si>
    <t>한도윤과 대화하기</t>
  </si>
  <si>
    <t>2 | 공원 청소</t>
  </si>
  <si>
    <t>우정 반지 찾기</t>
  </si>
  <si>
    <t>청소 도구 찾기</t>
  </si>
  <si>
    <t>재활용품 분류하기</t>
  </si>
  <si>
    <t>필수 단서 모두 조사</t>
  </si>
  <si>
    <t>일반쓰레기 분류하기</t>
  </si>
  <si>
    <t>2-D | 귀가·밤</t>
  </si>
  <si>
    <t>3 | 재난 대응</t>
  </si>
  <si>
    <t>남은 쓰레기 확인하기</t>
  </si>
  <si>
    <t>1-G | 공원 진입</t>
  </si>
  <si>
    <t>중고 거래자 찾기</t>
  </si>
  <si>
    <t>2-B | 분리수거장</t>
  </si>
  <si>
    <t>집으로 귀가하기</t>
  </si>
  <si>
    <t>중고 거래 완료하기</t>
  </si>
  <si>
    <t>동생 연락 받기</t>
  </si>
  <si>
    <t>강당 열쇠 찾기</t>
  </si>
  <si>
    <t>아군 환영 구분하기</t>
  </si>
  <si>
    <t>친구를 포옹하기</t>
  </si>
  <si>
    <t>5-B | 균열 내부</t>
  </si>
  <si>
    <t>강당에 진입하기</t>
  </si>
  <si>
    <t>5 | 균열의 진실</t>
  </si>
  <si>
    <t>친구에게 다가가기</t>
  </si>
  <si>
    <t>진짜 동료 전원 선택</t>
  </si>
  <si>
    <t>과거 기억 재생하기</t>
  </si>
  <si>
    <t>2-C | 균열 발생</t>
  </si>
  <si>
    <t>비상 물품 챙기기</t>
  </si>
  <si>
    <t>정답 순서 완성</t>
  </si>
  <si>
    <t>포옹 상호작용 완료</t>
  </si>
  <si>
    <t>가족들 대피시키기</t>
  </si>
  <si>
    <t>균열 발생을 목격하기</t>
  </si>
  <si>
    <t>최종 브리핑 종료</t>
  </si>
  <si>
    <t>균열 내부에 진입하기</t>
  </si>
  <si>
    <t>최종 선택 실행하기</t>
  </si>
  <si>
    <t>선의 조각 수집하기</t>
  </si>
  <si>
    <t>엔딩 크레딧 감상하기</t>
  </si>
  <si>
    <t>필수 기억 전부 회수</t>
  </si>
  <si>
    <t>모든 봉인 조건 해제</t>
  </si>
  <si>
    <t>정문 봉인 해제하기</t>
  </si>
  <si>
    <t>균열 핵과 동기화하기</t>
  </si>
  <si>
    <t>출생의 진실 확인하기</t>
  </si>
  <si>
    <t>폐교에서 탈출하기</t>
  </si>
  <si>
    <t>최종 선택지 확정</t>
  </si>
  <si>
    <t>압박 대화 전부 확인</t>
  </si>
  <si>
    <t>필수 자원 전부 수집</t>
  </si>
  <si>
    <t>균열 핵에 접근하기</t>
  </si>
  <si>
    <t>마지막 기억 회수하기</t>
  </si>
  <si>
    <t>소멸 선택지 확인하기</t>
  </si>
  <si>
    <t>고립 시민 찾기</t>
  </si>
  <si>
    <t>4-B | 폐교 정문</t>
  </si>
  <si>
    <t>폐교 조사 명령 받기</t>
  </si>
  <si>
    <t>튜토리얼(보상 없음)</t>
  </si>
  <si>
    <t>시민 대피 유도하기</t>
  </si>
  <si>
    <t>필수 부탁 전부 완료</t>
  </si>
  <si>
    <t>영웅화 보도 확인하기</t>
  </si>
  <si>
    <t>폐교 정문에 도착하기</t>
  </si>
  <si>
    <t>성장 시간 미산정</t>
  </si>
  <si>
    <t>환영체 회피하기</t>
  </si>
  <si>
    <t>본관 1층 탐색하기</t>
  </si>
  <si>
    <t>제안 대화 종료</t>
  </si>
  <si>
    <t>4-A | 출동 준비</t>
  </si>
  <si>
    <t>명령 브리핑 종료</t>
  </si>
  <si>
    <t>조사 장비 수령하기</t>
  </si>
  <si>
    <t>측정 절차 모두 완료</t>
  </si>
  <si>
    <t>4 | 폐교 탐색</t>
  </si>
  <si>
    <t>임무 수락 선택 완료</t>
  </si>
  <si>
    <t>다음 출동 준비하기</t>
  </si>
  <si>
    <t>상호작용 직전 공격 버튼 안내를 숨기고 선택 문구 강조</t>
  </si>
  <si>
    <t>다단계 패턴·환경 공격·자아 마모도 관리가 동시에 요구됨</t>
  </si>
  <si>
    <t>공간 왜곡으로 이동 방향과 상호작용 위치가 계속 바뀜</t>
  </si>
  <si>
    <t>긴 크레딧 중 추가 장면과 기록이 삽입되어 놓칠 수 있음</t>
  </si>
  <si>
    <t>체력·탄약·회피·조준 표시 4개 확인 및 지급 총 장착</t>
  </si>
  <si>
    <t>탄환 명중 3회, 피해량·경직량 비교, 무기 한계 확인</t>
  </si>
  <si>
    <t>탄약 소진 시 관리국 드론이 시험 탄창을 1회 보급</t>
  </si>
  <si>
    <t>첫 반격 가능 구간에서 짧게 정지하고 입력 아이콘을 표시</t>
  </si>
  <si>
    <t>관리국의 공식 목표와 주인공이 느끼는 개인적 목적이 다름</t>
  </si>
  <si>
    <t>시민 구역 진입 또는 체력 0 시 체크포인트 재시작</t>
  </si>
  <si>
    <t>주인공 체력 0 시 철제 지지봉 획득 직후부터 재시작</t>
  </si>
  <si>
    <t>경고 시간 안에 복귀하지 못하면 승강장 체크포인트 재시작</t>
  </si>
  <si>
    <t>브리핑 종료 후 구조 목표와 홍보 목표를 분리 표시</t>
  </si>
  <si>
    <t>거짓 환영 4개 해제 및 자아 마모도 기준 이하 유지</t>
  </si>
  <si>
    <t>작은 목표가 연속으로 추가되어 피로와 동선 낭비가 누적됨</t>
  </si>
  <si>
    <t>이전에 수집한 기록을 선택 화면에서 다시 열람 가능</t>
  </si>
  <si>
    <t>관리실·음악실·방송실의 열쇠 후보 발견 및 조사 완료</t>
  </si>
  <si>
    <t>손전등과 안전한 발판을 확인하며 붕괴된 계단을 통과함</t>
  </si>
  <si>
    <t>여러 단서를 조합해 입력 순서나 의미를 추론해야 함</t>
  </si>
  <si>
    <t>보스가 공격을 멈추더라도 잔류 패턴과 화면 왜곡이 계속됨</t>
  </si>
  <si>
    <t>브리핑 종료 후 공식 목표와 개인 목표를 분리 표시</t>
  </si>
  <si>
    <t>3/10 – 규칙 설명량·연출 가시성이 난이도를 결정함</t>
  </si>
  <si>
    <t>연속 발각 3회 또는 체력 0 시 체크포인트 재시작</t>
  </si>
  <si>
    <t>여러 장치와 열쇠 조건을 올바른 순서로 충족해야 함</t>
  </si>
  <si>
    <t>오탐 후 경보와 동기화된 가짜 반응을 회색으로 표시</t>
  </si>
  <si>
    <t>실패 2회 후 대상 속도 감소 및 경로 화살표 표시</t>
  </si>
  <si>
    <t>상하좌우 이동과 조사 키를 안내 순서대로 모두 수행</t>
  </si>
  <si>
    <t>기억 재생 중 상호작용 가능한 순간에 보랏빛 잔광을 확대</t>
  </si>
  <si>
    <t>재시도 시 착지 예상 범위를 넓히고 첫 반사 궤적을 표시</t>
  </si>
  <si>
    <t>대화 속에 다음 목적지와 필요한 물품 정보가 섞여 있음</t>
  </si>
  <si>
    <t>일반 농구공을 집으면 보스의 추적 속도가 잠시 증가</t>
  </si>
  <si>
    <t>2/10 – 대상 가시성·입력 단계 수가 난이도를 결정함</t>
  </si>
  <si>
    <t>수거 대상과 배경 장식의 차이를 처음에는 구별하기 어려움</t>
  </si>
  <si>
    <t>30초 이상 미발견 시 목표 구역에 약한 반짝임 표시</t>
  </si>
  <si>
    <t>오답 후보 선택 시 경계 대사가 출력되고 다시 선택</t>
  </si>
  <si>
    <t>손전등·공명 탐지기·회복품이 포함된 상태로 준비 완료</t>
  </si>
  <si>
    <t>추격 대상·동행 NPC·위협체 등 상대 캐릭터의 이동속도</t>
  </si>
  <si>
    <t>주인공 주변의 상호작용 표시를 확인하고 조사 키를 누름</t>
  </si>
  <si>
    <t>손전등과 안전한 발판을 확인하며 정전된 계단을 통과함</t>
  </si>
  <si>
    <t>A와 B의 속도 차이가 추격·호위·회피 난이도를 결정</t>
  </si>
  <si>
    <t>플레이어 또는 해당 행에서 주체가 되는 캐릭터의 이동속도</t>
  </si>
  <si>
    <t>실패 후 괴물 경직 시간을 늘리고 다음 고정핀을 강조</t>
  </si>
  <si>
    <t>1/10 – 상호작용 대상의 명확성이 난이도를 결정함</t>
  </si>
  <si>
    <t>트럭과의 추적 거리 게이지를 유지한 채 편의점 후문 도착</t>
  </si>
  <si>
    <t>점수 평가 대상 아님(서사·단순 이동·기초 튜토리얼)</t>
  </si>
  <si>
    <t>거리 게이지가 0이 되면 골목 입구 체크포인트에서 재시작</t>
  </si>
  <si>
    <t>좁은 통로·어두운 조명·장애물로 이동 경로가 제한됨</t>
  </si>
  <si>
    <t>수거 8개, 단서 5개, 대화 1회, 보스 패턴 6회 등</t>
  </si>
  <si>
    <t>90초 이상 미발견 시 탐색 범위를 단계적으로 축소</t>
  </si>
  <si>
    <t>의뢰 대사와 위치를 확인한 뒤 반지의 주인에게 전달함</t>
  </si>
  <si>
    <t>동행 NPC가 위험 구역에 8초 이상 고립되면 재시작</t>
  </si>
  <si>
    <t>후보 수, 맵 크기, 속도 차이, 제한시간, 패턴 수 등</t>
  </si>
  <si>
    <t>실패가 존재하는 경우 재시작·페널티가 발생하는 조건</t>
  </si>
  <si>
    <t>※ 사용자별 시간은 기획 추정치이며 테스트 결과가 아님</t>
  </si>
  <si>
    <t>다음 날로 넘어가는 상호작용임을 알아차리지 못할 수 있음</t>
  </si>
  <si>
    <t>내용물이 남거나 오염된 쓰레기 6개 전부 올바르게 분류</t>
  </si>
  <si>
    <t>이동거리·미션개수·대사량·재시도 가능성을 함께 고려</t>
  </si>
  <si>
    <t>위험 잔해를 먼저 제거하면 체력 감소 및 진행 지연</t>
  </si>
  <si>
    <t>체력 0 또는 연속 피격 4회 시 체크포인트 재시작</t>
  </si>
  <si>
    <t>제한시간 종료 시 가장 가까운 체크포인트에서 재시작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</si>
</sst>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"/>
  </numFmts>
  <fonts count="10">
    <font>
      <sz val="11"/>
      <color rgb="FF000000"/>
      <name val="Carlito"/>
    </font>
    <font>
      <sz val="11"/>
      <color rgb="FF000000"/>
      <name val="Carlito"/>
    </font>
    <font>
      <b/>
      <sz val="16"/>
      <color rgb="FF000000"/>
      <name val="Carlito"/>
    </font>
    <font>
      <sz val="10"/>
      <color rgb="FF000000"/>
      <name val="Carlito"/>
    </font>
    <font>
      <sz val="11"/>
      <color rgb="FF000000"/>
      <name val="맑은 고딕"/>
      <family val="3"/>
      <charset val="129"/>
    </font>
    <font>
      <b/>
      <sz val="9"/>
      <color rgb="FF334155"/>
      <name val="Carlito"/>
    </font>
    <font>
      <b/>
      <sz val="10"/>
      <color rgb="FF334155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0"/>
      <color rgb="FFFFFFFF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334E68"/>
        <bgColor indexed="64"/>
      </patternFill>
    </fill>
  </fills>
  <borders count="15">
    <border>
      <left/>
      <right/>
      <top/>
      <bottom/>
      <diagonal/>
    </border>
    <border>
      <left style="thin">
        <color rgb="FFC8D1DC"/>
      </left>
      <right/>
      <top style="thin">
        <color rgb="FFC8D1DC"/>
      </top>
      <bottom/>
      <diagonal/>
    </border>
    <border>
      <left/>
      <right/>
      <top style="thin">
        <color rgb="FFC8D1DC"/>
      </top>
      <bottom/>
      <diagonal/>
    </border>
    <border>
      <left/>
      <right style="thin">
        <color rgb="FFC8D1DC"/>
      </right>
      <top style="thin">
        <color rgb="FFC8D1DC"/>
      </top>
      <bottom/>
      <diagonal/>
    </border>
    <border>
      <left style="thin">
        <color rgb="FFC8D1DC"/>
      </left>
      <right/>
      <top/>
      <bottom/>
      <diagonal/>
    </border>
    <border>
      <left/>
      <right style="thin">
        <color rgb="FFC8D1DC"/>
      </right>
      <top/>
      <bottom/>
      <diagonal/>
    </border>
    <border>
      <left style="thin">
        <color rgb="FFC8D1DC"/>
      </left>
      <right/>
      <top/>
      <bottom style="thin">
        <color rgb="FFC8D1DC"/>
      </bottom>
      <diagonal/>
    </border>
    <border>
      <left/>
      <right/>
      <top/>
      <bottom style="thin">
        <color rgb="FFC8D1DC"/>
      </bottom>
      <diagonal/>
    </border>
    <border>
      <left/>
      <right style="thin">
        <color rgb="FFC8D1DC"/>
      </right>
      <top/>
      <bottom style="thin">
        <color rgb="FFC8D1DC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>
      <alignment vertical="center"/>
    </xf>
  </cellStyleXfs>
  <cellXfs count="68">
    <xf numFmtId="0" fontId="0" fillId="0" borderId="0" xfId="0" applyNumberFormat="1" applyAlignment="1"/>
    <xf numFmtId="0" fontId="0" fillId="0" borderId="0" xfId="2" applyNumberFormat="1" applyFont="1" applyFill="1" applyBorder="1" applyAlignment="1">
      <alignment vertical="top" wrapText="1"/>
    </xf>
    <xf numFmtId="0" fontId="0" fillId="0" borderId="1" xfId="2" applyNumberFormat="1" applyFont="1" applyFill="1" applyBorder="1" applyAlignment="1">
      <alignment vertical="top" wrapText="1"/>
    </xf>
    <xf numFmtId="0" fontId="0" fillId="0" borderId="2" xfId="2" applyNumberFormat="1" applyFont="1" applyFill="1" applyBorder="1" applyAlignment="1">
      <alignment vertical="top" wrapText="1"/>
    </xf>
    <xf numFmtId="0" fontId="0" fillId="0" borderId="3" xfId="2" applyNumberFormat="1" applyFont="1" applyFill="1" applyBorder="1" applyAlignment="1">
      <alignment vertical="top" wrapText="1"/>
    </xf>
    <xf numFmtId="0" fontId="0" fillId="0" borderId="4" xfId="2" applyNumberFormat="1" applyFont="1" applyFill="1" applyBorder="1" applyAlignment="1">
      <alignment vertical="top" wrapText="1"/>
    </xf>
    <xf numFmtId="0" fontId="0" fillId="0" borderId="5" xfId="2" applyNumberFormat="1" applyFont="1" applyFill="1" applyBorder="1" applyAlignment="1">
      <alignment vertical="top" wrapText="1"/>
    </xf>
    <xf numFmtId="0" fontId="0" fillId="0" borderId="6" xfId="2" applyNumberFormat="1" applyFont="1" applyFill="1" applyBorder="1" applyAlignment="1">
      <alignment vertical="top" wrapText="1"/>
    </xf>
    <xf numFmtId="0" fontId="0" fillId="0" borderId="7" xfId="2" applyNumberFormat="1" applyFont="1" applyFill="1" applyBorder="1" applyAlignment="1">
      <alignment vertical="top" wrapText="1"/>
    </xf>
    <xf numFmtId="0" fontId="0" fillId="0" borderId="8" xfId="2" applyNumberFormat="1" applyFont="1" applyFill="1" applyBorder="1" applyAlignment="1">
      <alignment vertical="top" wrapText="1"/>
    </xf>
    <xf numFmtId="0" fontId="0" fillId="0" borderId="1" xfId="2" applyNumberFormat="1" applyFont="1" applyFill="1" applyBorder="1"/>
    <xf numFmtId="0" fontId="0" fillId="0" borderId="2" xfId="2" applyNumberFormat="1" applyFont="1" applyFill="1" applyBorder="1"/>
    <xf numFmtId="0" fontId="0" fillId="0" borderId="3" xfId="2" applyNumberFormat="1" applyFont="1" applyFill="1" applyBorder="1"/>
    <xf numFmtId="0" fontId="0" fillId="0" borderId="4" xfId="2" applyNumberFormat="1" applyFont="1" applyFill="1" applyBorder="1"/>
    <xf numFmtId="0" fontId="0" fillId="0" borderId="0" xfId="2" applyNumberFormat="1" applyFont="1" applyFill="1" applyBorder="1"/>
    <xf numFmtId="0" fontId="0" fillId="0" borderId="5" xfId="2" applyNumberFormat="1" applyFont="1" applyFill="1" applyBorder="1"/>
    <xf numFmtId="0" fontId="0" fillId="0" borderId="6" xfId="2" applyNumberFormat="1" applyFont="1" applyFill="1" applyBorder="1"/>
    <xf numFmtId="0" fontId="0" fillId="0" borderId="7" xfId="2" applyNumberFormat="1" applyFont="1" applyFill="1" applyBorder="1"/>
    <xf numFmtId="0" fontId="0" fillId="0" borderId="8" xfId="2" applyNumberFormat="1" applyFont="1" applyFill="1" applyBorder="1"/>
    <xf numFmtId="176" fontId="0" fillId="0" borderId="2" xfId="2" applyNumberFormat="1" applyFont="1" applyFill="1" applyBorder="1"/>
    <xf numFmtId="176" fontId="0" fillId="0" borderId="0" xfId="2" applyNumberFormat="1" applyFont="1" applyFill="1" applyBorder="1"/>
    <xf numFmtId="176" fontId="0" fillId="0" borderId="7" xfId="2" applyNumberFormat="1" applyFont="1" applyFill="1" applyBorder="1"/>
    <xf numFmtId="0" fontId="2" fillId="2" borderId="0" xfId="3" applyNumberFormat="1" applyFont="1" applyFill="1" applyAlignment="1"/>
    <xf numFmtId="0" fontId="1" fillId="0" borderId="0" xfId="3" applyNumberFormat="1" applyAlignment="1"/>
    <xf numFmtId="0" fontId="3" fillId="2" borderId="0" xfId="3" applyNumberFormat="1" applyFont="1" applyFill="1" applyAlignment="1">
      <alignment wrapText="1"/>
    </xf>
    <xf numFmtId="0" fontId="4" fillId="0" borderId="0" xfId="3" applyNumberFormat="1" applyFont="1" applyAlignment="1"/>
    <xf numFmtId="0" fontId="5" fillId="0" borderId="0" xfId="1" applyNumberFormat="1" applyFont="1" applyAlignment="1">
      <alignment vertical="center"/>
    </xf>
    <xf numFmtId="0" fontId="5" fillId="0" borderId="0" xfId="1" applyNumberFormat="1" applyFont="1" applyAlignment="1">
      <alignment horizontal="left" vertical="center"/>
    </xf>
    <xf numFmtId="0" fontId="0" fillId="0" borderId="9" xfId="2" applyNumberFormat="1" applyFont="1" applyBorder="1" applyAlignment="1">
      <alignment vertical="center" wrapText="1"/>
    </xf>
    <xf numFmtId="0" fontId="5" fillId="0" borderId="9" xfId="2" applyNumberFormat="1" applyFont="1" applyBorder="1" applyAlignment="1">
      <alignment vertical="center" wrapText="1"/>
    </xf>
    <xf numFmtId="0" fontId="5" fillId="0" borderId="9" xfId="1" applyNumberFormat="1" applyFont="1" applyBorder="1" applyAlignment="1">
      <alignment horizontal="left" vertical="center" wrapText="1"/>
    </xf>
    <xf numFmtId="0" fontId="5" fillId="0" borderId="10" xfId="2" applyNumberFormat="1" applyFont="1" applyBorder="1" applyAlignment="1">
      <alignment vertical="center" wrapText="1"/>
    </xf>
    <xf numFmtId="0" fontId="5" fillId="0" borderId="10" xfId="1" applyNumberFormat="1" applyFont="1" applyBorder="1" applyAlignment="1">
      <alignment horizontal="left" vertical="center" wrapText="1"/>
    </xf>
    <xf numFmtId="2" fontId="1" fillId="0" borderId="10" xfId="1" applyNumberFormat="1" applyFill="1" applyBorder="1" applyAlignment="1">
      <alignment horizontal="left" vertical="center" wrapText="1"/>
    </xf>
    <xf numFmtId="0" fontId="0" fillId="0" borderId="0" xfId="1" applyNumberFormat="1" applyFont="1" applyFill="1" applyBorder="1" applyAlignment="1"/>
    <xf numFmtId="0" fontId="0" fillId="0" borderId="1" xfId="1" applyNumberFormat="1" applyFont="1" applyFill="1" applyBorder="1" applyAlignment="1">
      <alignment vertical="top" wrapText="1"/>
    </xf>
    <xf numFmtId="0" fontId="5" fillId="0" borderId="0" xfId="1" applyNumberFormat="1" applyFont="1" applyFill="1" applyBorder="1" applyAlignment="1">
      <alignment vertical="center"/>
    </xf>
    <xf numFmtId="0" fontId="5" fillId="0" borderId="0" xfId="1" applyNumberFormat="1" applyFont="1" applyFill="1" applyBorder="1" applyAlignment="1">
      <alignment horizontal="left" vertical="center"/>
    </xf>
    <xf numFmtId="0" fontId="0" fillId="0" borderId="9" xfId="1" applyNumberFormat="1" applyFont="1" applyFill="1" applyBorder="1" applyAlignment="1">
      <alignment vertical="center" wrapText="1"/>
    </xf>
    <xf numFmtId="0" fontId="6" fillId="0" borderId="0" xfId="1" applyNumberFormat="1" applyFont="1" applyFill="1" applyBorder="1" applyAlignment="1">
      <alignment vertical="center"/>
    </xf>
    <xf numFmtId="0" fontId="7" fillId="0" borderId="0" xfId="1" applyNumberFormat="1" applyFont="1" applyFill="1" applyBorder="1" applyAlignment="1">
      <alignment vertical="center"/>
    </xf>
    <xf numFmtId="0" fontId="7" fillId="0" borderId="10" xfId="1" applyNumberFormat="1" applyFont="1" applyFill="1" applyBorder="1" applyAlignment="1">
      <alignment horizontal="left" vertical="center" wrapText="1"/>
    </xf>
    <xf numFmtId="0" fontId="7" fillId="0" borderId="0" xfId="3" applyNumberFormat="1" applyFont="1" applyFill="1" applyBorder="1" applyAlignment="1">
      <alignment horizontal="left" vertical="center"/>
    </xf>
    <xf numFmtId="1" fontId="7" fillId="0" borderId="10" xfId="1" applyNumberFormat="1" applyFont="1" applyFill="1" applyBorder="1" applyAlignment="1">
      <alignment horizontal="center" vertical="center" wrapText="1"/>
    </xf>
    <xf numFmtId="2" fontId="7" fillId="0" borderId="10" xfId="1" applyNumberFormat="1" applyFont="1" applyFill="1" applyBorder="1" applyAlignment="1">
      <alignment horizontal="center" vertical="center" wrapText="1"/>
    </xf>
    <xf numFmtId="0" fontId="7" fillId="0" borderId="10" xfId="1" applyNumberFormat="1" applyFont="1" applyFill="1" applyBorder="1" applyAlignment="1">
      <alignment horizontal="center" vertical="center" wrapText="1"/>
    </xf>
    <xf numFmtId="0" fontId="7" fillId="0" borderId="10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vertical="center" wrapText="1"/>
    </xf>
    <xf numFmtId="1" fontId="7" fillId="0" borderId="0" xfId="1" applyNumberFormat="1" applyFont="1" applyFill="1" applyBorder="1" applyAlignment="1">
      <alignment horizontal="center" vertical="center" wrapText="1"/>
    </xf>
    <xf numFmtId="2" fontId="7" fillId="0" borderId="0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 applyAlignment="1">
      <alignment horizontal="left" vertical="center" wrapText="1"/>
    </xf>
    <xf numFmtId="1" fontId="7" fillId="0" borderId="0" xfId="1" applyNumberFormat="1" applyFont="1" applyFill="1" applyBorder="1" applyAlignment="1">
      <alignment vertical="center" wrapText="1"/>
    </xf>
    <xf numFmtId="33" fontId="7" fillId="0" borderId="10" xfId="1" applyNumberFormat="1" applyFont="1" applyFill="1" applyBorder="1" applyAlignment="1">
      <alignment horizontal="left" vertical="center" wrapText="1"/>
    </xf>
    <xf numFmtId="33" fontId="7" fillId="0" borderId="0" xfId="1" applyNumberFormat="1" applyFont="1" applyFill="1" applyBorder="1" applyAlignment="1">
      <alignment horizontal="left" vertical="center" wrapText="1"/>
    </xf>
    <xf numFmtId="33" fontId="7" fillId="0" borderId="10" xfId="1" applyNumberFormat="1" applyFont="1" applyFill="1" applyBorder="1" applyAlignment="1">
      <alignment horizontal="center" vertical="center" wrapText="1"/>
    </xf>
    <xf numFmtId="33" fontId="7" fillId="0" borderId="0" xfId="1" applyNumberFormat="1" applyFont="1" applyFill="1" applyBorder="1" applyAlignment="1">
      <alignment horizontal="center" vertical="center" wrapText="1"/>
    </xf>
    <xf numFmtId="1" fontId="0" fillId="0" borderId="0" xfId="1" applyNumberFormat="1" applyFont="1" applyFill="1" applyBorder="1" applyAlignment="1"/>
    <xf numFmtId="2" fontId="1" fillId="0" borderId="10" xfId="1" applyNumberFormat="1" applyFill="1" applyBorder="1" applyAlignment="1">
      <alignment horizontal="left" vertical="center" wrapText="1"/>
    </xf>
    <xf numFmtId="33" fontId="7" fillId="0" borderId="0" xfId="1" applyNumberFormat="1" applyFont="1" applyFill="1" applyBorder="1" applyAlignment="1">
      <alignment vertical="center" wrapText="1"/>
    </xf>
    <xf numFmtId="0" fontId="9" fillId="4" borderId="0" xfId="3" applyNumberFormat="1" applyFont="1" applyFill="1" applyBorder="1" applyAlignment="1">
      <alignment horizontal="center" vertical="center"/>
    </xf>
    <xf numFmtId="0" fontId="9" fillId="4" borderId="0" xfId="3" applyNumberFormat="1" applyFont="1" applyFill="1" applyBorder="1" applyAlignment="1">
      <alignment horizontal="center" vertical="center" wrapText="1"/>
    </xf>
    <xf numFmtId="0" fontId="9" fillId="4" borderId="10" xfId="1" applyNumberFormat="1" applyFont="1" applyFill="1" applyBorder="1" applyAlignment="1">
      <alignment horizontal="center" vertical="center" wrapText="1"/>
    </xf>
    <xf numFmtId="0" fontId="9" fillId="4" borderId="11" xfId="1" applyNumberFormat="1" applyFont="1" applyFill="1" applyBorder="1" applyAlignment="1">
      <alignment horizontal="center" vertical="center" wrapText="1"/>
    </xf>
    <xf numFmtId="0" fontId="6" fillId="3" borderId="12" xfId="1" applyNumberFormat="1" applyFont="1" applyFill="1" applyBorder="1" applyAlignment="1">
      <alignment horizontal="center" vertical="center" wrapText="1"/>
    </xf>
    <xf numFmtId="0" fontId="6" fillId="3" borderId="13" xfId="1" applyNumberFormat="1" applyFont="1" applyFill="1" applyBorder="1" applyAlignment="1">
      <alignment horizontal="center" vertical="center" wrapText="1"/>
    </xf>
    <xf numFmtId="0" fontId="6" fillId="3" borderId="14" xfId="1" applyNumberFormat="1" applyFont="1" applyFill="1" applyBorder="1" applyAlignment="1">
      <alignment horizontal="center" vertical="center" wrapText="1"/>
    </xf>
  </cellXfs>
  <cellStyles count="4">
    <cellStyle name="Normal" xfId="2"/>
    <cellStyle name="표준" xfId="0" builtinId="0"/>
    <cellStyle name="표준 2" xfId="3"/>
    <cellStyle name="표준 3" xfId="1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Normal Style 1 - Accent 1" defaultPivotStyle="Light Style 1 - Accent 1">
    <tableStyle name="Normal Style 1 - Accent 1" pivot="0" count="9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8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X
콘텐츠 진행 포인트</c:v>
          </c:tx>
          <c:marker>
            <c:symbol val="diamond"/>
            <c:size val="7"/>
          </c:marker>
          <c:cat>
            <c:numRef>
              <c:f>'밸런스 문서'!$P$5:$P$127</c:f>
              <c:numCache>
                <c:formatCode>0</c:formatCode>
                <c:ptCount val="123"/>
                <c:pt idx="0">
                  <c:v>5</c:v>
                </c:pt>
                <c:pt idx="1">
                  <c:v>7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  <c:pt idx="5">
                  <c:v>17</c:v>
                </c:pt>
                <c:pt idx="6">
                  <c:v>21</c:v>
                </c:pt>
                <c:pt idx="7">
                  <c:v>26</c:v>
                </c:pt>
                <c:pt idx="8">
                  <c:v>29</c:v>
                </c:pt>
                <c:pt idx="9">
                  <c:v>33</c:v>
                </c:pt>
                <c:pt idx="10">
                  <c:v>37</c:v>
                </c:pt>
                <c:pt idx="11">
                  <c:v>42</c:v>
                </c:pt>
                <c:pt idx="12">
                  <c:v>45</c:v>
                </c:pt>
                <c:pt idx="13">
                  <c:v>49</c:v>
                </c:pt>
                <c:pt idx="14">
                  <c:v>53</c:v>
                </c:pt>
                <c:pt idx="15">
                  <c:v>57</c:v>
                </c:pt>
                <c:pt idx="16">
                  <c:v>63</c:v>
                </c:pt>
                <c:pt idx="17">
                  <c:v>72</c:v>
                </c:pt>
                <c:pt idx="18">
                  <c:v>81</c:v>
                </c:pt>
                <c:pt idx="19">
                  <c:v>88</c:v>
                </c:pt>
                <c:pt idx="20">
                  <c:v>92</c:v>
                </c:pt>
                <c:pt idx="21">
                  <c:v>95</c:v>
                </c:pt>
                <c:pt idx="22">
                  <c:v>99</c:v>
                </c:pt>
                <c:pt idx="23">
                  <c:v>104</c:v>
                </c:pt>
                <c:pt idx="24">
                  <c:v>111</c:v>
                </c:pt>
                <c:pt idx="25">
                  <c:v>114</c:v>
                </c:pt>
                <c:pt idx="26">
                  <c:v>118</c:v>
                </c:pt>
                <c:pt idx="27">
                  <c:v>121</c:v>
                </c:pt>
                <c:pt idx="28">
                  <c:v>125</c:v>
                </c:pt>
                <c:pt idx="29">
                  <c:v>128</c:v>
                </c:pt>
                <c:pt idx="30">
                  <c:v>132</c:v>
                </c:pt>
                <c:pt idx="31">
                  <c:v>140</c:v>
                </c:pt>
                <c:pt idx="32">
                  <c:v>143</c:v>
                </c:pt>
                <c:pt idx="33">
                  <c:v>148</c:v>
                </c:pt>
                <c:pt idx="34">
                  <c:v>153</c:v>
                </c:pt>
                <c:pt idx="35">
                  <c:v>159</c:v>
                </c:pt>
                <c:pt idx="36">
                  <c:v>162</c:v>
                </c:pt>
                <c:pt idx="37">
                  <c:v>166</c:v>
                </c:pt>
                <c:pt idx="38">
                  <c:v>174</c:v>
                </c:pt>
                <c:pt idx="39">
                  <c:v>179</c:v>
                </c:pt>
                <c:pt idx="40">
                  <c:v>187</c:v>
                </c:pt>
                <c:pt idx="41">
                  <c:v>193</c:v>
                </c:pt>
                <c:pt idx="42">
                  <c:v>198</c:v>
                </c:pt>
                <c:pt idx="43">
                  <c:v>201</c:v>
                </c:pt>
                <c:pt idx="44">
                  <c:v>206</c:v>
                </c:pt>
                <c:pt idx="45">
                  <c:v>211</c:v>
                </c:pt>
                <c:pt idx="46">
                  <c:v>217</c:v>
                </c:pt>
                <c:pt idx="47">
                  <c:v>223</c:v>
                </c:pt>
                <c:pt idx="48">
                  <c:v>232</c:v>
                </c:pt>
                <c:pt idx="49">
                  <c:v>237</c:v>
                </c:pt>
                <c:pt idx="50">
                  <c:v>242</c:v>
                </c:pt>
                <c:pt idx="51">
                  <c:v>248</c:v>
                </c:pt>
                <c:pt idx="52">
                  <c:v>252</c:v>
                </c:pt>
                <c:pt idx="53">
                  <c:v>255</c:v>
                </c:pt>
                <c:pt idx="54">
                  <c:v>259</c:v>
                </c:pt>
                <c:pt idx="55">
                  <c:v>265</c:v>
                </c:pt>
                <c:pt idx="56">
                  <c:v>271</c:v>
                </c:pt>
                <c:pt idx="57">
                  <c:v>279</c:v>
                </c:pt>
                <c:pt idx="58">
                  <c:v>287</c:v>
                </c:pt>
                <c:pt idx="59">
                  <c:v>296</c:v>
                </c:pt>
                <c:pt idx="60">
                  <c:v>305</c:v>
                </c:pt>
                <c:pt idx="61">
                  <c:v>313</c:v>
                </c:pt>
                <c:pt idx="62">
                  <c:v>323</c:v>
                </c:pt>
                <c:pt idx="63">
                  <c:v>329</c:v>
                </c:pt>
                <c:pt idx="64">
                  <c:v>335</c:v>
                </c:pt>
                <c:pt idx="65">
                  <c:v>342</c:v>
                </c:pt>
                <c:pt idx="66">
                  <c:v>347</c:v>
                </c:pt>
                <c:pt idx="67">
                  <c:v>353</c:v>
                </c:pt>
                <c:pt idx="68">
                  <c:v>359</c:v>
                </c:pt>
                <c:pt idx="69">
                  <c:v>364</c:v>
                </c:pt>
                <c:pt idx="70">
                  <c:v>369</c:v>
                </c:pt>
                <c:pt idx="71">
                  <c:v>374</c:v>
                </c:pt>
                <c:pt idx="72">
                  <c:v>381</c:v>
                </c:pt>
                <c:pt idx="73">
                  <c:v>388</c:v>
                </c:pt>
                <c:pt idx="74">
                  <c:v>396</c:v>
                </c:pt>
                <c:pt idx="75">
                  <c:v>405</c:v>
                </c:pt>
                <c:pt idx="76">
                  <c:v>410</c:v>
                </c:pt>
                <c:pt idx="77">
                  <c:v>416</c:v>
                </c:pt>
                <c:pt idx="78">
                  <c:v>423</c:v>
                </c:pt>
                <c:pt idx="79">
                  <c:v>432</c:v>
                </c:pt>
                <c:pt idx="80">
                  <c:v>440</c:v>
                </c:pt>
                <c:pt idx="81">
                  <c:v>449</c:v>
                </c:pt>
                <c:pt idx="82">
                  <c:v>458</c:v>
                </c:pt>
                <c:pt idx="83">
                  <c:v>468</c:v>
                </c:pt>
                <c:pt idx="84">
                  <c:v>475</c:v>
                </c:pt>
                <c:pt idx="85">
                  <c:v>479</c:v>
                </c:pt>
                <c:pt idx="86">
                  <c:v>483</c:v>
                </c:pt>
                <c:pt idx="87">
                  <c:v>491</c:v>
                </c:pt>
                <c:pt idx="88">
                  <c:v>501</c:v>
                </c:pt>
                <c:pt idx="89">
                  <c:v>511</c:v>
                </c:pt>
                <c:pt idx="90">
                  <c:v>518</c:v>
                </c:pt>
                <c:pt idx="91">
                  <c:v>528</c:v>
                </c:pt>
                <c:pt idx="92">
                  <c:v>539</c:v>
                </c:pt>
                <c:pt idx="93">
                  <c:v>543</c:v>
                </c:pt>
                <c:pt idx="94">
                  <c:v>548</c:v>
                </c:pt>
                <c:pt idx="95">
                  <c:v>552</c:v>
                </c:pt>
                <c:pt idx="96">
                  <c:v>556</c:v>
                </c:pt>
                <c:pt idx="97">
                  <c:v>560</c:v>
                </c:pt>
                <c:pt idx="98">
                  <c:v>566</c:v>
                </c:pt>
                <c:pt idx="99">
                  <c:v>572</c:v>
                </c:pt>
                <c:pt idx="100">
                  <c:v>581</c:v>
                </c:pt>
                <c:pt idx="101">
                  <c:v>588</c:v>
                </c:pt>
                <c:pt idx="102">
                  <c:v>598</c:v>
                </c:pt>
                <c:pt idx="103">
                  <c:v>605</c:v>
                </c:pt>
                <c:pt idx="104">
                  <c:v>613</c:v>
                </c:pt>
                <c:pt idx="105">
                  <c:v>620</c:v>
                </c:pt>
                <c:pt idx="106">
                  <c:v>627</c:v>
                </c:pt>
                <c:pt idx="107">
                  <c:v>636</c:v>
                </c:pt>
                <c:pt idx="108">
                  <c:v>646</c:v>
                </c:pt>
                <c:pt idx="109">
                  <c:v>654</c:v>
                </c:pt>
                <c:pt idx="110">
                  <c:v>664</c:v>
                </c:pt>
                <c:pt idx="111">
                  <c:v>673</c:v>
                </c:pt>
                <c:pt idx="112">
                  <c:v>680</c:v>
                </c:pt>
                <c:pt idx="113">
                  <c:v>687</c:v>
                </c:pt>
                <c:pt idx="114">
                  <c:v>695</c:v>
                </c:pt>
                <c:pt idx="115">
                  <c:v>702</c:v>
                </c:pt>
                <c:pt idx="116">
                  <c:v>708</c:v>
                </c:pt>
                <c:pt idx="117">
                  <c:v>717</c:v>
                </c:pt>
                <c:pt idx="118">
                  <c:v>726</c:v>
                </c:pt>
                <c:pt idx="119">
                  <c:v>739</c:v>
                </c:pt>
                <c:pt idx="120">
                  <c:v>752</c:v>
                </c:pt>
                <c:pt idx="121">
                  <c:v>765</c:v>
                </c:pt>
                <c:pt idx="122">
                  <c:v>779</c:v>
                </c:pt>
              </c:numCache>
            </c:numRef>
          </c:cat>
          <c:val>
            <c:numRef>
              <c:f>'밸런스 문서'!$Q$5:$Q$127</c:f>
              <c:numCache>
                <c:formatCode>0.00</c:formatCode>
                <c:ptCount val="123"/>
                <c:pt idx="0">
                  <c:v>5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3</c:v>
                </c:pt>
                <c:pt idx="9">
                  <c:v>4</c:v>
                </c:pt>
                <c:pt idx="10">
                  <c:v>4</c:v>
                </c:pt>
                <c:pt idx="11">
                  <c:v>5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6</c:v>
                </c:pt>
                <c:pt idx="17">
                  <c:v>9</c:v>
                </c:pt>
                <c:pt idx="18">
                  <c:v>9</c:v>
                </c:pt>
                <c:pt idx="19">
                  <c:v>7</c:v>
                </c:pt>
                <c:pt idx="20">
                  <c:v>4</c:v>
                </c:pt>
                <c:pt idx="21">
                  <c:v>3</c:v>
                </c:pt>
                <c:pt idx="22">
                  <c:v>4</c:v>
                </c:pt>
                <c:pt idx="23">
                  <c:v>5</c:v>
                </c:pt>
                <c:pt idx="24">
                  <c:v>7</c:v>
                </c:pt>
                <c:pt idx="25">
                  <c:v>3</c:v>
                </c:pt>
                <c:pt idx="26">
                  <c:v>4</c:v>
                </c:pt>
                <c:pt idx="27">
                  <c:v>3</c:v>
                </c:pt>
                <c:pt idx="28">
                  <c:v>4</c:v>
                </c:pt>
                <c:pt idx="29">
                  <c:v>3</c:v>
                </c:pt>
                <c:pt idx="30">
                  <c:v>4</c:v>
                </c:pt>
                <c:pt idx="31">
                  <c:v>8</c:v>
                </c:pt>
                <c:pt idx="32">
                  <c:v>3</c:v>
                </c:pt>
                <c:pt idx="33">
                  <c:v>5</c:v>
                </c:pt>
                <c:pt idx="34">
                  <c:v>5</c:v>
                </c:pt>
                <c:pt idx="35">
                  <c:v>6</c:v>
                </c:pt>
                <c:pt idx="36">
                  <c:v>3</c:v>
                </c:pt>
                <c:pt idx="37">
                  <c:v>4</c:v>
                </c:pt>
                <c:pt idx="38">
                  <c:v>8</c:v>
                </c:pt>
                <c:pt idx="39">
                  <c:v>5</c:v>
                </c:pt>
                <c:pt idx="40">
                  <c:v>8</c:v>
                </c:pt>
                <c:pt idx="41">
                  <c:v>6</c:v>
                </c:pt>
                <c:pt idx="42">
                  <c:v>5</c:v>
                </c:pt>
                <c:pt idx="43">
                  <c:v>3</c:v>
                </c:pt>
                <c:pt idx="44">
                  <c:v>5</c:v>
                </c:pt>
                <c:pt idx="45">
                  <c:v>5</c:v>
                </c:pt>
                <c:pt idx="46">
                  <c:v>6</c:v>
                </c:pt>
                <c:pt idx="47">
                  <c:v>6</c:v>
                </c:pt>
                <c:pt idx="48">
                  <c:v>9</c:v>
                </c:pt>
                <c:pt idx="49">
                  <c:v>5</c:v>
                </c:pt>
                <c:pt idx="50">
                  <c:v>5</c:v>
                </c:pt>
                <c:pt idx="51">
                  <c:v>6</c:v>
                </c:pt>
                <c:pt idx="52">
                  <c:v>4</c:v>
                </c:pt>
                <c:pt idx="53">
                  <c:v>3</c:v>
                </c:pt>
                <c:pt idx="54">
                  <c:v>4</c:v>
                </c:pt>
                <c:pt idx="55">
                  <c:v>6</c:v>
                </c:pt>
                <c:pt idx="56">
                  <c:v>6</c:v>
                </c:pt>
                <c:pt idx="57">
                  <c:v>8</c:v>
                </c:pt>
                <c:pt idx="58">
                  <c:v>8</c:v>
                </c:pt>
                <c:pt idx="59">
                  <c:v>9</c:v>
                </c:pt>
                <c:pt idx="60">
                  <c:v>9</c:v>
                </c:pt>
                <c:pt idx="61">
                  <c:v>8</c:v>
                </c:pt>
                <c:pt idx="62">
                  <c:v>10</c:v>
                </c:pt>
                <c:pt idx="63">
                  <c:v>6</c:v>
                </c:pt>
                <c:pt idx="64">
                  <c:v>6</c:v>
                </c:pt>
                <c:pt idx="65">
                  <c:v>7</c:v>
                </c:pt>
                <c:pt idx="66">
                  <c:v>5</c:v>
                </c:pt>
                <c:pt idx="67">
                  <c:v>6</c:v>
                </c:pt>
                <c:pt idx="68">
                  <c:v>6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7</c:v>
                </c:pt>
                <c:pt idx="73">
                  <c:v>7</c:v>
                </c:pt>
                <c:pt idx="74">
                  <c:v>8</c:v>
                </c:pt>
                <c:pt idx="75">
                  <c:v>9</c:v>
                </c:pt>
                <c:pt idx="76">
                  <c:v>5</c:v>
                </c:pt>
                <c:pt idx="77">
                  <c:v>6</c:v>
                </c:pt>
                <c:pt idx="78">
                  <c:v>7</c:v>
                </c:pt>
                <c:pt idx="79">
                  <c:v>9</c:v>
                </c:pt>
                <c:pt idx="80">
                  <c:v>8</c:v>
                </c:pt>
                <c:pt idx="81">
                  <c:v>9</c:v>
                </c:pt>
                <c:pt idx="82">
                  <c:v>9</c:v>
                </c:pt>
                <c:pt idx="83">
                  <c:v>10</c:v>
                </c:pt>
                <c:pt idx="84">
                  <c:v>7</c:v>
                </c:pt>
                <c:pt idx="85">
                  <c:v>4</c:v>
                </c:pt>
                <c:pt idx="86">
                  <c:v>4</c:v>
                </c:pt>
                <c:pt idx="87">
                  <c:v>8</c:v>
                </c:pt>
                <c:pt idx="88">
                  <c:v>10</c:v>
                </c:pt>
                <c:pt idx="89">
                  <c:v>10</c:v>
                </c:pt>
                <c:pt idx="90">
                  <c:v>7</c:v>
                </c:pt>
                <c:pt idx="91">
                  <c:v>10</c:v>
                </c:pt>
                <c:pt idx="92">
                  <c:v>11</c:v>
                </c:pt>
                <c:pt idx="93">
                  <c:v>4</c:v>
                </c:pt>
                <c:pt idx="94">
                  <c:v>5</c:v>
                </c:pt>
                <c:pt idx="95">
                  <c:v>4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6</c:v>
                </c:pt>
                <c:pt idx="100">
                  <c:v>9</c:v>
                </c:pt>
                <c:pt idx="101">
                  <c:v>7</c:v>
                </c:pt>
                <c:pt idx="102">
                  <c:v>10</c:v>
                </c:pt>
                <c:pt idx="103">
                  <c:v>7</c:v>
                </c:pt>
                <c:pt idx="104">
                  <c:v>8</c:v>
                </c:pt>
                <c:pt idx="105">
                  <c:v>7</c:v>
                </c:pt>
                <c:pt idx="106">
                  <c:v>7</c:v>
                </c:pt>
                <c:pt idx="107">
                  <c:v>9</c:v>
                </c:pt>
                <c:pt idx="108">
                  <c:v>10</c:v>
                </c:pt>
                <c:pt idx="109">
                  <c:v>8</c:v>
                </c:pt>
                <c:pt idx="110">
                  <c:v>10</c:v>
                </c:pt>
                <c:pt idx="111">
                  <c:v>9</c:v>
                </c:pt>
                <c:pt idx="112">
                  <c:v>7</c:v>
                </c:pt>
                <c:pt idx="113">
                  <c:v>7</c:v>
                </c:pt>
                <c:pt idx="114">
                  <c:v>8</c:v>
                </c:pt>
                <c:pt idx="115">
                  <c:v>7</c:v>
                </c:pt>
                <c:pt idx="116">
                  <c:v>6</c:v>
                </c:pt>
                <c:pt idx="117">
                  <c:v>9</c:v>
                </c:pt>
                <c:pt idx="118">
                  <c:v>9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A3-4DA1-99D2-965FACB1BF3B}"/>
            </c:ext>
          </c:extLst>
        </c:ser>
        <c:ser>
          <c:idx val="1"/>
          <c:order val="1"/>
          <c:tx>
            <c:v>Y
레벨업을 위한 필요 경험치</c:v>
          </c:tx>
          <c:marker>
            <c:symbol val="square"/>
            <c:size val="7"/>
          </c:marker>
          <c:cat>
            <c:numRef>
              <c:f>'밸런스 문서'!$P$5:$P$127</c:f>
              <c:numCache>
                <c:formatCode>0</c:formatCode>
                <c:ptCount val="123"/>
                <c:pt idx="0">
                  <c:v>5</c:v>
                </c:pt>
                <c:pt idx="1">
                  <c:v>7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  <c:pt idx="5">
                  <c:v>17</c:v>
                </c:pt>
                <c:pt idx="6">
                  <c:v>21</c:v>
                </c:pt>
                <c:pt idx="7">
                  <c:v>26</c:v>
                </c:pt>
                <c:pt idx="8">
                  <c:v>29</c:v>
                </c:pt>
                <c:pt idx="9">
                  <c:v>33</c:v>
                </c:pt>
                <c:pt idx="10">
                  <c:v>37</c:v>
                </c:pt>
                <c:pt idx="11">
                  <c:v>42</c:v>
                </c:pt>
                <c:pt idx="12">
                  <c:v>45</c:v>
                </c:pt>
                <c:pt idx="13">
                  <c:v>49</c:v>
                </c:pt>
                <c:pt idx="14">
                  <c:v>53</c:v>
                </c:pt>
                <c:pt idx="15">
                  <c:v>57</c:v>
                </c:pt>
                <c:pt idx="16">
                  <c:v>63</c:v>
                </c:pt>
                <c:pt idx="17">
                  <c:v>72</c:v>
                </c:pt>
                <c:pt idx="18">
                  <c:v>81</c:v>
                </c:pt>
                <c:pt idx="19">
                  <c:v>88</c:v>
                </c:pt>
                <c:pt idx="20">
                  <c:v>92</c:v>
                </c:pt>
                <c:pt idx="21">
                  <c:v>95</c:v>
                </c:pt>
                <c:pt idx="22">
                  <c:v>99</c:v>
                </c:pt>
                <c:pt idx="23">
                  <c:v>104</c:v>
                </c:pt>
                <c:pt idx="24">
                  <c:v>111</c:v>
                </c:pt>
                <c:pt idx="25">
                  <c:v>114</c:v>
                </c:pt>
                <c:pt idx="26">
                  <c:v>118</c:v>
                </c:pt>
                <c:pt idx="27">
                  <c:v>121</c:v>
                </c:pt>
                <c:pt idx="28">
                  <c:v>125</c:v>
                </c:pt>
                <c:pt idx="29">
                  <c:v>128</c:v>
                </c:pt>
                <c:pt idx="30">
                  <c:v>132</c:v>
                </c:pt>
                <c:pt idx="31">
                  <c:v>140</c:v>
                </c:pt>
                <c:pt idx="32">
                  <c:v>143</c:v>
                </c:pt>
                <c:pt idx="33">
                  <c:v>148</c:v>
                </c:pt>
                <c:pt idx="34">
                  <c:v>153</c:v>
                </c:pt>
                <c:pt idx="35">
                  <c:v>159</c:v>
                </c:pt>
                <c:pt idx="36">
                  <c:v>162</c:v>
                </c:pt>
                <c:pt idx="37">
                  <c:v>166</c:v>
                </c:pt>
                <c:pt idx="38">
                  <c:v>174</c:v>
                </c:pt>
                <c:pt idx="39">
                  <c:v>179</c:v>
                </c:pt>
                <c:pt idx="40">
                  <c:v>187</c:v>
                </c:pt>
                <c:pt idx="41">
                  <c:v>193</c:v>
                </c:pt>
                <c:pt idx="42">
                  <c:v>198</c:v>
                </c:pt>
                <c:pt idx="43">
                  <c:v>201</c:v>
                </c:pt>
                <c:pt idx="44">
                  <c:v>206</c:v>
                </c:pt>
                <c:pt idx="45">
                  <c:v>211</c:v>
                </c:pt>
                <c:pt idx="46">
                  <c:v>217</c:v>
                </c:pt>
                <c:pt idx="47">
                  <c:v>223</c:v>
                </c:pt>
                <c:pt idx="48">
                  <c:v>232</c:v>
                </c:pt>
                <c:pt idx="49">
                  <c:v>237</c:v>
                </c:pt>
                <c:pt idx="50">
                  <c:v>242</c:v>
                </c:pt>
                <c:pt idx="51">
                  <c:v>248</c:v>
                </c:pt>
                <c:pt idx="52">
                  <c:v>252</c:v>
                </c:pt>
                <c:pt idx="53">
                  <c:v>255</c:v>
                </c:pt>
                <c:pt idx="54">
                  <c:v>259</c:v>
                </c:pt>
                <c:pt idx="55">
                  <c:v>265</c:v>
                </c:pt>
                <c:pt idx="56">
                  <c:v>271</c:v>
                </c:pt>
                <c:pt idx="57">
                  <c:v>279</c:v>
                </c:pt>
                <c:pt idx="58">
                  <c:v>287</c:v>
                </c:pt>
                <c:pt idx="59">
                  <c:v>296</c:v>
                </c:pt>
                <c:pt idx="60">
                  <c:v>305</c:v>
                </c:pt>
                <c:pt idx="61">
                  <c:v>313</c:v>
                </c:pt>
                <c:pt idx="62">
                  <c:v>323</c:v>
                </c:pt>
                <c:pt idx="63">
                  <c:v>329</c:v>
                </c:pt>
                <c:pt idx="64">
                  <c:v>335</c:v>
                </c:pt>
                <c:pt idx="65">
                  <c:v>342</c:v>
                </c:pt>
                <c:pt idx="66">
                  <c:v>347</c:v>
                </c:pt>
                <c:pt idx="67">
                  <c:v>353</c:v>
                </c:pt>
                <c:pt idx="68">
                  <c:v>359</c:v>
                </c:pt>
                <c:pt idx="69">
                  <c:v>364</c:v>
                </c:pt>
                <c:pt idx="70">
                  <c:v>369</c:v>
                </c:pt>
                <c:pt idx="71">
                  <c:v>374</c:v>
                </c:pt>
                <c:pt idx="72">
                  <c:v>381</c:v>
                </c:pt>
                <c:pt idx="73">
                  <c:v>388</c:v>
                </c:pt>
                <c:pt idx="74">
                  <c:v>396</c:v>
                </c:pt>
                <c:pt idx="75">
                  <c:v>405</c:v>
                </c:pt>
                <c:pt idx="76">
                  <c:v>410</c:v>
                </c:pt>
                <c:pt idx="77">
                  <c:v>416</c:v>
                </c:pt>
                <c:pt idx="78">
                  <c:v>423</c:v>
                </c:pt>
                <c:pt idx="79">
                  <c:v>432</c:v>
                </c:pt>
                <c:pt idx="80">
                  <c:v>440</c:v>
                </c:pt>
                <c:pt idx="81">
                  <c:v>449</c:v>
                </c:pt>
                <c:pt idx="82">
                  <c:v>458</c:v>
                </c:pt>
                <c:pt idx="83">
                  <c:v>468</c:v>
                </c:pt>
                <c:pt idx="84">
                  <c:v>475</c:v>
                </c:pt>
                <c:pt idx="85">
                  <c:v>479</c:v>
                </c:pt>
                <c:pt idx="86">
                  <c:v>483</c:v>
                </c:pt>
                <c:pt idx="87">
                  <c:v>491</c:v>
                </c:pt>
                <c:pt idx="88">
                  <c:v>501</c:v>
                </c:pt>
                <c:pt idx="89">
                  <c:v>511</c:v>
                </c:pt>
                <c:pt idx="90">
                  <c:v>518</c:v>
                </c:pt>
                <c:pt idx="91">
                  <c:v>528</c:v>
                </c:pt>
                <c:pt idx="92">
                  <c:v>539</c:v>
                </c:pt>
                <c:pt idx="93">
                  <c:v>543</c:v>
                </c:pt>
                <c:pt idx="94">
                  <c:v>548</c:v>
                </c:pt>
                <c:pt idx="95">
                  <c:v>552</c:v>
                </c:pt>
                <c:pt idx="96">
                  <c:v>556</c:v>
                </c:pt>
                <c:pt idx="97">
                  <c:v>560</c:v>
                </c:pt>
                <c:pt idx="98">
                  <c:v>566</c:v>
                </c:pt>
                <c:pt idx="99">
                  <c:v>572</c:v>
                </c:pt>
                <c:pt idx="100">
                  <c:v>581</c:v>
                </c:pt>
                <c:pt idx="101">
                  <c:v>588</c:v>
                </c:pt>
                <c:pt idx="102">
                  <c:v>598</c:v>
                </c:pt>
                <c:pt idx="103">
                  <c:v>605</c:v>
                </c:pt>
                <c:pt idx="104">
                  <c:v>613</c:v>
                </c:pt>
                <c:pt idx="105">
                  <c:v>620</c:v>
                </c:pt>
                <c:pt idx="106">
                  <c:v>627</c:v>
                </c:pt>
                <c:pt idx="107">
                  <c:v>636</c:v>
                </c:pt>
                <c:pt idx="108">
                  <c:v>646</c:v>
                </c:pt>
                <c:pt idx="109">
                  <c:v>654</c:v>
                </c:pt>
                <c:pt idx="110">
                  <c:v>664</c:v>
                </c:pt>
                <c:pt idx="111">
                  <c:v>673</c:v>
                </c:pt>
                <c:pt idx="112">
                  <c:v>680</c:v>
                </c:pt>
                <c:pt idx="113">
                  <c:v>687</c:v>
                </c:pt>
                <c:pt idx="114">
                  <c:v>695</c:v>
                </c:pt>
                <c:pt idx="115">
                  <c:v>702</c:v>
                </c:pt>
                <c:pt idx="116">
                  <c:v>708</c:v>
                </c:pt>
                <c:pt idx="117">
                  <c:v>717</c:v>
                </c:pt>
                <c:pt idx="118">
                  <c:v>726</c:v>
                </c:pt>
                <c:pt idx="119">
                  <c:v>739</c:v>
                </c:pt>
                <c:pt idx="120">
                  <c:v>752</c:v>
                </c:pt>
                <c:pt idx="121">
                  <c:v>765</c:v>
                </c:pt>
                <c:pt idx="122">
                  <c:v>779</c:v>
                </c:pt>
              </c:numCache>
            </c:numRef>
          </c:cat>
          <c:val>
            <c:numRef>
              <c:f>'밸런스 문서'!$R$5:$R$127</c:f>
              <c:numCache>
                <c:formatCode>0.00</c:formatCode>
                <c:ptCount val="123"/>
                <c:pt idx="0">
                  <c:v>1.6</c:v>
                </c:pt>
                <c:pt idx="1">
                  <c:v>2.78</c:v>
                </c:pt>
                <c:pt idx="2">
                  <c:v>5.01</c:v>
                </c:pt>
                <c:pt idx="3">
                  <c:v>6.77</c:v>
                </c:pt>
                <c:pt idx="4">
                  <c:v>8.73</c:v>
                </c:pt>
                <c:pt idx="5">
                  <c:v>12.03</c:v>
                </c:pt>
                <c:pt idx="6">
                  <c:v>17.05</c:v>
                </c:pt>
                <c:pt idx="7">
                  <c:v>24.25</c:v>
                </c:pt>
                <c:pt idx="8">
                  <c:v>29.04</c:v>
                </c:pt>
                <c:pt idx="9">
                  <c:v>35.94</c:v>
                </c:pt>
                <c:pt idx="10">
                  <c:v>43.4</c:v>
                </c:pt>
                <c:pt idx="11">
                  <c:v>53.5</c:v>
                </c:pt>
                <c:pt idx="12">
                  <c:v>59.95</c:v>
                </c:pt>
                <c:pt idx="13">
                  <c:v>69</c:v>
                </c:pt>
                <c:pt idx="14">
                  <c:v>78.53</c:v>
                </c:pt>
                <c:pt idx="15">
                  <c:v>88.55</c:v>
                </c:pt>
                <c:pt idx="16">
                  <c:v>104.45</c:v>
                </c:pt>
                <c:pt idx="17">
                  <c:v>130.19999999999999</c:v>
                </c:pt>
                <c:pt idx="18">
                  <c:v>158.12</c:v>
                </c:pt>
                <c:pt idx="19">
                  <c:v>181.3</c:v>
                </c:pt>
                <c:pt idx="20">
                  <c:v>195.1</c:v>
                </c:pt>
                <c:pt idx="21">
                  <c:v>205.7</c:v>
                </c:pt>
                <c:pt idx="22">
                  <c:v>220.19</c:v>
                </c:pt>
                <c:pt idx="23">
                  <c:v>238.84</c:v>
                </c:pt>
                <c:pt idx="24">
                  <c:v>265.94</c:v>
                </c:pt>
                <c:pt idx="25">
                  <c:v>277.89999999999998</c:v>
                </c:pt>
                <c:pt idx="26">
                  <c:v>294.17</c:v>
                </c:pt>
                <c:pt idx="27">
                  <c:v>306.62</c:v>
                </c:pt>
                <c:pt idx="28">
                  <c:v>323.52</c:v>
                </c:pt>
                <c:pt idx="29">
                  <c:v>336.43</c:v>
                </c:pt>
                <c:pt idx="30">
                  <c:v>353.95</c:v>
                </c:pt>
                <c:pt idx="31">
                  <c:v>390.04</c:v>
                </c:pt>
                <c:pt idx="32">
                  <c:v>403.93</c:v>
                </c:pt>
                <c:pt idx="33">
                  <c:v>427.5</c:v>
                </c:pt>
                <c:pt idx="34">
                  <c:v>451.59</c:v>
                </c:pt>
                <c:pt idx="35">
                  <c:v>481.18</c:v>
                </c:pt>
                <c:pt idx="36">
                  <c:v>496.25</c:v>
                </c:pt>
                <c:pt idx="37">
                  <c:v>516.63</c:v>
                </c:pt>
                <c:pt idx="38">
                  <c:v>558.35</c:v>
                </c:pt>
                <c:pt idx="39">
                  <c:v>585.07000000000005</c:v>
                </c:pt>
                <c:pt idx="40">
                  <c:v>628.84</c:v>
                </c:pt>
                <c:pt idx="41">
                  <c:v>662.48</c:v>
                </c:pt>
                <c:pt idx="42">
                  <c:v>691.03</c:v>
                </c:pt>
                <c:pt idx="43">
                  <c:v>708.39</c:v>
                </c:pt>
                <c:pt idx="44">
                  <c:v>737.7</c:v>
                </c:pt>
                <c:pt idx="45">
                  <c:v>767.48</c:v>
                </c:pt>
                <c:pt idx="46">
                  <c:v>803.82</c:v>
                </c:pt>
                <c:pt idx="47">
                  <c:v>840.82</c:v>
                </c:pt>
                <c:pt idx="48">
                  <c:v>897.54</c:v>
                </c:pt>
                <c:pt idx="49">
                  <c:v>929.68</c:v>
                </c:pt>
                <c:pt idx="50">
                  <c:v>962.27</c:v>
                </c:pt>
                <c:pt idx="51">
                  <c:v>1001.95</c:v>
                </c:pt>
                <c:pt idx="52">
                  <c:v>1028.75</c:v>
                </c:pt>
                <c:pt idx="53">
                  <c:v>1049.04</c:v>
                </c:pt>
                <c:pt idx="54">
                  <c:v>1076.33</c:v>
                </c:pt>
                <c:pt idx="55">
                  <c:v>1117.78</c:v>
                </c:pt>
                <c:pt idx="56">
                  <c:v>1159.8399999999999</c:v>
                </c:pt>
                <c:pt idx="57">
                  <c:v>1216.8800000000001</c:v>
                </c:pt>
                <c:pt idx="58">
                  <c:v>1274.99</c:v>
                </c:pt>
                <c:pt idx="59">
                  <c:v>1341.63</c:v>
                </c:pt>
                <c:pt idx="60">
                  <c:v>1409.6</c:v>
                </c:pt>
                <c:pt idx="61">
                  <c:v>1471.12</c:v>
                </c:pt>
                <c:pt idx="62">
                  <c:v>1549.47</c:v>
                </c:pt>
                <c:pt idx="63">
                  <c:v>1597.25</c:v>
                </c:pt>
                <c:pt idx="64">
                  <c:v>1645.6</c:v>
                </c:pt>
                <c:pt idx="65">
                  <c:v>1702.72</c:v>
                </c:pt>
                <c:pt idx="66">
                  <c:v>1743.99</c:v>
                </c:pt>
                <c:pt idx="67">
                  <c:v>1794.02</c:v>
                </c:pt>
                <c:pt idx="68">
                  <c:v>1844.62</c:v>
                </c:pt>
                <c:pt idx="69">
                  <c:v>1887.2</c:v>
                </c:pt>
                <c:pt idx="70">
                  <c:v>1930.16</c:v>
                </c:pt>
                <c:pt idx="71">
                  <c:v>1973.5</c:v>
                </c:pt>
                <c:pt idx="72">
                  <c:v>2034.82</c:v>
                </c:pt>
                <c:pt idx="73">
                  <c:v>2096.87</c:v>
                </c:pt>
                <c:pt idx="74">
                  <c:v>2168.69</c:v>
                </c:pt>
                <c:pt idx="75">
                  <c:v>2250.61</c:v>
                </c:pt>
                <c:pt idx="76">
                  <c:v>2296.64</c:v>
                </c:pt>
                <c:pt idx="77">
                  <c:v>2352.36</c:v>
                </c:pt>
                <c:pt idx="78">
                  <c:v>2418.0300000000002</c:v>
                </c:pt>
                <c:pt idx="79">
                  <c:v>2503.5</c:v>
                </c:pt>
                <c:pt idx="80">
                  <c:v>2580.46</c:v>
                </c:pt>
                <c:pt idx="81">
                  <c:v>2668.13</c:v>
                </c:pt>
                <c:pt idx="82">
                  <c:v>2756.94</c:v>
                </c:pt>
                <c:pt idx="83">
                  <c:v>2856.97</c:v>
                </c:pt>
                <c:pt idx="84">
                  <c:v>2927.82</c:v>
                </c:pt>
                <c:pt idx="85">
                  <c:v>2968.61</c:v>
                </c:pt>
                <c:pt idx="86">
                  <c:v>3009.63</c:v>
                </c:pt>
                <c:pt idx="87">
                  <c:v>3092.32</c:v>
                </c:pt>
                <c:pt idx="88">
                  <c:v>3196.92</c:v>
                </c:pt>
                <c:pt idx="89">
                  <c:v>3302.89</c:v>
                </c:pt>
                <c:pt idx="90">
                  <c:v>3377.88</c:v>
                </c:pt>
                <c:pt idx="91">
                  <c:v>3486.15</c:v>
                </c:pt>
                <c:pt idx="92">
                  <c:v>3606.8</c:v>
                </c:pt>
                <c:pt idx="93">
                  <c:v>3651.07</c:v>
                </c:pt>
                <c:pt idx="94">
                  <c:v>3706.7</c:v>
                </c:pt>
                <c:pt idx="95">
                  <c:v>3751.45</c:v>
                </c:pt>
                <c:pt idx="96">
                  <c:v>3796.41</c:v>
                </c:pt>
                <c:pt idx="97">
                  <c:v>3841.58</c:v>
                </c:pt>
                <c:pt idx="98">
                  <c:v>3909.73</c:v>
                </c:pt>
                <c:pt idx="99">
                  <c:v>3978.35</c:v>
                </c:pt>
                <c:pt idx="100">
                  <c:v>4082.17</c:v>
                </c:pt>
                <c:pt idx="101">
                  <c:v>4163.63</c:v>
                </c:pt>
                <c:pt idx="102">
                  <c:v>4281.12</c:v>
                </c:pt>
                <c:pt idx="103">
                  <c:v>4364.12</c:v>
                </c:pt>
                <c:pt idx="104">
                  <c:v>4459.74</c:v>
                </c:pt>
                <c:pt idx="105">
                  <c:v>4544.08</c:v>
                </c:pt>
                <c:pt idx="106">
                  <c:v>4629.05</c:v>
                </c:pt>
                <c:pt idx="107">
                  <c:v>4739.1899999999996</c:v>
                </c:pt>
                <c:pt idx="108">
                  <c:v>4862.7700000000004</c:v>
                </c:pt>
                <c:pt idx="109">
                  <c:v>4962.53</c:v>
                </c:pt>
                <c:pt idx="110">
                  <c:v>5088.3500000000004</c:v>
                </c:pt>
                <c:pt idx="111">
                  <c:v>5202.6499999999996</c:v>
                </c:pt>
                <c:pt idx="112">
                  <c:v>5292.24</c:v>
                </c:pt>
                <c:pt idx="113">
                  <c:v>5382.43</c:v>
                </c:pt>
                <c:pt idx="114">
                  <c:v>5486.24</c:v>
                </c:pt>
                <c:pt idx="115">
                  <c:v>5577.71</c:v>
                </c:pt>
                <c:pt idx="116">
                  <c:v>5656.59</c:v>
                </c:pt>
                <c:pt idx="117">
                  <c:v>5775.73</c:v>
                </c:pt>
                <c:pt idx="118">
                  <c:v>5895.84</c:v>
                </c:pt>
                <c:pt idx="119">
                  <c:v>6071.04</c:v>
                </c:pt>
                <c:pt idx="120">
                  <c:v>6248.26</c:v>
                </c:pt>
                <c:pt idx="121">
                  <c:v>6427.49</c:v>
                </c:pt>
                <c:pt idx="122">
                  <c:v>6622.73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A3-4DA1-99D2-965FACB1BF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rot="0" vert="horz" wrap="none" lIns="0" tIns="0" rIns="0" bIns="0" anchor="ctr" anchorCtr="1"/>
          <a:lstStyle/>
          <a:p>
            <a:pPr algn="l"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  <a:sym typeface="+mn-lt"/>
              </a:defRPr>
            </a:pPr>
            <a:endParaRPr lang="ko-KR"/>
          </a:p>
        </c:txPr>
        <c:crossAx val="48672768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0.00" sourceLinked="1"/>
        <c:majorTickMark val="none"/>
        <c:minorTickMark val="none"/>
        <c:tickLblPos val="nextTo"/>
        <c:spPr>
          <a:ln w="9525">
            <a:noFill/>
          </a:ln>
        </c:spPr>
        <c:txPr>
          <a:bodyPr rot="0" vert="horz" wrap="none" lIns="0" tIns="0" rIns="0" bIns="0" anchor="ctr" anchorCtr="1"/>
          <a:lstStyle/>
          <a:p>
            <a:pPr algn="l"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  <a:sym typeface="+mn-lt"/>
              </a:defRPr>
            </a:pPr>
            <a:endParaRPr lang="ko-KR"/>
          </a:p>
        </c:txPr>
        <c:crossAx val="48650112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plotVisOnly val="0"/>
    <c:dispBlanksAs val="gap"/>
    <c:showDLblsOverMax val="1"/>
  </c:chart>
  <c:spPr>
    <a:solidFill>
      <a:schemeClr val="bg1"/>
    </a:solidFill>
    <a:ln w="9525" cmpd="sng">
      <a:solidFill>
        <a:schemeClr val="tx1">
          <a:lumMod val="15000"/>
          <a:lumOff val="85000"/>
        </a:schemeClr>
      </a:solidFill>
    </a:ln>
  </c:spPr>
  <c:printSettings>
    <c:headerFooter/>
    <c:pageMargins b="0.75" l="0.7" r="0.7" t="0.75" header="0.3" footer="0.3"/>
    <c:pageSetup/>
  </c:printSettings>
  <c:extLst>
    <c:ext uri="CC8EB2C9-7E31-499d-B8F2-F6CE61031016">
      <ho:hncChartStyle xmlns:ho="http://schemas.haansoft.com/office/8.0" layoutIndex="-1" colorIndex="-1" styleIndex="-1"/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 wrap="none" lIns="0" tIns="0" rIns="0" bIns="0" anchor="ctr" anchorCtr="1"/>
          <a:lstStyle/>
          <a:p>
            <a:pPr algn="l">
              <a:defRPr b="0" i="0" u="none"/>
            </a:pPr>
            <a:r>
              <a:rPr b="0" i="0" u="none"/>
              <a:t>콘텐츠 진행에 따른 조작난이도·재미율</a:t>
            </a:r>
            <a:endParaRPr/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조작난이도</c:v>
          </c:tx>
          <c:marker>
            <c:symbol val="diamond"/>
            <c:size val="7"/>
          </c:marker>
          <c:cat>
            <c:numRef>
              <c:f>'밸런스 곡선'!$A$15:$A$163</c:f>
              <c:numCache>
                <c:formatCode>0.00</c:formatCode>
                <c:ptCount val="149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14</c:v>
                </c:pt>
                <c:pt idx="4">
                  <c:v>15</c:v>
                </c:pt>
                <c:pt idx="5">
                  <c:v>16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  <c:pt idx="21">
                  <c:v>32</c:v>
                </c:pt>
                <c:pt idx="22">
                  <c:v>33</c:v>
                </c:pt>
                <c:pt idx="23">
                  <c:v>34</c:v>
                </c:pt>
                <c:pt idx="24">
                  <c:v>35</c:v>
                </c:pt>
                <c:pt idx="25">
                  <c:v>36</c:v>
                </c:pt>
                <c:pt idx="26">
                  <c:v>37</c:v>
                </c:pt>
                <c:pt idx="27">
                  <c:v>38</c:v>
                </c:pt>
                <c:pt idx="28">
                  <c:v>39</c:v>
                </c:pt>
                <c:pt idx="29">
                  <c:v>40</c:v>
                </c:pt>
                <c:pt idx="30">
                  <c:v>41</c:v>
                </c:pt>
                <c:pt idx="31">
                  <c:v>42</c:v>
                </c:pt>
                <c:pt idx="32">
                  <c:v>43</c:v>
                </c:pt>
                <c:pt idx="33">
                  <c:v>44</c:v>
                </c:pt>
                <c:pt idx="34">
                  <c:v>45</c:v>
                </c:pt>
                <c:pt idx="35">
                  <c:v>46</c:v>
                </c:pt>
                <c:pt idx="36">
                  <c:v>47</c:v>
                </c:pt>
                <c:pt idx="37">
                  <c:v>48</c:v>
                </c:pt>
                <c:pt idx="38">
                  <c:v>49</c:v>
                </c:pt>
                <c:pt idx="39">
                  <c:v>50</c:v>
                </c:pt>
                <c:pt idx="40">
                  <c:v>51</c:v>
                </c:pt>
                <c:pt idx="41">
                  <c:v>52</c:v>
                </c:pt>
                <c:pt idx="42">
                  <c:v>53</c:v>
                </c:pt>
                <c:pt idx="43">
                  <c:v>54</c:v>
                </c:pt>
                <c:pt idx="44">
                  <c:v>55</c:v>
                </c:pt>
                <c:pt idx="45">
                  <c:v>56</c:v>
                </c:pt>
                <c:pt idx="46">
                  <c:v>57</c:v>
                </c:pt>
                <c:pt idx="47">
                  <c:v>58</c:v>
                </c:pt>
                <c:pt idx="48">
                  <c:v>59</c:v>
                </c:pt>
                <c:pt idx="49">
                  <c:v>60</c:v>
                </c:pt>
                <c:pt idx="50">
                  <c:v>61</c:v>
                </c:pt>
                <c:pt idx="51">
                  <c:v>62</c:v>
                </c:pt>
                <c:pt idx="52">
                  <c:v>63</c:v>
                </c:pt>
                <c:pt idx="53">
                  <c:v>64</c:v>
                </c:pt>
                <c:pt idx="54">
                  <c:v>65</c:v>
                </c:pt>
                <c:pt idx="55">
                  <c:v>66</c:v>
                </c:pt>
                <c:pt idx="56">
                  <c:v>67</c:v>
                </c:pt>
                <c:pt idx="57">
                  <c:v>68</c:v>
                </c:pt>
                <c:pt idx="58">
                  <c:v>69</c:v>
                </c:pt>
                <c:pt idx="59">
                  <c:v>70</c:v>
                </c:pt>
                <c:pt idx="60">
                  <c:v>71</c:v>
                </c:pt>
                <c:pt idx="61">
                  <c:v>72</c:v>
                </c:pt>
                <c:pt idx="62">
                  <c:v>73</c:v>
                </c:pt>
                <c:pt idx="63">
                  <c:v>74</c:v>
                </c:pt>
                <c:pt idx="64">
                  <c:v>75</c:v>
                </c:pt>
                <c:pt idx="65">
                  <c:v>76</c:v>
                </c:pt>
                <c:pt idx="66">
                  <c:v>77</c:v>
                </c:pt>
                <c:pt idx="67">
                  <c:v>78</c:v>
                </c:pt>
                <c:pt idx="68">
                  <c:v>79</c:v>
                </c:pt>
                <c:pt idx="69">
                  <c:v>80</c:v>
                </c:pt>
                <c:pt idx="70">
                  <c:v>81</c:v>
                </c:pt>
                <c:pt idx="71">
                  <c:v>82</c:v>
                </c:pt>
                <c:pt idx="72">
                  <c:v>83</c:v>
                </c:pt>
                <c:pt idx="73">
                  <c:v>84</c:v>
                </c:pt>
                <c:pt idx="74">
                  <c:v>85</c:v>
                </c:pt>
                <c:pt idx="75">
                  <c:v>86</c:v>
                </c:pt>
                <c:pt idx="76">
                  <c:v>87</c:v>
                </c:pt>
                <c:pt idx="77">
                  <c:v>88</c:v>
                </c:pt>
                <c:pt idx="78">
                  <c:v>89</c:v>
                </c:pt>
                <c:pt idx="79">
                  <c:v>90</c:v>
                </c:pt>
                <c:pt idx="80">
                  <c:v>91</c:v>
                </c:pt>
                <c:pt idx="81">
                  <c:v>92</c:v>
                </c:pt>
                <c:pt idx="82">
                  <c:v>93</c:v>
                </c:pt>
                <c:pt idx="83">
                  <c:v>94</c:v>
                </c:pt>
                <c:pt idx="84">
                  <c:v>95</c:v>
                </c:pt>
                <c:pt idx="85">
                  <c:v>96</c:v>
                </c:pt>
                <c:pt idx="86">
                  <c:v>97</c:v>
                </c:pt>
                <c:pt idx="87">
                  <c:v>98</c:v>
                </c:pt>
                <c:pt idx="88">
                  <c:v>99</c:v>
                </c:pt>
                <c:pt idx="89">
                  <c:v>100</c:v>
                </c:pt>
                <c:pt idx="90">
                  <c:v>101</c:v>
                </c:pt>
                <c:pt idx="91">
                  <c:v>102</c:v>
                </c:pt>
                <c:pt idx="92">
                  <c:v>103</c:v>
                </c:pt>
                <c:pt idx="93">
                  <c:v>104</c:v>
                </c:pt>
                <c:pt idx="94">
                  <c:v>105</c:v>
                </c:pt>
                <c:pt idx="95">
                  <c:v>106</c:v>
                </c:pt>
                <c:pt idx="96">
                  <c:v>107</c:v>
                </c:pt>
                <c:pt idx="97">
                  <c:v>108</c:v>
                </c:pt>
                <c:pt idx="98">
                  <c:v>109</c:v>
                </c:pt>
                <c:pt idx="99">
                  <c:v>110</c:v>
                </c:pt>
                <c:pt idx="100">
                  <c:v>111</c:v>
                </c:pt>
                <c:pt idx="101">
                  <c:v>112</c:v>
                </c:pt>
                <c:pt idx="102">
                  <c:v>113</c:v>
                </c:pt>
                <c:pt idx="103">
                  <c:v>114</c:v>
                </c:pt>
                <c:pt idx="104">
                  <c:v>115</c:v>
                </c:pt>
                <c:pt idx="105">
                  <c:v>116</c:v>
                </c:pt>
                <c:pt idx="106">
                  <c:v>117</c:v>
                </c:pt>
                <c:pt idx="107">
                  <c:v>118</c:v>
                </c:pt>
                <c:pt idx="108">
                  <c:v>119</c:v>
                </c:pt>
                <c:pt idx="109">
                  <c:v>120</c:v>
                </c:pt>
                <c:pt idx="110">
                  <c:v>121</c:v>
                </c:pt>
                <c:pt idx="111">
                  <c:v>122</c:v>
                </c:pt>
                <c:pt idx="112">
                  <c:v>123</c:v>
                </c:pt>
                <c:pt idx="113">
                  <c:v>124</c:v>
                </c:pt>
                <c:pt idx="114">
                  <c:v>125</c:v>
                </c:pt>
                <c:pt idx="115">
                  <c:v>126</c:v>
                </c:pt>
                <c:pt idx="116">
                  <c:v>127</c:v>
                </c:pt>
                <c:pt idx="117">
                  <c:v>128</c:v>
                </c:pt>
                <c:pt idx="118">
                  <c:v>129</c:v>
                </c:pt>
                <c:pt idx="119" formatCode="General">
                  <c:v>130</c:v>
                </c:pt>
                <c:pt idx="120" formatCode="General">
                  <c:v>131</c:v>
                </c:pt>
                <c:pt idx="121" formatCode="General">
                  <c:v>132</c:v>
                </c:pt>
                <c:pt idx="122" formatCode="General">
                  <c:v>133</c:v>
                </c:pt>
                <c:pt idx="123" formatCode="General">
                  <c:v>134</c:v>
                </c:pt>
                <c:pt idx="124" formatCode="General">
                  <c:v>135</c:v>
                </c:pt>
                <c:pt idx="125" formatCode="General">
                  <c:v>136</c:v>
                </c:pt>
                <c:pt idx="126" formatCode="General">
                  <c:v>137</c:v>
                </c:pt>
                <c:pt idx="127" formatCode="General">
                  <c:v>138</c:v>
                </c:pt>
                <c:pt idx="128" formatCode="General">
                  <c:v>139</c:v>
                </c:pt>
                <c:pt idx="129" formatCode="General">
                  <c:v>140</c:v>
                </c:pt>
                <c:pt idx="130" formatCode="General">
                  <c:v>141</c:v>
                </c:pt>
                <c:pt idx="131" formatCode="General">
                  <c:v>142</c:v>
                </c:pt>
                <c:pt idx="132" formatCode="General">
                  <c:v>143</c:v>
                </c:pt>
                <c:pt idx="133" formatCode="General">
                  <c:v>144</c:v>
                </c:pt>
                <c:pt idx="134" formatCode="General">
                  <c:v>145</c:v>
                </c:pt>
                <c:pt idx="135" formatCode="General">
                  <c:v>146</c:v>
                </c:pt>
                <c:pt idx="136" formatCode="General">
                  <c:v>147</c:v>
                </c:pt>
                <c:pt idx="137" formatCode="General">
                  <c:v>148</c:v>
                </c:pt>
                <c:pt idx="138" formatCode="General">
                  <c:v>149</c:v>
                </c:pt>
              </c:numCache>
            </c:numRef>
          </c:cat>
          <c:val>
            <c:numRef>
              <c:f>'밸런스 곡선'!$B$15:$B$163</c:f>
              <c:numCache>
                <c:formatCode>0.00</c:formatCode>
                <c:ptCount val="149"/>
                <c:pt idx="0">
                  <c:v>37</c:v>
                </c:pt>
                <c:pt idx="1">
                  <c:v>42</c:v>
                </c:pt>
                <c:pt idx="2">
                  <c:v>45</c:v>
                </c:pt>
                <c:pt idx="3">
                  <c:v>49</c:v>
                </c:pt>
                <c:pt idx="4">
                  <c:v>53</c:v>
                </c:pt>
                <c:pt idx="5">
                  <c:v>57</c:v>
                </c:pt>
                <c:pt idx="6">
                  <c:v>63</c:v>
                </c:pt>
                <c:pt idx="7">
                  <c:v>72</c:v>
                </c:pt>
                <c:pt idx="8">
                  <c:v>81</c:v>
                </c:pt>
                <c:pt idx="9">
                  <c:v>88</c:v>
                </c:pt>
                <c:pt idx="10">
                  <c:v>92</c:v>
                </c:pt>
                <c:pt idx="11">
                  <c:v>95</c:v>
                </c:pt>
                <c:pt idx="12">
                  <c:v>99</c:v>
                </c:pt>
                <c:pt idx="13">
                  <c:v>104</c:v>
                </c:pt>
                <c:pt idx="14">
                  <c:v>111</c:v>
                </c:pt>
                <c:pt idx="15">
                  <c:v>114</c:v>
                </c:pt>
                <c:pt idx="16">
                  <c:v>118</c:v>
                </c:pt>
                <c:pt idx="17">
                  <c:v>121</c:v>
                </c:pt>
                <c:pt idx="18">
                  <c:v>125</c:v>
                </c:pt>
                <c:pt idx="19">
                  <c:v>128</c:v>
                </c:pt>
                <c:pt idx="20">
                  <c:v>132</c:v>
                </c:pt>
                <c:pt idx="21">
                  <c:v>140</c:v>
                </c:pt>
                <c:pt idx="22">
                  <c:v>143</c:v>
                </c:pt>
                <c:pt idx="23">
                  <c:v>148</c:v>
                </c:pt>
                <c:pt idx="24">
                  <c:v>153</c:v>
                </c:pt>
                <c:pt idx="25">
                  <c:v>159</c:v>
                </c:pt>
                <c:pt idx="26">
                  <c:v>162</c:v>
                </c:pt>
                <c:pt idx="27">
                  <c:v>166</c:v>
                </c:pt>
                <c:pt idx="28">
                  <c:v>174</c:v>
                </c:pt>
                <c:pt idx="29">
                  <c:v>179</c:v>
                </c:pt>
                <c:pt idx="30">
                  <c:v>187</c:v>
                </c:pt>
                <c:pt idx="31">
                  <c:v>193</c:v>
                </c:pt>
                <c:pt idx="32">
                  <c:v>198</c:v>
                </c:pt>
                <c:pt idx="33">
                  <c:v>201</c:v>
                </c:pt>
                <c:pt idx="34">
                  <c:v>206</c:v>
                </c:pt>
                <c:pt idx="35">
                  <c:v>211</c:v>
                </c:pt>
                <c:pt idx="36">
                  <c:v>217</c:v>
                </c:pt>
                <c:pt idx="37">
                  <c:v>223</c:v>
                </c:pt>
                <c:pt idx="38">
                  <c:v>232</c:v>
                </c:pt>
                <c:pt idx="39">
                  <c:v>237</c:v>
                </c:pt>
                <c:pt idx="40">
                  <c:v>242</c:v>
                </c:pt>
                <c:pt idx="41">
                  <c:v>248</c:v>
                </c:pt>
                <c:pt idx="42">
                  <c:v>252</c:v>
                </c:pt>
                <c:pt idx="43">
                  <c:v>255</c:v>
                </c:pt>
                <c:pt idx="44">
                  <c:v>259</c:v>
                </c:pt>
                <c:pt idx="45">
                  <c:v>265</c:v>
                </c:pt>
                <c:pt idx="46">
                  <c:v>271</c:v>
                </c:pt>
                <c:pt idx="47">
                  <c:v>279</c:v>
                </c:pt>
                <c:pt idx="48">
                  <c:v>287</c:v>
                </c:pt>
                <c:pt idx="49">
                  <c:v>296</c:v>
                </c:pt>
                <c:pt idx="50">
                  <c:v>305</c:v>
                </c:pt>
                <c:pt idx="51">
                  <c:v>313</c:v>
                </c:pt>
                <c:pt idx="52">
                  <c:v>323</c:v>
                </c:pt>
                <c:pt idx="53">
                  <c:v>329</c:v>
                </c:pt>
                <c:pt idx="54">
                  <c:v>335</c:v>
                </c:pt>
                <c:pt idx="55">
                  <c:v>342</c:v>
                </c:pt>
                <c:pt idx="56">
                  <c:v>347</c:v>
                </c:pt>
                <c:pt idx="57">
                  <c:v>353</c:v>
                </c:pt>
                <c:pt idx="58">
                  <c:v>359</c:v>
                </c:pt>
                <c:pt idx="59">
                  <c:v>364</c:v>
                </c:pt>
                <c:pt idx="60">
                  <c:v>369</c:v>
                </c:pt>
                <c:pt idx="61">
                  <c:v>374</c:v>
                </c:pt>
                <c:pt idx="62">
                  <c:v>381</c:v>
                </c:pt>
                <c:pt idx="63">
                  <c:v>388</c:v>
                </c:pt>
                <c:pt idx="64">
                  <c:v>396</c:v>
                </c:pt>
                <c:pt idx="65">
                  <c:v>405</c:v>
                </c:pt>
                <c:pt idx="66">
                  <c:v>410</c:v>
                </c:pt>
                <c:pt idx="67">
                  <c:v>416</c:v>
                </c:pt>
                <c:pt idx="68">
                  <c:v>423</c:v>
                </c:pt>
                <c:pt idx="69">
                  <c:v>432</c:v>
                </c:pt>
                <c:pt idx="70">
                  <c:v>440</c:v>
                </c:pt>
                <c:pt idx="71">
                  <c:v>449</c:v>
                </c:pt>
                <c:pt idx="72">
                  <c:v>458</c:v>
                </c:pt>
                <c:pt idx="73">
                  <c:v>468</c:v>
                </c:pt>
                <c:pt idx="74">
                  <c:v>475</c:v>
                </c:pt>
                <c:pt idx="75">
                  <c:v>479</c:v>
                </c:pt>
                <c:pt idx="76">
                  <c:v>483</c:v>
                </c:pt>
                <c:pt idx="77">
                  <c:v>491</c:v>
                </c:pt>
                <c:pt idx="78">
                  <c:v>501</c:v>
                </c:pt>
                <c:pt idx="79">
                  <c:v>511</c:v>
                </c:pt>
                <c:pt idx="80">
                  <c:v>518</c:v>
                </c:pt>
                <c:pt idx="81">
                  <c:v>528</c:v>
                </c:pt>
                <c:pt idx="82">
                  <c:v>539</c:v>
                </c:pt>
                <c:pt idx="83">
                  <c:v>543</c:v>
                </c:pt>
                <c:pt idx="84">
                  <c:v>548</c:v>
                </c:pt>
                <c:pt idx="85">
                  <c:v>552</c:v>
                </c:pt>
                <c:pt idx="86">
                  <c:v>556</c:v>
                </c:pt>
                <c:pt idx="87">
                  <c:v>560</c:v>
                </c:pt>
                <c:pt idx="88">
                  <c:v>566</c:v>
                </c:pt>
                <c:pt idx="89">
                  <c:v>572</c:v>
                </c:pt>
                <c:pt idx="90">
                  <c:v>581</c:v>
                </c:pt>
                <c:pt idx="91">
                  <c:v>588</c:v>
                </c:pt>
                <c:pt idx="92">
                  <c:v>598</c:v>
                </c:pt>
                <c:pt idx="93">
                  <c:v>605</c:v>
                </c:pt>
                <c:pt idx="94">
                  <c:v>613</c:v>
                </c:pt>
                <c:pt idx="95">
                  <c:v>620</c:v>
                </c:pt>
                <c:pt idx="96">
                  <c:v>627</c:v>
                </c:pt>
                <c:pt idx="97">
                  <c:v>636</c:v>
                </c:pt>
                <c:pt idx="98">
                  <c:v>646</c:v>
                </c:pt>
                <c:pt idx="99">
                  <c:v>654</c:v>
                </c:pt>
                <c:pt idx="100">
                  <c:v>664</c:v>
                </c:pt>
                <c:pt idx="101">
                  <c:v>673</c:v>
                </c:pt>
                <c:pt idx="102">
                  <c:v>680</c:v>
                </c:pt>
                <c:pt idx="103">
                  <c:v>687</c:v>
                </c:pt>
                <c:pt idx="104">
                  <c:v>695</c:v>
                </c:pt>
                <c:pt idx="105">
                  <c:v>702</c:v>
                </c:pt>
                <c:pt idx="106">
                  <c:v>708</c:v>
                </c:pt>
                <c:pt idx="107">
                  <c:v>717</c:v>
                </c:pt>
                <c:pt idx="108">
                  <c:v>726</c:v>
                </c:pt>
                <c:pt idx="109">
                  <c:v>739</c:v>
                </c:pt>
                <c:pt idx="110">
                  <c:v>752</c:v>
                </c:pt>
                <c:pt idx="111">
                  <c:v>765</c:v>
                </c:pt>
                <c:pt idx="112">
                  <c:v>779</c:v>
                </c:pt>
                <c:pt idx="113">
                  <c:v>794</c:v>
                </c:pt>
                <c:pt idx="114">
                  <c:v>806</c:v>
                </c:pt>
                <c:pt idx="115">
                  <c:v>812</c:v>
                </c:pt>
                <c:pt idx="116">
                  <c:v>819</c:v>
                </c:pt>
                <c:pt idx="117">
                  <c:v>829</c:v>
                </c:pt>
                <c:pt idx="118">
                  <c:v>834</c:v>
                </c:pt>
                <c:pt idx="119" formatCode="General">
                  <c:v>839</c:v>
                </c:pt>
                <c:pt idx="120" formatCode="General">
                  <c:v>844</c:v>
                </c:pt>
                <c:pt idx="121" formatCode="General">
                  <c:v>853</c:v>
                </c:pt>
                <c:pt idx="122" formatCode="General">
                  <c:v>864</c:v>
                </c:pt>
                <c:pt idx="123" formatCode="General">
                  <c:v>873</c:v>
                </c:pt>
                <c:pt idx="124" formatCode="General">
                  <c:v>880</c:v>
                </c:pt>
                <c:pt idx="125" formatCode="General">
                  <c:v>892</c:v>
                </c:pt>
                <c:pt idx="126" formatCode="General">
                  <c:v>903</c:v>
                </c:pt>
                <c:pt idx="127" formatCode="General">
                  <c:v>917</c:v>
                </c:pt>
                <c:pt idx="128" formatCode="General">
                  <c:v>928</c:v>
                </c:pt>
                <c:pt idx="129" formatCode="General">
                  <c:v>934</c:v>
                </c:pt>
                <c:pt idx="130" formatCode="General">
                  <c:v>940</c:v>
                </c:pt>
                <c:pt idx="131" formatCode="General">
                  <c:v>946</c:v>
                </c:pt>
                <c:pt idx="132" formatCode="General">
                  <c:v>955</c:v>
                </c:pt>
                <c:pt idx="133" formatCode="General">
                  <c:v>967</c:v>
                </c:pt>
                <c:pt idx="134" formatCode="General">
                  <c:v>978</c:v>
                </c:pt>
                <c:pt idx="135" formatCode="General">
                  <c:v>984</c:v>
                </c:pt>
                <c:pt idx="136" formatCode="General">
                  <c:v>990</c:v>
                </c:pt>
                <c:pt idx="137" formatCode="General">
                  <c:v>995</c:v>
                </c:pt>
                <c:pt idx="138" formatCode="General">
                  <c:v>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50-49F4-AFCF-E01BDF6C8331}"/>
            </c:ext>
          </c:extLst>
        </c:ser>
        <c:ser>
          <c:idx val="1"/>
          <c:order val="1"/>
          <c:tx>
            <c:v>재미율</c:v>
          </c:tx>
          <c:marker>
            <c:symbol val="square"/>
            <c:size val="7"/>
          </c:marker>
          <c:cat>
            <c:numRef>
              <c:f>'밸런스 곡선'!$A$15:$A$163</c:f>
              <c:numCache>
                <c:formatCode>0.00</c:formatCode>
                <c:ptCount val="149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14</c:v>
                </c:pt>
                <c:pt idx="4">
                  <c:v>15</c:v>
                </c:pt>
                <c:pt idx="5">
                  <c:v>16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  <c:pt idx="21">
                  <c:v>32</c:v>
                </c:pt>
                <c:pt idx="22">
                  <c:v>33</c:v>
                </c:pt>
                <c:pt idx="23">
                  <c:v>34</c:v>
                </c:pt>
                <c:pt idx="24">
                  <c:v>35</c:v>
                </c:pt>
                <c:pt idx="25">
                  <c:v>36</c:v>
                </c:pt>
                <c:pt idx="26">
                  <c:v>37</c:v>
                </c:pt>
                <c:pt idx="27">
                  <c:v>38</c:v>
                </c:pt>
                <c:pt idx="28">
                  <c:v>39</c:v>
                </c:pt>
                <c:pt idx="29">
                  <c:v>40</c:v>
                </c:pt>
                <c:pt idx="30">
                  <c:v>41</c:v>
                </c:pt>
                <c:pt idx="31">
                  <c:v>42</c:v>
                </c:pt>
                <c:pt idx="32">
                  <c:v>43</c:v>
                </c:pt>
                <c:pt idx="33">
                  <c:v>44</c:v>
                </c:pt>
                <c:pt idx="34">
                  <c:v>45</c:v>
                </c:pt>
                <c:pt idx="35">
                  <c:v>46</c:v>
                </c:pt>
                <c:pt idx="36">
                  <c:v>47</c:v>
                </c:pt>
                <c:pt idx="37">
                  <c:v>48</c:v>
                </c:pt>
                <c:pt idx="38">
                  <c:v>49</c:v>
                </c:pt>
                <c:pt idx="39">
                  <c:v>50</c:v>
                </c:pt>
                <c:pt idx="40">
                  <c:v>51</c:v>
                </c:pt>
                <c:pt idx="41">
                  <c:v>52</c:v>
                </c:pt>
                <c:pt idx="42">
                  <c:v>53</c:v>
                </c:pt>
                <c:pt idx="43">
                  <c:v>54</c:v>
                </c:pt>
                <c:pt idx="44">
                  <c:v>55</c:v>
                </c:pt>
                <c:pt idx="45">
                  <c:v>56</c:v>
                </c:pt>
                <c:pt idx="46">
                  <c:v>57</c:v>
                </c:pt>
                <c:pt idx="47">
                  <c:v>58</c:v>
                </c:pt>
                <c:pt idx="48">
                  <c:v>59</c:v>
                </c:pt>
                <c:pt idx="49">
                  <c:v>60</c:v>
                </c:pt>
                <c:pt idx="50">
                  <c:v>61</c:v>
                </c:pt>
                <c:pt idx="51">
                  <c:v>62</c:v>
                </c:pt>
                <c:pt idx="52">
                  <c:v>63</c:v>
                </c:pt>
                <c:pt idx="53">
                  <c:v>64</c:v>
                </c:pt>
                <c:pt idx="54">
                  <c:v>65</c:v>
                </c:pt>
                <c:pt idx="55">
                  <c:v>66</c:v>
                </c:pt>
                <c:pt idx="56">
                  <c:v>67</c:v>
                </c:pt>
                <c:pt idx="57">
                  <c:v>68</c:v>
                </c:pt>
                <c:pt idx="58">
                  <c:v>69</c:v>
                </c:pt>
                <c:pt idx="59">
                  <c:v>70</c:v>
                </c:pt>
                <c:pt idx="60">
                  <c:v>71</c:v>
                </c:pt>
                <c:pt idx="61">
                  <c:v>72</c:v>
                </c:pt>
                <c:pt idx="62">
                  <c:v>73</c:v>
                </c:pt>
                <c:pt idx="63">
                  <c:v>74</c:v>
                </c:pt>
                <c:pt idx="64">
                  <c:v>75</c:v>
                </c:pt>
                <c:pt idx="65">
                  <c:v>76</c:v>
                </c:pt>
                <c:pt idx="66">
                  <c:v>77</c:v>
                </c:pt>
                <c:pt idx="67">
                  <c:v>78</c:v>
                </c:pt>
                <c:pt idx="68">
                  <c:v>79</c:v>
                </c:pt>
                <c:pt idx="69">
                  <c:v>80</c:v>
                </c:pt>
                <c:pt idx="70">
                  <c:v>81</c:v>
                </c:pt>
                <c:pt idx="71">
                  <c:v>82</c:v>
                </c:pt>
                <c:pt idx="72">
                  <c:v>83</c:v>
                </c:pt>
                <c:pt idx="73">
                  <c:v>84</c:v>
                </c:pt>
                <c:pt idx="74">
                  <c:v>85</c:v>
                </c:pt>
                <c:pt idx="75">
                  <c:v>86</c:v>
                </c:pt>
                <c:pt idx="76">
                  <c:v>87</c:v>
                </c:pt>
                <c:pt idx="77">
                  <c:v>88</c:v>
                </c:pt>
                <c:pt idx="78">
                  <c:v>89</c:v>
                </c:pt>
                <c:pt idx="79">
                  <c:v>90</c:v>
                </c:pt>
                <c:pt idx="80">
                  <c:v>91</c:v>
                </c:pt>
                <c:pt idx="81">
                  <c:v>92</c:v>
                </c:pt>
                <c:pt idx="82">
                  <c:v>93</c:v>
                </c:pt>
                <c:pt idx="83">
                  <c:v>94</c:v>
                </c:pt>
                <c:pt idx="84">
                  <c:v>95</c:v>
                </c:pt>
                <c:pt idx="85">
                  <c:v>96</c:v>
                </c:pt>
                <c:pt idx="86">
                  <c:v>97</c:v>
                </c:pt>
                <c:pt idx="87">
                  <c:v>98</c:v>
                </c:pt>
                <c:pt idx="88">
                  <c:v>99</c:v>
                </c:pt>
                <c:pt idx="89">
                  <c:v>100</c:v>
                </c:pt>
                <c:pt idx="90">
                  <c:v>101</c:v>
                </c:pt>
                <c:pt idx="91">
                  <c:v>102</c:v>
                </c:pt>
                <c:pt idx="92">
                  <c:v>103</c:v>
                </c:pt>
                <c:pt idx="93">
                  <c:v>104</c:v>
                </c:pt>
                <c:pt idx="94">
                  <c:v>105</c:v>
                </c:pt>
                <c:pt idx="95">
                  <c:v>106</c:v>
                </c:pt>
                <c:pt idx="96">
                  <c:v>107</c:v>
                </c:pt>
                <c:pt idx="97">
                  <c:v>108</c:v>
                </c:pt>
                <c:pt idx="98">
                  <c:v>109</c:v>
                </c:pt>
                <c:pt idx="99">
                  <c:v>110</c:v>
                </c:pt>
                <c:pt idx="100">
                  <c:v>111</c:v>
                </c:pt>
                <c:pt idx="101">
                  <c:v>112</c:v>
                </c:pt>
                <c:pt idx="102">
                  <c:v>113</c:v>
                </c:pt>
                <c:pt idx="103">
                  <c:v>114</c:v>
                </c:pt>
                <c:pt idx="104">
                  <c:v>115</c:v>
                </c:pt>
                <c:pt idx="105">
                  <c:v>116</c:v>
                </c:pt>
                <c:pt idx="106">
                  <c:v>117</c:v>
                </c:pt>
                <c:pt idx="107">
                  <c:v>118</c:v>
                </c:pt>
                <c:pt idx="108">
                  <c:v>119</c:v>
                </c:pt>
                <c:pt idx="109">
                  <c:v>120</c:v>
                </c:pt>
                <c:pt idx="110">
                  <c:v>121</c:v>
                </c:pt>
                <c:pt idx="111">
                  <c:v>122</c:v>
                </c:pt>
                <c:pt idx="112">
                  <c:v>123</c:v>
                </c:pt>
                <c:pt idx="113">
                  <c:v>124</c:v>
                </c:pt>
                <c:pt idx="114">
                  <c:v>125</c:v>
                </c:pt>
                <c:pt idx="115">
                  <c:v>126</c:v>
                </c:pt>
                <c:pt idx="116">
                  <c:v>127</c:v>
                </c:pt>
                <c:pt idx="117">
                  <c:v>128</c:v>
                </c:pt>
                <c:pt idx="118">
                  <c:v>129</c:v>
                </c:pt>
                <c:pt idx="119" formatCode="General">
                  <c:v>130</c:v>
                </c:pt>
                <c:pt idx="120" formatCode="General">
                  <c:v>131</c:v>
                </c:pt>
                <c:pt idx="121" formatCode="General">
                  <c:v>132</c:v>
                </c:pt>
                <c:pt idx="122" formatCode="General">
                  <c:v>133</c:v>
                </c:pt>
                <c:pt idx="123" formatCode="General">
                  <c:v>134</c:v>
                </c:pt>
                <c:pt idx="124" formatCode="General">
                  <c:v>135</c:v>
                </c:pt>
                <c:pt idx="125" formatCode="General">
                  <c:v>136</c:v>
                </c:pt>
                <c:pt idx="126" formatCode="General">
                  <c:v>137</c:v>
                </c:pt>
                <c:pt idx="127" formatCode="General">
                  <c:v>138</c:v>
                </c:pt>
                <c:pt idx="128" formatCode="General">
                  <c:v>139</c:v>
                </c:pt>
                <c:pt idx="129" formatCode="General">
                  <c:v>140</c:v>
                </c:pt>
                <c:pt idx="130" formatCode="General">
                  <c:v>141</c:v>
                </c:pt>
                <c:pt idx="131" formatCode="General">
                  <c:v>142</c:v>
                </c:pt>
                <c:pt idx="132" formatCode="General">
                  <c:v>143</c:v>
                </c:pt>
                <c:pt idx="133" formatCode="General">
                  <c:v>144</c:v>
                </c:pt>
                <c:pt idx="134" formatCode="General">
                  <c:v>145</c:v>
                </c:pt>
                <c:pt idx="135" formatCode="General">
                  <c:v>146</c:v>
                </c:pt>
                <c:pt idx="136" formatCode="General">
                  <c:v>147</c:v>
                </c:pt>
                <c:pt idx="137" formatCode="General">
                  <c:v>148</c:v>
                </c:pt>
                <c:pt idx="138" formatCode="General">
                  <c:v>149</c:v>
                </c:pt>
              </c:numCache>
            </c:numRef>
          </c:cat>
          <c:val>
            <c:numRef>
              <c:f>'밸런스 곡선'!$C$15:$C$163</c:f>
              <c:numCache>
                <c:formatCode>0.00</c:formatCode>
                <c:ptCount val="149"/>
                <c:pt idx="0">
                  <c:v>43.4</c:v>
                </c:pt>
                <c:pt idx="1">
                  <c:v>53.5</c:v>
                </c:pt>
                <c:pt idx="2">
                  <c:v>59.95</c:v>
                </c:pt>
                <c:pt idx="3">
                  <c:v>69</c:v>
                </c:pt>
                <c:pt idx="4">
                  <c:v>78.53</c:v>
                </c:pt>
                <c:pt idx="5">
                  <c:v>88.55</c:v>
                </c:pt>
                <c:pt idx="6">
                  <c:v>104.45</c:v>
                </c:pt>
                <c:pt idx="7">
                  <c:v>130.19999999999999</c:v>
                </c:pt>
                <c:pt idx="8">
                  <c:v>158.12</c:v>
                </c:pt>
                <c:pt idx="9">
                  <c:v>181.3</c:v>
                </c:pt>
                <c:pt idx="10">
                  <c:v>195.1</c:v>
                </c:pt>
                <c:pt idx="11">
                  <c:v>205.7</c:v>
                </c:pt>
                <c:pt idx="12">
                  <c:v>220.19</c:v>
                </c:pt>
                <c:pt idx="13">
                  <c:v>238.84</c:v>
                </c:pt>
                <c:pt idx="14">
                  <c:v>265.94</c:v>
                </c:pt>
                <c:pt idx="15">
                  <c:v>277.89999999999998</c:v>
                </c:pt>
                <c:pt idx="16">
                  <c:v>294.17</c:v>
                </c:pt>
                <c:pt idx="17">
                  <c:v>306.62</c:v>
                </c:pt>
                <c:pt idx="18">
                  <c:v>323.52</c:v>
                </c:pt>
                <c:pt idx="19">
                  <c:v>336.43</c:v>
                </c:pt>
                <c:pt idx="20">
                  <c:v>353.95</c:v>
                </c:pt>
                <c:pt idx="21">
                  <c:v>390.04</c:v>
                </c:pt>
                <c:pt idx="22">
                  <c:v>403.93</c:v>
                </c:pt>
                <c:pt idx="23">
                  <c:v>427.5</c:v>
                </c:pt>
                <c:pt idx="24">
                  <c:v>451.59</c:v>
                </c:pt>
                <c:pt idx="25">
                  <c:v>481.18</c:v>
                </c:pt>
                <c:pt idx="26">
                  <c:v>496.25</c:v>
                </c:pt>
                <c:pt idx="27">
                  <c:v>516.63</c:v>
                </c:pt>
                <c:pt idx="28">
                  <c:v>558.35</c:v>
                </c:pt>
                <c:pt idx="29">
                  <c:v>585.07000000000005</c:v>
                </c:pt>
                <c:pt idx="30">
                  <c:v>628.84</c:v>
                </c:pt>
                <c:pt idx="31">
                  <c:v>662.48</c:v>
                </c:pt>
                <c:pt idx="32">
                  <c:v>691.03</c:v>
                </c:pt>
                <c:pt idx="33">
                  <c:v>708.39</c:v>
                </c:pt>
                <c:pt idx="34">
                  <c:v>737.7</c:v>
                </c:pt>
                <c:pt idx="35">
                  <c:v>767.48</c:v>
                </c:pt>
                <c:pt idx="36">
                  <c:v>803.82</c:v>
                </c:pt>
                <c:pt idx="37">
                  <c:v>840.82</c:v>
                </c:pt>
                <c:pt idx="38">
                  <c:v>897.54</c:v>
                </c:pt>
                <c:pt idx="39">
                  <c:v>929.68</c:v>
                </c:pt>
                <c:pt idx="40">
                  <c:v>962.27</c:v>
                </c:pt>
                <c:pt idx="41">
                  <c:v>1001.95</c:v>
                </c:pt>
                <c:pt idx="42">
                  <c:v>1028.75</c:v>
                </c:pt>
                <c:pt idx="43">
                  <c:v>1049.04</c:v>
                </c:pt>
                <c:pt idx="44">
                  <c:v>1076.33</c:v>
                </c:pt>
                <c:pt idx="45">
                  <c:v>1117.78</c:v>
                </c:pt>
                <c:pt idx="46">
                  <c:v>1159.8399999999999</c:v>
                </c:pt>
                <c:pt idx="47">
                  <c:v>1216.8800000000001</c:v>
                </c:pt>
                <c:pt idx="48">
                  <c:v>1274.99</c:v>
                </c:pt>
                <c:pt idx="49">
                  <c:v>1341.63</c:v>
                </c:pt>
                <c:pt idx="50">
                  <c:v>1409.6</c:v>
                </c:pt>
                <c:pt idx="51">
                  <c:v>1471.12</c:v>
                </c:pt>
                <c:pt idx="52">
                  <c:v>1549.47</c:v>
                </c:pt>
                <c:pt idx="53">
                  <c:v>1597.25</c:v>
                </c:pt>
                <c:pt idx="54">
                  <c:v>1645.6</c:v>
                </c:pt>
                <c:pt idx="55">
                  <c:v>1702.72</c:v>
                </c:pt>
                <c:pt idx="56">
                  <c:v>1743.99</c:v>
                </c:pt>
                <c:pt idx="57">
                  <c:v>1794.02</c:v>
                </c:pt>
                <c:pt idx="58">
                  <c:v>1844.62</c:v>
                </c:pt>
                <c:pt idx="59">
                  <c:v>1887.2</c:v>
                </c:pt>
                <c:pt idx="60">
                  <c:v>1930.16</c:v>
                </c:pt>
                <c:pt idx="61">
                  <c:v>1973.5</c:v>
                </c:pt>
                <c:pt idx="62">
                  <c:v>2034.82</c:v>
                </c:pt>
                <c:pt idx="63">
                  <c:v>2096.87</c:v>
                </c:pt>
                <c:pt idx="64">
                  <c:v>2168.69</c:v>
                </c:pt>
                <c:pt idx="65">
                  <c:v>2250.61</c:v>
                </c:pt>
                <c:pt idx="66">
                  <c:v>2296.64</c:v>
                </c:pt>
                <c:pt idx="67">
                  <c:v>2352.36</c:v>
                </c:pt>
                <c:pt idx="68">
                  <c:v>2418.0300000000002</c:v>
                </c:pt>
                <c:pt idx="69">
                  <c:v>2503.5</c:v>
                </c:pt>
                <c:pt idx="70">
                  <c:v>2580.46</c:v>
                </c:pt>
                <c:pt idx="71">
                  <c:v>2668.13</c:v>
                </c:pt>
                <c:pt idx="72">
                  <c:v>2756.94</c:v>
                </c:pt>
                <c:pt idx="73">
                  <c:v>2856.97</c:v>
                </c:pt>
                <c:pt idx="74">
                  <c:v>2927.82</c:v>
                </c:pt>
                <c:pt idx="75">
                  <c:v>2968.61</c:v>
                </c:pt>
                <c:pt idx="76">
                  <c:v>3009.63</c:v>
                </c:pt>
                <c:pt idx="77">
                  <c:v>3092.32</c:v>
                </c:pt>
                <c:pt idx="78">
                  <c:v>3196.92</c:v>
                </c:pt>
                <c:pt idx="79">
                  <c:v>3302.89</c:v>
                </c:pt>
                <c:pt idx="80">
                  <c:v>3377.88</c:v>
                </c:pt>
                <c:pt idx="81">
                  <c:v>3486.15</c:v>
                </c:pt>
                <c:pt idx="82">
                  <c:v>3606.8</c:v>
                </c:pt>
                <c:pt idx="83">
                  <c:v>3651.07</c:v>
                </c:pt>
                <c:pt idx="84">
                  <c:v>3706.7</c:v>
                </c:pt>
                <c:pt idx="85">
                  <c:v>3751.45</c:v>
                </c:pt>
                <c:pt idx="86">
                  <c:v>3796.41</c:v>
                </c:pt>
                <c:pt idx="87">
                  <c:v>3841.58</c:v>
                </c:pt>
                <c:pt idx="88">
                  <c:v>3909.73</c:v>
                </c:pt>
                <c:pt idx="89">
                  <c:v>3978.35</c:v>
                </c:pt>
                <c:pt idx="90">
                  <c:v>4082.17</c:v>
                </c:pt>
                <c:pt idx="91">
                  <c:v>4163.63</c:v>
                </c:pt>
                <c:pt idx="92">
                  <c:v>4281.12</c:v>
                </c:pt>
                <c:pt idx="93">
                  <c:v>4364.12</c:v>
                </c:pt>
                <c:pt idx="94">
                  <c:v>4459.74</c:v>
                </c:pt>
                <c:pt idx="95">
                  <c:v>4544.08</c:v>
                </c:pt>
                <c:pt idx="96">
                  <c:v>4629.05</c:v>
                </c:pt>
                <c:pt idx="97">
                  <c:v>4739.1899999999996</c:v>
                </c:pt>
                <c:pt idx="98">
                  <c:v>4862.7700000000004</c:v>
                </c:pt>
                <c:pt idx="99">
                  <c:v>4962.53</c:v>
                </c:pt>
                <c:pt idx="100">
                  <c:v>5088.3500000000004</c:v>
                </c:pt>
                <c:pt idx="101">
                  <c:v>5202.6499999999996</c:v>
                </c:pt>
                <c:pt idx="102">
                  <c:v>5292.24</c:v>
                </c:pt>
                <c:pt idx="103">
                  <c:v>5382.43</c:v>
                </c:pt>
                <c:pt idx="104">
                  <c:v>5486.24</c:v>
                </c:pt>
                <c:pt idx="105">
                  <c:v>5577.71</c:v>
                </c:pt>
                <c:pt idx="106">
                  <c:v>5656.59</c:v>
                </c:pt>
                <c:pt idx="107">
                  <c:v>5775.73</c:v>
                </c:pt>
                <c:pt idx="108">
                  <c:v>5895.84</c:v>
                </c:pt>
                <c:pt idx="109">
                  <c:v>6071.04</c:v>
                </c:pt>
                <c:pt idx="110">
                  <c:v>6248.26</c:v>
                </c:pt>
                <c:pt idx="111">
                  <c:v>6427.49</c:v>
                </c:pt>
                <c:pt idx="112">
                  <c:v>6622.73</c:v>
                </c:pt>
                <c:pt idx="113">
                  <c:v>6834.45</c:v>
                </c:pt>
                <c:pt idx="114">
                  <c:v>7005.72</c:v>
                </c:pt>
                <c:pt idx="115">
                  <c:v>7091.98</c:v>
                </c:pt>
                <c:pt idx="116">
                  <c:v>7193.14</c:v>
                </c:pt>
                <c:pt idx="117">
                  <c:v>7338.63</c:v>
                </c:pt>
                <c:pt idx="118">
                  <c:v>7411.8</c:v>
                </c:pt>
                <c:pt idx="119" formatCode="General">
                  <c:v>7485.27</c:v>
                </c:pt>
                <c:pt idx="120" formatCode="General">
                  <c:v>7559.01</c:v>
                </c:pt>
                <c:pt idx="121" formatCode="General">
                  <c:v>7692.47</c:v>
                </c:pt>
                <c:pt idx="122" formatCode="General">
                  <c:v>7856.84</c:v>
                </c:pt>
                <c:pt idx="123" formatCode="General">
                  <c:v>7992.33</c:v>
                </c:pt>
                <c:pt idx="124" formatCode="General">
                  <c:v>8098.35</c:v>
                </c:pt>
                <c:pt idx="125" formatCode="General">
                  <c:v>8281.3700000000008</c:v>
                </c:pt>
                <c:pt idx="126" formatCode="General">
                  <c:v>8450.5499999999993</c:v>
                </c:pt>
                <c:pt idx="127" formatCode="General">
                  <c:v>8667.81</c:v>
                </c:pt>
                <c:pt idx="128" formatCode="General">
                  <c:v>8840.0400000000009</c:v>
                </c:pt>
                <c:pt idx="129" formatCode="General">
                  <c:v>8934.5400000000009</c:v>
                </c:pt>
                <c:pt idx="130" formatCode="General">
                  <c:v>9029.44</c:v>
                </c:pt>
                <c:pt idx="131" formatCode="General">
                  <c:v>9124.74</c:v>
                </c:pt>
                <c:pt idx="132" formatCode="General">
                  <c:v>9268.42</c:v>
                </c:pt>
                <c:pt idx="133" formatCode="General">
                  <c:v>9461.36</c:v>
                </c:pt>
                <c:pt idx="134" formatCode="General">
                  <c:v>9639.6</c:v>
                </c:pt>
                <c:pt idx="135" formatCode="General">
                  <c:v>9737.3799999999992</c:v>
                </c:pt>
                <c:pt idx="136" formatCode="General">
                  <c:v>9835.5400000000009</c:v>
                </c:pt>
                <c:pt idx="137" formatCode="General">
                  <c:v>9917.6299999999992</c:v>
                </c:pt>
                <c:pt idx="138" formatCode="General">
                  <c:v>10000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50-49F4-AFCF-E01BDF6C8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rot="0" vert="horz" wrap="none" lIns="0" tIns="0" rIns="0" bIns="0" anchor="ctr" anchorCtr="1"/>
              <a:lstStyle/>
              <a:p>
                <a:pPr algn="l">
                  <a:defRPr b="0" i="0" u="none"/>
                </a:pPr>
                <a:r>
                  <a:rPr b="0" i="0" u="none"/>
                  <a:t>콘텐츠 제시 순서</a:t>
                </a:r>
                <a:endParaRPr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vert="vert270" wrap="none" lIns="0" tIns="0" rIns="0" bIns="0" anchor="ctr" anchorCtr="1"/>
              <a:lstStyle/>
              <a:p>
                <a:pPr algn="l">
                  <a:defRPr b="0" i="0" u="none"/>
                </a:pPr>
                <a:r>
                  <a:rPr b="0" i="0" u="none"/>
                  <a:t>기획 목표값</a:t>
                </a:r>
                <a:endParaRPr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legend>
      <c:legendPos val="b"/>
      <c:overlay val="0"/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  <c:extLst>
    <c:ext uri="CC8EB2C9-7E31-499d-B8F2-F6CE61031016">
      <ho:hncChartStyle xmlns:ho="http://schemas.haansoft.com/office/8.0" layoutIndex="-1" colorIndex="-1" styleIndex="-1"/>
    </c:ext>
  </c:extLs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295275</xdr:colOff>
      <xdr:row>0</xdr:row>
      <xdr:rowOff>57150</xdr:rowOff>
    </xdr:from>
    <xdr:to>
      <xdr:col>14</xdr:col>
      <xdr:colOff>904875</xdr:colOff>
      <xdr:row>2</xdr:row>
      <xdr:rowOff>352425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21</xdr:row>
      <xdr:rowOff>0</xdr:rowOff>
    </xdr:from>
    <xdr:to>
      <xdr:col>27</xdr:col>
      <xdr:colOff>266700</xdr:colOff>
      <xdr:row>32</xdr:row>
      <xdr:rowOff>152400</xdr:rowOff>
    </xdr:to>
    <xdr:sp macro="" textlink="">
      <xdr:nvSpPr>
        <xdr:cNvPr id="2" name="밸런스팩터_01"/>
        <xdr:cNvSpPr>
          <a:spLocks noGrp="1" noRot="1"/>
        </xdr:cNvSpPr>
      </xdr:nvSpPr>
      <xdr:spPr>
        <a:xfrm>
          <a:off x="13716000" y="9601200"/>
          <a:ext cx="5334000" cy="5334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650" b="1">
              <a:solidFill>
                <a:srgbClr val="000000"/>
              </a:solidFill>
              <a:latin typeface="Carlito"/>
              <a:ea typeface="Carlito"/>
            </a:rPr>
            <a:t>퀘스트 동선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650" b="1">
              <a:solidFill>
                <a:srgbClr val="000000"/>
              </a:solidFill>
              <a:latin typeface="Carlito"/>
              <a:ea typeface="Carlito"/>
            </a:rPr>
            <a:t>레벨디자인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650" b="1">
              <a:solidFill>
                <a:srgbClr val="000000"/>
              </a:solidFill>
              <a:latin typeface="Carlito"/>
              <a:ea typeface="Carlito"/>
            </a:rPr>
            <a:t>오브젝트 배치</a:t>
          </a:r>
        </a:p>
      </xdr:txBody>
    </xdr:sp>
    <xdr:clientData/>
  </xdr:twoCellAnchor>
  <xdr:twoCellAnchor editAs="oneCell">
    <xdr:from>
      <xdr:col>14</xdr:col>
      <xdr:colOff>190500</xdr:colOff>
      <xdr:row>29</xdr:row>
      <xdr:rowOff>19050</xdr:rowOff>
    </xdr:from>
    <xdr:to>
      <xdr:col>20</xdr:col>
      <xdr:colOff>323850</xdr:colOff>
      <xdr:row>38</xdr:row>
      <xdr:rowOff>152400</xdr:rowOff>
    </xdr:to>
    <xdr:sp macro="" textlink="">
      <xdr:nvSpPr>
        <xdr:cNvPr id="3" name="밸런스팩터_02"/>
        <xdr:cNvSpPr>
          <a:spLocks noGrp="1" noRot="1"/>
        </xdr:cNvSpPr>
      </xdr:nvSpPr>
      <xdr:spPr>
        <a:xfrm>
          <a:off x="9982200" y="13296900"/>
          <a:ext cx="4381500" cy="4381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공원 쓰레기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개수·배치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분리수거 규칙</a:t>
          </a:r>
        </a:p>
      </xdr:txBody>
    </xdr:sp>
    <xdr:clientData/>
  </xdr:twoCellAnchor>
  <xdr:twoCellAnchor editAs="oneCell">
    <xdr:from>
      <xdr:col>28</xdr:col>
      <xdr:colOff>171449</xdr:colOff>
      <xdr:row>22</xdr:row>
      <xdr:rowOff>57150</xdr:rowOff>
    </xdr:from>
    <xdr:to>
      <xdr:col>34</xdr:col>
      <xdr:colOff>304800</xdr:colOff>
      <xdr:row>31</xdr:row>
      <xdr:rowOff>190500</xdr:rowOff>
    </xdr:to>
    <xdr:sp macro="" textlink="">
      <xdr:nvSpPr>
        <xdr:cNvPr id="4" name="밸런스팩터_03"/>
        <xdr:cNvSpPr>
          <a:spLocks noGrp="1" noRot="1"/>
        </xdr:cNvSpPr>
      </xdr:nvSpPr>
      <xdr:spPr>
        <a:xfrm>
          <a:off x="19545300" y="10172700"/>
          <a:ext cx="4381500" cy="4381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선의 감소량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자아 마모도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회복 수단</a:t>
          </a:r>
        </a:p>
      </xdr:txBody>
    </xdr:sp>
    <xdr:clientData/>
  </xdr:twoCellAnchor>
  <xdr:twoCellAnchor editAs="oneCell">
    <xdr:from>
      <xdr:col>27</xdr:col>
      <xdr:colOff>142875</xdr:colOff>
      <xdr:row>12</xdr:row>
      <xdr:rowOff>76200</xdr:rowOff>
    </xdr:from>
    <xdr:to>
      <xdr:col>33</xdr:col>
      <xdr:colOff>133350</xdr:colOff>
      <xdr:row>21</xdr:row>
      <xdr:rowOff>66675</xdr:rowOff>
    </xdr:to>
    <xdr:sp macro="" textlink="">
      <xdr:nvSpPr>
        <xdr:cNvPr id="5" name="밸런스팩터_04"/>
        <xdr:cNvSpPr>
          <a:spLocks noGrp="1" noRot="1"/>
        </xdr:cNvSpPr>
      </xdr:nvSpPr>
      <xdr:spPr>
        <a:xfrm>
          <a:off x="18802350" y="5638800"/>
          <a:ext cx="4095750" cy="40957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몬스터 개수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배치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공격 판정</a:t>
          </a:r>
        </a:p>
      </xdr:txBody>
    </xdr:sp>
    <xdr:clientData/>
  </xdr:twoCellAnchor>
  <xdr:twoCellAnchor editAs="oneCell">
    <xdr:from>
      <xdr:col>13</xdr:col>
      <xdr:colOff>19050</xdr:colOff>
      <xdr:row>19</xdr:row>
      <xdr:rowOff>180975</xdr:rowOff>
    </xdr:from>
    <xdr:to>
      <xdr:col>18</xdr:col>
      <xdr:colOff>257175</xdr:colOff>
      <xdr:row>28</xdr:row>
      <xdr:rowOff>76200</xdr:rowOff>
    </xdr:to>
    <xdr:sp macro="" textlink="">
      <xdr:nvSpPr>
        <xdr:cNvPr id="6" name="밸런스팩터_05"/>
        <xdr:cNvSpPr>
          <a:spLocks noGrp="1" noRot="1"/>
        </xdr:cNvSpPr>
      </xdr:nvSpPr>
      <xdr:spPr>
        <a:xfrm>
          <a:off x="8953500" y="9048750"/>
          <a:ext cx="3905250" cy="3905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이벤트 템포</a:t>
          </a:r>
        </a:p>
      </xdr:txBody>
    </xdr:sp>
    <xdr:clientData/>
  </xdr:twoCellAnchor>
  <xdr:twoCellAnchor editAs="oneCell">
    <xdr:from>
      <xdr:col>23</xdr:col>
      <xdr:colOff>0</xdr:colOff>
      <xdr:row>8</xdr:row>
      <xdr:rowOff>0</xdr:rowOff>
    </xdr:from>
    <xdr:to>
      <xdr:col>27</xdr:col>
      <xdr:colOff>57150</xdr:colOff>
      <xdr:row>14</xdr:row>
      <xdr:rowOff>57150</xdr:rowOff>
    </xdr:to>
    <xdr:sp macro="" textlink="">
      <xdr:nvSpPr>
        <xdr:cNvPr id="7" name="밸런스팩터_06"/>
        <xdr:cNvSpPr>
          <a:spLocks noGrp="1" noRot="1"/>
        </xdr:cNvSpPr>
      </xdr:nvSpPr>
      <xdr:spPr>
        <a:xfrm>
          <a:off x="15773400" y="3657600"/>
          <a:ext cx="2857500" cy="2857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PC 이동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속도</a:t>
          </a:r>
        </a:p>
      </xdr:txBody>
    </xdr:sp>
    <xdr:clientData/>
  </xdr:twoCellAnchor>
  <xdr:twoCellAnchor editAs="oneCell">
    <xdr:from>
      <xdr:col>30</xdr:col>
      <xdr:colOff>209550</xdr:colOff>
      <xdr:row>6</xdr:row>
      <xdr:rowOff>95250</xdr:rowOff>
    </xdr:from>
    <xdr:to>
      <xdr:col>34</xdr:col>
      <xdr:colOff>123824</xdr:colOff>
      <xdr:row>12</xdr:row>
      <xdr:rowOff>9525</xdr:rowOff>
    </xdr:to>
    <xdr:sp macro="" textlink="">
      <xdr:nvSpPr>
        <xdr:cNvPr id="8" name="밸런스팩터_07"/>
        <xdr:cNvSpPr>
          <a:spLocks noGrp="1" noRot="1"/>
        </xdr:cNvSpPr>
      </xdr:nvSpPr>
      <xdr:spPr>
        <a:xfrm>
          <a:off x="20993100" y="2933700"/>
          <a:ext cx="2571750" cy="25717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달리기 속도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지속시간</a:t>
          </a:r>
        </a:p>
      </xdr:txBody>
    </xdr:sp>
    <xdr:clientData/>
  </xdr:twoCellAnchor>
  <xdr:twoCellAnchor editAs="oneCell">
    <xdr:from>
      <xdr:col>36</xdr:col>
      <xdr:colOff>19050</xdr:colOff>
      <xdr:row>6</xdr:row>
      <xdr:rowOff>157225</xdr:rowOff>
    </xdr:from>
    <xdr:to>
      <xdr:col>40</xdr:col>
      <xdr:colOff>28575</xdr:colOff>
      <xdr:row>12</xdr:row>
      <xdr:rowOff>171449</xdr:rowOff>
    </xdr:to>
    <xdr:sp macro="" textlink="">
      <xdr:nvSpPr>
        <xdr:cNvPr id="9" name="밸런스팩터_08"/>
        <xdr:cNvSpPr>
          <a:spLocks noGrp="1" noRot="1"/>
        </xdr:cNvSpPr>
      </xdr:nvSpPr>
      <xdr:spPr>
        <a:xfrm>
          <a:off x="24726902" y="3057525"/>
          <a:ext cx="2762250" cy="277177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425" b="1">
              <a:solidFill>
                <a:srgbClr val="000000"/>
              </a:solidFill>
              <a:latin typeface="Carlito"/>
              <a:ea typeface="Carlito"/>
            </a:rPr>
            <a:t>맵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425" b="1">
              <a:solidFill>
                <a:srgbClr val="000000"/>
              </a:solidFill>
              <a:latin typeface="Carlito"/>
              <a:ea typeface="Carlito"/>
            </a:rPr>
            <a:t>크기</a:t>
          </a:r>
        </a:p>
      </xdr:txBody>
    </xdr:sp>
    <xdr:clientData/>
  </xdr:twoCellAnchor>
  <xdr:twoCellAnchor editAs="oneCell">
    <xdr:from>
      <xdr:col>11</xdr:col>
      <xdr:colOff>209550</xdr:colOff>
      <xdr:row>3</xdr:row>
      <xdr:rowOff>157225</xdr:rowOff>
    </xdr:from>
    <xdr:to>
      <xdr:col>15</xdr:col>
      <xdr:colOff>171449</xdr:colOff>
      <xdr:row>9</xdr:row>
      <xdr:rowOff>123824</xdr:rowOff>
    </xdr:to>
    <xdr:sp macro="" textlink="">
      <xdr:nvSpPr>
        <xdr:cNvPr id="10" name="밸런스팩터_09"/>
        <xdr:cNvSpPr>
          <a:spLocks noGrp="1" noRot="1"/>
        </xdr:cNvSpPr>
      </xdr:nvSpPr>
      <xdr:spPr>
        <a:xfrm>
          <a:off x="7962900" y="1685925"/>
          <a:ext cx="2667000" cy="267652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카메라 시야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가시성</a:t>
          </a:r>
        </a:p>
      </xdr:txBody>
    </xdr:sp>
    <xdr:clientData/>
  </xdr:twoCellAnchor>
  <xdr:twoCellAnchor editAs="oneCell">
    <xdr:from>
      <xdr:col>9</xdr:col>
      <xdr:colOff>0</xdr:colOff>
      <xdr:row>18</xdr:row>
      <xdr:rowOff>38100</xdr:rowOff>
    </xdr:from>
    <xdr:to>
      <xdr:col>12</xdr:col>
      <xdr:colOff>304800</xdr:colOff>
      <xdr:row>24</xdr:row>
      <xdr:rowOff>0</xdr:rowOff>
    </xdr:to>
    <xdr:sp macro="" textlink="">
      <xdr:nvSpPr>
        <xdr:cNvPr id="11" name="밸런스팩터_10"/>
        <xdr:cNvSpPr>
          <a:spLocks noGrp="1" noRot="1"/>
        </xdr:cNvSpPr>
      </xdr:nvSpPr>
      <xdr:spPr>
        <a:xfrm>
          <a:off x="6172200" y="8305800"/>
          <a:ext cx="2667000" cy="2667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트리거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위치</a:t>
          </a:r>
        </a:p>
      </xdr:txBody>
    </xdr:sp>
    <xdr:clientData/>
  </xdr:twoCellAnchor>
  <xdr:twoCellAnchor editAs="oneCell">
    <xdr:from>
      <xdr:col>10</xdr:col>
      <xdr:colOff>0</xdr:colOff>
      <xdr:row>26</xdr:row>
      <xdr:rowOff>142875</xdr:rowOff>
    </xdr:from>
    <xdr:to>
      <xdr:col>13</xdr:col>
      <xdr:colOff>304800</xdr:colOff>
      <xdr:row>32</xdr:row>
      <xdr:rowOff>104775</xdr:rowOff>
    </xdr:to>
    <xdr:sp macro="" textlink="">
      <xdr:nvSpPr>
        <xdr:cNvPr id="12" name="밸런스팩터_11"/>
        <xdr:cNvSpPr>
          <a:spLocks noGrp="1" noRot="1"/>
        </xdr:cNvSpPr>
      </xdr:nvSpPr>
      <xdr:spPr>
        <a:xfrm>
          <a:off x="6858000" y="12172949"/>
          <a:ext cx="2667000" cy="2667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상호작용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범위</a:t>
          </a:r>
        </a:p>
      </xdr:txBody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19</xdr:col>
      <xdr:colOff>304800</xdr:colOff>
      <xdr:row>11</xdr:row>
      <xdr:rowOff>190500</xdr:rowOff>
    </xdr:to>
    <xdr:sp macro="" textlink="">
      <xdr:nvSpPr>
        <xdr:cNvPr id="13" name="밸런스팩터_12"/>
        <xdr:cNvSpPr>
          <a:spLocks noGrp="1" noRot="1"/>
        </xdr:cNvSpPr>
      </xdr:nvSpPr>
      <xdr:spPr>
        <a:xfrm>
          <a:off x="10972800" y="2743200"/>
          <a:ext cx="2667000" cy="2667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목표 표시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힌트량</a:t>
          </a:r>
        </a:p>
      </xdr:txBody>
    </xdr:sp>
    <xdr:clientData/>
  </xdr:twoCellAnchor>
  <xdr:twoCellAnchor editAs="oneCell">
    <xdr:from>
      <xdr:col>12</xdr:col>
      <xdr:colOff>228600</xdr:colOff>
      <xdr:row>13</xdr:row>
      <xdr:rowOff>142875</xdr:rowOff>
    </xdr:from>
    <xdr:to>
      <xdr:col>16</xdr:col>
      <xdr:colOff>47625</xdr:colOff>
      <xdr:row>18</xdr:row>
      <xdr:rowOff>190500</xdr:rowOff>
    </xdr:to>
    <xdr:sp macro="" textlink="">
      <xdr:nvSpPr>
        <xdr:cNvPr id="14" name="밸런스팩터_13"/>
        <xdr:cNvSpPr>
          <a:spLocks noGrp="1" noRot="1"/>
        </xdr:cNvSpPr>
      </xdr:nvSpPr>
      <xdr:spPr>
        <a:xfrm>
          <a:off x="8686800" y="6229350"/>
          <a:ext cx="2381250" cy="2381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NPC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밀도</a:t>
          </a:r>
        </a:p>
      </xdr:txBody>
    </xdr:sp>
    <xdr:clientData/>
  </xdr:twoCellAnchor>
  <xdr:twoCellAnchor editAs="oneCell">
    <xdr:from>
      <xdr:col>11</xdr:col>
      <xdr:colOff>95250</xdr:colOff>
      <xdr:row>35</xdr:row>
      <xdr:rowOff>76200</xdr:rowOff>
    </xdr:from>
    <xdr:to>
      <xdr:col>14</xdr:col>
      <xdr:colOff>304800</xdr:colOff>
      <xdr:row>40</xdr:row>
      <xdr:rowOff>171449</xdr:rowOff>
    </xdr:to>
    <xdr:sp macro="" textlink="">
      <xdr:nvSpPr>
        <xdr:cNvPr id="15" name="밸런스팩터_14"/>
        <xdr:cNvSpPr>
          <a:spLocks noGrp="1" noRot="1"/>
        </xdr:cNvSpPr>
      </xdr:nvSpPr>
      <xdr:spPr>
        <a:xfrm>
          <a:off x="7734300" y="161544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미니게임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제한 시간</a:t>
          </a:r>
        </a:p>
      </xdr:txBody>
    </xdr:sp>
    <xdr:clientData/>
  </xdr:twoCellAnchor>
  <xdr:twoCellAnchor editAs="oneCell">
    <xdr:from>
      <xdr:col>21</xdr:col>
      <xdr:colOff>123824</xdr:colOff>
      <xdr:row>33</xdr:row>
      <xdr:rowOff>76200</xdr:rowOff>
    </xdr:from>
    <xdr:to>
      <xdr:col>24</xdr:col>
      <xdr:colOff>333375</xdr:colOff>
      <xdr:row>38</xdr:row>
      <xdr:rowOff>171449</xdr:rowOff>
    </xdr:to>
    <xdr:sp macro="" textlink="">
      <xdr:nvSpPr>
        <xdr:cNvPr id="16" name="밸런스팩터_15"/>
        <xdr:cNvSpPr>
          <a:spLocks noGrp="1" noRot="1"/>
        </xdr:cNvSpPr>
      </xdr:nvSpPr>
      <xdr:spPr>
        <a:xfrm>
          <a:off x="14649451" y="152400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미션 실패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패널티</a:t>
          </a:r>
        </a:p>
      </xdr:txBody>
    </xdr:sp>
    <xdr:clientData/>
  </xdr:twoCellAnchor>
  <xdr:twoCellAnchor editAs="oneCell">
    <xdr:from>
      <xdr:col>23</xdr:col>
      <xdr:colOff>104775</xdr:colOff>
      <xdr:row>15</xdr:row>
      <xdr:rowOff>76200</xdr:rowOff>
    </xdr:from>
    <xdr:to>
      <xdr:col>26</xdr:col>
      <xdr:colOff>314325</xdr:colOff>
      <xdr:row>20</xdr:row>
      <xdr:rowOff>171449</xdr:rowOff>
    </xdr:to>
    <xdr:sp macro="" textlink="">
      <xdr:nvSpPr>
        <xdr:cNvPr id="17" name="밸런스팩터_16"/>
        <xdr:cNvSpPr>
          <a:spLocks noGrp="1" noRot="1"/>
        </xdr:cNvSpPr>
      </xdr:nvSpPr>
      <xdr:spPr>
        <a:xfrm>
          <a:off x="15982949" y="70104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칭찬·보상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빈도</a:t>
          </a:r>
        </a:p>
      </xdr:txBody>
    </xdr:sp>
    <xdr:clientData/>
  </xdr:twoCellAnchor>
  <xdr:twoCellAnchor editAs="oneCell">
    <xdr:from>
      <xdr:col>20</xdr:col>
      <xdr:colOff>76200</xdr:colOff>
      <xdr:row>4</xdr:row>
      <xdr:rowOff>0</xdr:rowOff>
    </xdr:from>
    <xdr:to>
      <xdr:col>23</xdr:col>
      <xdr:colOff>285750</xdr:colOff>
      <xdr:row>9</xdr:row>
      <xdr:rowOff>95250</xdr:rowOff>
    </xdr:to>
    <xdr:sp macro="" textlink="">
      <xdr:nvSpPr>
        <xdr:cNvPr id="18" name="밸런스팩터_17"/>
        <xdr:cNvSpPr>
          <a:spLocks noGrp="1" noRot="1"/>
        </xdr:cNvSpPr>
      </xdr:nvSpPr>
      <xdr:spPr>
        <a:xfrm>
          <a:off x="13868400" y="18288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체크포인트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간격</a:t>
          </a:r>
        </a:p>
      </xdr:txBody>
    </xdr:sp>
    <xdr:clientData/>
  </xdr:twoCellAnchor>
  <xdr:twoCellAnchor editAs="oneCell">
    <xdr:from>
      <xdr:col>26</xdr:col>
      <xdr:colOff>0</xdr:colOff>
      <xdr:row>40</xdr:row>
      <xdr:rowOff>76200</xdr:rowOff>
    </xdr:from>
    <xdr:to>
      <xdr:col>29</xdr:col>
      <xdr:colOff>209550</xdr:colOff>
      <xdr:row>45</xdr:row>
      <xdr:rowOff>171449</xdr:rowOff>
    </xdr:to>
    <xdr:sp macro="" textlink="">
      <xdr:nvSpPr>
        <xdr:cNvPr id="19" name="밸런스팩터_18"/>
        <xdr:cNvSpPr>
          <a:spLocks noGrp="1" noRot="1"/>
        </xdr:cNvSpPr>
      </xdr:nvSpPr>
      <xdr:spPr>
        <a:xfrm>
          <a:off x="17830800" y="184404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선택지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영향도</a:t>
          </a:r>
        </a:p>
      </xdr:txBody>
    </xdr:sp>
    <xdr:clientData/>
  </xdr:twoCellAnchor>
  <xdr:twoCellAnchor editAs="oneCell">
    <xdr:from>
      <xdr:col>34</xdr:col>
      <xdr:colOff>19050</xdr:colOff>
      <xdr:row>13</xdr:row>
      <xdr:rowOff>104775</xdr:rowOff>
    </xdr:from>
    <xdr:to>
      <xdr:col>37</xdr:col>
      <xdr:colOff>276225</xdr:colOff>
      <xdr:row>19</xdr:row>
      <xdr:rowOff>19050</xdr:rowOff>
    </xdr:to>
    <xdr:sp macro="" textlink="">
      <xdr:nvSpPr>
        <xdr:cNvPr id="20" name="밸런스팩터_19"/>
        <xdr:cNvSpPr>
          <a:spLocks noGrp="1" noRot="1"/>
        </xdr:cNvSpPr>
      </xdr:nvSpPr>
      <xdr:spPr>
        <a:xfrm>
          <a:off x="23355302" y="6153150"/>
          <a:ext cx="2571750" cy="25717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보스 패턴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속도</a:t>
          </a:r>
        </a:p>
      </xdr:txBody>
    </xdr:sp>
    <xdr:clientData/>
  </xdr:twoCellAnchor>
  <xdr:twoCellAnchor editAs="oneCell">
    <xdr:from>
      <xdr:col>14</xdr:col>
      <xdr:colOff>180975</xdr:colOff>
      <xdr:row>38</xdr:row>
      <xdr:rowOff>209550</xdr:rowOff>
    </xdr:from>
    <xdr:to>
      <xdr:col>18</xdr:col>
      <xdr:colOff>47625</xdr:colOff>
      <xdr:row>44</xdr:row>
      <xdr:rowOff>76200</xdr:rowOff>
    </xdr:to>
    <xdr:sp macro="" textlink="">
      <xdr:nvSpPr>
        <xdr:cNvPr id="21" name="밸런스팩터_20"/>
        <xdr:cNvSpPr>
          <a:spLocks noGrp="1" noRot="1"/>
        </xdr:cNvSpPr>
      </xdr:nvSpPr>
      <xdr:spPr>
        <a:xfrm>
          <a:off x="9963150" y="177927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퍼즐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힌트량</a:t>
          </a:r>
        </a:p>
      </xdr:txBody>
    </xdr:sp>
    <xdr:clientData/>
  </xdr:twoCellAnchor>
  <xdr:twoCellAnchor editAs="oneCell">
    <xdr:from>
      <xdr:col>34</xdr:col>
      <xdr:colOff>266700</xdr:colOff>
      <xdr:row>19</xdr:row>
      <xdr:rowOff>209550</xdr:rowOff>
    </xdr:from>
    <xdr:to>
      <xdr:col>38</xdr:col>
      <xdr:colOff>133350</xdr:colOff>
      <xdr:row>25</xdr:row>
      <xdr:rowOff>76200</xdr:rowOff>
    </xdr:to>
    <xdr:sp macro="" textlink="">
      <xdr:nvSpPr>
        <xdr:cNvPr id="22" name="밸런스팩터_21"/>
        <xdr:cNvSpPr>
          <a:spLocks noGrp="1" noRot="1"/>
        </xdr:cNvSpPr>
      </xdr:nvSpPr>
      <xdr:spPr>
        <a:xfrm>
          <a:off x="23850600" y="91059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균열 발생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타이밍</a:t>
          </a:r>
        </a:p>
      </xdr:txBody>
    </xdr:sp>
    <xdr:clientData/>
  </xdr:twoCellAnchor>
  <xdr:twoCellAnchor editAs="oneCell">
    <xdr:from>
      <xdr:col>5</xdr:col>
      <xdr:colOff>104775</xdr:colOff>
      <xdr:row>9</xdr:row>
      <xdr:rowOff>157225</xdr:rowOff>
    </xdr:from>
    <xdr:to>
      <xdr:col>8</xdr:col>
      <xdr:colOff>266700</xdr:colOff>
      <xdr:row>14</xdr:row>
      <xdr:rowOff>209550</xdr:rowOff>
    </xdr:to>
    <xdr:sp macro="" textlink="">
      <xdr:nvSpPr>
        <xdr:cNvPr id="23" name="밸런스팩터_22"/>
        <xdr:cNvSpPr>
          <a:spLocks noGrp="1" noRot="1"/>
        </xdr:cNvSpPr>
      </xdr:nvSpPr>
      <xdr:spPr>
        <a:xfrm>
          <a:off x="3638550" y="4429125"/>
          <a:ext cx="2381250" cy="239077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975" b="1">
              <a:solidFill>
                <a:srgbClr val="000000"/>
              </a:solidFill>
              <a:latin typeface="Carlito"/>
              <a:ea typeface="Carlito"/>
            </a:rPr>
            <a:t>회색 후드 NPC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975" b="1">
              <a:solidFill>
                <a:srgbClr val="000000"/>
              </a:solidFill>
              <a:latin typeface="Carlito"/>
              <a:ea typeface="Carlito"/>
            </a:rPr>
            <a:t>구분 난도</a:t>
          </a:r>
        </a:p>
      </xdr:txBody>
    </xdr:sp>
    <xdr:clientData/>
  </xdr:twoCellAnchor>
  <xdr:twoCellAnchor editAs="oneCell">
    <xdr:from>
      <xdr:col>5</xdr:col>
      <xdr:colOff>180975</xdr:colOff>
      <xdr:row>22</xdr:row>
      <xdr:rowOff>38100</xdr:rowOff>
    </xdr:from>
    <xdr:to>
      <xdr:col>9</xdr:col>
      <xdr:colOff>47625</xdr:colOff>
      <xdr:row>27</xdr:row>
      <xdr:rowOff>133350</xdr:rowOff>
    </xdr:to>
    <xdr:sp macro="" textlink="">
      <xdr:nvSpPr>
        <xdr:cNvPr id="24" name="밸런스팩터_23"/>
        <xdr:cNvSpPr>
          <a:spLocks noGrp="1" noRot="1"/>
        </xdr:cNvSpPr>
      </xdr:nvSpPr>
      <xdr:spPr>
        <a:xfrm>
          <a:off x="3790950" y="101346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편의점 재고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연출 타이밍</a:t>
          </a:r>
        </a:p>
      </xdr:txBody>
    </xdr:sp>
    <xdr:clientData/>
  </xdr:twoCellAnchor>
  <xdr:twoCellAnchor editAs="oneCell">
    <xdr:from>
      <xdr:col>5</xdr:col>
      <xdr:colOff>19050</xdr:colOff>
      <xdr:row>16</xdr:row>
      <xdr:rowOff>19050</xdr:rowOff>
    </xdr:from>
    <xdr:to>
      <xdr:col>8</xdr:col>
      <xdr:colOff>228600</xdr:colOff>
      <xdr:row>21</xdr:row>
      <xdr:rowOff>114300</xdr:rowOff>
    </xdr:to>
    <xdr:sp macro="" textlink="">
      <xdr:nvSpPr>
        <xdr:cNvPr id="25" name="밸런스팩터_24"/>
        <xdr:cNvSpPr>
          <a:spLocks noGrp="1" noRot="1"/>
        </xdr:cNvSpPr>
      </xdr:nvSpPr>
      <xdr:spPr>
        <a:xfrm>
          <a:off x="3467100" y="73533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물류 트럭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이동 속도</a:t>
          </a:r>
        </a:p>
      </xdr:txBody>
    </xdr:sp>
    <xdr:clientData/>
  </xdr:twoCellAnchor>
  <xdr:twoCellAnchor editAs="oneCell">
    <xdr:from>
      <xdr:col>9</xdr:col>
      <xdr:colOff>228600</xdr:colOff>
      <xdr:row>9</xdr:row>
      <xdr:rowOff>180975</xdr:rowOff>
    </xdr:from>
    <xdr:to>
      <xdr:col>13</xdr:col>
      <xdr:colOff>0</xdr:colOff>
      <xdr:row>14</xdr:row>
      <xdr:rowOff>180975</xdr:rowOff>
    </xdr:to>
    <xdr:sp macro="" textlink="">
      <xdr:nvSpPr>
        <xdr:cNvPr id="26" name="밸런스팩터_25"/>
        <xdr:cNvSpPr>
          <a:spLocks noGrp="1" noRot="1"/>
        </xdr:cNvSpPr>
      </xdr:nvSpPr>
      <xdr:spPr>
        <a:xfrm>
          <a:off x="6629400" y="4476750"/>
          <a:ext cx="2286000" cy="2286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오픈런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경쟁</a:t>
          </a:r>
        </a:p>
      </xdr:txBody>
    </xdr:sp>
    <xdr:clientData/>
  </xdr:twoCellAnchor>
  <xdr:twoCellAnchor editAs="oneCell">
    <xdr:from>
      <xdr:col>24</xdr:col>
      <xdr:colOff>57150</xdr:colOff>
      <xdr:row>2</xdr:row>
      <xdr:rowOff>38100</xdr:rowOff>
    </xdr:from>
    <xdr:to>
      <xdr:col>27</xdr:col>
      <xdr:colOff>219075</xdr:colOff>
      <xdr:row>7</xdr:row>
      <xdr:rowOff>85724</xdr:rowOff>
    </xdr:to>
    <xdr:sp macro="" textlink="">
      <xdr:nvSpPr>
        <xdr:cNvPr id="27" name="밸런스팩터_26"/>
        <xdr:cNvSpPr>
          <a:spLocks noGrp="1" noRot="1"/>
        </xdr:cNvSpPr>
      </xdr:nvSpPr>
      <xdr:spPr>
        <a:xfrm>
          <a:off x="16573500" y="990600"/>
          <a:ext cx="2381250" cy="2381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사운드·시각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경고 강도</a:t>
          </a:r>
        </a:p>
      </xdr:txBody>
    </xdr:sp>
    <xdr:clientData/>
  </xdr:twoCellAnchor>
  <xdr:twoCellAnchor editAs="oneCell">
    <xdr:from>
      <xdr:col>25</xdr:col>
      <xdr:colOff>142875</xdr:colOff>
      <xdr:row>31</xdr:row>
      <xdr:rowOff>28575</xdr:rowOff>
    </xdr:from>
    <xdr:to>
      <xdr:col>31</xdr:col>
      <xdr:colOff>38100</xdr:colOff>
      <xdr:row>39</xdr:row>
      <xdr:rowOff>152400</xdr:rowOff>
    </xdr:to>
    <xdr:sp macro="" textlink="">
      <xdr:nvSpPr>
        <xdr:cNvPr id="28" name="밸런스팩터_05"/>
        <xdr:cNvSpPr>
          <a:spLocks noGrp="1" noRot="1"/>
        </xdr:cNvSpPr>
      </xdr:nvSpPr>
      <xdr:spPr>
        <a:xfrm>
          <a:off x="17430750" y="14230349"/>
          <a:ext cx="3905250" cy="3905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대화 길이</a:t>
          </a:r>
        </a:p>
      </xdr:txBody>
    </xdr:sp>
    <xdr:clientData/>
  </xdr:twoCellAnchor>
  <xdr:twoCellAnchor editAs="oneCell">
    <xdr:from>
      <xdr:col>17</xdr:col>
      <xdr:colOff>95250</xdr:colOff>
      <xdr:row>12</xdr:row>
      <xdr:rowOff>66675</xdr:rowOff>
    </xdr:from>
    <xdr:to>
      <xdr:col>22</xdr:col>
      <xdr:colOff>328675</xdr:colOff>
      <xdr:row>20</xdr:row>
      <xdr:rowOff>190500</xdr:rowOff>
    </xdr:to>
    <xdr:sp macro="" textlink="">
      <xdr:nvSpPr>
        <xdr:cNvPr id="29" name="밸런스팩터_05"/>
        <xdr:cNvSpPr>
          <a:spLocks noGrp="1" noRot="1"/>
        </xdr:cNvSpPr>
      </xdr:nvSpPr>
      <xdr:spPr>
        <a:xfrm>
          <a:off x="11849100" y="5619750"/>
          <a:ext cx="3895725" cy="3905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연출 밀도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4</xdr:row>
      <xdr:rowOff>0</xdr:rowOff>
    </xdr:from>
    <xdr:to>
      <xdr:col>17</xdr:col>
      <xdr:colOff>0</xdr:colOff>
      <xdr:row>24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J153"/>
  <sheetViews>
    <sheetView tabSelected="1" topLeftCell="N1" zoomScale="60" zoomScaleNormal="90" workbookViewId="0">
      <selection activeCell="AF9" sqref="AF9"/>
    </sheetView>
  </sheetViews>
  <sheetFormatPr defaultColWidth="9" defaultRowHeight="13.5"/>
  <cols>
    <col min="1" max="1" width="13.875" style="39" customWidth="1"/>
    <col min="2" max="2" width="14.125" style="39" customWidth="1"/>
    <col min="3" max="3" width="13.125" style="39" customWidth="1"/>
    <col min="4" max="4" width="13.375" style="39" customWidth="1"/>
    <col min="5" max="5" width="42" style="39" customWidth="1"/>
    <col min="6" max="6" width="40.5" style="39" customWidth="1"/>
    <col min="7" max="7" width="40.125" style="39" customWidth="1"/>
    <col min="8" max="8" width="33.75" style="39" customWidth="1"/>
    <col min="9" max="9" width="11.875" style="39" customWidth="1"/>
    <col min="10" max="10" width="33.5" style="39" customWidth="1"/>
    <col min="11" max="11" width="39.625" style="39" customWidth="1"/>
    <col min="12" max="12" width="18.625" style="39" customWidth="1"/>
    <col min="13" max="13" width="20.875" style="39" customWidth="1"/>
    <col min="14" max="14" width="18.75" style="39" customWidth="1"/>
    <col min="15" max="15" width="18.875" style="39" customWidth="1"/>
    <col min="16" max="16" width="19.75" style="39" customWidth="1"/>
    <col min="17" max="17" width="18.875" style="39" customWidth="1"/>
    <col min="18" max="18" width="22" style="39" customWidth="1"/>
    <col min="19" max="19" width="18" style="39" customWidth="1"/>
    <col min="20" max="20" width="16" style="39" customWidth="1"/>
    <col min="21" max="22" width="16" style="40" customWidth="1"/>
    <col min="23" max="23" width="38" style="40" customWidth="1"/>
    <col min="24" max="27" width="11" style="40" customWidth="1"/>
    <col min="28" max="28" width="15" style="40" customWidth="1"/>
    <col min="29" max="29" width="15" style="39" customWidth="1"/>
    <col min="30" max="31" width="15" style="40" customWidth="1"/>
    <col min="32" max="36" width="18.875" style="39" customWidth="1"/>
    <col min="37" max="16384" width="9" style="39"/>
  </cols>
  <sheetData>
    <row r="1" spans="1:36" ht="36.75" customHeight="1">
      <c r="Q1" s="39" t="s">
        <v>531</v>
      </c>
      <c r="R1" s="39" t="s">
        <v>536</v>
      </c>
    </row>
    <row r="2" spans="1:36" ht="36.75" customHeight="1">
      <c r="M2" s="41" t="s">
        <v>522</v>
      </c>
      <c r="Q2" s="42">
        <v>0.98499999999999999</v>
      </c>
      <c r="R2" s="42">
        <v>15</v>
      </c>
    </row>
    <row r="3" spans="1:36" ht="33.950000000000003" customHeight="1">
      <c r="Q3" s="42">
        <f>Q2/100</f>
        <v>9.8499999999999994E-3</v>
      </c>
      <c r="R3" s="42">
        <f>R2/100</f>
        <v>0.15</v>
      </c>
      <c r="S3" s="65" t="s">
        <v>120</v>
      </c>
      <c r="T3" s="66"/>
      <c r="U3" s="66"/>
      <c r="V3" s="67"/>
      <c r="W3" s="66" t="s">
        <v>158</v>
      </c>
      <c r="X3" s="66"/>
      <c r="Y3" s="66"/>
      <c r="Z3" s="66"/>
      <c r="AA3" s="67"/>
      <c r="AB3" s="65" t="s">
        <v>1047</v>
      </c>
      <c r="AC3" s="66"/>
      <c r="AD3" s="66"/>
      <c r="AE3" s="67"/>
    </row>
    <row r="4" spans="1:36" ht="42" customHeight="1">
      <c r="A4" s="61" t="s">
        <v>529</v>
      </c>
      <c r="B4" s="62" t="s">
        <v>889</v>
      </c>
      <c r="C4" s="62" t="s">
        <v>506</v>
      </c>
      <c r="D4" s="62" t="s">
        <v>502</v>
      </c>
      <c r="E4" s="62" t="s">
        <v>518</v>
      </c>
      <c r="F4" s="62" t="s">
        <v>517</v>
      </c>
      <c r="G4" s="62" t="s">
        <v>509</v>
      </c>
      <c r="H4" s="62" t="s">
        <v>507</v>
      </c>
      <c r="I4" s="62" t="s">
        <v>490</v>
      </c>
      <c r="J4" s="62" t="s">
        <v>880</v>
      </c>
      <c r="K4" s="62" t="s">
        <v>494</v>
      </c>
      <c r="L4" s="62" t="s">
        <v>887</v>
      </c>
      <c r="M4" s="62" t="s">
        <v>893</v>
      </c>
      <c r="N4" s="63" t="s">
        <v>879</v>
      </c>
      <c r="O4" s="63" t="s">
        <v>487</v>
      </c>
      <c r="P4" s="63" t="s">
        <v>377</v>
      </c>
      <c r="Q4" s="63" t="s">
        <v>373</v>
      </c>
      <c r="R4" s="63" t="s">
        <v>423</v>
      </c>
      <c r="S4" s="64" t="s">
        <v>374</v>
      </c>
      <c r="T4" s="64" t="s">
        <v>376</v>
      </c>
      <c r="U4" s="64" t="s">
        <v>253</v>
      </c>
      <c r="V4" s="64" t="s">
        <v>694</v>
      </c>
      <c r="W4" s="64" t="s">
        <v>372</v>
      </c>
      <c r="X4" s="64" t="s">
        <v>884</v>
      </c>
      <c r="Y4" s="64" t="s">
        <v>492</v>
      </c>
      <c r="Z4" s="64" t="s">
        <v>511</v>
      </c>
      <c r="AA4" s="64" t="s">
        <v>499</v>
      </c>
      <c r="AB4" s="64" t="s">
        <v>885</v>
      </c>
      <c r="AC4" s="64" t="s">
        <v>548</v>
      </c>
      <c r="AD4" s="64" t="s">
        <v>498</v>
      </c>
      <c r="AE4" s="64" t="s">
        <v>520</v>
      </c>
      <c r="AF4" s="41"/>
      <c r="AG4" s="41"/>
      <c r="AH4" s="41"/>
      <c r="AI4" s="41"/>
      <c r="AJ4" s="41"/>
    </row>
    <row r="5" spans="1:36" ht="39.6" customHeight="1">
      <c r="A5" s="41" t="s">
        <v>892</v>
      </c>
      <c r="B5" s="43">
        <v>1</v>
      </c>
      <c r="C5" s="43">
        <v>1</v>
      </c>
      <c r="D5" s="43">
        <v>8</v>
      </c>
      <c r="E5" s="41" t="s">
        <v>629</v>
      </c>
      <c r="F5" s="41" t="s">
        <v>159</v>
      </c>
      <c r="G5" s="41" t="s">
        <v>472</v>
      </c>
      <c r="H5" s="41" t="s">
        <v>788</v>
      </c>
      <c r="I5" s="43">
        <v>1</v>
      </c>
      <c r="J5" s="41" t="s">
        <v>421</v>
      </c>
      <c r="K5" s="41" t="s">
        <v>528</v>
      </c>
      <c r="L5" s="41" t="s">
        <v>559</v>
      </c>
      <c r="M5" s="41" t="s">
        <v>440</v>
      </c>
      <c r="N5" s="54">
        <v>1.0416666666666667E-3</v>
      </c>
      <c r="O5" s="41" t="s">
        <v>435</v>
      </c>
      <c r="P5" s="43">
        <v>5</v>
      </c>
      <c r="Q5" s="44">
        <v>5</v>
      </c>
      <c r="R5" s="44">
        <v>1.6</v>
      </c>
      <c r="S5" s="45" t="s">
        <v>565</v>
      </c>
      <c r="T5" s="46" t="s">
        <v>540</v>
      </c>
      <c r="U5" s="46" t="s">
        <v>540</v>
      </c>
      <c r="V5" s="43" t="s">
        <v>540</v>
      </c>
      <c r="W5" s="41" t="s">
        <v>1038</v>
      </c>
      <c r="X5" s="43" t="s">
        <v>540</v>
      </c>
      <c r="Y5" s="43" t="s">
        <v>540</v>
      </c>
      <c r="Z5" s="43" t="s">
        <v>540</v>
      </c>
      <c r="AA5" s="43" t="s">
        <v>540</v>
      </c>
      <c r="AB5" s="56">
        <v>1.0416666666666667E-3</v>
      </c>
      <c r="AC5" s="56">
        <v>1.1458333333333333E-3</v>
      </c>
      <c r="AD5" s="56">
        <v>1.0416666666666667E-3</v>
      </c>
      <c r="AE5" s="56">
        <v>9.895833333333332E-4</v>
      </c>
      <c r="AF5" s="41"/>
      <c r="AG5" s="41"/>
      <c r="AH5" s="41"/>
      <c r="AI5" s="41"/>
      <c r="AJ5" s="41"/>
    </row>
    <row r="6" spans="1:36" ht="26.45" customHeight="1">
      <c r="A6" s="41" t="s">
        <v>892</v>
      </c>
      <c r="B6" s="43">
        <v>2</v>
      </c>
      <c r="C6" s="43">
        <v>1</v>
      </c>
      <c r="D6" s="43">
        <v>3</v>
      </c>
      <c r="E6" s="41" t="s">
        <v>557</v>
      </c>
      <c r="F6" s="41" t="s">
        <v>329</v>
      </c>
      <c r="G6" s="41" t="s">
        <v>1031</v>
      </c>
      <c r="H6" s="41" t="s">
        <v>369</v>
      </c>
      <c r="I6" s="43">
        <v>1</v>
      </c>
      <c r="J6" s="41" t="s">
        <v>724</v>
      </c>
      <c r="K6" s="41" t="s">
        <v>528</v>
      </c>
      <c r="L6" s="41" t="s">
        <v>542</v>
      </c>
      <c r="M6" s="41" t="s">
        <v>387</v>
      </c>
      <c r="N6" s="54">
        <v>1.2731481481481483E-3</v>
      </c>
      <c r="O6" s="41" t="s">
        <v>435</v>
      </c>
      <c r="P6" s="43">
        <v>7</v>
      </c>
      <c r="Q6" s="44">
        <v>2</v>
      </c>
      <c r="R6" s="44">
        <v>2.78</v>
      </c>
      <c r="S6" s="45" t="s">
        <v>565</v>
      </c>
      <c r="T6" s="46" t="s">
        <v>540</v>
      </c>
      <c r="U6" s="46" t="s">
        <v>540</v>
      </c>
      <c r="V6" s="43" t="s">
        <v>540</v>
      </c>
      <c r="W6" s="41" t="s">
        <v>1038</v>
      </c>
      <c r="X6" s="43" t="s">
        <v>540</v>
      </c>
      <c r="Y6" s="43" t="s">
        <v>540</v>
      </c>
      <c r="Z6" s="43" t="s">
        <v>540</v>
      </c>
      <c r="AA6" s="43" t="s">
        <v>540</v>
      </c>
      <c r="AB6" s="56">
        <v>2.3148148148148149E-4</v>
      </c>
      <c r="AC6" s="56">
        <v>2.5462962962962966E-4</v>
      </c>
      <c r="AD6" s="56">
        <v>2.3148148148148149E-4</v>
      </c>
      <c r="AE6" s="56">
        <v>2.199074074074074E-4</v>
      </c>
      <c r="AF6" s="41"/>
      <c r="AG6" s="41"/>
      <c r="AH6" s="41"/>
      <c r="AI6" s="41"/>
      <c r="AJ6" s="41"/>
    </row>
    <row r="7" spans="1:36" ht="26.45" customHeight="1">
      <c r="A7" s="41" t="s">
        <v>892</v>
      </c>
      <c r="B7" s="43">
        <v>3</v>
      </c>
      <c r="C7" s="43">
        <v>1</v>
      </c>
      <c r="D7" s="43">
        <v>5</v>
      </c>
      <c r="E7" s="41" t="s">
        <v>452</v>
      </c>
      <c r="F7" s="41" t="s">
        <v>1023</v>
      </c>
      <c r="G7" s="41" t="s">
        <v>466</v>
      </c>
      <c r="H7" s="41" t="s">
        <v>459</v>
      </c>
      <c r="I7" s="43">
        <v>1</v>
      </c>
      <c r="J7" s="41" t="s">
        <v>485</v>
      </c>
      <c r="K7" s="41" t="s">
        <v>528</v>
      </c>
      <c r="L7" s="41" t="s">
        <v>543</v>
      </c>
      <c r="M7" s="41" t="s">
        <v>785</v>
      </c>
      <c r="N7" s="54">
        <f t="shared" ref="N7:N37" si="0">N6+(IFERROR(VALUE(LEFT(L7,FIND("분",L7)-1))*60,0)+IFERROR(VALUE(TRIM(MID(L7,IFERROR(FIND("분",L7),0)+1,IFERROR(FIND("초",L7),LEN(L7)+1)-IFERROR(FIND("분",L7),0)-1))),0))/86400</f>
        <v>1.9675925925925928E-3</v>
      </c>
      <c r="O7" s="41" t="s">
        <v>435</v>
      </c>
      <c r="P7" s="43">
        <v>10</v>
      </c>
      <c r="Q7" s="44">
        <v>3</v>
      </c>
      <c r="R7" s="44">
        <v>5.01</v>
      </c>
      <c r="S7" s="45" t="s">
        <v>565</v>
      </c>
      <c r="T7" s="46" t="s">
        <v>540</v>
      </c>
      <c r="U7" s="46" t="s">
        <v>540</v>
      </c>
      <c r="V7" s="43" t="s">
        <v>540</v>
      </c>
      <c r="W7" s="41" t="s">
        <v>1038</v>
      </c>
      <c r="X7" s="43" t="s">
        <v>540</v>
      </c>
      <c r="Y7" s="43" t="s">
        <v>540</v>
      </c>
      <c r="Z7" s="43" t="s">
        <v>540</v>
      </c>
      <c r="AA7" s="43" t="s">
        <v>540</v>
      </c>
      <c r="AB7" s="56">
        <v>6.9444444444444447E-4</v>
      </c>
      <c r="AC7" s="56">
        <v>7.6388888888888893E-4</v>
      </c>
      <c r="AD7" s="56">
        <v>6.9444444444444447E-4</v>
      </c>
      <c r="AE7" s="56">
        <v>6.5972222222222224E-4</v>
      </c>
      <c r="AF7" s="41"/>
      <c r="AG7" s="41"/>
      <c r="AH7" s="41"/>
      <c r="AI7" s="41"/>
      <c r="AJ7" s="41"/>
    </row>
    <row r="8" spans="1:36" ht="26.45" customHeight="1">
      <c r="A8" s="41" t="s">
        <v>892</v>
      </c>
      <c r="B8" s="43">
        <v>4</v>
      </c>
      <c r="C8" s="43">
        <v>1</v>
      </c>
      <c r="D8" s="43">
        <v>3</v>
      </c>
      <c r="E8" s="41" t="s">
        <v>899</v>
      </c>
      <c r="F8" s="41" t="s">
        <v>270</v>
      </c>
      <c r="G8" s="41" t="s">
        <v>99</v>
      </c>
      <c r="H8" s="41" t="s">
        <v>863</v>
      </c>
      <c r="I8" s="43">
        <v>4</v>
      </c>
      <c r="J8" s="41" t="s">
        <v>1020</v>
      </c>
      <c r="K8" s="41" t="s">
        <v>528</v>
      </c>
      <c r="L8" s="41" t="s">
        <v>544</v>
      </c>
      <c r="M8" s="41" t="s">
        <v>431</v>
      </c>
      <c r="N8" s="54">
        <f t="shared" si="0"/>
        <v>2.4305555555555556E-3</v>
      </c>
      <c r="O8" s="41" t="s">
        <v>435</v>
      </c>
      <c r="P8" s="43">
        <v>12</v>
      </c>
      <c r="Q8" s="44">
        <v>2</v>
      </c>
      <c r="R8" s="44">
        <v>6.77</v>
      </c>
      <c r="S8" s="45" t="s">
        <v>978</v>
      </c>
      <c r="T8" s="46" t="s">
        <v>549</v>
      </c>
      <c r="U8" s="46" t="s">
        <v>983</v>
      </c>
      <c r="V8" s="43" t="s">
        <v>572</v>
      </c>
      <c r="W8" s="41" t="s">
        <v>1038</v>
      </c>
      <c r="X8" s="43" t="s">
        <v>540</v>
      </c>
      <c r="Y8" s="43" t="s">
        <v>540</v>
      </c>
      <c r="Z8" s="43" t="s">
        <v>540</v>
      </c>
      <c r="AA8" s="43" t="s">
        <v>540</v>
      </c>
      <c r="AB8" s="56">
        <v>4.6296296296296298E-4</v>
      </c>
      <c r="AC8" s="56">
        <v>5.0925925925925932E-4</v>
      </c>
      <c r="AD8" s="56">
        <v>4.6296296296296298E-4</v>
      </c>
      <c r="AE8" s="56">
        <v>4.3981481481481481E-4</v>
      </c>
      <c r="AF8" s="41"/>
      <c r="AG8" s="41"/>
      <c r="AH8" s="41"/>
      <c r="AI8" s="41"/>
      <c r="AJ8" s="41"/>
    </row>
    <row r="9" spans="1:36" ht="26.45" customHeight="1">
      <c r="A9" s="41" t="s">
        <v>892</v>
      </c>
      <c r="B9" s="43">
        <v>5</v>
      </c>
      <c r="C9" s="43">
        <v>1</v>
      </c>
      <c r="D9" s="43">
        <v>3</v>
      </c>
      <c r="E9" s="41" t="s">
        <v>910</v>
      </c>
      <c r="F9" s="41" t="s">
        <v>463</v>
      </c>
      <c r="G9" s="41" t="s">
        <v>484</v>
      </c>
      <c r="H9" s="41" t="s">
        <v>464</v>
      </c>
      <c r="I9" s="43">
        <v>1</v>
      </c>
      <c r="J9" s="41" t="s">
        <v>736</v>
      </c>
      <c r="K9" s="41" t="s">
        <v>528</v>
      </c>
      <c r="L9" s="41" t="s">
        <v>537</v>
      </c>
      <c r="M9" s="41" t="s">
        <v>787</v>
      </c>
      <c r="N9" s="54">
        <f t="shared" si="0"/>
        <v>2.7777777777777779E-3</v>
      </c>
      <c r="O9" s="41" t="s">
        <v>435</v>
      </c>
      <c r="P9" s="43">
        <v>14</v>
      </c>
      <c r="Q9" s="44">
        <v>2</v>
      </c>
      <c r="R9" s="44">
        <v>8.73</v>
      </c>
      <c r="S9" s="45" t="s">
        <v>565</v>
      </c>
      <c r="T9" s="46" t="s">
        <v>540</v>
      </c>
      <c r="U9" s="46" t="s">
        <v>540</v>
      </c>
      <c r="V9" s="43" t="s">
        <v>540</v>
      </c>
      <c r="W9" s="41" t="s">
        <v>1038</v>
      </c>
      <c r="X9" s="43" t="s">
        <v>540</v>
      </c>
      <c r="Y9" s="43" t="s">
        <v>540</v>
      </c>
      <c r="Z9" s="43" t="s">
        <v>540</v>
      </c>
      <c r="AA9" s="43" t="s">
        <v>540</v>
      </c>
      <c r="AB9" s="56">
        <v>3.4722222222222224E-4</v>
      </c>
      <c r="AC9" s="56">
        <v>3.8194444444444446E-4</v>
      </c>
      <c r="AD9" s="56">
        <v>3.4722222222222224E-4</v>
      </c>
      <c r="AE9" s="56">
        <v>3.2986111111111112E-4</v>
      </c>
      <c r="AF9" s="41"/>
      <c r="AG9" s="41"/>
      <c r="AH9" s="41"/>
      <c r="AI9" s="41"/>
      <c r="AJ9" s="41"/>
    </row>
    <row r="10" spans="1:36" ht="26.45" customHeight="1">
      <c r="A10" s="41" t="s">
        <v>892</v>
      </c>
      <c r="B10" s="43">
        <v>6</v>
      </c>
      <c r="C10" s="43">
        <v>1</v>
      </c>
      <c r="D10" s="43">
        <v>5</v>
      </c>
      <c r="E10" s="41" t="s">
        <v>912</v>
      </c>
      <c r="F10" s="41" t="s">
        <v>470</v>
      </c>
      <c r="G10" s="41" t="s">
        <v>286</v>
      </c>
      <c r="H10" s="41" t="s">
        <v>854</v>
      </c>
      <c r="I10" s="43">
        <v>1</v>
      </c>
      <c r="J10" s="41" t="s">
        <v>913</v>
      </c>
      <c r="K10" s="41" t="s">
        <v>528</v>
      </c>
      <c r="L10" s="41" t="s">
        <v>542</v>
      </c>
      <c r="M10" s="41" t="s">
        <v>729</v>
      </c>
      <c r="N10" s="54">
        <f t="shared" si="0"/>
        <v>3.0092592592592593E-3</v>
      </c>
      <c r="O10" s="41" t="s">
        <v>435</v>
      </c>
      <c r="P10" s="43">
        <v>17</v>
      </c>
      <c r="Q10" s="44">
        <v>3</v>
      </c>
      <c r="R10" s="44">
        <v>12.03</v>
      </c>
      <c r="S10" s="45" t="s">
        <v>565</v>
      </c>
      <c r="T10" s="46" t="s">
        <v>540</v>
      </c>
      <c r="U10" s="46" t="s">
        <v>540</v>
      </c>
      <c r="V10" s="43" t="s">
        <v>540</v>
      </c>
      <c r="W10" s="41" t="s">
        <v>1038</v>
      </c>
      <c r="X10" s="43" t="s">
        <v>540</v>
      </c>
      <c r="Y10" s="43" t="s">
        <v>540</v>
      </c>
      <c r="Z10" s="43" t="s">
        <v>540</v>
      </c>
      <c r="AA10" s="43" t="s">
        <v>540</v>
      </c>
      <c r="AB10" s="56">
        <v>2.3148148148148149E-4</v>
      </c>
      <c r="AC10" s="56">
        <v>2.5462962962962966E-4</v>
      </c>
      <c r="AD10" s="56">
        <v>2.3148148148148149E-4</v>
      </c>
      <c r="AE10" s="56">
        <v>2.199074074074074E-4</v>
      </c>
      <c r="AF10" s="41"/>
      <c r="AG10" s="41"/>
      <c r="AH10" s="41"/>
      <c r="AI10" s="41"/>
      <c r="AJ10" s="41"/>
    </row>
    <row r="11" spans="1:36" ht="26.45" customHeight="1">
      <c r="A11" s="41" t="s">
        <v>892</v>
      </c>
      <c r="B11" s="43">
        <v>7</v>
      </c>
      <c r="C11" s="43">
        <v>2</v>
      </c>
      <c r="D11" s="43">
        <v>5</v>
      </c>
      <c r="E11" s="41" t="s">
        <v>914</v>
      </c>
      <c r="F11" s="41" t="s">
        <v>463</v>
      </c>
      <c r="G11" s="41" t="s">
        <v>371</v>
      </c>
      <c r="H11" s="41" t="s">
        <v>738</v>
      </c>
      <c r="I11" s="43">
        <v>1</v>
      </c>
      <c r="J11" s="41" t="s">
        <v>728</v>
      </c>
      <c r="K11" s="41" t="s">
        <v>528</v>
      </c>
      <c r="L11" s="41" t="s">
        <v>552</v>
      </c>
      <c r="M11" s="41" t="s">
        <v>787</v>
      </c>
      <c r="N11" s="54">
        <f t="shared" si="0"/>
        <v>3.8773148148148148E-3</v>
      </c>
      <c r="O11" s="41" t="s">
        <v>902</v>
      </c>
      <c r="P11" s="43">
        <v>21</v>
      </c>
      <c r="Q11" s="44">
        <v>4</v>
      </c>
      <c r="R11" s="44">
        <v>17.05</v>
      </c>
      <c r="S11" s="45" t="s">
        <v>565</v>
      </c>
      <c r="T11" s="46" t="s">
        <v>540</v>
      </c>
      <c r="U11" s="46" t="s">
        <v>540</v>
      </c>
      <c r="V11" s="43" t="s">
        <v>540</v>
      </c>
      <c r="W11" s="41" t="s">
        <v>1038</v>
      </c>
      <c r="X11" s="43" t="s">
        <v>540</v>
      </c>
      <c r="Y11" s="43" t="s">
        <v>540</v>
      </c>
      <c r="Z11" s="43" t="s">
        <v>540</v>
      </c>
      <c r="AA11" s="43" t="s">
        <v>540</v>
      </c>
      <c r="AB11" s="56">
        <v>8.6805555555555551E-4</v>
      </c>
      <c r="AC11" s="56">
        <v>9.5486111111111119E-4</v>
      </c>
      <c r="AD11" s="56">
        <v>8.6805555555555551E-4</v>
      </c>
      <c r="AE11" s="56">
        <v>8.2465277777777767E-4</v>
      </c>
      <c r="AF11" s="41"/>
      <c r="AG11" s="41"/>
      <c r="AH11" s="41"/>
      <c r="AI11" s="41"/>
      <c r="AJ11" s="41"/>
    </row>
    <row r="12" spans="1:36" ht="26.45" customHeight="1">
      <c r="A12" s="41" t="s">
        <v>892</v>
      </c>
      <c r="B12" s="43">
        <v>8</v>
      </c>
      <c r="C12" s="43">
        <v>2</v>
      </c>
      <c r="D12" s="43">
        <v>6</v>
      </c>
      <c r="E12" s="41" t="s">
        <v>455</v>
      </c>
      <c r="F12" s="41" t="s">
        <v>362</v>
      </c>
      <c r="G12" s="41" t="s">
        <v>13</v>
      </c>
      <c r="H12" s="41" t="s">
        <v>471</v>
      </c>
      <c r="I12" s="43">
        <v>4</v>
      </c>
      <c r="J12" s="41" t="s">
        <v>800</v>
      </c>
      <c r="K12" s="41" t="s">
        <v>528</v>
      </c>
      <c r="L12" s="41" t="s">
        <v>559</v>
      </c>
      <c r="M12" s="41" t="s">
        <v>1027</v>
      </c>
      <c r="N12" s="54">
        <f t="shared" si="0"/>
        <v>4.9189814814814816E-3</v>
      </c>
      <c r="O12" s="41" t="s">
        <v>902</v>
      </c>
      <c r="P12" s="43">
        <v>26</v>
      </c>
      <c r="Q12" s="44">
        <v>5</v>
      </c>
      <c r="R12" s="44">
        <v>24.25</v>
      </c>
      <c r="S12" s="45" t="s">
        <v>565</v>
      </c>
      <c r="T12" s="46" t="s">
        <v>540</v>
      </c>
      <c r="U12" s="46" t="s">
        <v>540</v>
      </c>
      <c r="V12" s="43" t="s">
        <v>540</v>
      </c>
      <c r="W12" s="41" t="s">
        <v>58</v>
      </c>
      <c r="X12" s="43">
        <v>30</v>
      </c>
      <c r="Y12" s="43">
        <f>IF(ISNUMBER(X12),ROUND(X12*0.85,0),"—")</f>
        <v>26</v>
      </c>
      <c r="Z12" s="43">
        <f>IF(ISNUMBER(X12),ROUND(X12*0.7,0),"—")</f>
        <v>21</v>
      </c>
      <c r="AA12" s="43">
        <f>IF(ISNUMBER(X12),ROUND(X12*0.55,0),"—")</f>
        <v>17</v>
      </c>
      <c r="AB12" s="56">
        <v>1.0416666666666667E-3</v>
      </c>
      <c r="AC12" s="56">
        <v>1.1458333333333333E-3</v>
      </c>
      <c r="AD12" s="56">
        <v>1.0416666666666667E-3</v>
      </c>
      <c r="AE12" s="56">
        <v>9.895833333333332E-4</v>
      </c>
      <c r="AF12" s="41"/>
      <c r="AG12" s="41"/>
      <c r="AH12" s="41"/>
      <c r="AI12" s="41"/>
      <c r="AJ12" s="41"/>
    </row>
    <row r="13" spans="1:36" ht="26.45" customHeight="1">
      <c r="A13" s="41" t="s">
        <v>892</v>
      </c>
      <c r="B13" s="43">
        <v>9</v>
      </c>
      <c r="C13" s="43">
        <v>1</v>
      </c>
      <c r="D13" s="43">
        <v>5</v>
      </c>
      <c r="E13" s="41" t="s">
        <v>911</v>
      </c>
      <c r="F13" s="41" t="s">
        <v>470</v>
      </c>
      <c r="G13" s="41" t="s">
        <v>54</v>
      </c>
      <c r="H13" s="41" t="s">
        <v>845</v>
      </c>
      <c r="I13" s="43">
        <v>2</v>
      </c>
      <c r="J13" s="41" t="s">
        <v>792</v>
      </c>
      <c r="K13" s="41" t="s">
        <v>528</v>
      </c>
      <c r="L13" s="41" t="s">
        <v>545</v>
      </c>
      <c r="M13" s="41" t="s">
        <v>729</v>
      </c>
      <c r="N13" s="54">
        <f t="shared" si="0"/>
        <v>5.324074074074074E-3</v>
      </c>
      <c r="O13" s="41" t="s">
        <v>902</v>
      </c>
      <c r="P13" s="43">
        <v>29</v>
      </c>
      <c r="Q13" s="44">
        <v>3</v>
      </c>
      <c r="R13" s="44">
        <v>29.04</v>
      </c>
      <c r="S13" s="45" t="s">
        <v>565</v>
      </c>
      <c r="T13" s="46" t="s">
        <v>540</v>
      </c>
      <c r="U13" s="46" t="s">
        <v>540</v>
      </c>
      <c r="V13" s="43" t="s">
        <v>540</v>
      </c>
      <c r="W13" s="41" t="s">
        <v>58</v>
      </c>
      <c r="X13" s="43">
        <v>30</v>
      </c>
      <c r="Y13" s="43">
        <f>IF(ISNUMBER(X13),ROUND(X13*0.85,0),"—")</f>
        <v>26</v>
      </c>
      <c r="Z13" s="43">
        <f>IF(ISNUMBER(X13),ROUND(X13*0.7,0),"—")</f>
        <v>21</v>
      </c>
      <c r="AA13" s="43">
        <f>IF(ISNUMBER(X13),ROUND(X13*0.55,0),"—")</f>
        <v>17</v>
      </c>
      <c r="AB13" s="56">
        <v>4.0509259259259258E-4</v>
      </c>
      <c r="AC13" s="56">
        <v>4.4560185185185187E-4</v>
      </c>
      <c r="AD13" s="56">
        <v>4.0509259259259258E-4</v>
      </c>
      <c r="AE13" s="56">
        <v>3.8483796296296291E-4</v>
      </c>
      <c r="AF13" s="41"/>
      <c r="AG13" s="41"/>
      <c r="AH13" s="41"/>
      <c r="AI13" s="41"/>
      <c r="AJ13" s="41"/>
    </row>
    <row r="14" spans="1:36" ht="26.45" customHeight="1">
      <c r="A14" s="41" t="s">
        <v>892</v>
      </c>
      <c r="B14" s="43">
        <v>10</v>
      </c>
      <c r="C14" s="43">
        <v>1</v>
      </c>
      <c r="D14" s="43">
        <v>6</v>
      </c>
      <c r="E14" s="41" t="s">
        <v>439</v>
      </c>
      <c r="F14" s="41" t="s">
        <v>1023</v>
      </c>
      <c r="G14" s="41" t="s">
        <v>466</v>
      </c>
      <c r="H14" s="41" t="s">
        <v>762</v>
      </c>
      <c r="I14" s="43">
        <v>1</v>
      </c>
      <c r="J14" s="41" t="s">
        <v>360</v>
      </c>
      <c r="K14" s="41" t="s">
        <v>528</v>
      </c>
      <c r="L14" s="41" t="s">
        <v>552</v>
      </c>
      <c r="M14" s="41" t="s">
        <v>785</v>
      </c>
      <c r="N14" s="54">
        <f t="shared" si="0"/>
        <v>6.192129629629629E-3</v>
      </c>
      <c r="O14" s="41" t="s">
        <v>902</v>
      </c>
      <c r="P14" s="43">
        <v>33</v>
      </c>
      <c r="Q14" s="44">
        <v>4</v>
      </c>
      <c r="R14" s="44">
        <v>35.94</v>
      </c>
      <c r="S14" s="45" t="s">
        <v>565</v>
      </c>
      <c r="T14" s="46" t="s">
        <v>540</v>
      </c>
      <c r="U14" s="46" t="s">
        <v>540</v>
      </c>
      <c r="V14" s="43" t="s">
        <v>540</v>
      </c>
      <c r="W14" s="41" t="s">
        <v>1038</v>
      </c>
      <c r="X14" s="43" t="s">
        <v>540</v>
      </c>
      <c r="Y14" s="43" t="s">
        <v>540</v>
      </c>
      <c r="Z14" s="43" t="s">
        <v>540</v>
      </c>
      <c r="AA14" s="43" t="s">
        <v>540</v>
      </c>
      <c r="AB14" s="56">
        <v>8.6805555555555551E-4</v>
      </c>
      <c r="AC14" s="56">
        <v>9.5486111111111119E-4</v>
      </c>
      <c r="AD14" s="56">
        <v>8.6805555555555551E-4</v>
      </c>
      <c r="AE14" s="56">
        <v>8.2465277777777767E-4</v>
      </c>
      <c r="AF14" s="41"/>
      <c r="AG14" s="41"/>
      <c r="AH14" s="41"/>
      <c r="AI14" s="41"/>
      <c r="AJ14" s="41"/>
    </row>
    <row r="15" spans="1:36" ht="26.45" customHeight="1">
      <c r="A15" s="41" t="s">
        <v>892</v>
      </c>
      <c r="B15" s="43">
        <v>11</v>
      </c>
      <c r="C15" s="43">
        <v>2</v>
      </c>
      <c r="D15" s="43">
        <v>5</v>
      </c>
      <c r="E15" s="41" t="s">
        <v>897</v>
      </c>
      <c r="F15" s="41" t="s">
        <v>463</v>
      </c>
      <c r="G15" s="41" t="s">
        <v>358</v>
      </c>
      <c r="H15" s="41" t="s">
        <v>738</v>
      </c>
      <c r="I15" s="43">
        <v>1</v>
      </c>
      <c r="J15" s="41" t="s">
        <v>655</v>
      </c>
      <c r="K15" s="41" t="s">
        <v>528</v>
      </c>
      <c r="L15" s="41" t="s">
        <v>559</v>
      </c>
      <c r="M15" s="41" t="s">
        <v>787</v>
      </c>
      <c r="N15" s="54">
        <f t="shared" si="0"/>
        <v>7.2337962962962955E-3</v>
      </c>
      <c r="O15" s="41" t="s">
        <v>916</v>
      </c>
      <c r="P15" s="43">
        <v>37</v>
      </c>
      <c r="Q15" s="44">
        <v>4</v>
      </c>
      <c r="R15" s="44">
        <v>43.4</v>
      </c>
      <c r="S15" s="45" t="s">
        <v>565</v>
      </c>
      <c r="T15" s="46" t="s">
        <v>540</v>
      </c>
      <c r="U15" s="46" t="s">
        <v>540</v>
      </c>
      <c r="V15" s="43" t="s">
        <v>540</v>
      </c>
      <c r="W15" s="41" t="s">
        <v>1038</v>
      </c>
      <c r="X15" s="43" t="s">
        <v>540</v>
      </c>
      <c r="Y15" s="43" t="s">
        <v>540</v>
      </c>
      <c r="Z15" s="43" t="s">
        <v>540</v>
      </c>
      <c r="AA15" s="43" t="s">
        <v>540</v>
      </c>
      <c r="AB15" s="56">
        <v>1.0416666666666667E-3</v>
      </c>
      <c r="AC15" s="56">
        <v>1.1458333333333333E-3</v>
      </c>
      <c r="AD15" s="56">
        <v>1.0416666666666667E-3</v>
      </c>
      <c r="AE15" s="56">
        <v>9.895833333333332E-4</v>
      </c>
      <c r="AF15" s="41"/>
      <c r="AG15" s="41"/>
      <c r="AH15" s="41"/>
      <c r="AI15" s="41"/>
      <c r="AJ15" s="41"/>
    </row>
    <row r="16" spans="1:36" ht="26.45" customHeight="1">
      <c r="A16" s="41" t="s">
        <v>892</v>
      </c>
      <c r="B16" s="43">
        <v>12</v>
      </c>
      <c r="C16" s="43">
        <v>2</v>
      </c>
      <c r="D16" s="43">
        <v>6</v>
      </c>
      <c r="E16" s="41" t="s">
        <v>922</v>
      </c>
      <c r="F16" s="41" t="s">
        <v>362</v>
      </c>
      <c r="G16" s="41" t="s">
        <v>370</v>
      </c>
      <c r="H16" s="41" t="s">
        <v>471</v>
      </c>
      <c r="I16" s="43">
        <v>5</v>
      </c>
      <c r="J16" s="41" t="s">
        <v>734</v>
      </c>
      <c r="K16" s="41" t="s">
        <v>528</v>
      </c>
      <c r="L16" s="41" t="s">
        <v>513</v>
      </c>
      <c r="M16" s="41" t="s">
        <v>1027</v>
      </c>
      <c r="N16" s="54">
        <f t="shared" si="0"/>
        <v>8.5069444444444437E-3</v>
      </c>
      <c r="O16" s="41" t="s">
        <v>916</v>
      </c>
      <c r="P16" s="43">
        <v>42</v>
      </c>
      <c r="Q16" s="44">
        <v>5</v>
      </c>
      <c r="R16" s="44">
        <v>53.5</v>
      </c>
      <c r="S16" s="45" t="s">
        <v>565</v>
      </c>
      <c r="T16" s="46" t="s">
        <v>540</v>
      </c>
      <c r="U16" s="46" t="s">
        <v>540</v>
      </c>
      <c r="V16" s="43" t="s">
        <v>540</v>
      </c>
      <c r="W16" s="41" t="s">
        <v>58</v>
      </c>
      <c r="X16" s="43">
        <v>30</v>
      </c>
      <c r="Y16" s="43">
        <f>IF(ISNUMBER(X16),ROUND(X16*0.85,0),"—")</f>
        <v>26</v>
      </c>
      <c r="Z16" s="43">
        <f>IF(ISNUMBER(X16),ROUND(X16*0.7,0),"—")</f>
        <v>21</v>
      </c>
      <c r="AA16" s="43">
        <f>IF(ISNUMBER(X16),ROUND(X16*0.55,0),"—")</f>
        <v>17</v>
      </c>
      <c r="AB16" s="56">
        <v>1.2731481481481483E-3</v>
      </c>
      <c r="AC16" s="56">
        <v>1.4004629629629632E-3</v>
      </c>
      <c r="AD16" s="56">
        <v>1.2731481481481483E-3</v>
      </c>
      <c r="AE16" s="56">
        <v>1.2094907407407408E-3</v>
      </c>
      <c r="AF16" s="41"/>
      <c r="AG16" s="41"/>
      <c r="AH16" s="41"/>
      <c r="AI16" s="41"/>
      <c r="AJ16" s="41"/>
    </row>
    <row r="17" spans="1:36" ht="26.45" customHeight="1">
      <c r="A17" s="41" t="s">
        <v>892</v>
      </c>
      <c r="B17" s="43">
        <v>13</v>
      </c>
      <c r="C17" s="43">
        <v>1</v>
      </c>
      <c r="D17" s="43">
        <v>5</v>
      </c>
      <c r="E17" s="41" t="s">
        <v>925</v>
      </c>
      <c r="F17" s="41" t="s">
        <v>784</v>
      </c>
      <c r="G17" s="41" t="s">
        <v>21</v>
      </c>
      <c r="H17" s="41" t="s">
        <v>764</v>
      </c>
      <c r="I17" s="43">
        <v>3</v>
      </c>
      <c r="J17" s="41" t="s">
        <v>717</v>
      </c>
      <c r="K17" s="41" t="s">
        <v>716</v>
      </c>
      <c r="L17" s="41" t="s">
        <v>534</v>
      </c>
      <c r="M17" s="41" t="s">
        <v>168</v>
      </c>
      <c r="N17" s="54">
        <f t="shared" si="0"/>
        <v>9.0856481481481483E-3</v>
      </c>
      <c r="O17" s="41" t="s">
        <v>916</v>
      </c>
      <c r="P17" s="43">
        <v>45</v>
      </c>
      <c r="Q17" s="44">
        <v>3</v>
      </c>
      <c r="R17" s="44">
        <v>59.95</v>
      </c>
      <c r="S17" s="45" t="s">
        <v>565</v>
      </c>
      <c r="T17" s="46" t="s">
        <v>540</v>
      </c>
      <c r="U17" s="46" t="s">
        <v>540</v>
      </c>
      <c r="V17" s="43" t="s">
        <v>540</v>
      </c>
      <c r="W17" s="41" t="s">
        <v>1038</v>
      </c>
      <c r="X17" s="43" t="s">
        <v>540</v>
      </c>
      <c r="Y17" s="43" t="s">
        <v>540</v>
      </c>
      <c r="Z17" s="43" t="s">
        <v>540</v>
      </c>
      <c r="AA17" s="43" t="s">
        <v>540</v>
      </c>
      <c r="AB17" s="56">
        <v>5.7870370370370367E-4</v>
      </c>
      <c r="AC17" s="56">
        <v>6.3657407407407413E-4</v>
      </c>
      <c r="AD17" s="56">
        <v>5.7870370370370367E-4</v>
      </c>
      <c r="AE17" s="56">
        <v>5.4976851851851844E-4</v>
      </c>
      <c r="AF17" s="41"/>
      <c r="AG17" s="41"/>
      <c r="AH17" s="41"/>
      <c r="AI17" s="41"/>
      <c r="AJ17" s="41"/>
    </row>
    <row r="18" spans="1:36" ht="26.45" customHeight="1">
      <c r="A18" s="41" t="s">
        <v>892</v>
      </c>
      <c r="B18" s="43">
        <v>14</v>
      </c>
      <c r="C18" s="43">
        <v>2</v>
      </c>
      <c r="D18" s="43">
        <v>5</v>
      </c>
      <c r="E18" s="41" t="s">
        <v>924</v>
      </c>
      <c r="F18" s="41" t="s">
        <v>463</v>
      </c>
      <c r="G18" s="41" t="s">
        <v>465</v>
      </c>
      <c r="H18" s="41" t="s">
        <v>738</v>
      </c>
      <c r="I18" s="43">
        <v>1</v>
      </c>
      <c r="J18" s="41" t="s">
        <v>722</v>
      </c>
      <c r="K18" s="41" t="s">
        <v>528</v>
      </c>
      <c r="L18" s="41" t="s">
        <v>527</v>
      </c>
      <c r="M18" s="41" t="s">
        <v>787</v>
      </c>
      <c r="N18" s="54">
        <f t="shared" si="0"/>
        <v>1.0474537037037037E-2</v>
      </c>
      <c r="O18" s="41" t="s">
        <v>915</v>
      </c>
      <c r="P18" s="43">
        <v>49</v>
      </c>
      <c r="Q18" s="44">
        <v>4</v>
      </c>
      <c r="R18" s="44">
        <v>69</v>
      </c>
      <c r="S18" s="45" t="s">
        <v>565</v>
      </c>
      <c r="T18" s="46" t="s">
        <v>540</v>
      </c>
      <c r="U18" s="46" t="s">
        <v>540</v>
      </c>
      <c r="V18" s="43" t="s">
        <v>540</v>
      </c>
      <c r="W18" s="41" t="s">
        <v>1038</v>
      </c>
      <c r="X18" s="43" t="s">
        <v>540</v>
      </c>
      <c r="Y18" s="43" t="s">
        <v>540</v>
      </c>
      <c r="Z18" s="43" t="s">
        <v>540</v>
      </c>
      <c r="AA18" s="43" t="s">
        <v>540</v>
      </c>
      <c r="AB18" s="56">
        <v>1.3888888888888889E-3</v>
      </c>
      <c r="AC18" s="56">
        <v>1.5277777777777779E-3</v>
      </c>
      <c r="AD18" s="56">
        <v>1.3888888888888889E-3</v>
      </c>
      <c r="AE18" s="56">
        <v>1.3194444444444445E-3</v>
      </c>
      <c r="AF18" s="41"/>
      <c r="AG18" s="41"/>
      <c r="AH18" s="41"/>
      <c r="AI18" s="41"/>
      <c r="AJ18" s="41"/>
    </row>
    <row r="19" spans="1:36" ht="26.45" customHeight="1">
      <c r="A19" s="41" t="s">
        <v>892</v>
      </c>
      <c r="B19" s="43">
        <v>15</v>
      </c>
      <c r="C19" s="43">
        <v>2</v>
      </c>
      <c r="D19" s="43">
        <v>5</v>
      </c>
      <c r="E19" s="41" t="s">
        <v>550</v>
      </c>
      <c r="F19" s="41" t="s">
        <v>784</v>
      </c>
      <c r="G19" s="41" t="s">
        <v>21</v>
      </c>
      <c r="H19" s="41" t="s">
        <v>764</v>
      </c>
      <c r="I19" s="43">
        <v>3</v>
      </c>
      <c r="J19" s="41" t="s">
        <v>808</v>
      </c>
      <c r="K19" s="41" t="s">
        <v>716</v>
      </c>
      <c r="L19" s="41" t="s">
        <v>558</v>
      </c>
      <c r="M19" s="41" t="s">
        <v>168</v>
      </c>
      <c r="N19" s="54">
        <f t="shared" si="0"/>
        <v>1.1400462962962963E-2</v>
      </c>
      <c r="O19" s="41" t="s">
        <v>915</v>
      </c>
      <c r="P19" s="43">
        <v>53</v>
      </c>
      <c r="Q19" s="44">
        <v>4</v>
      </c>
      <c r="R19" s="44">
        <v>78.53</v>
      </c>
      <c r="S19" s="45" t="s">
        <v>565</v>
      </c>
      <c r="T19" s="46" t="s">
        <v>540</v>
      </c>
      <c r="U19" s="46" t="s">
        <v>540</v>
      </c>
      <c r="V19" s="43" t="s">
        <v>540</v>
      </c>
      <c r="W19" s="41" t="s">
        <v>1038</v>
      </c>
      <c r="X19" s="43" t="s">
        <v>540</v>
      </c>
      <c r="Y19" s="43" t="s">
        <v>540</v>
      </c>
      <c r="Z19" s="43" t="s">
        <v>540</v>
      </c>
      <c r="AA19" s="43" t="s">
        <v>540</v>
      </c>
      <c r="AB19" s="56">
        <v>9.2592592592592596E-4</v>
      </c>
      <c r="AC19" s="56">
        <v>1.0185185185185186E-3</v>
      </c>
      <c r="AD19" s="56">
        <v>9.2592592592592596E-4</v>
      </c>
      <c r="AE19" s="56">
        <v>8.7962962962962962E-4</v>
      </c>
      <c r="AF19" s="41"/>
      <c r="AG19" s="41"/>
      <c r="AH19" s="41"/>
      <c r="AI19" s="41"/>
      <c r="AJ19" s="41"/>
    </row>
    <row r="20" spans="1:36" ht="39.6" customHeight="1">
      <c r="A20" s="41" t="s">
        <v>892</v>
      </c>
      <c r="B20" s="43">
        <v>16</v>
      </c>
      <c r="C20" s="43">
        <v>1</v>
      </c>
      <c r="D20" s="43">
        <v>7</v>
      </c>
      <c r="E20" s="41" t="s">
        <v>454</v>
      </c>
      <c r="F20" s="41" t="s">
        <v>9</v>
      </c>
      <c r="G20" s="41" t="s">
        <v>70</v>
      </c>
      <c r="H20" s="41" t="s">
        <v>245</v>
      </c>
      <c r="I20" s="43">
        <v>1</v>
      </c>
      <c r="J20" s="41" t="s">
        <v>283</v>
      </c>
      <c r="K20" s="41" t="s">
        <v>666</v>
      </c>
      <c r="L20" s="41" t="s">
        <v>526</v>
      </c>
      <c r="M20" s="41" t="s">
        <v>793</v>
      </c>
      <c r="N20" s="54">
        <f t="shared" si="0"/>
        <v>1.1689814814814814E-2</v>
      </c>
      <c r="O20" s="41" t="s">
        <v>915</v>
      </c>
      <c r="P20" s="43">
        <v>57</v>
      </c>
      <c r="Q20" s="44">
        <v>4</v>
      </c>
      <c r="R20" s="44">
        <v>88.55</v>
      </c>
      <c r="S20" s="45" t="s">
        <v>565</v>
      </c>
      <c r="T20" s="46" t="s">
        <v>540</v>
      </c>
      <c r="U20" s="46" t="s">
        <v>540</v>
      </c>
      <c r="V20" s="43" t="s">
        <v>540</v>
      </c>
      <c r="W20" s="41" t="s">
        <v>58</v>
      </c>
      <c r="X20" s="43">
        <v>30</v>
      </c>
      <c r="Y20" s="43">
        <f>IF(ISNUMBER(X20),ROUND(X20*0.85,0),"—")</f>
        <v>26</v>
      </c>
      <c r="Z20" s="43">
        <f>IF(ISNUMBER(X20),ROUND(X20*0.7,0),"—")</f>
        <v>21</v>
      </c>
      <c r="AA20" s="43">
        <f>IF(ISNUMBER(X20),ROUND(X20*0.55,0),"—")</f>
        <v>17</v>
      </c>
      <c r="AB20" s="56">
        <v>2.8935185185185184E-4</v>
      </c>
      <c r="AC20" s="56">
        <v>3.1828703703703706E-4</v>
      </c>
      <c r="AD20" s="56">
        <v>2.8935185185185184E-4</v>
      </c>
      <c r="AE20" s="56">
        <v>2.7488425925925922E-4</v>
      </c>
      <c r="AF20" s="41"/>
      <c r="AG20" s="41"/>
      <c r="AH20" s="41"/>
      <c r="AI20" s="41"/>
      <c r="AJ20" s="41"/>
    </row>
    <row r="21" spans="1:36" ht="52.7" customHeight="1">
      <c r="A21" s="41" t="s">
        <v>892</v>
      </c>
      <c r="B21" s="43">
        <v>17</v>
      </c>
      <c r="C21" s="43">
        <v>3</v>
      </c>
      <c r="D21" s="43">
        <v>7</v>
      </c>
      <c r="E21" s="41" t="s">
        <v>420</v>
      </c>
      <c r="F21" s="41" t="s">
        <v>365</v>
      </c>
      <c r="G21" s="41" t="s">
        <v>842</v>
      </c>
      <c r="H21" s="41" t="s">
        <v>858</v>
      </c>
      <c r="I21" s="43">
        <v>3</v>
      </c>
      <c r="J21" s="41" t="s">
        <v>681</v>
      </c>
      <c r="K21" s="41" t="s">
        <v>791</v>
      </c>
      <c r="L21" s="41" t="s">
        <v>488</v>
      </c>
      <c r="M21" s="41" t="s">
        <v>458</v>
      </c>
      <c r="N21" s="54">
        <f t="shared" si="0"/>
        <v>1.2499999999999999E-2</v>
      </c>
      <c r="O21" s="41" t="s">
        <v>445</v>
      </c>
      <c r="P21" s="43">
        <v>63</v>
      </c>
      <c r="Q21" s="44">
        <v>6</v>
      </c>
      <c r="R21" s="44">
        <v>104.45</v>
      </c>
      <c r="S21" s="45" t="s">
        <v>565</v>
      </c>
      <c r="T21" s="46" t="s">
        <v>540</v>
      </c>
      <c r="U21" s="46" t="s">
        <v>540</v>
      </c>
      <c r="V21" s="43" t="s">
        <v>540</v>
      </c>
      <c r="W21" s="41" t="s">
        <v>206</v>
      </c>
      <c r="X21" s="43">
        <v>20</v>
      </c>
      <c r="Y21" s="43">
        <f>IF(ISNUMBER(X21),ROUND(X21*0.85,0),"—")</f>
        <v>17</v>
      </c>
      <c r="Z21" s="43">
        <f>IF(ISNUMBER(X21),ROUND(X21*0.7,0),"—")</f>
        <v>14</v>
      </c>
      <c r="AA21" s="43">
        <f>IF(ISNUMBER(X21),ROUND(X21*0.55,0),"—")</f>
        <v>11</v>
      </c>
      <c r="AB21" s="56">
        <v>8.1018518518518516E-4</v>
      </c>
      <c r="AC21" s="56">
        <v>9.2766203703703706E-4</v>
      </c>
      <c r="AD21" s="56">
        <v>8.1018518518518516E-4</v>
      </c>
      <c r="AE21" s="56">
        <v>7.4942129629629621E-4</v>
      </c>
      <c r="AF21" s="41"/>
      <c r="AG21" s="41"/>
      <c r="AH21" s="41"/>
      <c r="AI21" s="41"/>
      <c r="AJ21" s="41"/>
    </row>
    <row r="22" spans="1:36" ht="26.45" customHeight="1">
      <c r="A22" s="41" t="s">
        <v>892</v>
      </c>
      <c r="B22" s="43">
        <v>18</v>
      </c>
      <c r="C22" s="43">
        <v>5</v>
      </c>
      <c r="D22" s="43">
        <v>8</v>
      </c>
      <c r="E22" s="41" t="s">
        <v>449</v>
      </c>
      <c r="F22" s="41" t="s">
        <v>345</v>
      </c>
      <c r="G22" s="41" t="s">
        <v>741</v>
      </c>
      <c r="H22" s="41" t="s">
        <v>221</v>
      </c>
      <c r="I22" s="43">
        <v>1</v>
      </c>
      <c r="J22" s="41" t="s">
        <v>735</v>
      </c>
      <c r="K22" s="41" t="s">
        <v>802</v>
      </c>
      <c r="L22" s="41" t="s">
        <v>527</v>
      </c>
      <c r="M22" s="41" t="s">
        <v>1019</v>
      </c>
      <c r="N22" s="54">
        <f t="shared" si="0"/>
        <v>1.3888888888888888E-2</v>
      </c>
      <c r="O22" s="41" t="s">
        <v>445</v>
      </c>
      <c r="P22" s="43">
        <v>72</v>
      </c>
      <c r="Q22" s="44">
        <v>9</v>
      </c>
      <c r="R22" s="44">
        <v>130.19999999999999</v>
      </c>
      <c r="S22" s="45" t="s">
        <v>565</v>
      </c>
      <c r="T22" s="46" t="s">
        <v>540</v>
      </c>
      <c r="U22" s="46" t="s">
        <v>540</v>
      </c>
      <c r="V22" s="43" t="s">
        <v>540</v>
      </c>
      <c r="W22" s="41" t="s">
        <v>206</v>
      </c>
      <c r="X22" s="43">
        <v>20</v>
      </c>
      <c r="Y22" s="43">
        <f>IF(ISNUMBER(X22),ROUND(X22*0.85,0),"—")</f>
        <v>17</v>
      </c>
      <c r="Z22" s="43">
        <f t="shared" ref="Z22:Z27" si="1">IF(ISNUMBER(X22),ROUND(X22*0.7,0),"—")</f>
        <v>14</v>
      </c>
      <c r="AA22" s="43">
        <f t="shared" ref="AA22:AA27" si="2">IF(ISNUMBER(X22),ROUND(X22*0.55,0),"—")</f>
        <v>11</v>
      </c>
      <c r="AB22" s="56">
        <v>1.3888888888888889E-3</v>
      </c>
      <c r="AC22" s="56">
        <v>1.715277777777778E-3</v>
      </c>
      <c r="AD22" s="56">
        <v>1.3888888888888889E-3</v>
      </c>
      <c r="AE22" s="56">
        <v>1.2152777777777778E-3</v>
      </c>
      <c r="AF22" s="41"/>
      <c r="AG22" s="41"/>
      <c r="AH22" s="41"/>
      <c r="AI22" s="41"/>
      <c r="AJ22" s="41"/>
    </row>
    <row r="23" spans="1:36" ht="39.6" customHeight="1">
      <c r="A23" s="41" t="s">
        <v>892</v>
      </c>
      <c r="B23" s="43">
        <v>19</v>
      </c>
      <c r="C23" s="43">
        <v>5</v>
      </c>
      <c r="D23" s="43">
        <v>8</v>
      </c>
      <c r="E23" s="41" t="s">
        <v>171</v>
      </c>
      <c r="F23" s="41" t="s">
        <v>462</v>
      </c>
      <c r="G23" s="41" t="s">
        <v>219</v>
      </c>
      <c r="H23" s="41" t="s">
        <v>874</v>
      </c>
      <c r="I23" s="43">
        <v>6</v>
      </c>
      <c r="J23" s="41" t="s">
        <v>1037</v>
      </c>
      <c r="K23" s="41" t="s">
        <v>1039</v>
      </c>
      <c r="L23" s="41" t="s">
        <v>558</v>
      </c>
      <c r="M23" s="41" t="s">
        <v>181</v>
      </c>
      <c r="N23" s="54">
        <f t="shared" si="0"/>
        <v>1.4814814814814814E-2</v>
      </c>
      <c r="O23" s="41" t="s">
        <v>445</v>
      </c>
      <c r="P23" s="43">
        <v>81</v>
      </c>
      <c r="Q23" s="44">
        <v>9</v>
      </c>
      <c r="R23" s="44">
        <v>158.12</v>
      </c>
      <c r="S23" s="45" t="s">
        <v>565</v>
      </c>
      <c r="T23" s="46" t="s">
        <v>540</v>
      </c>
      <c r="U23" s="46" t="s">
        <v>540</v>
      </c>
      <c r="V23" s="43" t="s">
        <v>540</v>
      </c>
      <c r="W23" s="41" t="s">
        <v>201</v>
      </c>
      <c r="X23" s="43">
        <v>80</v>
      </c>
      <c r="Y23" s="43">
        <f>IF(ISNUMBER(X23),ROUND(X23*0.85,0),"—")</f>
        <v>68</v>
      </c>
      <c r="Z23" s="43">
        <v>56</v>
      </c>
      <c r="AA23" s="43">
        <v>44</v>
      </c>
      <c r="AB23" s="56">
        <v>9.2592592592592596E-4</v>
      </c>
      <c r="AC23" s="56">
        <v>1.1435185185185188E-3</v>
      </c>
      <c r="AD23" s="56">
        <v>9.2592592592592596E-4</v>
      </c>
      <c r="AE23" s="56">
        <v>8.1018518518518527E-4</v>
      </c>
      <c r="AF23" s="41"/>
      <c r="AG23" s="41"/>
      <c r="AH23" s="41"/>
      <c r="AI23" s="41"/>
      <c r="AJ23" s="41"/>
    </row>
    <row r="24" spans="1:36" ht="26.45" customHeight="1">
      <c r="A24" s="41" t="s">
        <v>892</v>
      </c>
      <c r="B24" s="43">
        <v>20</v>
      </c>
      <c r="C24" s="43">
        <v>4</v>
      </c>
      <c r="D24" s="43">
        <v>7</v>
      </c>
      <c r="E24" s="41" t="s">
        <v>457</v>
      </c>
      <c r="F24" s="41" t="s">
        <v>768</v>
      </c>
      <c r="G24" s="41" t="s">
        <v>231</v>
      </c>
      <c r="H24" s="41" t="s">
        <v>224</v>
      </c>
      <c r="I24" s="43">
        <v>4</v>
      </c>
      <c r="J24" s="41" t="s">
        <v>795</v>
      </c>
      <c r="K24" s="41" t="s">
        <v>789</v>
      </c>
      <c r="L24" s="41" t="s">
        <v>563</v>
      </c>
      <c r="M24" s="41" t="s">
        <v>713</v>
      </c>
      <c r="N24" s="54">
        <f t="shared" si="0"/>
        <v>1.5972222222222221E-2</v>
      </c>
      <c r="O24" s="41" t="s">
        <v>445</v>
      </c>
      <c r="P24" s="43">
        <v>88</v>
      </c>
      <c r="Q24" s="44">
        <v>7</v>
      </c>
      <c r="R24" s="44">
        <v>181.3</v>
      </c>
      <c r="S24" s="45" t="s">
        <v>565</v>
      </c>
      <c r="T24" s="46" t="s">
        <v>540</v>
      </c>
      <c r="U24" s="46" t="s">
        <v>540</v>
      </c>
      <c r="V24" s="43" t="s">
        <v>540</v>
      </c>
      <c r="W24" s="41" t="s">
        <v>211</v>
      </c>
      <c r="X24" s="43">
        <v>60</v>
      </c>
      <c r="Y24" s="43">
        <f>IF(ISNUMBER(X24),ROUND(X24*0.85,0),"—")</f>
        <v>51</v>
      </c>
      <c r="Z24" s="43">
        <f>IF(ISNUMBER(X24),ROUND(X24*0.7,0),"—")</f>
        <v>42</v>
      </c>
      <c r="AA24" s="43">
        <f>IF(ISNUMBER(X24),ROUND(X24*0.55,0),"—")</f>
        <v>33</v>
      </c>
      <c r="AB24" s="56">
        <v>1.1574074074074073E-3</v>
      </c>
      <c r="AC24" s="56">
        <v>1.3773148148148149E-3</v>
      </c>
      <c r="AD24" s="56">
        <v>1.1574074074074073E-3</v>
      </c>
      <c r="AE24" s="56">
        <v>1.0416666666666664E-3</v>
      </c>
      <c r="AF24" s="41"/>
      <c r="AG24" s="41"/>
      <c r="AH24" s="41"/>
      <c r="AI24" s="41"/>
      <c r="AJ24" s="41"/>
    </row>
    <row r="25" spans="1:36" ht="26.45" customHeight="1">
      <c r="A25" s="41" t="s">
        <v>892</v>
      </c>
      <c r="B25" s="43">
        <v>21</v>
      </c>
      <c r="C25" s="43">
        <v>2</v>
      </c>
      <c r="D25" s="43">
        <v>5</v>
      </c>
      <c r="E25" s="41" t="s">
        <v>917</v>
      </c>
      <c r="F25" s="41" t="s">
        <v>784</v>
      </c>
      <c r="G25" s="41" t="s">
        <v>21</v>
      </c>
      <c r="H25" s="41" t="s">
        <v>745</v>
      </c>
      <c r="I25" s="43">
        <v>3</v>
      </c>
      <c r="J25" s="41" t="s">
        <v>677</v>
      </c>
      <c r="K25" s="41" t="s">
        <v>716</v>
      </c>
      <c r="L25" s="41" t="s">
        <v>532</v>
      </c>
      <c r="M25" s="41" t="s">
        <v>168</v>
      </c>
      <c r="N25" s="54">
        <f t="shared" si="0"/>
        <v>1.6608796296296295E-2</v>
      </c>
      <c r="O25" s="41" t="s">
        <v>445</v>
      </c>
      <c r="P25" s="43">
        <v>92</v>
      </c>
      <c r="Q25" s="44">
        <v>4</v>
      </c>
      <c r="R25" s="44">
        <v>195.1</v>
      </c>
      <c r="S25" s="45" t="s">
        <v>565</v>
      </c>
      <c r="T25" s="46" t="s">
        <v>540</v>
      </c>
      <c r="U25" s="46" t="s">
        <v>540</v>
      </c>
      <c r="V25" s="43" t="s">
        <v>540</v>
      </c>
      <c r="W25" s="41" t="s">
        <v>1038</v>
      </c>
      <c r="X25" s="43" t="s">
        <v>540</v>
      </c>
      <c r="Y25" s="43" t="s">
        <v>540</v>
      </c>
      <c r="Z25" s="43" t="s">
        <v>540</v>
      </c>
      <c r="AA25" s="43" t="s">
        <v>540</v>
      </c>
      <c r="AB25" s="56">
        <v>6.3657407407407413E-4</v>
      </c>
      <c r="AC25" s="56">
        <v>7.0023148148148158E-4</v>
      </c>
      <c r="AD25" s="56">
        <v>6.3657407407407413E-4</v>
      </c>
      <c r="AE25" s="56">
        <v>6.047453703703704E-4</v>
      </c>
      <c r="AF25" s="41"/>
      <c r="AG25" s="41"/>
      <c r="AH25" s="41"/>
      <c r="AI25" s="41"/>
      <c r="AJ25" s="41"/>
    </row>
    <row r="26" spans="1:36" ht="26.45" customHeight="1">
      <c r="A26" s="41" t="s">
        <v>892</v>
      </c>
      <c r="B26" s="43">
        <v>22</v>
      </c>
      <c r="C26" s="43">
        <v>1</v>
      </c>
      <c r="D26" s="43">
        <v>5</v>
      </c>
      <c r="E26" s="41" t="s">
        <v>942</v>
      </c>
      <c r="F26" s="41" t="s">
        <v>1023</v>
      </c>
      <c r="G26" s="41" t="s">
        <v>466</v>
      </c>
      <c r="H26" s="41" t="s">
        <v>762</v>
      </c>
      <c r="I26" s="43">
        <v>1</v>
      </c>
      <c r="J26" s="41" t="s">
        <v>287</v>
      </c>
      <c r="K26" s="41" t="s">
        <v>528</v>
      </c>
      <c r="L26" s="41" t="s">
        <v>488</v>
      </c>
      <c r="M26" s="41" t="s">
        <v>785</v>
      </c>
      <c r="N26" s="54">
        <f t="shared" si="0"/>
        <v>1.741898148148148E-2</v>
      </c>
      <c r="O26" s="41" t="s">
        <v>445</v>
      </c>
      <c r="P26" s="43">
        <v>95</v>
      </c>
      <c r="Q26" s="44">
        <v>3</v>
      </c>
      <c r="R26" s="44">
        <v>205.7</v>
      </c>
      <c r="S26" s="45" t="s">
        <v>565</v>
      </c>
      <c r="T26" s="46" t="s">
        <v>540</v>
      </c>
      <c r="U26" s="46" t="s">
        <v>540</v>
      </c>
      <c r="V26" s="43" t="s">
        <v>540</v>
      </c>
      <c r="W26" s="41" t="s">
        <v>1038</v>
      </c>
      <c r="X26" s="43" t="s">
        <v>540</v>
      </c>
      <c r="Y26" s="43" t="s">
        <v>540</v>
      </c>
      <c r="Z26" s="43" t="s">
        <v>540</v>
      </c>
      <c r="AA26" s="43" t="s">
        <v>540</v>
      </c>
      <c r="AB26" s="56">
        <v>8.1018518518518516E-4</v>
      </c>
      <c r="AC26" s="56">
        <v>8.9120370370370373E-4</v>
      </c>
      <c r="AD26" s="56">
        <v>8.1018518518518516E-4</v>
      </c>
      <c r="AE26" s="56">
        <v>7.6967592592592582E-4</v>
      </c>
      <c r="AF26" s="41"/>
      <c r="AG26" s="41"/>
      <c r="AH26" s="41"/>
      <c r="AI26" s="41"/>
      <c r="AJ26" s="41"/>
    </row>
    <row r="27" spans="1:36" ht="26.45" customHeight="1">
      <c r="A27" s="41" t="s">
        <v>892</v>
      </c>
      <c r="B27" s="43">
        <v>23</v>
      </c>
      <c r="C27" s="43">
        <v>2</v>
      </c>
      <c r="D27" s="43">
        <v>5</v>
      </c>
      <c r="E27" s="41" t="s">
        <v>919</v>
      </c>
      <c r="F27" s="41" t="s">
        <v>463</v>
      </c>
      <c r="G27" s="41" t="s">
        <v>242</v>
      </c>
      <c r="H27" s="41" t="s">
        <v>738</v>
      </c>
      <c r="I27" s="43">
        <v>1</v>
      </c>
      <c r="J27" s="41" t="s">
        <v>266</v>
      </c>
      <c r="K27" s="41" t="s">
        <v>528</v>
      </c>
      <c r="L27" s="41" t="s">
        <v>570</v>
      </c>
      <c r="M27" s="41" t="s">
        <v>787</v>
      </c>
      <c r="N27" s="54">
        <f t="shared" si="0"/>
        <v>1.9155092592592592E-2</v>
      </c>
      <c r="O27" s="41" t="s">
        <v>918</v>
      </c>
      <c r="P27" s="43">
        <v>99</v>
      </c>
      <c r="Q27" s="44">
        <v>4</v>
      </c>
      <c r="R27" s="44">
        <v>220.19</v>
      </c>
      <c r="S27" s="45" t="s">
        <v>565</v>
      </c>
      <c r="T27" s="46" t="s">
        <v>540</v>
      </c>
      <c r="U27" s="46" t="s">
        <v>540</v>
      </c>
      <c r="V27" s="43" t="s">
        <v>540</v>
      </c>
      <c r="W27" s="41" t="s">
        <v>1038</v>
      </c>
      <c r="X27" s="43" t="s">
        <v>540</v>
      </c>
      <c r="Y27" s="43" t="s">
        <v>540</v>
      </c>
      <c r="Z27" s="43" t="str">
        <f t="shared" si="1"/>
        <v>—</v>
      </c>
      <c r="AA27" s="43" t="str">
        <f t="shared" si="2"/>
        <v>—</v>
      </c>
      <c r="AB27" s="56">
        <v>1.736111111111111E-3</v>
      </c>
      <c r="AC27" s="56">
        <v>1.9097222222222224E-3</v>
      </c>
      <c r="AD27" s="56">
        <v>1.736111111111111E-3</v>
      </c>
      <c r="AE27" s="56">
        <v>1.6493055555555553E-3</v>
      </c>
      <c r="AF27" s="41"/>
      <c r="AG27" s="41"/>
      <c r="AH27" s="41"/>
      <c r="AI27" s="41"/>
      <c r="AJ27" s="41"/>
    </row>
    <row r="28" spans="1:36" ht="39.6" customHeight="1">
      <c r="A28" s="41" t="s">
        <v>892</v>
      </c>
      <c r="B28" s="43">
        <v>24</v>
      </c>
      <c r="C28" s="43">
        <v>2</v>
      </c>
      <c r="D28" s="43">
        <v>7</v>
      </c>
      <c r="E28" s="41" t="s">
        <v>448</v>
      </c>
      <c r="F28" s="41" t="s">
        <v>288</v>
      </c>
      <c r="G28" s="41" t="s">
        <v>116</v>
      </c>
      <c r="H28" s="41" t="s">
        <v>758</v>
      </c>
      <c r="I28" s="43">
        <v>3</v>
      </c>
      <c r="J28" s="41" t="s">
        <v>380</v>
      </c>
      <c r="K28" s="41" t="s">
        <v>528</v>
      </c>
      <c r="L28" s="41" t="s">
        <v>559</v>
      </c>
      <c r="M28" s="41" t="s">
        <v>797</v>
      </c>
      <c r="N28" s="54">
        <f t="shared" si="0"/>
        <v>2.0196759259259258E-2</v>
      </c>
      <c r="O28" s="41" t="s">
        <v>918</v>
      </c>
      <c r="P28" s="43">
        <v>104</v>
      </c>
      <c r="Q28" s="44">
        <v>5</v>
      </c>
      <c r="R28" s="44">
        <v>238.84</v>
      </c>
      <c r="S28" s="45" t="s">
        <v>565</v>
      </c>
      <c r="T28" s="46" t="s">
        <v>540</v>
      </c>
      <c r="U28" s="46" t="s">
        <v>540</v>
      </c>
      <c r="V28" s="43" t="s">
        <v>540</v>
      </c>
      <c r="W28" s="41" t="s">
        <v>58</v>
      </c>
      <c r="X28" s="43">
        <v>30</v>
      </c>
      <c r="Y28" s="43">
        <f>IF(ISNUMBER(X28),ROUND(X28*0.85,0),"—")</f>
        <v>26</v>
      </c>
      <c r="Z28" s="43">
        <f>IF(ISNUMBER(X28),ROUND(X28*0.7,0),"—")</f>
        <v>21</v>
      </c>
      <c r="AA28" s="43">
        <f>IF(ISNUMBER(X28),ROUND(X28*0.55,0),"—")</f>
        <v>17</v>
      </c>
      <c r="AB28" s="56">
        <v>1.0416666666666667E-3</v>
      </c>
      <c r="AC28" s="56">
        <v>1.1458333333333333E-3</v>
      </c>
      <c r="AD28" s="56">
        <v>1.0416666666666667E-3</v>
      </c>
      <c r="AE28" s="56">
        <v>9.895833333333332E-4</v>
      </c>
      <c r="AF28" s="41"/>
      <c r="AG28" s="41"/>
      <c r="AH28" s="41"/>
      <c r="AI28" s="41"/>
      <c r="AJ28" s="41"/>
    </row>
    <row r="29" spans="1:36" ht="26.45" customHeight="1">
      <c r="A29" s="41" t="s">
        <v>892</v>
      </c>
      <c r="B29" s="43">
        <v>25</v>
      </c>
      <c r="C29" s="43">
        <v>3</v>
      </c>
      <c r="D29" s="43">
        <v>8</v>
      </c>
      <c r="E29" s="41" t="s">
        <v>938</v>
      </c>
      <c r="F29" s="41" t="s">
        <v>766</v>
      </c>
      <c r="G29" s="41" t="s">
        <v>72</v>
      </c>
      <c r="H29" s="41" t="s">
        <v>4</v>
      </c>
      <c r="I29" s="43">
        <v>4</v>
      </c>
      <c r="J29" s="41" t="s">
        <v>436</v>
      </c>
      <c r="K29" s="41" t="s">
        <v>1028</v>
      </c>
      <c r="L29" s="41" t="s">
        <v>527</v>
      </c>
      <c r="M29" s="41" t="s">
        <v>801</v>
      </c>
      <c r="N29" s="54">
        <f t="shared" si="0"/>
        <v>2.1585648148148145E-2</v>
      </c>
      <c r="O29" s="41" t="s">
        <v>918</v>
      </c>
      <c r="P29" s="43">
        <v>111</v>
      </c>
      <c r="Q29" s="44">
        <v>7</v>
      </c>
      <c r="R29" s="44">
        <v>265.94</v>
      </c>
      <c r="S29" s="45" t="s">
        <v>565</v>
      </c>
      <c r="T29" s="46" t="s">
        <v>540</v>
      </c>
      <c r="U29" s="46" t="s">
        <v>540</v>
      </c>
      <c r="V29" s="43" t="s">
        <v>540</v>
      </c>
      <c r="W29" s="41" t="s">
        <v>58</v>
      </c>
      <c r="X29" s="43">
        <v>30</v>
      </c>
      <c r="Y29" s="43">
        <f>IF(ISNUMBER(X29),ROUND(X29*0.85,0),"—")</f>
        <v>26</v>
      </c>
      <c r="Z29" s="43">
        <f>IF(ISNUMBER(X29),ROUND(X29*0.7,0),"—")</f>
        <v>21</v>
      </c>
      <c r="AA29" s="43">
        <f>IF(ISNUMBER(X29),ROUND(X29*0.55,0),"—")</f>
        <v>17</v>
      </c>
      <c r="AB29" s="56">
        <v>1.3888888888888889E-3</v>
      </c>
      <c r="AC29" s="56">
        <v>1.5902777777777779E-3</v>
      </c>
      <c r="AD29" s="56">
        <v>1.3888888888888889E-3</v>
      </c>
      <c r="AE29" s="56">
        <v>1.2847222222222223E-3</v>
      </c>
      <c r="AF29" s="41"/>
      <c r="AG29" s="41"/>
      <c r="AH29" s="41"/>
      <c r="AI29" s="41"/>
      <c r="AJ29" s="41"/>
    </row>
    <row r="30" spans="1:36" ht="26.45" customHeight="1">
      <c r="A30" s="41" t="s">
        <v>892</v>
      </c>
      <c r="B30" s="43">
        <v>26</v>
      </c>
      <c r="C30" s="43">
        <v>1</v>
      </c>
      <c r="D30" s="43">
        <v>5</v>
      </c>
      <c r="E30" s="41" t="s">
        <v>941</v>
      </c>
      <c r="F30" s="41" t="s">
        <v>784</v>
      </c>
      <c r="G30" s="41" t="s">
        <v>21</v>
      </c>
      <c r="H30" s="41" t="s">
        <v>764</v>
      </c>
      <c r="I30" s="43">
        <v>3</v>
      </c>
      <c r="J30" s="41" t="s">
        <v>796</v>
      </c>
      <c r="K30" s="41" t="s">
        <v>716</v>
      </c>
      <c r="L30" s="41" t="s">
        <v>554</v>
      </c>
      <c r="M30" s="41" t="s">
        <v>168</v>
      </c>
      <c r="N30" s="54">
        <f t="shared" si="0"/>
        <v>2.2337962962962959E-2</v>
      </c>
      <c r="O30" s="41" t="s">
        <v>918</v>
      </c>
      <c r="P30" s="43">
        <v>114</v>
      </c>
      <c r="Q30" s="44">
        <v>3</v>
      </c>
      <c r="R30" s="44">
        <v>277.89999999999998</v>
      </c>
      <c r="S30" s="45" t="s">
        <v>565</v>
      </c>
      <c r="T30" s="46" t="s">
        <v>540</v>
      </c>
      <c r="U30" s="46" t="s">
        <v>540</v>
      </c>
      <c r="V30" s="43" t="s">
        <v>540</v>
      </c>
      <c r="W30" s="41" t="s">
        <v>1038</v>
      </c>
      <c r="X30" s="43" t="s">
        <v>540</v>
      </c>
      <c r="Y30" s="43" t="s">
        <v>540</v>
      </c>
      <c r="Z30" s="43" t="s">
        <v>540</v>
      </c>
      <c r="AA30" s="43" t="s">
        <v>540</v>
      </c>
      <c r="AB30" s="56">
        <v>7.5231481481481482E-4</v>
      </c>
      <c r="AC30" s="56">
        <v>8.2754629629629638E-4</v>
      </c>
      <c r="AD30" s="56">
        <v>7.5231481481481482E-4</v>
      </c>
      <c r="AE30" s="56">
        <v>7.1469907407407409E-4</v>
      </c>
      <c r="AF30" s="41"/>
      <c r="AG30" s="41"/>
      <c r="AH30" s="41"/>
      <c r="AI30" s="41"/>
      <c r="AJ30" s="41"/>
    </row>
    <row r="31" spans="1:36" ht="26.45" customHeight="1">
      <c r="A31" s="41" t="s">
        <v>892</v>
      </c>
      <c r="B31" s="43">
        <v>27</v>
      </c>
      <c r="C31" s="43">
        <v>2</v>
      </c>
      <c r="D31" s="43">
        <v>5</v>
      </c>
      <c r="E31" s="41" t="s">
        <v>25</v>
      </c>
      <c r="F31" s="41" t="s">
        <v>463</v>
      </c>
      <c r="G31" s="41" t="s">
        <v>250</v>
      </c>
      <c r="H31" s="41" t="s">
        <v>738</v>
      </c>
      <c r="I31" s="43">
        <v>1</v>
      </c>
      <c r="J31" s="41" t="s">
        <v>807</v>
      </c>
      <c r="K31" s="41" t="s">
        <v>528</v>
      </c>
      <c r="L31" s="41" t="s">
        <v>513</v>
      </c>
      <c r="M31" s="41" t="s">
        <v>787</v>
      </c>
      <c r="N31" s="54">
        <f t="shared" si="0"/>
        <v>2.3611111111111107E-2</v>
      </c>
      <c r="O31" s="41" t="s">
        <v>937</v>
      </c>
      <c r="P31" s="43">
        <v>118</v>
      </c>
      <c r="Q31" s="44">
        <v>4</v>
      </c>
      <c r="R31" s="44">
        <v>294.17</v>
      </c>
      <c r="S31" s="45" t="s">
        <v>565</v>
      </c>
      <c r="T31" s="46" t="s">
        <v>540</v>
      </c>
      <c r="U31" s="46" t="s">
        <v>540</v>
      </c>
      <c r="V31" s="43" t="s">
        <v>540</v>
      </c>
      <c r="W31" s="41" t="s">
        <v>1038</v>
      </c>
      <c r="X31" s="43" t="s">
        <v>540</v>
      </c>
      <c r="Y31" s="43" t="s">
        <v>540</v>
      </c>
      <c r="Z31" s="43" t="s">
        <v>540</v>
      </c>
      <c r="AA31" s="43" t="s">
        <v>540</v>
      </c>
      <c r="AB31" s="56">
        <v>1.2731481481481483E-3</v>
      </c>
      <c r="AC31" s="56">
        <v>1.4004629629629632E-3</v>
      </c>
      <c r="AD31" s="56">
        <v>1.2731481481481483E-3</v>
      </c>
      <c r="AE31" s="56">
        <v>1.2094907407407408E-3</v>
      </c>
      <c r="AF31" s="41"/>
      <c r="AG31" s="41"/>
      <c r="AH31" s="41"/>
      <c r="AI31" s="41"/>
      <c r="AJ31" s="41"/>
    </row>
    <row r="32" spans="1:36" ht="39.6" customHeight="1">
      <c r="A32" s="41" t="s">
        <v>928</v>
      </c>
      <c r="B32" s="43">
        <v>28</v>
      </c>
      <c r="C32" s="43">
        <v>1</v>
      </c>
      <c r="D32" s="43">
        <v>5</v>
      </c>
      <c r="E32" s="41" t="s">
        <v>379</v>
      </c>
      <c r="F32" s="41" t="s">
        <v>288</v>
      </c>
      <c r="G32" s="41" t="s">
        <v>138</v>
      </c>
      <c r="H32" s="41" t="s">
        <v>751</v>
      </c>
      <c r="I32" s="43">
        <v>4</v>
      </c>
      <c r="J32" s="41" t="s">
        <v>380</v>
      </c>
      <c r="K32" s="41" t="s">
        <v>528</v>
      </c>
      <c r="L32" s="41" t="s">
        <v>552</v>
      </c>
      <c r="M32" s="41" t="s">
        <v>797</v>
      </c>
      <c r="N32" s="54">
        <f t="shared" si="0"/>
        <v>2.4479166666666663E-2</v>
      </c>
      <c r="O32" s="41" t="s">
        <v>451</v>
      </c>
      <c r="P32" s="43">
        <v>121</v>
      </c>
      <c r="Q32" s="44">
        <v>3</v>
      </c>
      <c r="R32" s="44">
        <v>306.62</v>
      </c>
      <c r="S32" s="45" t="s">
        <v>565</v>
      </c>
      <c r="T32" s="46" t="s">
        <v>540</v>
      </c>
      <c r="U32" s="46" t="s">
        <v>540</v>
      </c>
      <c r="V32" s="43" t="s">
        <v>540</v>
      </c>
      <c r="W32" s="41" t="s">
        <v>58</v>
      </c>
      <c r="X32" s="43">
        <v>30</v>
      </c>
      <c r="Y32" s="43">
        <f>IF(ISNUMBER(X32),ROUND(X32*0.85,0),"—")</f>
        <v>26</v>
      </c>
      <c r="Z32" s="43">
        <f>IF(ISNUMBER(X32),ROUND(X32*0.7,0),"—")</f>
        <v>21</v>
      </c>
      <c r="AA32" s="43">
        <f>IF(ISNUMBER(X32),ROUND(X32*0.55,0),"—")</f>
        <v>17</v>
      </c>
      <c r="AB32" s="56">
        <v>8.6805555555555551E-4</v>
      </c>
      <c r="AC32" s="56">
        <v>9.5486111111111119E-4</v>
      </c>
      <c r="AD32" s="56">
        <v>8.6805555555555551E-4</v>
      </c>
      <c r="AE32" s="56">
        <v>8.2465277777777767E-4</v>
      </c>
      <c r="AF32" s="41"/>
      <c r="AG32" s="41"/>
      <c r="AH32" s="41"/>
      <c r="AI32" s="41"/>
      <c r="AJ32" s="41"/>
    </row>
    <row r="33" spans="1:36" ht="26.45" customHeight="1">
      <c r="A33" s="41" t="s">
        <v>928</v>
      </c>
      <c r="B33" s="43">
        <v>29</v>
      </c>
      <c r="C33" s="43">
        <v>1</v>
      </c>
      <c r="D33" s="43">
        <v>6</v>
      </c>
      <c r="E33" s="41" t="s">
        <v>798</v>
      </c>
      <c r="F33" s="41" t="s">
        <v>174</v>
      </c>
      <c r="G33" s="41" t="s">
        <v>767</v>
      </c>
      <c r="H33" s="41" t="s">
        <v>285</v>
      </c>
      <c r="I33" s="43">
        <v>1</v>
      </c>
      <c r="J33" s="41" t="s">
        <v>926</v>
      </c>
      <c r="K33" s="41" t="s">
        <v>528</v>
      </c>
      <c r="L33" s="41" t="s">
        <v>545</v>
      </c>
      <c r="M33" s="41" t="s">
        <v>732</v>
      </c>
      <c r="N33" s="54">
        <f t="shared" si="0"/>
        <v>2.4884259259259255E-2</v>
      </c>
      <c r="O33" s="41" t="s">
        <v>451</v>
      </c>
      <c r="P33" s="43">
        <v>125</v>
      </c>
      <c r="Q33" s="44">
        <v>4</v>
      </c>
      <c r="R33" s="44">
        <v>323.52</v>
      </c>
      <c r="S33" s="45" t="s">
        <v>565</v>
      </c>
      <c r="T33" s="46" t="s">
        <v>540</v>
      </c>
      <c r="U33" s="46" t="s">
        <v>540</v>
      </c>
      <c r="V33" s="43" t="s">
        <v>540</v>
      </c>
      <c r="W33" s="41" t="s">
        <v>1038</v>
      </c>
      <c r="X33" s="43" t="s">
        <v>540</v>
      </c>
      <c r="Y33" s="43" t="s">
        <v>540</v>
      </c>
      <c r="Z33" s="43" t="s">
        <v>540</v>
      </c>
      <c r="AA33" s="43" t="s">
        <v>540</v>
      </c>
      <c r="AB33" s="56">
        <v>4.0509259259259258E-4</v>
      </c>
      <c r="AC33" s="56">
        <v>4.4560185185185187E-4</v>
      </c>
      <c r="AD33" s="56">
        <v>4.0509259259259258E-4</v>
      </c>
      <c r="AE33" s="56">
        <v>3.8483796296296291E-4</v>
      </c>
      <c r="AF33" s="41"/>
      <c r="AG33" s="41"/>
      <c r="AH33" s="41"/>
      <c r="AI33" s="41"/>
      <c r="AJ33" s="41"/>
    </row>
    <row r="34" spans="1:36" ht="39.6" customHeight="1">
      <c r="A34" s="41" t="s">
        <v>928</v>
      </c>
      <c r="B34" s="43">
        <v>30</v>
      </c>
      <c r="C34" s="43">
        <v>1</v>
      </c>
      <c r="D34" s="43">
        <v>5</v>
      </c>
      <c r="E34" s="41" t="s">
        <v>453</v>
      </c>
      <c r="F34" s="41" t="s">
        <v>771</v>
      </c>
      <c r="G34" s="41" t="s">
        <v>136</v>
      </c>
      <c r="H34" s="41" t="s">
        <v>836</v>
      </c>
      <c r="I34" s="43">
        <v>1</v>
      </c>
      <c r="J34" s="41" t="s">
        <v>920</v>
      </c>
      <c r="K34" s="41" t="s">
        <v>528</v>
      </c>
      <c r="L34" s="41" t="s">
        <v>524</v>
      </c>
      <c r="M34" s="41" t="s">
        <v>790</v>
      </c>
      <c r="N34" s="54">
        <f t="shared" si="0"/>
        <v>2.540509259259259E-2</v>
      </c>
      <c r="O34" s="41" t="s">
        <v>451</v>
      </c>
      <c r="P34" s="43">
        <v>128</v>
      </c>
      <c r="Q34" s="44">
        <v>3</v>
      </c>
      <c r="R34" s="44">
        <v>336.43</v>
      </c>
      <c r="S34" s="45" t="s">
        <v>565</v>
      </c>
      <c r="T34" s="46" t="s">
        <v>540</v>
      </c>
      <c r="U34" s="46" t="s">
        <v>540</v>
      </c>
      <c r="V34" s="43" t="s">
        <v>540</v>
      </c>
      <c r="W34" s="41" t="s">
        <v>1038</v>
      </c>
      <c r="X34" s="43" t="s">
        <v>540</v>
      </c>
      <c r="Y34" s="43" t="s">
        <v>540</v>
      </c>
      <c r="Z34" s="43" t="s">
        <v>540</v>
      </c>
      <c r="AA34" s="43" t="s">
        <v>540</v>
      </c>
      <c r="AB34" s="56">
        <v>5.2083333333333333E-4</v>
      </c>
      <c r="AC34" s="56">
        <v>5.7291666666666667E-4</v>
      </c>
      <c r="AD34" s="56">
        <v>5.2083333333333333E-4</v>
      </c>
      <c r="AE34" s="56">
        <v>4.947916666666666E-4</v>
      </c>
      <c r="AF34" s="41"/>
      <c r="AG34" s="41"/>
      <c r="AH34" s="41"/>
      <c r="AI34" s="41"/>
      <c r="AJ34" s="41"/>
    </row>
    <row r="35" spans="1:36" ht="26.45" customHeight="1">
      <c r="A35" s="41" t="s">
        <v>928</v>
      </c>
      <c r="B35" s="43">
        <v>31</v>
      </c>
      <c r="C35" s="43">
        <v>2</v>
      </c>
      <c r="D35" s="43">
        <v>5</v>
      </c>
      <c r="E35" s="41" t="s">
        <v>930</v>
      </c>
      <c r="F35" s="41" t="s">
        <v>362</v>
      </c>
      <c r="G35" s="41" t="s">
        <v>747</v>
      </c>
      <c r="H35" s="41" t="s">
        <v>471</v>
      </c>
      <c r="I35" s="43">
        <v>4</v>
      </c>
      <c r="J35" s="41" t="s">
        <v>799</v>
      </c>
      <c r="K35" s="41" t="s">
        <v>528</v>
      </c>
      <c r="L35" s="41" t="s">
        <v>495</v>
      </c>
      <c r="M35" s="41" t="s">
        <v>1027</v>
      </c>
      <c r="N35" s="54">
        <f t="shared" si="0"/>
        <v>2.6388888888888885E-2</v>
      </c>
      <c r="O35" s="41" t="s">
        <v>451</v>
      </c>
      <c r="P35" s="43">
        <v>132</v>
      </c>
      <c r="Q35" s="44">
        <v>4</v>
      </c>
      <c r="R35" s="44">
        <v>353.95</v>
      </c>
      <c r="S35" s="45" t="s">
        <v>565</v>
      </c>
      <c r="T35" s="46" t="s">
        <v>540</v>
      </c>
      <c r="U35" s="46" t="s">
        <v>540</v>
      </c>
      <c r="V35" s="43" t="s">
        <v>540</v>
      </c>
      <c r="W35" s="41" t="s">
        <v>58</v>
      </c>
      <c r="X35" s="43">
        <v>30</v>
      </c>
      <c r="Y35" s="43">
        <f>IF(ISNUMBER(X35),ROUND(X35*0.85,0),"—")</f>
        <v>26</v>
      </c>
      <c r="Z35" s="43">
        <f>IF(ISNUMBER(X35),ROUND(X35*0.7,0),"—")</f>
        <v>21</v>
      </c>
      <c r="AA35" s="43">
        <f>IF(ISNUMBER(X35),ROUND(X35*0.55,0),"—")</f>
        <v>17</v>
      </c>
      <c r="AB35" s="56">
        <v>9.837962962962962E-4</v>
      </c>
      <c r="AC35" s="56">
        <v>1.0821759259259259E-3</v>
      </c>
      <c r="AD35" s="56">
        <v>9.837962962962962E-4</v>
      </c>
      <c r="AE35" s="56">
        <v>9.3460648148148136E-4</v>
      </c>
      <c r="AF35" s="41"/>
      <c r="AG35" s="41"/>
      <c r="AH35" s="41"/>
      <c r="AI35" s="41"/>
      <c r="AJ35" s="41"/>
    </row>
    <row r="36" spans="1:36" ht="39.6" customHeight="1">
      <c r="A36" s="41" t="s">
        <v>928</v>
      </c>
      <c r="B36" s="43">
        <v>32</v>
      </c>
      <c r="C36" s="43">
        <v>4</v>
      </c>
      <c r="D36" s="43">
        <v>8</v>
      </c>
      <c r="E36" s="41" t="s">
        <v>413</v>
      </c>
      <c r="F36" s="41" t="s">
        <v>867</v>
      </c>
      <c r="G36" s="41" t="s">
        <v>209</v>
      </c>
      <c r="H36" s="41" t="s">
        <v>855</v>
      </c>
      <c r="I36" s="43">
        <v>3</v>
      </c>
      <c r="J36" s="41" t="s">
        <v>165</v>
      </c>
      <c r="K36" s="41" t="s">
        <v>130</v>
      </c>
      <c r="L36" s="41" t="s">
        <v>558</v>
      </c>
      <c r="M36" s="41" t="s">
        <v>180</v>
      </c>
      <c r="N36" s="54">
        <f t="shared" si="0"/>
        <v>2.7314814814814813E-2</v>
      </c>
      <c r="O36" s="41" t="s">
        <v>451</v>
      </c>
      <c r="P36" s="43">
        <v>140</v>
      </c>
      <c r="Q36" s="44">
        <v>8</v>
      </c>
      <c r="R36" s="44">
        <v>390.04</v>
      </c>
      <c r="S36" s="45" t="s">
        <v>565</v>
      </c>
      <c r="T36" s="46" t="s">
        <v>540</v>
      </c>
      <c r="U36" s="46" t="s">
        <v>540</v>
      </c>
      <c r="V36" s="43" t="s">
        <v>540</v>
      </c>
      <c r="W36" s="41" t="s">
        <v>206</v>
      </c>
      <c r="X36" s="43">
        <v>20</v>
      </c>
      <c r="Y36" s="43">
        <f>IF(ISNUMBER(X36),ROUND(X36*0.85,0),"—")</f>
        <v>17</v>
      </c>
      <c r="Z36" s="43">
        <f>IF(ISNUMBER(X36),ROUND(X36*0.7,0),"—")</f>
        <v>14</v>
      </c>
      <c r="AA36" s="43">
        <f>IF(ISNUMBER(X36),ROUND(X36*0.55,0),"—")</f>
        <v>11</v>
      </c>
      <c r="AB36" s="56">
        <v>9.2592592592592596E-4</v>
      </c>
      <c r="AC36" s="56">
        <v>1.1018518518518521E-3</v>
      </c>
      <c r="AD36" s="56">
        <v>9.2592592592592596E-4</v>
      </c>
      <c r="AE36" s="56">
        <v>8.3333333333333328E-4</v>
      </c>
      <c r="AF36" s="41"/>
      <c r="AG36" s="41"/>
      <c r="AH36" s="41"/>
      <c r="AI36" s="41"/>
      <c r="AJ36" s="41"/>
    </row>
    <row r="37" spans="1:36" ht="39.6" customHeight="1">
      <c r="A37" s="41" t="s">
        <v>928</v>
      </c>
      <c r="B37" s="43">
        <v>33</v>
      </c>
      <c r="C37" s="43">
        <v>1</v>
      </c>
      <c r="D37" s="43">
        <v>5</v>
      </c>
      <c r="E37" s="41" t="s">
        <v>923</v>
      </c>
      <c r="F37" s="41" t="s">
        <v>1026</v>
      </c>
      <c r="G37" s="41" t="s">
        <v>476</v>
      </c>
      <c r="H37" s="41" t="s">
        <v>1025</v>
      </c>
      <c r="I37" s="43">
        <v>3</v>
      </c>
      <c r="J37" s="41" t="s">
        <v>446</v>
      </c>
      <c r="K37" s="41" t="s">
        <v>528</v>
      </c>
      <c r="L37" s="41" t="s">
        <v>532</v>
      </c>
      <c r="M37" s="41" t="s">
        <v>782</v>
      </c>
      <c r="N37" s="54">
        <f t="shared" si="0"/>
        <v>2.7951388888888887E-2</v>
      </c>
      <c r="O37" s="41" t="s">
        <v>451</v>
      </c>
      <c r="P37" s="43">
        <v>143</v>
      </c>
      <c r="Q37" s="44">
        <v>3</v>
      </c>
      <c r="R37" s="44">
        <v>403.93</v>
      </c>
      <c r="S37" s="45" t="s">
        <v>565</v>
      </c>
      <c r="T37" s="46" t="s">
        <v>540</v>
      </c>
      <c r="U37" s="46" t="s">
        <v>540</v>
      </c>
      <c r="V37" s="43" t="s">
        <v>540</v>
      </c>
      <c r="W37" s="41" t="s">
        <v>1038</v>
      </c>
      <c r="X37" s="43" t="s">
        <v>540</v>
      </c>
      <c r="Y37" s="43" t="s">
        <v>540</v>
      </c>
      <c r="Z37" s="43" t="s">
        <v>540</v>
      </c>
      <c r="AA37" s="43" t="s">
        <v>540</v>
      </c>
      <c r="AB37" s="56">
        <v>6.3657407407407413E-4</v>
      </c>
      <c r="AC37" s="56">
        <v>7.0023148148148158E-4</v>
      </c>
      <c r="AD37" s="56">
        <v>6.3657407407407413E-4</v>
      </c>
      <c r="AE37" s="56">
        <v>6.047453703703704E-4</v>
      </c>
      <c r="AF37" s="41"/>
      <c r="AG37" s="41"/>
      <c r="AH37" s="41"/>
      <c r="AI37" s="41"/>
      <c r="AJ37" s="41"/>
    </row>
    <row r="38" spans="1:36" ht="39.6" customHeight="1">
      <c r="A38" s="41" t="s">
        <v>928</v>
      </c>
      <c r="B38" s="43">
        <v>34</v>
      </c>
      <c r="C38" s="43">
        <v>2</v>
      </c>
      <c r="D38" s="43">
        <v>6</v>
      </c>
      <c r="E38" s="41" t="s">
        <v>443</v>
      </c>
      <c r="F38" s="41" t="s">
        <v>765</v>
      </c>
      <c r="G38" s="41" t="s">
        <v>137</v>
      </c>
      <c r="H38" s="41" t="s">
        <v>18</v>
      </c>
      <c r="I38" s="43">
        <v>8</v>
      </c>
      <c r="J38" s="41" t="s">
        <v>195</v>
      </c>
      <c r="K38" s="41" t="s">
        <v>261</v>
      </c>
      <c r="L38" s="41" t="s">
        <v>523</v>
      </c>
      <c r="M38" s="41" t="s">
        <v>292</v>
      </c>
      <c r="N38" s="54">
        <f t="shared" ref="N38:N69" si="3">N37+(IFERROR(VALUE(LEFT(L38,FIND("분",L38)-1))*60,0)+IFERROR(VALUE(TRIM(MID(L38,IFERROR(FIND("분",L38),0)+1,IFERROR(FIND("초",L38),LEN(L38)+1)-IFERROR(FIND("분",L38),0)-1))),0))/86400</f>
        <v>3.003472222222222E-2</v>
      </c>
      <c r="O38" s="41" t="s">
        <v>451</v>
      </c>
      <c r="P38" s="43">
        <v>148</v>
      </c>
      <c r="Q38" s="44">
        <v>5</v>
      </c>
      <c r="R38" s="44">
        <v>427.5</v>
      </c>
      <c r="S38" s="45" t="s">
        <v>565</v>
      </c>
      <c r="T38" s="46" t="s">
        <v>540</v>
      </c>
      <c r="U38" s="46" t="s">
        <v>540</v>
      </c>
      <c r="V38" s="43" t="s">
        <v>540</v>
      </c>
      <c r="W38" s="41" t="s">
        <v>227</v>
      </c>
      <c r="X38" s="43">
        <v>30</v>
      </c>
      <c r="Y38" s="43">
        <f>IF(ISNUMBER(X38),ROUND(X38*0.85,0),"—")</f>
        <v>26</v>
      </c>
      <c r="Z38" s="43">
        <f>IF(ISNUMBER(X38),ROUND(X38*0.7,0),"—")</f>
        <v>21</v>
      </c>
      <c r="AA38" s="43">
        <f>IF(ISNUMBER(X38),ROUND(X38*0.55,0),"—")</f>
        <v>17</v>
      </c>
      <c r="AB38" s="56">
        <v>2.0833333333333333E-3</v>
      </c>
      <c r="AC38" s="56">
        <v>2.2916666666666667E-3</v>
      </c>
      <c r="AD38" s="56">
        <v>2.0833333333333333E-3</v>
      </c>
      <c r="AE38" s="56">
        <v>1.9791666666666664E-3</v>
      </c>
      <c r="AF38" s="41"/>
      <c r="AG38" s="41"/>
      <c r="AH38" s="41"/>
      <c r="AI38" s="41"/>
      <c r="AJ38" s="41"/>
    </row>
    <row r="39" spans="1:36" ht="39.6" customHeight="1">
      <c r="A39" s="41" t="s">
        <v>928</v>
      </c>
      <c r="B39" s="43">
        <v>35</v>
      </c>
      <c r="C39" s="43">
        <v>2</v>
      </c>
      <c r="D39" s="43">
        <v>6</v>
      </c>
      <c r="E39" s="41" t="s">
        <v>254</v>
      </c>
      <c r="F39" s="41" t="s">
        <v>765</v>
      </c>
      <c r="G39" s="41" t="s">
        <v>152</v>
      </c>
      <c r="H39" s="41" t="s">
        <v>18</v>
      </c>
      <c r="I39" s="43">
        <v>7</v>
      </c>
      <c r="J39" s="41" t="s">
        <v>196</v>
      </c>
      <c r="K39" s="41" t="s">
        <v>261</v>
      </c>
      <c r="L39" s="41" t="s">
        <v>569</v>
      </c>
      <c r="M39" s="41" t="s">
        <v>292</v>
      </c>
      <c r="N39" s="54">
        <f t="shared" si="3"/>
        <v>3.1886574074074074E-2</v>
      </c>
      <c r="O39" s="41" t="s">
        <v>451</v>
      </c>
      <c r="P39" s="43">
        <v>153</v>
      </c>
      <c r="Q39" s="44">
        <v>5</v>
      </c>
      <c r="R39" s="44">
        <v>451.59</v>
      </c>
      <c r="S39" s="45" t="s">
        <v>565</v>
      </c>
      <c r="T39" s="46" t="s">
        <v>540</v>
      </c>
      <c r="U39" s="46" t="s">
        <v>540</v>
      </c>
      <c r="V39" s="43" t="s">
        <v>540</v>
      </c>
      <c r="W39" s="41" t="s">
        <v>227</v>
      </c>
      <c r="X39" s="43">
        <v>30</v>
      </c>
      <c r="Y39" s="43">
        <f>IF(ISNUMBER(X39),ROUND(X39*0.85,0),"—")</f>
        <v>26</v>
      </c>
      <c r="Z39" s="43">
        <f>IF(ISNUMBER(X39),ROUND(X39*0.7,0),"—")</f>
        <v>21</v>
      </c>
      <c r="AA39" s="43">
        <f>IF(ISNUMBER(X39),ROUND(X39*0.55,0),"—")</f>
        <v>17</v>
      </c>
      <c r="AB39" s="56">
        <v>1.8518518518518519E-3</v>
      </c>
      <c r="AC39" s="56">
        <v>2.0370370370370373E-3</v>
      </c>
      <c r="AD39" s="56">
        <v>1.8518518518518519E-3</v>
      </c>
      <c r="AE39" s="56">
        <v>1.7592592592592592E-3</v>
      </c>
      <c r="AF39" s="41"/>
      <c r="AG39" s="41"/>
      <c r="AH39" s="41"/>
      <c r="AI39" s="41"/>
      <c r="AJ39" s="41"/>
    </row>
    <row r="40" spans="1:36" ht="39.6" customHeight="1">
      <c r="A40" s="41" t="s">
        <v>928</v>
      </c>
      <c r="B40" s="43">
        <v>36</v>
      </c>
      <c r="C40" s="43">
        <v>3</v>
      </c>
      <c r="D40" s="43">
        <v>6</v>
      </c>
      <c r="E40" s="41" t="s">
        <v>442</v>
      </c>
      <c r="F40" s="41" t="s">
        <v>765</v>
      </c>
      <c r="G40" s="41" t="s">
        <v>111</v>
      </c>
      <c r="H40" s="41" t="s">
        <v>17</v>
      </c>
      <c r="I40" s="43">
        <v>6</v>
      </c>
      <c r="J40" s="41" t="s">
        <v>667</v>
      </c>
      <c r="K40" s="41" t="s">
        <v>261</v>
      </c>
      <c r="L40" s="41" t="s">
        <v>570</v>
      </c>
      <c r="M40" s="41" t="s">
        <v>292</v>
      </c>
      <c r="N40" s="54">
        <f t="shared" si="3"/>
        <v>3.3622685185185186E-2</v>
      </c>
      <c r="O40" s="41" t="s">
        <v>451</v>
      </c>
      <c r="P40" s="43">
        <v>159</v>
      </c>
      <c r="Q40" s="44">
        <v>6</v>
      </c>
      <c r="R40" s="44">
        <v>481.18</v>
      </c>
      <c r="S40" s="45" t="s">
        <v>565</v>
      </c>
      <c r="T40" s="46" t="s">
        <v>540</v>
      </c>
      <c r="U40" s="46" t="s">
        <v>540</v>
      </c>
      <c r="V40" s="43" t="s">
        <v>540</v>
      </c>
      <c r="W40" s="41" t="s">
        <v>227</v>
      </c>
      <c r="X40" s="43">
        <v>30</v>
      </c>
      <c r="Y40" s="43">
        <f>IF(ISNUMBER(X40),ROUND(X40*0.85,0),"—")</f>
        <v>26</v>
      </c>
      <c r="Z40" s="43">
        <f>IF(ISNUMBER(X40),ROUND(X40*0.7,0),"—")</f>
        <v>21</v>
      </c>
      <c r="AA40" s="43">
        <f>IF(ISNUMBER(X40),ROUND(X40*0.55,0),"—")</f>
        <v>17</v>
      </c>
      <c r="AB40" s="56">
        <v>1.736111111111111E-3</v>
      </c>
      <c r="AC40" s="56">
        <v>1.987847222222222E-3</v>
      </c>
      <c r="AD40" s="56">
        <v>1.736111111111111E-3</v>
      </c>
      <c r="AE40" s="56">
        <v>1.6059027777777775E-3</v>
      </c>
      <c r="AF40" s="41"/>
      <c r="AG40" s="41"/>
      <c r="AH40" s="41"/>
      <c r="AI40" s="41"/>
      <c r="AJ40" s="41"/>
    </row>
    <row r="41" spans="1:36" ht="26.45" customHeight="1">
      <c r="A41" s="41" t="s">
        <v>928</v>
      </c>
      <c r="B41" s="43">
        <v>37</v>
      </c>
      <c r="C41" s="43">
        <v>1</v>
      </c>
      <c r="D41" s="43">
        <v>5</v>
      </c>
      <c r="E41" s="41" t="s">
        <v>927</v>
      </c>
      <c r="F41" s="41" t="s">
        <v>1023</v>
      </c>
      <c r="G41" s="41" t="s">
        <v>466</v>
      </c>
      <c r="H41" s="41" t="s">
        <v>762</v>
      </c>
      <c r="I41" s="43">
        <v>1</v>
      </c>
      <c r="J41" s="41" t="s">
        <v>469</v>
      </c>
      <c r="K41" s="41" t="s">
        <v>528</v>
      </c>
      <c r="L41" s="41" t="s">
        <v>559</v>
      </c>
      <c r="M41" s="41" t="s">
        <v>785</v>
      </c>
      <c r="N41" s="54">
        <f t="shared" si="3"/>
        <v>3.4664351851851856E-2</v>
      </c>
      <c r="O41" s="41" t="s">
        <v>451</v>
      </c>
      <c r="P41" s="43">
        <v>162</v>
      </c>
      <c r="Q41" s="44">
        <v>3</v>
      </c>
      <c r="R41" s="44">
        <v>496.25</v>
      </c>
      <c r="S41" s="45" t="s">
        <v>565</v>
      </c>
      <c r="T41" s="46" t="s">
        <v>540</v>
      </c>
      <c r="U41" s="46" t="s">
        <v>540</v>
      </c>
      <c r="V41" s="43" t="s">
        <v>540</v>
      </c>
      <c r="W41" s="41" t="s">
        <v>1038</v>
      </c>
      <c r="X41" s="43" t="s">
        <v>540</v>
      </c>
      <c r="Y41" s="43" t="s">
        <v>540</v>
      </c>
      <c r="Z41" s="43" t="s">
        <v>540</v>
      </c>
      <c r="AA41" s="43" t="s">
        <v>540</v>
      </c>
      <c r="AB41" s="56">
        <v>1.0416666666666667E-3</v>
      </c>
      <c r="AC41" s="56">
        <v>1.1458333333333333E-3</v>
      </c>
      <c r="AD41" s="56">
        <v>1.0416666666666667E-3</v>
      </c>
      <c r="AE41" s="56">
        <v>9.895833333333332E-4</v>
      </c>
      <c r="AF41" s="41"/>
      <c r="AG41" s="41"/>
      <c r="AH41" s="41"/>
      <c r="AI41" s="41"/>
      <c r="AJ41" s="41"/>
    </row>
    <row r="42" spans="1:36" ht="26.45" customHeight="1">
      <c r="A42" s="41" t="s">
        <v>928</v>
      </c>
      <c r="B42" s="43">
        <v>38</v>
      </c>
      <c r="C42" s="43">
        <v>2</v>
      </c>
      <c r="D42" s="43">
        <v>5</v>
      </c>
      <c r="E42" s="41" t="s">
        <v>450</v>
      </c>
      <c r="F42" s="41" t="s">
        <v>776</v>
      </c>
      <c r="G42" s="41" t="s">
        <v>812</v>
      </c>
      <c r="H42" s="41" t="s">
        <v>824</v>
      </c>
      <c r="I42" s="43">
        <v>4</v>
      </c>
      <c r="J42" s="41" t="s">
        <v>714</v>
      </c>
      <c r="K42" s="41" t="s">
        <v>528</v>
      </c>
      <c r="L42" s="41" t="s">
        <v>573</v>
      </c>
      <c r="M42" s="41" t="s">
        <v>259</v>
      </c>
      <c r="N42" s="54">
        <f t="shared" si="3"/>
        <v>3.6284722222222225E-2</v>
      </c>
      <c r="O42" s="41" t="s">
        <v>451</v>
      </c>
      <c r="P42" s="43">
        <v>166</v>
      </c>
      <c r="Q42" s="44">
        <v>4</v>
      </c>
      <c r="R42" s="44">
        <v>516.63</v>
      </c>
      <c r="S42" s="45" t="s">
        <v>565</v>
      </c>
      <c r="T42" s="46" t="s">
        <v>540</v>
      </c>
      <c r="U42" s="46" t="s">
        <v>540</v>
      </c>
      <c r="V42" s="43" t="s">
        <v>540</v>
      </c>
      <c r="W42" s="41" t="s">
        <v>1038</v>
      </c>
      <c r="X42" s="43" t="s">
        <v>540</v>
      </c>
      <c r="Y42" s="43" t="s">
        <v>540</v>
      </c>
      <c r="Z42" s="43" t="s">
        <v>540</v>
      </c>
      <c r="AA42" s="43" t="s">
        <v>540</v>
      </c>
      <c r="AB42" s="56">
        <v>1.6203703703703703E-3</v>
      </c>
      <c r="AC42" s="56">
        <v>1.7824074074074075E-3</v>
      </c>
      <c r="AD42" s="56">
        <v>1.6203703703703703E-3</v>
      </c>
      <c r="AE42" s="56">
        <v>1.5393518518518516E-3</v>
      </c>
      <c r="AF42" s="41"/>
      <c r="AG42" s="41"/>
      <c r="AH42" s="41"/>
      <c r="AI42" s="41"/>
      <c r="AJ42" s="41"/>
    </row>
    <row r="43" spans="1:36" ht="39.6" customHeight="1">
      <c r="A43" s="41" t="s">
        <v>928</v>
      </c>
      <c r="B43" s="43">
        <v>39</v>
      </c>
      <c r="C43" s="43">
        <v>4</v>
      </c>
      <c r="D43" s="43">
        <v>8</v>
      </c>
      <c r="E43" s="41" t="s">
        <v>877</v>
      </c>
      <c r="F43" s="41" t="s">
        <v>48</v>
      </c>
      <c r="G43" s="41" t="s">
        <v>50</v>
      </c>
      <c r="H43" s="41" t="s">
        <v>870</v>
      </c>
      <c r="I43" s="43">
        <v>12</v>
      </c>
      <c r="J43" s="41" t="s">
        <v>417</v>
      </c>
      <c r="K43" s="41" t="s">
        <v>133</v>
      </c>
      <c r="L43" s="41" t="s">
        <v>527</v>
      </c>
      <c r="M43" s="41" t="s">
        <v>89</v>
      </c>
      <c r="N43" s="54">
        <f t="shared" si="3"/>
        <v>3.7673611111111116E-2</v>
      </c>
      <c r="O43" s="41" t="s">
        <v>451</v>
      </c>
      <c r="P43" s="43">
        <v>174</v>
      </c>
      <c r="Q43" s="44">
        <v>8</v>
      </c>
      <c r="R43" s="44">
        <v>558.35</v>
      </c>
      <c r="S43" s="45" t="s">
        <v>565</v>
      </c>
      <c r="T43" s="46" t="s">
        <v>540</v>
      </c>
      <c r="U43" s="46" t="s">
        <v>540</v>
      </c>
      <c r="V43" s="43" t="s">
        <v>540</v>
      </c>
      <c r="W43" s="41" t="s">
        <v>227</v>
      </c>
      <c r="X43" s="43">
        <v>30</v>
      </c>
      <c r="Y43" s="43">
        <f>IF(ISNUMBER(X43),ROUND(X43*0.85,0),"—")</f>
        <v>26</v>
      </c>
      <c r="Z43" s="43">
        <f>IF(ISNUMBER(X43),ROUND(X43*0.7,0),"—")</f>
        <v>21</v>
      </c>
      <c r="AA43" s="43">
        <f>IF(ISNUMBER(X43),ROUND(X43*0.55,0),"—")</f>
        <v>17</v>
      </c>
      <c r="AB43" s="56">
        <v>1.3888888888888889E-3</v>
      </c>
      <c r="AC43" s="56">
        <v>1.652777777777778E-3</v>
      </c>
      <c r="AD43" s="56">
        <v>1.3888888888888889E-3</v>
      </c>
      <c r="AE43" s="56">
        <v>1.25E-3</v>
      </c>
      <c r="AF43" s="41"/>
      <c r="AG43" s="41"/>
      <c r="AH43" s="41"/>
      <c r="AI43" s="41"/>
      <c r="AJ43" s="41"/>
    </row>
    <row r="44" spans="1:36" ht="26.45" customHeight="1">
      <c r="A44" s="41" t="s">
        <v>928</v>
      </c>
      <c r="B44" s="43">
        <v>40</v>
      </c>
      <c r="C44" s="43">
        <v>2</v>
      </c>
      <c r="D44" s="43">
        <v>6</v>
      </c>
      <c r="E44" s="41" t="s">
        <v>444</v>
      </c>
      <c r="F44" s="41" t="s">
        <v>753</v>
      </c>
      <c r="G44" s="41" t="s">
        <v>817</v>
      </c>
      <c r="H44" s="41" t="s">
        <v>96</v>
      </c>
      <c r="I44" s="43">
        <v>3</v>
      </c>
      <c r="J44" s="41" t="s">
        <v>932</v>
      </c>
      <c r="K44" s="41" t="s">
        <v>719</v>
      </c>
      <c r="L44" s="41" t="s">
        <v>552</v>
      </c>
      <c r="M44" s="41" t="s">
        <v>805</v>
      </c>
      <c r="N44" s="54">
        <f t="shared" si="3"/>
        <v>3.8541666666666669E-2</v>
      </c>
      <c r="O44" s="41" t="s">
        <v>451</v>
      </c>
      <c r="P44" s="43">
        <v>179</v>
      </c>
      <c r="Q44" s="44">
        <v>5</v>
      </c>
      <c r="R44" s="44">
        <v>585.07000000000005</v>
      </c>
      <c r="S44" s="45" t="s">
        <v>565</v>
      </c>
      <c r="T44" s="46" t="s">
        <v>540</v>
      </c>
      <c r="U44" s="46" t="s">
        <v>540</v>
      </c>
      <c r="V44" s="43" t="s">
        <v>540</v>
      </c>
      <c r="W44" s="41" t="s">
        <v>58</v>
      </c>
      <c r="X44" s="43">
        <v>30</v>
      </c>
      <c r="Y44" s="43">
        <f>IF(ISNUMBER(X44),ROUND(X44*0.85,0),"—")</f>
        <v>26</v>
      </c>
      <c r="Z44" s="43">
        <f>IF(ISNUMBER(X44),ROUND(X44*0.7,0),"—")</f>
        <v>21</v>
      </c>
      <c r="AA44" s="43">
        <f>IF(ISNUMBER(X44),ROUND(X44*0.55,0),"—")</f>
        <v>17</v>
      </c>
      <c r="AB44" s="56">
        <v>8.6805555555555551E-4</v>
      </c>
      <c r="AC44" s="56">
        <v>9.5486111111111119E-4</v>
      </c>
      <c r="AD44" s="56">
        <v>8.6805555555555551E-4</v>
      </c>
      <c r="AE44" s="56">
        <v>8.2465277777777767E-4</v>
      </c>
      <c r="AF44" s="41"/>
      <c r="AG44" s="41"/>
      <c r="AH44" s="41"/>
      <c r="AI44" s="41"/>
      <c r="AJ44" s="41"/>
    </row>
    <row r="45" spans="1:36" ht="26.45" customHeight="1">
      <c r="A45" s="41" t="s">
        <v>928</v>
      </c>
      <c r="B45" s="43">
        <v>41</v>
      </c>
      <c r="C45" s="43">
        <v>4</v>
      </c>
      <c r="D45" s="43">
        <v>8</v>
      </c>
      <c r="E45" s="41" t="s">
        <v>167</v>
      </c>
      <c r="F45" s="41" t="s">
        <v>222</v>
      </c>
      <c r="G45" s="41" t="s">
        <v>827</v>
      </c>
      <c r="H45" s="41" t="s">
        <v>363</v>
      </c>
      <c r="I45" s="43">
        <v>4</v>
      </c>
      <c r="J45" s="41" t="s">
        <v>695</v>
      </c>
      <c r="K45" s="41" t="s">
        <v>131</v>
      </c>
      <c r="L45" s="41" t="s">
        <v>527</v>
      </c>
      <c r="M45" s="41" t="s">
        <v>134</v>
      </c>
      <c r="N45" s="54">
        <f t="shared" si="3"/>
        <v>3.9930555555555559E-2</v>
      </c>
      <c r="O45" s="41" t="s">
        <v>451</v>
      </c>
      <c r="P45" s="43">
        <v>187</v>
      </c>
      <c r="Q45" s="44">
        <v>8</v>
      </c>
      <c r="R45" s="44">
        <v>628.84</v>
      </c>
      <c r="S45" s="45" t="s">
        <v>565</v>
      </c>
      <c r="T45" s="46" t="s">
        <v>540</v>
      </c>
      <c r="U45" s="46" t="s">
        <v>540</v>
      </c>
      <c r="V45" s="43" t="s">
        <v>540</v>
      </c>
      <c r="W45" s="41" t="s">
        <v>206</v>
      </c>
      <c r="X45" s="43">
        <v>20</v>
      </c>
      <c r="Y45" s="43">
        <f>IF(ISNUMBER(X45),ROUND(X45*0.85,0),"—")</f>
        <v>17</v>
      </c>
      <c r="Z45" s="43">
        <f>IF(ISNUMBER(X45),ROUND(X45*0.7,0),"—")</f>
        <v>14</v>
      </c>
      <c r="AA45" s="43">
        <f>IF(ISNUMBER(X45),ROUND(X45*0.55,0),"—")</f>
        <v>11</v>
      </c>
      <c r="AB45" s="56">
        <v>1.3888888888888889E-3</v>
      </c>
      <c r="AC45" s="56">
        <v>1.652777777777778E-3</v>
      </c>
      <c r="AD45" s="56">
        <v>1.3888888888888889E-3</v>
      </c>
      <c r="AE45" s="56">
        <v>1.25E-3</v>
      </c>
      <c r="AF45" s="41"/>
      <c r="AG45" s="41"/>
      <c r="AH45" s="41"/>
      <c r="AI45" s="41"/>
      <c r="AJ45" s="41"/>
    </row>
    <row r="46" spans="1:36" ht="26.45" customHeight="1">
      <c r="A46" s="41" t="s">
        <v>928</v>
      </c>
      <c r="B46" s="43">
        <v>42</v>
      </c>
      <c r="C46" s="43">
        <v>3</v>
      </c>
      <c r="D46" s="43">
        <v>7</v>
      </c>
      <c r="E46" s="41" t="s">
        <v>929</v>
      </c>
      <c r="F46" s="41" t="s">
        <v>475</v>
      </c>
      <c r="G46" s="41" t="s">
        <v>825</v>
      </c>
      <c r="H46" s="41" t="s">
        <v>744</v>
      </c>
      <c r="I46" s="43">
        <v>5</v>
      </c>
      <c r="J46" s="41" t="s">
        <v>783</v>
      </c>
      <c r="K46" s="41" t="s">
        <v>528</v>
      </c>
      <c r="L46" s="41" t="s">
        <v>564</v>
      </c>
      <c r="M46" s="41" t="s">
        <v>1042</v>
      </c>
      <c r="N46" s="54">
        <f t="shared" si="3"/>
        <v>4.189814814814815E-2</v>
      </c>
      <c r="O46" s="41" t="s">
        <v>451</v>
      </c>
      <c r="P46" s="43">
        <v>193</v>
      </c>
      <c r="Q46" s="44">
        <v>6</v>
      </c>
      <c r="R46" s="44">
        <v>662.48</v>
      </c>
      <c r="S46" s="45" t="s">
        <v>565</v>
      </c>
      <c r="T46" s="46" t="s">
        <v>540</v>
      </c>
      <c r="U46" s="46" t="s">
        <v>540</v>
      </c>
      <c r="V46" s="43" t="s">
        <v>540</v>
      </c>
      <c r="W46" s="41" t="s">
        <v>58</v>
      </c>
      <c r="X46" s="43">
        <v>30</v>
      </c>
      <c r="Y46" s="43">
        <f>IF(ISNUMBER(X46),ROUND(X46*0.85,0),"—")</f>
        <v>26</v>
      </c>
      <c r="Z46" s="43">
        <f>IF(ISNUMBER(X46),ROUND(X46*0.7,0),"—")</f>
        <v>21</v>
      </c>
      <c r="AA46" s="43">
        <f>IF(ISNUMBER(X46),ROUND(X46*0.55,0),"—")</f>
        <v>17</v>
      </c>
      <c r="AB46" s="56">
        <v>1.9675925925925924E-3</v>
      </c>
      <c r="AC46" s="56">
        <v>2.2528935185185182E-3</v>
      </c>
      <c r="AD46" s="56">
        <v>1.9675925925925924E-3</v>
      </c>
      <c r="AE46" s="56">
        <v>1.8200231481481479E-3</v>
      </c>
      <c r="AF46" s="41"/>
      <c r="AG46" s="41"/>
      <c r="AH46" s="41"/>
      <c r="AI46" s="41"/>
      <c r="AJ46" s="41"/>
    </row>
    <row r="47" spans="1:36" ht="26.45" customHeight="1">
      <c r="A47" s="41" t="s">
        <v>928</v>
      </c>
      <c r="B47" s="43">
        <v>43</v>
      </c>
      <c r="C47" s="43">
        <v>1</v>
      </c>
      <c r="D47" s="43">
        <v>8</v>
      </c>
      <c r="E47" s="41" t="s">
        <v>620</v>
      </c>
      <c r="F47" s="41" t="s">
        <v>273</v>
      </c>
      <c r="G47" s="41" t="s">
        <v>1043</v>
      </c>
      <c r="H47" s="41" t="s">
        <v>251</v>
      </c>
      <c r="I47" s="43">
        <v>2</v>
      </c>
      <c r="J47" s="41" t="s">
        <v>584</v>
      </c>
      <c r="K47" s="41" t="s">
        <v>806</v>
      </c>
      <c r="L47" s="41" t="s">
        <v>488</v>
      </c>
      <c r="M47" s="41" t="s">
        <v>804</v>
      </c>
      <c r="N47" s="54">
        <f t="shared" si="3"/>
        <v>4.2708333333333334E-2</v>
      </c>
      <c r="O47" s="41" t="s">
        <v>451</v>
      </c>
      <c r="P47" s="43">
        <v>198</v>
      </c>
      <c r="Q47" s="44">
        <v>5</v>
      </c>
      <c r="R47" s="44">
        <v>691.03</v>
      </c>
      <c r="S47" s="45" t="s">
        <v>565</v>
      </c>
      <c r="T47" s="46" t="s">
        <v>540</v>
      </c>
      <c r="U47" s="46" t="s">
        <v>540</v>
      </c>
      <c r="V47" s="43" t="s">
        <v>540</v>
      </c>
      <c r="W47" s="41" t="s">
        <v>1038</v>
      </c>
      <c r="X47" s="43" t="s">
        <v>540</v>
      </c>
      <c r="Y47" s="43" t="s">
        <v>540</v>
      </c>
      <c r="Z47" s="43" t="s">
        <v>540</v>
      </c>
      <c r="AA47" s="43" t="s">
        <v>540</v>
      </c>
      <c r="AB47" s="56">
        <v>8.1018518518518516E-4</v>
      </c>
      <c r="AC47" s="56">
        <v>8.9120370370370373E-4</v>
      </c>
      <c r="AD47" s="56">
        <v>8.1018518518518516E-4</v>
      </c>
      <c r="AE47" s="56">
        <v>7.6967592592592582E-4</v>
      </c>
      <c r="AF47" s="41"/>
      <c r="AG47" s="41"/>
      <c r="AH47" s="41"/>
      <c r="AI47" s="41"/>
      <c r="AJ47" s="41"/>
    </row>
    <row r="48" spans="1:36" ht="26.45" customHeight="1">
      <c r="A48" s="41" t="s">
        <v>928</v>
      </c>
      <c r="B48" s="43">
        <v>44</v>
      </c>
      <c r="C48" s="43">
        <v>1</v>
      </c>
      <c r="D48" s="43">
        <v>5</v>
      </c>
      <c r="E48" s="41" t="s">
        <v>936</v>
      </c>
      <c r="F48" s="41" t="s">
        <v>772</v>
      </c>
      <c r="G48" s="41" t="s">
        <v>68</v>
      </c>
      <c r="H48" s="41" t="s">
        <v>761</v>
      </c>
      <c r="I48" s="43">
        <v>4</v>
      </c>
      <c r="J48" s="41" t="s">
        <v>194</v>
      </c>
      <c r="K48" s="41" t="s">
        <v>723</v>
      </c>
      <c r="L48" s="41" t="s">
        <v>559</v>
      </c>
      <c r="M48" s="41" t="s">
        <v>803</v>
      </c>
      <c r="N48" s="54">
        <f t="shared" si="3"/>
        <v>4.3750000000000004E-2</v>
      </c>
      <c r="O48" s="41" t="s">
        <v>451</v>
      </c>
      <c r="P48" s="43">
        <v>201</v>
      </c>
      <c r="Q48" s="44">
        <v>3</v>
      </c>
      <c r="R48" s="44">
        <v>708.39</v>
      </c>
      <c r="S48" s="45" t="s">
        <v>565</v>
      </c>
      <c r="T48" s="46" t="s">
        <v>540</v>
      </c>
      <c r="U48" s="46" t="s">
        <v>540</v>
      </c>
      <c r="V48" s="43" t="s">
        <v>540</v>
      </c>
      <c r="W48" s="41" t="s">
        <v>1038</v>
      </c>
      <c r="X48" s="43" t="s">
        <v>540</v>
      </c>
      <c r="Y48" s="43" t="s">
        <v>540</v>
      </c>
      <c r="Z48" s="43" t="s">
        <v>540</v>
      </c>
      <c r="AA48" s="43" t="s">
        <v>540</v>
      </c>
      <c r="AB48" s="56">
        <v>1.0416666666666667E-3</v>
      </c>
      <c r="AC48" s="56">
        <v>1.1458333333333333E-3</v>
      </c>
      <c r="AD48" s="56">
        <v>1.0416666666666667E-3</v>
      </c>
      <c r="AE48" s="56">
        <v>9.895833333333332E-4</v>
      </c>
      <c r="AF48" s="41"/>
      <c r="AG48" s="41"/>
      <c r="AH48" s="41"/>
      <c r="AI48" s="41"/>
      <c r="AJ48" s="41"/>
    </row>
    <row r="49" spans="1:36" ht="26.45" customHeight="1">
      <c r="A49" s="41" t="s">
        <v>928</v>
      </c>
      <c r="B49" s="43">
        <v>45</v>
      </c>
      <c r="C49" s="43">
        <v>2</v>
      </c>
      <c r="D49" s="43">
        <v>6</v>
      </c>
      <c r="E49" s="41" t="s">
        <v>581</v>
      </c>
      <c r="F49" s="41" t="s">
        <v>463</v>
      </c>
      <c r="G49" s="41" t="s">
        <v>821</v>
      </c>
      <c r="H49" s="41" t="s">
        <v>738</v>
      </c>
      <c r="I49" s="43">
        <v>1</v>
      </c>
      <c r="J49" s="41" t="s">
        <v>718</v>
      </c>
      <c r="K49" s="41" t="s">
        <v>528</v>
      </c>
      <c r="L49" s="41" t="s">
        <v>552</v>
      </c>
      <c r="M49" s="41" t="s">
        <v>787</v>
      </c>
      <c r="N49" s="54">
        <f t="shared" si="3"/>
        <v>4.4618055555555557E-2</v>
      </c>
      <c r="O49" s="41" t="s">
        <v>939</v>
      </c>
      <c r="P49" s="43">
        <v>206</v>
      </c>
      <c r="Q49" s="44">
        <v>5</v>
      </c>
      <c r="R49" s="44">
        <v>737.7</v>
      </c>
      <c r="S49" s="45" t="s">
        <v>565</v>
      </c>
      <c r="T49" s="46" t="s">
        <v>540</v>
      </c>
      <c r="U49" s="46" t="s">
        <v>540</v>
      </c>
      <c r="V49" s="43" t="s">
        <v>540</v>
      </c>
      <c r="W49" s="41" t="s">
        <v>1038</v>
      </c>
      <c r="X49" s="43" t="s">
        <v>540</v>
      </c>
      <c r="Y49" s="43" t="s">
        <v>540</v>
      </c>
      <c r="Z49" s="43" t="s">
        <v>540</v>
      </c>
      <c r="AA49" s="43" t="s">
        <v>540</v>
      </c>
      <c r="AB49" s="56">
        <v>8.6805555555555551E-4</v>
      </c>
      <c r="AC49" s="56">
        <v>9.5486111111111119E-4</v>
      </c>
      <c r="AD49" s="56">
        <v>8.6805555555555551E-4</v>
      </c>
      <c r="AE49" s="56">
        <v>8.2465277777777767E-4</v>
      </c>
      <c r="AF49" s="41"/>
      <c r="AG49" s="41"/>
      <c r="AH49" s="41"/>
      <c r="AI49" s="41"/>
      <c r="AJ49" s="41"/>
    </row>
    <row r="50" spans="1:36" ht="26.45" customHeight="1">
      <c r="A50" s="41" t="s">
        <v>928</v>
      </c>
      <c r="B50" s="43">
        <v>46</v>
      </c>
      <c r="C50" s="43">
        <v>2</v>
      </c>
      <c r="D50" s="43">
        <v>6</v>
      </c>
      <c r="E50" s="41" t="s">
        <v>933</v>
      </c>
      <c r="F50" s="41" t="s">
        <v>467</v>
      </c>
      <c r="G50" s="41" t="s">
        <v>829</v>
      </c>
      <c r="H50" s="41" t="s">
        <v>2</v>
      </c>
      <c r="I50" s="43">
        <v>8</v>
      </c>
      <c r="J50" s="41" t="s">
        <v>427</v>
      </c>
      <c r="K50" s="41" t="s">
        <v>786</v>
      </c>
      <c r="L50" s="41" t="s">
        <v>573</v>
      </c>
      <c r="M50" s="41" t="s">
        <v>429</v>
      </c>
      <c r="N50" s="54">
        <f t="shared" si="3"/>
        <v>4.6238425925925926E-2</v>
      </c>
      <c r="O50" s="41" t="s">
        <v>939</v>
      </c>
      <c r="P50" s="43">
        <v>211</v>
      </c>
      <c r="Q50" s="44">
        <v>5</v>
      </c>
      <c r="R50" s="44">
        <v>767.48</v>
      </c>
      <c r="S50" s="45" t="s">
        <v>565</v>
      </c>
      <c r="T50" s="46" t="s">
        <v>540</v>
      </c>
      <c r="U50" s="46" t="s">
        <v>540</v>
      </c>
      <c r="V50" s="43" t="s">
        <v>540</v>
      </c>
      <c r="W50" s="41" t="s">
        <v>220</v>
      </c>
      <c r="X50" s="43">
        <v>60</v>
      </c>
      <c r="Y50" s="43">
        <f>IF(ISNUMBER(X50),ROUND(X50*0.85,0),"—")</f>
        <v>51</v>
      </c>
      <c r="Z50" s="43">
        <f>IF(ISNUMBER(X50),ROUND(X50*0.7,0),"—")</f>
        <v>42</v>
      </c>
      <c r="AA50" s="43">
        <f>IF(ISNUMBER(X50),ROUND(X50*0.55,0),"—")</f>
        <v>33</v>
      </c>
      <c r="AB50" s="56">
        <v>1.6203703703703703E-3</v>
      </c>
      <c r="AC50" s="56">
        <v>1.7824074074074075E-3</v>
      </c>
      <c r="AD50" s="56">
        <v>1.6203703703703703E-3</v>
      </c>
      <c r="AE50" s="56">
        <v>1.5393518518518516E-3</v>
      </c>
      <c r="AF50" s="41"/>
      <c r="AG50" s="41"/>
      <c r="AH50" s="41"/>
      <c r="AI50" s="41"/>
      <c r="AJ50" s="41"/>
    </row>
    <row r="51" spans="1:36" ht="26.45" customHeight="1">
      <c r="A51" s="41" t="s">
        <v>928</v>
      </c>
      <c r="B51" s="43">
        <v>47</v>
      </c>
      <c r="C51" s="43">
        <v>3</v>
      </c>
      <c r="D51" s="43">
        <v>7</v>
      </c>
      <c r="E51" s="41" t="s">
        <v>931</v>
      </c>
      <c r="F51" s="41" t="s">
        <v>467</v>
      </c>
      <c r="G51" s="41" t="s">
        <v>57</v>
      </c>
      <c r="H51" s="41" t="s">
        <v>22</v>
      </c>
      <c r="I51" s="43">
        <v>10</v>
      </c>
      <c r="J51" s="41" t="s">
        <v>794</v>
      </c>
      <c r="K51" s="41" t="s">
        <v>786</v>
      </c>
      <c r="L51" s="41" t="s">
        <v>523</v>
      </c>
      <c r="M51" s="41" t="s">
        <v>429</v>
      </c>
      <c r="N51" s="54">
        <f t="shared" si="3"/>
        <v>4.8321759259259259E-2</v>
      </c>
      <c r="O51" s="41" t="s">
        <v>939</v>
      </c>
      <c r="P51" s="43">
        <v>217</v>
      </c>
      <c r="Q51" s="44">
        <v>6</v>
      </c>
      <c r="R51" s="44">
        <v>803.82</v>
      </c>
      <c r="S51" s="45" t="s">
        <v>565</v>
      </c>
      <c r="T51" s="46" t="s">
        <v>540</v>
      </c>
      <c r="U51" s="46" t="s">
        <v>540</v>
      </c>
      <c r="V51" s="43" t="s">
        <v>540</v>
      </c>
      <c r="W51" s="41" t="s">
        <v>220</v>
      </c>
      <c r="X51" s="43">
        <v>60</v>
      </c>
      <c r="Y51" s="43">
        <f>IF(ISNUMBER(X51),ROUND(X51*0.85,0),"—")</f>
        <v>51</v>
      </c>
      <c r="Z51" s="43">
        <f>IF(ISNUMBER(X51),ROUND(X51*0.7,0),"—")</f>
        <v>42</v>
      </c>
      <c r="AA51" s="43">
        <f>IF(ISNUMBER(X51),ROUND(X51*0.55,0),"—")</f>
        <v>33</v>
      </c>
      <c r="AB51" s="56">
        <v>2.0833333333333333E-3</v>
      </c>
      <c r="AC51" s="56">
        <v>2.3854166666666668E-3</v>
      </c>
      <c r="AD51" s="56">
        <v>2.0833333333333333E-3</v>
      </c>
      <c r="AE51" s="56">
        <v>1.9270833333333332E-3</v>
      </c>
      <c r="AF51" s="41"/>
      <c r="AG51" s="41"/>
      <c r="AH51" s="41"/>
      <c r="AI51" s="41"/>
      <c r="AJ51" s="41"/>
    </row>
    <row r="52" spans="1:36" ht="39.6" customHeight="1">
      <c r="A52" s="41" t="s">
        <v>928</v>
      </c>
      <c r="B52" s="43">
        <v>48</v>
      </c>
      <c r="C52" s="43">
        <v>3</v>
      </c>
      <c r="D52" s="43">
        <v>7</v>
      </c>
      <c r="E52" s="41" t="s">
        <v>651</v>
      </c>
      <c r="F52" s="41" t="s">
        <v>467</v>
      </c>
      <c r="G52" s="41" t="s">
        <v>141</v>
      </c>
      <c r="H52" s="41" t="s">
        <v>20</v>
      </c>
      <c r="I52" s="43">
        <v>6</v>
      </c>
      <c r="J52" s="41" t="s">
        <v>1049</v>
      </c>
      <c r="K52" s="41" t="s">
        <v>786</v>
      </c>
      <c r="L52" s="41" t="s">
        <v>569</v>
      </c>
      <c r="M52" s="41" t="s">
        <v>429</v>
      </c>
      <c r="N52" s="54">
        <f t="shared" si="3"/>
        <v>5.0173611111111113E-2</v>
      </c>
      <c r="O52" s="41" t="s">
        <v>939</v>
      </c>
      <c r="P52" s="43">
        <v>223</v>
      </c>
      <c r="Q52" s="44">
        <v>6</v>
      </c>
      <c r="R52" s="44">
        <v>840.82</v>
      </c>
      <c r="S52" s="45" t="s">
        <v>565</v>
      </c>
      <c r="T52" s="46" t="s">
        <v>540</v>
      </c>
      <c r="U52" s="46" t="s">
        <v>540</v>
      </c>
      <c r="V52" s="43" t="s">
        <v>540</v>
      </c>
      <c r="W52" s="41" t="s">
        <v>220</v>
      </c>
      <c r="X52" s="43">
        <v>60</v>
      </c>
      <c r="Y52" s="43">
        <f>IF(ISNUMBER(X52),ROUND(X52*0.85,0),"—")</f>
        <v>51</v>
      </c>
      <c r="Z52" s="43">
        <f>IF(ISNUMBER(X52),ROUND(X52*0.7,0),"—")</f>
        <v>42</v>
      </c>
      <c r="AA52" s="43">
        <f>IF(ISNUMBER(X52),ROUND(X52*0.55,0),"—")</f>
        <v>33</v>
      </c>
      <c r="AB52" s="56">
        <v>1.8518518518518519E-3</v>
      </c>
      <c r="AC52" s="56">
        <v>2.1203703703703706E-3</v>
      </c>
      <c r="AD52" s="56">
        <v>1.8518518518518519E-3</v>
      </c>
      <c r="AE52" s="56">
        <v>1.712962962962963E-3</v>
      </c>
      <c r="AF52" s="41"/>
      <c r="AG52" s="41"/>
      <c r="AH52" s="41"/>
      <c r="AI52" s="41"/>
      <c r="AJ52" s="41"/>
    </row>
    <row r="53" spans="1:36" ht="39.6" customHeight="1">
      <c r="A53" s="41" t="s">
        <v>928</v>
      </c>
      <c r="B53" s="43">
        <v>49</v>
      </c>
      <c r="C53" s="43">
        <v>5</v>
      </c>
      <c r="D53" s="43">
        <v>8</v>
      </c>
      <c r="E53" s="41" t="s">
        <v>628</v>
      </c>
      <c r="F53" s="41" t="s">
        <v>861</v>
      </c>
      <c r="G53" s="41" t="s">
        <v>43</v>
      </c>
      <c r="H53" s="41" t="s">
        <v>871</v>
      </c>
      <c r="I53" s="43">
        <v>10</v>
      </c>
      <c r="J53" s="41" t="s">
        <v>122</v>
      </c>
      <c r="K53" s="41" t="s">
        <v>321</v>
      </c>
      <c r="L53" s="41" t="s">
        <v>563</v>
      </c>
      <c r="M53" s="41" t="s">
        <v>481</v>
      </c>
      <c r="N53" s="54">
        <f t="shared" si="3"/>
        <v>5.1331018518518519E-2</v>
      </c>
      <c r="O53" s="41" t="s">
        <v>939</v>
      </c>
      <c r="P53" s="43">
        <v>232</v>
      </c>
      <c r="Q53" s="44">
        <v>9</v>
      </c>
      <c r="R53" s="44">
        <v>897.54</v>
      </c>
      <c r="S53" s="45" t="s">
        <v>565</v>
      </c>
      <c r="T53" s="46" t="s">
        <v>540</v>
      </c>
      <c r="U53" s="46" t="s">
        <v>540</v>
      </c>
      <c r="V53" s="43" t="s">
        <v>540</v>
      </c>
      <c r="W53" s="41" t="s">
        <v>227</v>
      </c>
      <c r="X53" s="43">
        <v>30</v>
      </c>
      <c r="Y53" s="43">
        <f>IF(ISNUMBER(X53),ROUND(X53*0.85,0),"—")</f>
        <v>26</v>
      </c>
      <c r="Z53" s="43">
        <f>IF(ISNUMBER(X53),ROUND(X53*0.7,0),"—")</f>
        <v>21</v>
      </c>
      <c r="AA53" s="43">
        <f>IF(ISNUMBER(X53),ROUND(X53*0.55,0),"—")</f>
        <v>17</v>
      </c>
      <c r="AB53" s="56">
        <v>1.1574074074074073E-3</v>
      </c>
      <c r="AC53" s="56">
        <v>1.4293981481481482E-3</v>
      </c>
      <c r="AD53" s="56">
        <v>1.1574074074074073E-3</v>
      </c>
      <c r="AE53" s="56">
        <v>1.0127314814814814E-3</v>
      </c>
      <c r="AF53" s="41"/>
      <c r="AG53" s="41"/>
      <c r="AH53" s="41"/>
      <c r="AI53" s="41"/>
      <c r="AJ53" s="41"/>
    </row>
    <row r="54" spans="1:36" ht="26.45" customHeight="1">
      <c r="A54" s="41" t="s">
        <v>928</v>
      </c>
      <c r="B54" s="43">
        <v>50</v>
      </c>
      <c r="C54" s="43">
        <v>2</v>
      </c>
      <c r="D54" s="43">
        <v>7</v>
      </c>
      <c r="E54" s="41" t="s">
        <v>921</v>
      </c>
      <c r="F54" s="41" t="s">
        <v>772</v>
      </c>
      <c r="G54" s="41" t="s">
        <v>232</v>
      </c>
      <c r="H54" s="41" t="s">
        <v>761</v>
      </c>
      <c r="I54" s="43">
        <v>3</v>
      </c>
      <c r="J54" s="41" t="s">
        <v>194</v>
      </c>
      <c r="K54" s="41" t="s">
        <v>723</v>
      </c>
      <c r="L54" s="41" t="s">
        <v>488</v>
      </c>
      <c r="M54" s="41" t="s">
        <v>803</v>
      </c>
      <c r="N54" s="54">
        <f t="shared" si="3"/>
        <v>5.2141203703703703E-2</v>
      </c>
      <c r="O54" s="41" t="s">
        <v>939</v>
      </c>
      <c r="P54" s="43">
        <v>237</v>
      </c>
      <c r="Q54" s="44">
        <v>5</v>
      </c>
      <c r="R54" s="44">
        <v>929.68</v>
      </c>
      <c r="S54" s="45" t="s">
        <v>565</v>
      </c>
      <c r="T54" s="46" t="s">
        <v>540</v>
      </c>
      <c r="U54" s="46" t="s">
        <v>540</v>
      </c>
      <c r="V54" s="43" t="s">
        <v>540</v>
      </c>
      <c r="W54" s="41" t="s">
        <v>1038</v>
      </c>
      <c r="X54" s="43" t="s">
        <v>540</v>
      </c>
      <c r="Y54" s="43" t="s">
        <v>540</v>
      </c>
      <c r="Z54" s="43" t="s">
        <v>540</v>
      </c>
      <c r="AA54" s="43" t="s">
        <v>540</v>
      </c>
      <c r="AB54" s="56">
        <v>8.1018518518518516E-4</v>
      </c>
      <c r="AC54" s="56">
        <v>8.9120370370370373E-4</v>
      </c>
      <c r="AD54" s="56">
        <v>8.1018518518518516E-4</v>
      </c>
      <c r="AE54" s="56">
        <v>7.6967592592592582E-4</v>
      </c>
      <c r="AF54" s="41"/>
      <c r="AG54" s="41"/>
      <c r="AH54" s="41"/>
      <c r="AI54" s="41"/>
      <c r="AJ54" s="41"/>
    </row>
    <row r="55" spans="1:36" ht="26.45" customHeight="1">
      <c r="A55" s="41" t="s">
        <v>928</v>
      </c>
      <c r="B55" s="43">
        <v>51</v>
      </c>
      <c r="C55" s="43">
        <v>1</v>
      </c>
      <c r="D55" s="43">
        <v>9</v>
      </c>
      <c r="E55" s="41" t="s">
        <v>957</v>
      </c>
      <c r="F55" s="41" t="s">
        <v>174</v>
      </c>
      <c r="G55" s="41" t="s">
        <v>71</v>
      </c>
      <c r="H55" s="41" t="s">
        <v>285</v>
      </c>
      <c r="I55" s="43">
        <v>1</v>
      </c>
      <c r="J55" s="41" t="s">
        <v>926</v>
      </c>
      <c r="K55" s="41" t="s">
        <v>528</v>
      </c>
      <c r="L55" s="41" t="s">
        <v>534</v>
      </c>
      <c r="M55" s="41" t="s">
        <v>732</v>
      </c>
      <c r="N55" s="54">
        <f t="shared" si="3"/>
        <v>5.271990740740741E-2</v>
      </c>
      <c r="O55" s="41" t="s">
        <v>952</v>
      </c>
      <c r="P55" s="43">
        <v>242</v>
      </c>
      <c r="Q55" s="44">
        <v>5</v>
      </c>
      <c r="R55" s="44">
        <v>962.27</v>
      </c>
      <c r="S55" s="45" t="s">
        <v>565</v>
      </c>
      <c r="T55" s="46" t="s">
        <v>540</v>
      </c>
      <c r="U55" s="46" t="s">
        <v>540</v>
      </c>
      <c r="V55" s="43" t="s">
        <v>540</v>
      </c>
      <c r="W55" s="41" t="s">
        <v>1038</v>
      </c>
      <c r="X55" s="43" t="s">
        <v>540</v>
      </c>
      <c r="Y55" s="43" t="s">
        <v>540</v>
      </c>
      <c r="Z55" s="43" t="s">
        <v>540</v>
      </c>
      <c r="AA55" s="43" t="s">
        <v>540</v>
      </c>
      <c r="AB55" s="56">
        <v>5.7870370370370367E-4</v>
      </c>
      <c r="AC55" s="56">
        <v>6.3657407407407413E-4</v>
      </c>
      <c r="AD55" s="56">
        <v>5.7870370370370367E-4</v>
      </c>
      <c r="AE55" s="56">
        <v>5.4976851851851844E-4</v>
      </c>
      <c r="AF55" s="41"/>
      <c r="AG55" s="41"/>
      <c r="AH55" s="41"/>
      <c r="AI55" s="41"/>
      <c r="AJ55" s="41"/>
    </row>
    <row r="56" spans="1:36" ht="26.45" customHeight="1">
      <c r="A56" s="41" t="s">
        <v>928</v>
      </c>
      <c r="B56" s="43">
        <v>52</v>
      </c>
      <c r="C56" s="43">
        <v>2</v>
      </c>
      <c r="D56" s="43">
        <v>9</v>
      </c>
      <c r="E56" s="41" t="s">
        <v>547</v>
      </c>
      <c r="F56" s="41" t="s">
        <v>288</v>
      </c>
      <c r="G56" s="41" t="s">
        <v>69</v>
      </c>
      <c r="H56" s="41" t="s">
        <v>779</v>
      </c>
      <c r="I56" s="43">
        <v>3</v>
      </c>
      <c r="J56" s="41" t="s">
        <v>380</v>
      </c>
      <c r="K56" s="41" t="s">
        <v>528</v>
      </c>
      <c r="L56" s="41" t="s">
        <v>514</v>
      </c>
      <c r="M56" s="41" t="s">
        <v>797</v>
      </c>
      <c r="N56" s="54">
        <f t="shared" si="3"/>
        <v>5.3819444444444448E-2</v>
      </c>
      <c r="O56" s="41" t="s">
        <v>952</v>
      </c>
      <c r="P56" s="43">
        <v>248</v>
      </c>
      <c r="Q56" s="44">
        <v>6</v>
      </c>
      <c r="R56" s="44">
        <v>1001.95</v>
      </c>
      <c r="S56" s="45" t="s">
        <v>565</v>
      </c>
      <c r="T56" s="46" t="s">
        <v>540</v>
      </c>
      <c r="U56" s="46" t="s">
        <v>540</v>
      </c>
      <c r="V56" s="43" t="s">
        <v>540</v>
      </c>
      <c r="W56" s="41" t="s">
        <v>1038</v>
      </c>
      <c r="X56" s="43" t="s">
        <v>540</v>
      </c>
      <c r="Y56" s="43" t="s">
        <v>540</v>
      </c>
      <c r="Z56" s="43" t="s">
        <v>540</v>
      </c>
      <c r="AA56" s="43" t="s">
        <v>540</v>
      </c>
      <c r="AB56" s="56">
        <v>1.0995370370370371E-3</v>
      </c>
      <c r="AC56" s="56">
        <v>1.209490740740741E-3</v>
      </c>
      <c r="AD56" s="56">
        <v>1.0995370370370371E-3</v>
      </c>
      <c r="AE56" s="56">
        <v>1.0445601851851853E-3</v>
      </c>
      <c r="AF56" s="41"/>
      <c r="AG56" s="41"/>
      <c r="AH56" s="41"/>
      <c r="AI56" s="41"/>
      <c r="AJ56" s="41"/>
    </row>
    <row r="57" spans="1:36" ht="26.45" customHeight="1">
      <c r="A57" s="41" t="s">
        <v>928</v>
      </c>
      <c r="B57" s="43">
        <v>53</v>
      </c>
      <c r="C57" s="43">
        <v>2</v>
      </c>
      <c r="D57" s="43">
        <v>5</v>
      </c>
      <c r="E57" s="41" t="s">
        <v>940</v>
      </c>
      <c r="F57" s="41" t="s">
        <v>463</v>
      </c>
      <c r="G57" s="41" t="s">
        <v>778</v>
      </c>
      <c r="H57" s="41" t="s">
        <v>738</v>
      </c>
      <c r="I57" s="43">
        <v>1</v>
      </c>
      <c r="J57" s="41" t="s">
        <v>404</v>
      </c>
      <c r="K57" s="41" t="s">
        <v>528</v>
      </c>
      <c r="L57" s="41" t="s">
        <v>527</v>
      </c>
      <c r="M57" s="41" t="s">
        <v>787</v>
      </c>
      <c r="N57" s="54">
        <f t="shared" si="3"/>
        <v>5.5208333333333338E-2</v>
      </c>
      <c r="O57" s="41" t="s">
        <v>934</v>
      </c>
      <c r="P57" s="43">
        <v>252</v>
      </c>
      <c r="Q57" s="44">
        <v>4</v>
      </c>
      <c r="R57" s="44">
        <v>1028.75</v>
      </c>
      <c r="S57" s="45" t="s">
        <v>565</v>
      </c>
      <c r="T57" s="46" t="s">
        <v>540</v>
      </c>
      <c r="U57" s="46" t="s">
        <v>540</v>
      </c>
      <c r="V57" s="43" t="s">
        <v>540</v>
      </c>
      <c r="W57" s="41" t="s">
        <v>1038</v>
      </c>
      <c r="X57" s="43" t="s">
        <v>540</v>
      </c>
      <c r="Y57" s="43" t="s">
        <v>540</v>
      </c>
      <c r="Z57" s="43" t="s">
        <v>540</v>
      </c>
      <c r="AA57" s="43" t="s">
        <v>540</v>
      </c>
      <c r="AB57" s="56">
        <v>1.3888888888888889E-3</v>
      </c>
      <c r="AC57" s="56">
        <v>1.5277777777777779E-3</v>
      </c>
      <c r="AD57" s="56">
        <v>1.3888888888888889E-3</v>
      </c>
      <c r="AE57" s="56">
        <v>1.3194444444444445E-3</v>
      </c>
      <c r="AF57" s="41"/>
      <c r="AG57" s="41"/>
      <c r="AH57" s="41"/>
      <c r="AI57" s="41"/>
      <c r="AJ57" s="41"/>
    </row>
    <row r="58" spans="1:36" ht="26.45" customHeight="1">
      <c r="A58" s="41" t="s">
        <v>928</v>
      </c>
      <c r="B58" s="43">
        <v>54</v>
      </c>
      <c r="C58" s="43">
        <v>1</v>
      </c>
      <c r="D58" s="43">
        <v>5</v>
      </c>
      <c r="E58" s="41" t="s">
        <v>535</v>
      </c>
      <c r="F58" s="41" t="s">
        <v>1048</v>
      </c>
      <c r="G58" s="41" t="s">
        <v>725</v>
      </c>
      <c r="H58" s="41" t="s">
        <v>1036</v>
      </c>
      <c r="I58" s="43">
        <v>1</v>
      </c>
      <c r="J58" s="41" t="s">
        <v>400</v>
      </c>
      <c r="K58" s="41" t="s">
        <v>528</v>
      </c>
      <c r="L58" s="41" t="s">
        <v>545</v>
      </c>
      <c r="M58" s="41" t="s">
        <v>653</v>
      </c>
      <c r="N58" s="54">
        <f t="shared" si="3"/>
        <v>5.5613425925925934E-2</v>
      </c>
      <c r="O58" s="41" t="s">
        <v>934</v>
      </c>
      <c r="P58" s="43">
        <v>255</v>
      </c>
      <c r="Q58" s="44">
        <v>3</v>
      </c>
      <c r="R58" s="44">
        <v>1049.04</v>
      </c>
      <c r="S58" s="45" t="s">
        <v>565</v>
      </c>
      <c r="T58" s="46" t="s">
        <v>540</v>
      </c>
      <c r="U58" s="46" t="s">
        <v>540</v>
      </c>
      <c r="V58" s="43" t="s">
        <v>540</v>
      </c>
      <c r="W58" s="41" t="s">
        <v>1038</v>
      </c>
      <c r="X58" s="43" t="s">
        <v>540</v>
      </c>
      <c r="Y58" s="43" t="s">
        <v>540</v>
      </c>
      <c r="Z58" s="43" t="s">
        <v>540</v>
      </c>
      <c r="AA58" s="43" t="s">
        <v>540</v>
      </c>
      <c r="AB58" s="56">
        <v>4.0509259259259258E-4</v>
      </c>
      <c r="AC58" s="56">
        <v>4.4560185185185187E-4</v>
      </c>
      <c r="AD58" s="56">
        <v>4.0509259259259258E-4</v>
      </c>
      <c r="AE58" s="56">
        <v>3.8483796296296291E-4</v>
      </c>
      <c r="AF58" s="41"/>
      <c r="AG58" s="41"/>
      <c r="AH58" s="41"/>
      <c r="AI58" s="41"/>
      <c r="AJ58" s="41"/>
    </row>
    <row r="59" spans="1:36" ht="26.45" customHeight="1">
      <c r="A59" s="41" t="s">
        <v>935</v>
      </c>
      <c r="B59" s="43">
        <v>55</v>
      </c>
      <c r="C59" s="43">
        <v>1</v>
      </c>
      <c r="D59" s="43">
        <v>6</v>
      </c>
      <c r="E59" s="41" t="s">
        <v>578</v>
      </c>
      <c r="F59" s="41" t="s">
        <v>739</v>
      </c>
      <c r="G59" s="41" t="s">
        <v>276</v>
      </c>
      <c r="H59" s="41" t="s">
        <v>281</v>
      </c>
      <c r="I59" s="43">
        <v>2</v>
      </c>
      <c r="J59" s="41" t="s">
        <v>603</v>
      </c>
      <c r="K59" s="41" t="s">
        <v>528</v>
      </c>
      <c r="L59" s="41" t="s">
        <v>544</v>
      </c>
      <c r="M59" s="41" t="s">
        <v>318</v>
      </c>
      <c r="N59" s="54">
        <f t="shared" si="3"/>
        <v>5.6076388888888898E-2</v>
      </c>
      <c r="O59" s="41" t="s">
        <v>617</v>
      </c>
      <c r="P59" s="43">
        <v>259</v>
      </c>
      <c r="Q59" s="44">
        <v>4</v>
      </c>
      <c r="R59" s="44">
        <v>1076.33</v>
      </c>
      <c r="S59" s="45" t="s">
        <v>565</v>
      </c>
      <c r="T59" s="46" t="s">
        <v>540</v>
      </c>
      <c r="U59" s="46" t="s">
        <v>540</v>
      </c>
      <c r="V59" s="43" t="s">
        <v>540</v>
      </c>
      <c r="W59" s="41" t="s">
        <v>1038</v>
      </c>
      <c r="X59" s="43" t="s">
        <v>540</v>
      </c>
      <c r="Y59" s="43" t="s">
        <v>540</v>
      </c>
      <c r="Z59" s="43" t="s">
        <v>540</v>
      </c>
      <c r="AA59" s="43" t="s">
        <v>540</v>
      </c>
      <c r="AB59" s="56">
        <v>4.6296296296296298E-4</v>
      </c>
      <c r="AC59" s="56">
        <v>5.0925925925925932E-4</v>
      </c>
      <c r="AD59" s="56">
        <v>4.6296296296296298E-4</v>
      </c>
      <c r="AE59" s="56">
        <v>4.3981481481481481E-4</v>
      </c>
      <c r="AF59" s="41"/>
      <c r="AG59" s="41"/>
      <c r="AH59" s="41"/>
      <c r="AI59" s="41"/>
      <c r="AJ59" s="41"/>
    </row>
    <row r="60" spans="1:36" ht="26.45" customHeight="1">
      <c r="A60" s="41" t="s">
        <v>935</v>
      </c>
      <c r="B60" s="43">
        <v>56</v>
      </c>
      <c r="C60" s="43">
        <v>2</v>
      </c>
      <c r="D60" s="43">
        <v>8</v>
      </c>
      <c r="E60" s="41" t="s">
        <v>503</v>
      </c>
      <c r="F60" s="41" t="s">
        <v>1023</v>
      </c>
      <c r="G60" s="41" t="s">
        <v>466</v>
      </c>
      <c r="H60" s="41" t="s">
        <v>774</v>
      </c>
      <c r="I60" s="43">
        <v>3</v>
      </c>
      <c r="J60" s="41" t="s">
        <v>264</v>
      </c>
      <c r="K60" s="41" t="s">
        <v>528</v>
      </c>
      <c r="L60" s="41" t="s">
        <v>488</v>
      </c>
      <c r="M60" s="41" t="s">
        <v>785</v>
      </c>
      <c r="N60" s="54">
        <f t="shared" si="3"/>
        <v>5.6886574074074082E-2</v>
      </c>
      <c r="O60" s="41" t="s">
        <v>617</v>
      </c>
      <c r="P60" s="43">
        <v>265</v>
      </c>
      <c r="Q60" s="44">
        <v>6</v>
      </c>
      <c r="R60" s="44">
        <v>1117.78</v>
      </c>
      <c r="S60" s="45" t="s">
        <v>565</v>
      </c>
      <c r="T60" s="46" t="s">
        <v>540</v>
      </c>
      <c r="U60" s="46" t="s">
        <v>540</v>
      </c>
      <c r="V60" s="43" t="s">
        <v>540</v>
      </c>
      <c r="W60" s="41" t="s">
        <v>58</v>
      </c>
      <c r="X60" s="43">
        <v>30</v>
      </c>
      <c r="Y60" s="43">
        <f>IF(ISNUMBER(X60),ROUND(X60*0.85,0),"—")</f>
        <v>26</v>
      </c>
      <c r="Z60" s="43">
        <f>IF(ISNUMBER(X60),ROUND(X60*0.7,0),"—")</f>
        <v>21</v>
      </c>
      <c r="AA60" s="43">
        <f>IF(ISNUMBER(X60),ROUND(X60*0.55,0),"—")</f>
        <v>17</v>
      </c>
      <c r="AB60" s="56">
        <v>8.1018518518518516E-4</v>
      </c>
      <c r="AC60" s="56">
        <v>8.9120370370370373E-4</v>
      </c>
      <c r="AD60" s="56">
        <v>8.1018518518518516E-4</v>
      </c>
      <c r="AE60" s="56">
        <v>7.6967592592592582E-4</v>
      </c>
      <c r="AF60" s="41"/>
      <c r="AG60" s="41"/>
      <c r="AH60" s="41"/>
      <c r="AI60" s="41"/>
      <c r="AJ60" s="41"/>
    </row>
    <row r="61" spans="1:36" ht="26.45" customHeight="1">
      <c r="A61" s="41" t="s">
        <v>935</v>
      </c>
      <c r="B61" s="43">
        <v>57</v>
      </c>
      <c r="C61" s="43">
        <v>3</v>
      </c>
      <c r="D61" s="43">
        <v>7</v>
      </c>
      <c r="E61" s="41" t="s">
        <v>953</v>
      </c>
      <c r="F61" s="41" t="s">
        <v>16</v>
      </c>
      <c r="G61" s="41" t="s">
        <v>239</v>
      </c>
      <c r="H61" s="41" t="s">
        <v>11</v>
      </c>
      <c r="I61" s="43">
        <v>5</v>
      </c>
      <c r="J61" s="41" t="s">
        <v>658</v>
      </c>
      <c r="K61" s="41" t="s">
        <v>325</v>
      </c>
      <c r="L61" s="41" t="s">
        <v>527</v>
      </c>
      <c r="M61" s="41" t="s">
        <v>396</v>
      </c>
      <c r="N61" s="54">
        <f t="shared" si="3"/>
        <v>5.8275462962962973E-2</v>
      </c>
      <c r="O61" s="41" t="s">
        <v>617</v>
      </c>
      <c r="P61" s="43">
        <v>271</v>
      </c>
      <c r="Q61" s="44">
        <v>6</v>
      </c>
      <c r="R61" s="44">
        <v>1159.8399999999999</v>
      </c>
      <c r="S61" s="45" t="s">
        <v>565</v>
      </c>
      <c r="T61" s="46" t="s">
        <v>540</v>
      </c>
      <c r="U61" s="46" t="s">
        <v>540</v>
      </c>
      <c r="V61" s="43" t="s">
        <v>540</v>
      </c>
      <c r="W61" s="41" t="s">
        <v>227</v>
      </c>
      <c r="X61" s="43">
        <v>30</v>
      </c>
      <c r="Y61" s="43">
        <f>IF(ISNUMBER(X61),ROUND(X61*0.85,0),"—")</f>
        <v>26</v>
      </c>
      <c r="Z61" s="43">
        <f>IF(ISNUMBER(X61),ROUND(X61*0.7,0),"—")</f>
        <v>21</v>
      </c>
      <c r="AA61" s="43">
        <f>IF(ISNUMBER(X61),ROUND(X61*0.55,0),"—")</f>
        <v>17</v>
      </c>
      <c r="AB61" s="56">
        <v>1.3888888888888889E-3</v>
      </c>
      <c r="AC61" s="56">
        <v>1.5902777777777779E-3</v>
      </c>
      <c r="AD61" s="56">
        <v>1.3888888888888889E-3</v>
      </c>
      <c r="AE61" s="56">
        <v>1.2847222222222223E-3</v>
      </c>
      <c r="AF61" s="41"/>
      <c r="AG61" s="41"/>
      <c r="AH61" s="41"/>
      <c r="AI61" s="41"/>
      <c r="AJ61" s="41"/>
    </row>
    <row r="62" spans="1:36" ht="39.6" customHeight="1">
      <c r="A62" s="41" t="s">
        <v>935</v>
      </c>
      <c r="B62" s="43">
        <v>58</v>
      </c>
      <c r="C62" s="43">
        <v>4</v>
      </c>
      <c r="D62" s="43">
        <v>9</v>
      </c>
      <c r="E62" s="41" t="s">
        <v>956</v>
      </c>
      <c r="F62" s="41" t="s">
        <v>477</v>
      </c>
      <c r="G62" s="41" t="s">
        <v>780</v>
      </c>
      <c r="H62" s="41" t="s">
        <v>14</v>
      </c>
      <c r="I62" s="43">
        <v>3</v>
      </c>
      <c r="J62" s="41" t="s">
        <v>412</v>
      </c>
      <c r="K62" s="41" t="s">
        <v>1044</v>
      </c>
      <c r="L62" s="41" t="s">
        <v>569</v>
      </c>
      <c r="M62" s="41" t="s">
        <v>317</v>
      </c>
      <c r="N62" s="54">
        <f t="shared" si="3"/>
        <v>6.0127314814814828E-2</v>
      </c>
      <c r="O62" s="41" t="s">
        <v>617</v>
      </c>
      <c r="P62" s="43">
        <v>279</v>
      </c>
      <c r="Q62" s="44">
        <v>8</v>
      </c>
      <c r="R62" s="44">
        <v>1216.8800000000001</v>
      </c>
      <c r="S62" s="45" t="s">
        <v>565</v>
      </c>
      <c r="T62" s="46" t="s">
        <v>540</v>
      </c>
      <c r="U62" s="46" t="s">
        <v>540</v>
      </c>
      <c r="V62" s="43" t="s">
        <v>540</v>
      </c>
      <c r="W62" s="41" t="s">
        <v>64</v>
      </c>
      <c r="X62" s="43">
        <v>100</v>
      </c>
      <c r="Y62" s="43">
        <f>IF(ISNUMBER(X62),ROUND(X62*0.85,0),"—")</f>
        <v>85</v>
      </c>
      <c r="Z62" s="43">
        <f>IF(ISNUMBER(X62),ROUND(X62*0.7,0),"—")</f>
        <v>70</v>
      </c>
      <c r="AA62" s="43">
        <f>IF(ISNUMBER(X62),ROUND(X62*0.55,0),"—")</f>
        <v>55</v>
      </c>
      <c r="AB62" s="56">
        <v>1.8518518518518519E-3</v>
      </c>
      <c r="AC62" s="56">
        <v>2.2037037037037042E-3</v>
      </c>
      <c r="AD62" s="56">
        <v>1.8518518518518519E-3</v>
      </c>
      <c r="AE62" s="56">
        <v>1.6666666666666666E-3</v>
      </c>
      <c r="AF62" s="41"/>
      <c r="AG62" s="41"/>
      <c r="AH62" s="41"/>
      <c r="AI62" s="41"/>
      <c r="AJ62" s="41"/>
    </row>
    <row r="63" spans="1:36" ht="26.45" customHeight="1">
      <c r="A63" s="41" t="s">
        <v>935</v>
      </c>
      <c r="B63" s="43">
        <v>59</v>
      </c>
      <c r="C63" s="43">
        <v>4</v>
      </c>
      <c r="D63" s="43">
        <v>8</v>
      </c>
      <c r="E63" s="41" t="s">
        <v>604</v>
      </c>
      <c r="F63" s="41" t="s">
        <v>1040</v>
      </c>
      <c r="G63" s="41" t="s">
        <v>1032</v>
      </c>
      <c r="H63" s="41" t="s">
        <v>290</v>
      </c>
      <c r="I63" s="43">
        <v>1</v>
      </c>
      <c r="J63" s="41" t="s">
        <v>649</v>
      </c>
      <c r="K63" s="41" t="s">
        <v>310</v>
      </c>
      <c r="L63" s="41" t="s">
        <v>514</v>
      </c>
      <c r="M63" s="41" t="s">
        <v>384</v>
      </c>
      <c r="N63" s="54">
        <f t="shared" si="3"/>
        <v>6.1226851851851866E-2</v>
      </c>
      <c r="O63" s="41" t="s">
        <v>898</v>
      </c>
      <c r="P63" s="43">
        <v>287</v>
      </c>
      <c r="Q63" s="44">
        <v>8</v>
      </c>
      <c r="R63" s="44">
        <v>1274.99</v>
      </c>
      <c r="S63" s="45" t="s">
        <v>565</v>
      </c>
      <c r="T63" s="46" t="s">
        <v>540</v>
      </c>
      <c r="U63" s="46" t="s">
        <v>540</v>
      </c>
      <c r="V63" s="43" t="s">
        <v>540</v>
      </c>
      <c r="W63" s="41" t="s">
        <v>1038</v>
      </c>
      <c r="X63" s="43" t="s">
        <v>540</v>
      </c>
      <c r="Y63" s="43" t="s">
        <v>540</v>
      </c>
      <c r="Z63" s="43" t="s">
        <v>540</v>
      </c>
      <c r="AA63" s="43" t="s">
        <v>540</v>
      </c>
      <c r="AB63" s="56">
        <v>1.0995370370370371E-3</v>
      </c>
      <c r="AC63" s="56">
        <v>1.3084490740740743E-3</v>
      </c>
      <c r="AD63" s="56">
        <v>1.0995370370370371E-3</v>
      </c>
      <c r="AE63" s="56">
        <v>9.895833333333332E-4</v>
      </c>
      <c r="AF63" s="41"/>
      <c r="AG63" s="41"/>
      <c r="AH63" s="41"/>
      <c r="AI63" s="41"/>
      <c r="AJ63" s="41"/>
    </row>
    <row r="64" spans="1:36" ht="26.45" customHeight="1">
      <c r="A64" s="41" t="s">
        <v>935</v>
      </c>
      <c r="B64" s="43">
        <v>60</v>
      </c>
      <c r="C64" s="43">
        <v>5</v>
      </c>
      <c r="D64" s="43">
        <v>9</v>
      </c>
      <c r="E64" s="41" t="s">
        <v>909</v>
      </c>
      <c r="F64" s="41" t="s">
        <v>29</v>
      </c>
      <c r="G64" s="41" t="s">
        <v>5</v>
      </c>
      <c r="H64" s="41" t="s">
        <v>12</v>
      </c>
      <c r="I64" s="43">
        <v>3</v>
      </c>
      <c r="J64" s="41" t="s">
        <v>598</v>
      </c>
      <c r="K64" s="41" t="s">
        <v>295</v>
      </c>
      <c r="L64" s="41" t="s">
        <v>523</v>
      </c>
      <c r="M64" s="41" t="s">
        <v>392</v>
      </c>
      <c r="N64" s="54">
        <f t="shared" si="3"/>
        <v>6.3310185185185205E-2</v>
      </c>
      <c r="O64" s="41" t="s">
        <v>898</v>
      </c>
      <c r="P64" s="43">
        <v>296</v>
      </c>
      <c r="Q64" s="44">
        <v>9</v>
      </c>
      <c r="R64" s="44">
        <v>1341.63</v>
      </c>
      <c r="S64" s="45" t="s">
        <v>565</v>
      </c>
      <c r="T64" s="46" t="s">
        <v>540</v>
      </c>
      <c r="U64" s="46" t="s">
        <v>540</v>
      </c>
      <c r="V64" s="43" t="s">
        <v>540</v>
      </c>
      <c r="W64" s="41" t="s">
        <v>211</v>
      </c>
      <c r="X64" s="43">
        <v>60</v>
      </c>
      <c r="Y64" s="43">
        <f>IF(ISNUMBER(X64),ROUND(X64*0.85,0),"—")</f>
        <v>51</v>
      </c>
      <c r="Z64" s="43">
        <f>IF(ISNUMBER(X64),ROUND(X64*0.7,0),"—")</f>
        <v>42</v>
      </c>
      <c r="AA64" s="43">
        <f>IF(ISNUMBER(X64),ROUND(X64*0.55,0),"—")</f>
        <v>33</v>
      </c>
      <c r="AB64" s="56">
        <v>2.0833333333333333E-3</v>
      </c>
      <c r="AC64" s="56">
        <v>2.5729166666666669E-3</v>
      </c>
      <c r="AD64" s="56">
        <v>2.0833333333333333E-3</v>
      </c>
      <c r="AE64" s="56">
        <v>1.8229166666666667E-3</v>
      </c>
      <c r="AF64" s="41"/>
      <c r="AG64" s="41"/>
      <c r="AH64" s="41"/>
      <c r="AI64" s="41"/>
      <c r="AJ64" s="41"/>
    </row>
    <row r="65" spans="1:36" ht="26.45" customHeight="1">
      <c r="A65" s="41" t="s">
        <v>935</v>
      </c>
      <c r="B65" s="43">
        <v>61</v>
      </c>
      <c r="C65" s="43">
        <v>5</v>
      </c>
      <c r="D65" s="43">
        <v>9</v>
      </c>
      <c r="E65" s="41" t="s">
        <v>624</v>
      </c>
      <c r="F65" s="41" t="s">
        <v>311</v>
      </c>
      <c r="G65" s="41" t="s">
        <v>777</v>
      </c>
      <c r="H65" s="41" t="s">
        <v>781</v>
      </c>
      <c r="I65" s="43">
        <v>1</v>
      </c>
      <c r="J65" s="41" t="s">
        <v>398</v>
      </c>
      <c r="K65" s="41" t="s">
        <v>676</v>
      </c>
      <c r="L65" s="41" t="s">
        <v>573</v>
      </c>
      <c r="M65" s="41" t="s">
        <v>405</v>
      </c>
      <c r="N65" s="54">
        <f t="shared" si="3"/>
        <v>6.4930555555555575E-2</v>
      </c>
      <c r="O65" s="41" t="s">
        <v>898</v>
      </c>
      <c r="P65" s="43">
        <v>305</v>
      </c>
      <c r="Q65" s="44">
        <v>9</v>
      </c>
      <c r="R65" s="44">
        <v>1409.6</v>
      </c>
      <c r="S65" s="45" t="s">
        <v>565</v>
      </c>
      <c r="T65" s="46" t="s">
        <v>540</v>
      </c>
      <c r="U65" s="46" t="s">
        <v>540</v>
      </c>
      <c r="V65" s="43" t="s">
        <v>540</v>
      </c>
      <c r="W65" s="41" t="s">
        <v>226</v>
      </c>
      <c r="X65" s="43">
        <v>80</v>
      </c>
      <c r="Y65" s="43">
        <f>IF(ISNUMBER(X65),ROUND(X65*0.85,0),"—")</f>
        <v>68</v>
      </c>
      <c r="Z65" s="43">
        <f>IF(ISNUMBER(X65),ROUND(X65*0.7,0),"—")</f>
        <v>56</v>
      </c>
      <c r="AA65" s="43">
        <f>IF(ISNUMBER(X65),ROUND(X65*0.55,0),"—")</f>
        <v>44</v>
      </c>
      <c r="AB65" s="56">
        <v>1.6203703703703703E-3</v>
      </c>
      <c r="AC65" s="56">
        <v>2.0011574074074077E-3</v>
      </c>
      <c r="AD65" s="56">
        <v>1.6203703703703703E-3</v>
      </c>
      <c r="AE65" s="56">
        <v>1.417824074074074E-3</v>
      </c>
      <c r="AF65" s="41"/>
      <c r="AG65" s="41"/>
      <c r="AH65" s="41"/>
      <c r="AI65" s="41"/>
      <c r="AJ65" s="41"/>
    </row>
    <row r="66" spans="1:36" ht="26.45" customHeight="1">
      <c r="A66" s="41" t="s">
        <v>935</v>
      </c>
      <c r="B66" s="43">
        <v>62</v>
      </c>
      <c r="C66" s="43">
        <v>4</v>
      </c>
      <c r="D66" s="43">
        <v>8</v>
      </c>
      <c r="E66" s="41" t="s">
        <v>654</v>
      </c>
      <c r="F66" s="41" t="s">
        <v>463</v>
      </c>
      <c r="G66" s="41" t="s">
        <v>235</v>
      </c>
      <c r="H66" s="41" t="s">
        <v>769</v>
      </c>
      <c r="I66" s="43">
        <v>1</v>
      </c>
      <c r="J66" s="41" t="s">
        <v>313</v>
      </c>
      <c r="K66" s="41" t="s">
        <v>528</v>
      </c>
      <c r="L66" s="41" t="s">
        <v>570</v>
      </c>
      <c r="M66" s="41" t="s">
        <v>787</v>
      </c>
      <c r="N66" s="54">
        <f t="shared" si="3"/>
        <v>6.666666666666668E-2</v>
      </c>
      <c r="O66" s="41" t="s">
        <v>898</v>
      </c>
      <c r="P66" s="43">
        <v>313</v>
      </c>
      <c r="Q66" s="44">
        <v>8</v>
      </c>
      <c r="R66" s="44">
        <v>1471.12</v>
      </c>
      <c r="S66" s="45" t="s">
        <v>565</v>
      </c>
      <c r="T66" s="46" t="s">
        <v>540</v>
      </c>
      <c r="U66" s="46" t="s">
        <v>540</v>
      </c>
      <c r="V66" s="43" t="s">
        <v>540</v>
      </c>
      <c r="W66" s="41" t="s">
        <v>1038</v>
      </c>
      <c r="X66" s="43" t="s">
        <v>540</v>
      </c>
      <c r="Y66" s="43" t="s">
        <v>540</v>
      </c>
      <c r="Z66" s="43" t="s">
        <v>540</v>
      </c>
      <c r="AA66" s="43" t="s">
        <v>540</v>
      </c>
      <c r="AB66" s="56">
        <v>1.736111111111111E-3</v>
      </c>
      <c r="AC66" s="56">
        <v>2.0659722222222225E-3</v>
      </c>
      <c r="AD66" s="56">
        <v>1.736111111111111E-3</v>
      </c>
      <c r="AE66" s="56">
        <v>1.5624999999999997E-3</v>
      </c>
      <c r="AF66" s="41"/>
      <c r="AG66" s="41"/>
      <c r="AH66" s="41"/>
      <c r="AI66" s="41"/>
      <c r="AJ66" s="41"/>
    </row>
    <row r="67" spans="1:36" ht="26.45" customHeight="1">
      <c r="A67" s="41" t="s">
        <v>935</v>
      </c>
      <c r="B67" s="43">
        <v>63</v>
      </c>
      <c r="C67" s="43">
        <v>6</v>
      </c>
      <c r="D67" s="43">
        <v>9</v>
      </c>
      <c r="E67" s="41" t="s">
        <v>596</v>
      </c>
      <c r="F67" s="41" t="s">
        <v>103</v>
      </c>
      <c r="G67" s="41" t="s">
        <v>248</v>
      </c>
      <c r="H67" s="41" t="s">
        <v>6</v>
      </c>
      <c r="I67" s="43">
        <v>4</v>
      </c>
      <c r="J67" s="41" t="s">
        <v>610</v>
      </c>
      <c r="K67" s="41" t="s">
        <v>1052</v>
      </c>
      <c r="L67" s="41" t="s">
        <v>570</v>
      </c>
      <c r="M67" s="41" t="s">
        <v>675</v>
      </c>
      <c r="N67" s="54">
        <f t="shared" si="3"/>
        <v>6.8402777777777785E-2</v>
      </c>
      <c r="O67" s="41" t="s">
        <v>898</v>
      </c>
      <c r="P67" s="43">
        <v>323</v>
      </c>
      <c r="Q67" s="44">
        <v>10</v>
      </c>
      <c r="R67" s="44">
        <v>1549.47</v>
      </c>
      <c r="S67" s="45" t="s">
        <v>565</v>
      </c>
      <c r="T67" s="46" t="s">
        <v>540</v>
      </c>
      <c r="U67" s="46" t="s">
        <v>540</v>
      </c>
      <c r="V67" s="43" t="s">
        <v>540</v>
      </c>
      <c r="W67" s="41" t="s">
        <v>217</v>
      </c>
      <c r="X67" s="43">
        <v>60</v>
      </c>
      <c r="Y67" s="43">
        <f>IF(ISNUMBER(X67),ROUND(X67*0.85,0),"—")</f>
        <v>51</v>
      </c>
      <c r="Z67" s="43">
        <f>IF(ISNUMBER(X67),ROUND(X67*0.7,0),"—")</f>
        <v>42</v>
      </c>
      <c r="AA67" s="43">
        <f>IF(ISNUMBER(X67),ROUND(X67*0.55,0),"—")</f>
        <v>33</v>
      </c>
      <c r="AB67" s="56">
        <v>1.736111111111111E-3</v>
      </c>
      <c r="AC67" s="56">
        <v>2.2222222222222222E-3</v>
      </c>
      <c r="AD67" s="56">
        <v>1.736111111111111E-3</v>
      </c>
      <c r="AE67" s="56">
        <v>1.4756944444444444E-3</v>
      </c>
      <c r="AF67" s="41"/>
      <c r="AG67" s="41"/>
      <c r="AH67" s="41"/>
      <c r="AI67" s="41"/>
      <c r="AJ67" s="41"/>
    </row>
    <row r="68" spans="1:36" ht="39.6" customHeight="1">
      <c r="A68" s="41" t="s">
        <v>935</v>
      </c>
      <c r="B68" s="43">
        <v>64</v>
      </c>
      <c r="C68" s="43">
        <v>2</v>
      </c>
      <c r="D68" s="43">
        <v>9</v>
      </c>
      <c r="E68" s="41" t="s">
        <v>308</v>
      </c>
      <c r="F68" s="41" t="s">
        <v>67</v>
      </c>
      <c r="G68" s="41" t="s">
        <v>143</v>
      </c>
      <c r="H68" s="41" t="s">
        <v>144</v>
      </c>
      <c r="I68" s="43">
        <v>1</v>
      </c>
      <c r="J68" s="41" t="s">
        <v>415</v>
      </c>
      <c r="K68" s="41" t="s">
        <v>189</v>
      </c>
      <c r="L68" s="41" t="s">
        <v>524</v>
      </c>
      <c r="M68" s="41" t="s">
        <v>364</v>
      </c>
      <c r="N68" s="54">
        <f t="shared" si="3"/>
        <v>6.8923611111111116E-2</v>
      </c>
      <c r="O68" s="41" t="s">
        <v>898</v>
      </c>
      <c r="P68" s="43">
        <v>329</v>
      </c>
      <c r="Q68" s="44">
        <v>6</v>
      </c>
      <c r="R68" s="44">
        <v>1597.25</v>
      </c>
      <c r="S68" s="45" t="s">
        <v>565</v>
      </c>
      <c r="T68" s="46" t="s">
        <v>540</v>
      </c>
      <c r="U68" s="46" t="s">
        <v>540</v>
      </c>
      <c r="V68" s="43" t="s">
        <v>540</v>
      </c>
      <c r="W68" s="41" t="s">
        <v>1038</v>
      </c>
      <c r="X68" s="43" t="s">
        <v>540</v>
      </c>
      <c r="Y68" s="43" t="s">
        <v>540</v>
      </c>
      <c r="Z68" s="43" t="s">
        <v>540</v>
      </c>
      <c r="AA68" s="43" t="s">
        <v>540</v>
      </c>
      <c r="AB68" s="56">
        <v>5.2083333333333333E-4</v>
      </c>
      <c r="AC68" s="56">
        <v>5.7291666666666667E-4</v>
      </c>
      <c r="AD68" s="56">
        <v>5.2083333333333333E-4</v>
      </c>
      <c r="AE68" s="56">
        <v>4.947916666666666E-4</v>
      </c>
      <c r="AF68" s="41"/>
      <c r="AG68" s="41"/>
      <c r="AH68" s="41"/>
      <c r="AI68" s="41"/>
      <c r="AJ68" s="41"/>
    </row>
    <row r="69" spans="1:36" ht="26.45" customHeight="1">
      <c r="A69" s="41" t="s">
        <v>935</v>
      </c>
      <c r="B69" s="43">
        <v>65</v>
      </c>
      <c r="C69" s="43">
        <v>2</v>
      </c>
      <c r="D69" s="43">
        <v>8</v>
      </c>
      <c r="E69" s="41" t="s">
        <v>907</v>
      </c>
      <c r="F69" s="41" t="s">
        <v>1023</v>
      </c>
      <c r="G69" s="41" t="s">
        <v>466</v>
      </c>
      <c r="H69" s="41" t="s">
        <v>774</v>
      </c>
      <c r="I69" s="43">
        <v>2</v>
      </c>
      <c r="J69" s="41" t="s">
        <v>770</v>
      </c>
      <c r="K69" s="41" t="s">
        <v>528</v>
      </c>
      <c r="L69" s="41" t="s">
        <v>558</v>
      </c>
      <c r="M69" s="41" t="s">
        <v>785</v>
      </c>
      <c r="N69" s="54">
        <f t="shared" si="3"/>
        <v>6.9849537037037043E-2</v>
      </c>
      <c r="O69" s="41" t="s">
        <v>898</v>
      </c>
      <c r="P69" s="43">
        <v>335</v>
      </c>
      <c r="Q69" s="44">
        <v>6</v>
      </c>
      <c r="R69" s="44">
        <v>1645.6</v>
      </c>
      <c r="S69" s="45" t="s">
        <v>565</v>
      </c>
      <c r="T69" s="46" t="s">
        <v>540</v>
      </c>
      <c r="U69" s="46" t="s">
        <v>540</v>
      </c>
      <c r="V69" s="43" t="s">
        <v>540</v>
      </c>
      <c r="W69" s="41" t="s">
        <v>1038</v>
      </c>
      <c r="X69" s="43" t="s">
        <v>540</v>
      </c>
      <c r="Y69" s="43" t="s">
        <v>540</v>
      </c>
      <c r="Z69" s="43" t="s">
        <v>540</v>
      </c>
      <c r="AA69" s="43" t="s">
        <v>540</v>
      </c>
      <c r="AB69" s="56">
        <v>9.2592592592592596E-4</v>
      </c>
      <c r="AC69" s="56">
        <v>1.0185185185185186E-3</v>
      </c>
      <c r="AD69" s="56">
        <v>9.2592592592592596E-4</v>
      </c>
      <c r="AE69" s="56">
        <v>8.7962962962962962E-4</v>
      </c>
      <c r="AF69" s="41"/>
      <c r="AG69" s="41"/>
      <c r="AH69" s="41"/>
      <c r="AI69" s="41"/>
      <c r="AJ69" s="41"/>
    </row>
    <row r="70" spans="1:36" ht="26.45" customHeight="1">
      <c r="A70" s="41" t="s">
        <v>935</v>
      </c>
      <c r="B70" s="43">
        <v>66</v>
      </c>
      <c r="C70" s="43">
        <v>3</v>
      </c>
      <c r="D70" s="43">
        <v>8</v>
      </c>
      <c r="E70" s="41" t="s">
        <v>896</v>
      </c>
      <c r="F70" s="41" t="s">
        <v>463</v>
      </c>
      <c r="G70" s="41" t="s">
        <v>483</v>
      </c>
      <c r="H70" s="41" t="s">
        <v>760</v>
      </c>
      <c r="I70" s="43">
        <v>1</v>
      </c>
      <c r="J70" s="41" t="s">
        <v>407</v>
      </c>
      <c r="K70" s="41" t="s">
        <v>528</v>
      </c>
      <c r="L70" s="41" t="s">
        <v>527</v>
      </c>
      <c r="M70" s="41" t="s">
        <v>787</v>
      </c>
      <c r="N70" s="54">
        <f t="shared" ref="N70:N101" si="4">N69+(IFERROR(VALUE(LEFT(L70,FIND("분",L70)-1))*60,0)+IFERROR(VALUE(TRIM(MID(L70,IFERROR(FIND("분",L70),0)+1,IFERROR(FIND("초",L70),LEN(L70)+1)-IFERROR(FIND("분",L70),0)-1))),0))/86400</f>
        <v>7.1238425925925927E-2</v>
      </c>
      <c r="O70" s="41" t="s">
        <v>586</v>
      </c>
      <c r="P70" s="43">
        <v>342</v>
      </c>
      <c r="Q70" s="44">
        <v>7</v>
      </c>
      <c r="R70" s="44">
        <v>1702.72</v>
      </c>
      <c r="S70" s="45" t="s">
        <v>565</v>
      </c>
      <c r="T70" s="46" t="s">
        <v>540</v>
      </c>
      <c r="U70" s="46" t="s">
        <v>540</v>
      </c>
      <c r="V70" s="43" t="s">
        <v>540</v>
      </c>
      <c r="W70" s="41" t="s">
        <v>1038</v>
      </c>
      <c r="X70" s="43" t="s">
        <v>540</v>
      </c>
      <c r="Y70" s="43" t="s">
        <v>540</v>
      </c>
      <c r="Z70" s="43" t="s">
        <v>540</v>
      </c>
      <c r="AA70" s="43" t="s">
        <v>540</v>
      </c>
      <c r="AB70" s="56">
        <v>1.3888888888888889E-3</v>
      </c>
      <c r="AC70" s="56">
        <v>1.5902777777777779E-3</v>
      </c>
      <c r="AD70" s="56">
        <v>1.3888888888888889E-3</v>
      </c>
      <c r="AE70" s="56">
        <v>1.2847222222222223E-3</v>
      </c>
      <c r="AF70" s="41"/>
      <c r="AG70" s="41"/>
      <c r="AH70" s="41"/>
      <c r="AI70" s="41"/>
      <c r="AJ70" s="41"/>
    </row>
    <row r="71" spans="1:36" ht="26.45" customHeight="1">
      <c r="A71" s="41" t="s">
        <v>935</v>
      </c>
      <c r="B71" s="43">
        <v>67</v>
      </c>
      <c r="C71" s="43">
        <v>1</v>
      </c>
      <c r="D71" s="43">
        <v>8</v>
      </c>
      <c r="E71" s="41" t="s">
        <v>903</v>
      </c>
      <c r="F71" s="41" t="s">
        <v>1023</v>
      </c>
      <c r="G71" s="41" t="s">
        <v>466</v>
      </c>
      <c r="H71" s="41" t="s">
        <v>762</v>
      </c>
      <c r="I71" s="43">
        <v>2</v>
      </c>
      <c r="J71" s="41" t="s">
        <v>284</v>
      </c>
      <c r="K71" s="41" t="s">
        <v>528</v>
      </c>
      <c r="L71" s="41" t="s">
        <v>513</v>
      </c>
      <c r="M71" s="41" t="s">
        <v>785</v>
      </c>
      <c r="N71" s="54">
        <f t="shared" si="4"/>
        <v>7.2511574074074076E-2</v>
      </c>
      <c r="O71" s="41" t="s">
        <v>586</v>
      </c>
      <c r="P71" s="43">
        <v>347</v>
      </c>
      <c r="Q71" s="44">
        <v>5</v>
      </c>
      <c r="R71" s="44">
        <v>1743.99</v>
      </c>
      <c r="S71" s="45" t="s">
        <v>565</v>
      </c>
      <c r="T71" s="46" t="s">
        <v>540</v>
      </c>
      <c r="U71" s="46" t="s">
        <v>540</v>
      </c>
      <c r="V71" s="43" t="s">
        <v>540</v>
      </c>
      <c r="W71" s="41" t="s">
        <v>1038</v>
      </c>
      <c r="X71" s="43" t="s">
        <v>540</v>
      </c>
      <c r="Y71" s="43" t="s">
        <v>540</v>
      </c>
      <c r="Z71" s="43" t="s">
        <v>540</v>
      </c>
      <c r="AA71" s="43" t="s">
        <v>540</v>
      </c>
      <c r="AB71" s="56">
        <v>1.2731481481481483E-3</v>
      </c>
      <c r="AC71" s="56">
        <v>1.4004629629629632E-3</v>
      </c>
      <c r="AD71" s="56">
        <v>1.2731481481481483E-3</v>
      </c>
      <c r="AE71" s="56">
        <v>1.2094907407407408E-3</v>
      </c>
      <c r="AF71" s="41"/>
      <c r="AG71" s="41"/>
      <c r="AH71" s="41"/>
      <c r="AI71" s="41"/>
      <c r="AJ71" s="41"/>
    </row>
    <row r="72" spans="1:36" ht="26.45" customHeight="1">
      <c r="A72" s="41" t="s">
        <v>935</v>
      </c>
      <c r="B72" s="43">
        <v>68</v>
      </c>
      <c r="C72" s="43">
        <v>2</v>
      </c>
      <c r="D72" s="43">
        <v>8</v>
      </c>
      <c r="E72" s="41" t="s">
        <v>901</v>
      </c>
      <c r="F72" s="41" t="s">
        <v>773</v>
      </c>
      <c r="G72" s="41" t="s">
        <v>775</v>
      </c>
      <c r="H72" s="41" t="s">
        <v>237</v>
      </c>
      <c r="I72" s="43">
        <v>3</v>
      </c>
      <c r="J72" s="41" t="s">
        <v>990</v>
      </c>
      <c r="K72" s="41" t="s">
        <v>674</v>
      </c>
      <c r="L72" s="41" t="s">
        <v>563</v>
      </c>
      <c r="M72" s="41" t="s">
        <v>382</v>
      </c>
      <c r="N72" s="54">
        <f t="shared" si="4"/>
        <v>7.3668981481481488E-2</v>
      </c>
      <c r="O72" s="41" t="s">
        <v>586</v>
      </c>
      <c r="P72" s="43">
        <v>353</v>
      </c>
      <c r="Q72" s="44">
        <v>6</v>
      </c>
      <c r="R72" s="44">
        <v>1794.02</v>
      </c>
      <c r="S72" s="45" t="s">
        <v>565</v>
      </c>
      <c r="T72" s="46" t="s">
        <v>540</v>
      </c>
      <c r="U72" s="46" t="s">
        <v>540</v>
      </c>
      <c r="V72" s="43" t="s">
        <v>540</v>
      </c>
      <c r="W72" s="41" t="s">
        <v>1038</v>
      </c>
      <c r="X72" s="43" t="s">
        <v>540</v>
      </c>
      <c r="Y72" s="43" t="s">
        <v>540</v>
      </c>
      <c r="Z72" s="43" t="s">
        <v>540</v>
      </c>
      <c r="AA72" s="43" t="s">
        <v>540</v>
      </c>
      <c r="AB72" s="56">
        <v>1.1574074074074073E-3</v>
      </c>
      <c r="AC72" s="56">
        <v>1.2731481481481483E-3</v>
      </c>
      <c r="AD72" s="56">
        <v>1.1574074074074073E-3</v>
      </c>
      <c r="AE72" s="56">
        <v>1.0995370370370369E-3</v>
      </c>
      <c r="AF72" s="41"/>
      <c r="AG72" s="41"/>
      <c r="AH72" s="41"/>
      <c r="AI72" s="41"/>
      <c r="AJ72" s="41"/>
    </row>
    <row r="73" spans="1:36" ht="26.45" customHeight="1">
      <c r="A73" s="41" t="s">
        <v>935</v>
      </c>
      <c r="B73" s="43">
        <v>69</v>
      </c>
      <c r="C73" s="43">
        <v>2</v>
      </c>
      <c r="D73" s="43">
        <v>9</v>
      </c>
      <c r="E73" s="41" t="s">
        <v>613</v>
      </c>
      <c r="F73" s="41" t="s">
        <v>773</v>
      </c>
      <c r="G73" s="41" t="s">
        <v>249</v>
      </c>
      <c r="H73" s="41" t="s">
        <v>243</v>
      </c>
      <c r="I73" s="43">
        <v>4</v>
      </c>
      <c r="J73" s="41" t="s">
        <v>990</v>
      </c>
      <c r="K73" s="41" t="s">
        <v>674</v>
      </c>
      <c r="L73" s="41" t="s">
        <v>497</v>
      </c>
      <c r="M73" s="41" t="s">
        <v>382</v>
      </c>
      <c r="N73" s="54">
        <f t="shared" si="4"/>
        <v>7.5173611111111122E-2</v>
      </c>
      <c r="O73" s="41" t="s">
        <v>586</v>
      </c>
      <c r="P73" s="43">
        <v>359</v>
      </c>
      <c r="Q73" s="44">
        <v>6</v>
      </c>
      <c r="R73" s="44">
        <v>1844.62</v>
      </c>
      <c r="S73" s="45" t="s">
        <v>565</v>
      </c>
      <c r="T73" s="46" t="s">
        <v>540</v>
      </c>
      <c r="U73" s="46" t="s">
        <v>540</v>
      </c>
      <c r="V73" s="43" t="s">
        <v>540</v>
      </c>
      <c r="W73" s="41" t="s">
        <v>1038</v>
      </c>
      <c r="X73" s="43" t="s">
        <v>540</v>
      </c>
      <c r="Y73" s="43" t="s">
        <v>540</v>
      </c>
      <c r="Z73" s="43" t="s">
        <v>540</v>
      </c>
      <c r="AA73" s="43" t="s">
        <v>540</v>
      </c>
      <c r="AB73" s="56">
        <v>1.5046296296296296E-3</v>
      </c>
      <c r="AC73" s="56">
        <v>1.6550925925925928E-3</v>
      </c>
      <c r="AD73" s="56">
        <v>1.5046296296296296E-3</v>
      </c>
      <c r="AE73" s="56">
        <v>1.4293981481481482E-3</v>
      </c>
      <c r="AF73" s="41"/>
      <c r="AG73" s="41"/>
      <c r="AH73" s="41"/>
      <c r="AI73" s="41"/>
      <c r="AJ73" s="41"/>
    </row>
    <row r="74" spans="1:36" ht="26.45" customHeight="1">
      <c r="A74" s="41" t="s">
        <v>935</v>
      </c>
      <c r="B74" s="43">
        <v>70</v>
      </c>
      <c r="C74" s="43">
        <v>1</v>
      </c>
      <c r="D74" s="43">
        <v>9</v>
      </c>
      <c r="E74" s="41" t="s">
        <v>981</v>
      </c>
      <c r="F74" s="41" t="s">
        <v>763</v>
      </c>
      <c r="G74" s="41" t="s">
        <v>49</v>
      </c>
      <c r="H74" s="41" t="s">
        <v>107</v>
      </c>
      <c r="I74" s="43">
        <v>3</v>
      </c>
      <c r="J74" s="41" t="s">
        <v>385</v>
      </c>
      <c r="K74" s="41" t="s">
        <v>528</v>
      </c>
      <c r="L74" s="41" t="s">
        <v>527</v>
      </c>
      <c r="M74" s="41" t="s">
        <v>393</v>
      </c>
      <c r="N74" s="54">
        <f t="shared" si="4"/>
        <v>7.6562500000000006E-2</v>
      </c>
      <c r="O74" s="41" t="s">
        <v>586</v>
      </c>
      <c r="P74" s="43">
        <v>364</v>
      </c>
      <c r="Q74" s="44">
        <v>5</v>
      </c>
      <c r="R74" s="44">
        <v>1887.2</v>
      </c>
      <c r="S74" s="45" t="s">
        <v>565</v>
      </c>
      <c r="T74" s="46" t="s">
        <v>540</v>
      </c>
      <c r="U74" s="45" t="s">
        <v>540</v>
      </c>
      <c r="V74" s="43" t="s">
        <v>540</v>
      </c>
      <c r="W74" s="41" t="s">
        <v>1038</v>
      </c>
      <c r="X74" s="43" t="s">
        <v>540</v>
      </c>
      <c r="Y74" s="43" t="s">
        <v>540</v>
      </c>
      <c r="Z74" s="43" t="s">
        <v>540</v>
      </c>
      <c r="AA74" s="43" t="s">
        <v>540</v>
      </c>
      <c r="AB74" s="56">
        <v>1.3888888888888889E-3</v>
      </c>
      <c r="AC74" s="56">
        <v>1.5277777777777779E-3</v>
      </c>
      <c r="AD74" s="56">
        <v>1.3888888888888889E-3</v>
      </c>
      <c r="AE74" s="56">
        <v>1.3194444444444445E-3</v>
      </c>
      <c r="AF74" s="41"/>
      <c r="AG74" s="41"/>
      <c r="AH74" s="41"/>
      <c r="AI74" s="41"/>
      <c r="AJ74" s="41"/>
    </row>
    <row r="75" spans="1:36" ht="26.45" customHeight="1">
      <c r="A75" s="41" t="s">
        <v>935</v>
      </c>
      <c r="B75" s="43">
        <v>71</v>
      </c>
      <c r="C75" s="43">
        <v>1</v>
      </c>
      <c r="D75" s="43">
        <v>8</v>
      </c>
      <c r="E75" s="41" t="s">
        <v>391</v>
      </c>
      <c r="F75" s="41" t="s">
        <v>743</v>
      </c>
      <c r="G75" s="41" t="s">
        <v>247</v>
      </c>
      <c r="H75" s="41" t="s">
        <v>480</v>
      </c>
      <c r="I75" s="43">
        <v>2</v>
      </c>
      <c r="J75" s="41" t="s">
        <v>986</v>
      </c>
      <c r="K75" s="41" t="s">
        <v>528</v>
      </c>
      <c r="L75" s="41" t="s">
        <v>563</v>
      </c>
      <c r="M75" s="41" t="s">
        <v>386</v>
      </c>
      <c r="N75" s="54">
        <f t="shared" si="4"/>
        <v>7.7719907407407418E-2</v>
      </c>
      <c r="O75" s="41" t="s">
        <v>586</v>
      </c>
      <c r="P75" s="43">
        <v>369</v>
      </c>
      <c r="Q75" s="44">
        <v>5</v>
      </c>
      <c r="R75" s="44">
        <v>1930.16</v>
      </c>
      <c r="S75" s="45" t="s">
        <v>565</v>
      </c>
      <c r="T75" s="46" t="s">
        <v>540</v>
      </c>
      <c r="U75" s="46" t="s">
        <v>540</v>
      </c>
      <c r="V75" s="43" t="s">
        <v>540</v>
      </c>
      <c r="W75" s="41" t="s">
        <v>1038</v>
      </c>
      <c r="X75" s="43" t="s">
        <v>540</v>
      </c>
      <c r="Y75" s="43" t="s">
        <v>540</v>
      </c>
      <c r="Z75" s="43" t="s">
        <v>540</v>
      </c>
      <c r="AA75" s="43" t="s">
        <v>540</v>
      </c>
      <c r="AB75" s="56">
        <v>1.1574074074074073E-3</v>
      </c>
      <c r="AC75" s="56">
        <v>1.2731481481481483E-3</v>
      </c>
      <c r="AD75" s="56">
        <v>1.1574074074074073E-3</v>
      </c>
      <c r="AE75" s="56">
        <v>1.0995370370370369E-3</v>
      </c>
      <c r="AF75" s="41"/>
      <c r="AG75" s="41"/>
      <c r="AH75" s="41"/>
      <c r="AI75" s="41"/>
      <c r="AJ75" s="41"/>
    </row>
    <row r="76" spans="1:36" ht="26.45" customHeight="1">
      <c r="A76" s="41" t="s">
        <v>935</v>
      </c>
      <c r="B76" s="43">
        <v>72</v>
      </c>
      <c r="C76" s="43">
        <v>1</v>
      </c>
      <c r="D76" s="43">
        <v>8</v>
      </c>
      <c r="E76" s="41" t="s">
        <v>587</v>
      </c>
      <c r="F76" s="41" t="s">
        <v>742</v>
      </c>
      <c r="G76" s="41" t="s">
        <v>233</v>
      </c>
      <c r="H76" s="41" t="s">
        <v>294</v>
      </c>
      <c r="I76" s="43">
        <v>2</v>
      </c>
      <c r="J76" s="41" t="s">
        <v>992</v>
      </c>
      <c r="K76" s="41" t="s">
        <v>528</v>
      </c>
      <c r="L76" s="41" t="s">
        <v>558</v>
      </c>
      <c r="M76" s="41" t="s">
        <v>406</v>
      </c>
      <c r="N76" s="54">
        <f t="shared" si="4"/>
        <v>7.8645833333333345E-2</v>
      </c>
      <c r="O76" s="41" t="s">
        <v>605</v>
      </c>
      <c r="P76" s="43">
        <v>374</v>
      </c>
      <c r="Q76" s="44">
        <v>5</v>
      </c>
      <c r="R76" s="44">
        <v>1973.5</v>
      </c>
      <c r="S76" s="45" t="s">
        <v>565</v>
      </c>
      <c r="T76" s="46" t="s">
        <v>540</v>
      </c>
      <c r="U76" s="46" t="s">
        <v>540</v>
      </c>
      <c r="V76" s="43" t="s">
        <v>540</v>
      </c>
      <c r="W76" s="41" t="s">
        <v>1038</v>
      </c>
      <c r="X76" s="43" t="s">
        <v>540</v>
      </c>
      <c r="Y76" s="43" t="s">
        <v>540</v>
      </c>
      <c r="Z76" s="43" t="s">
        <v>540</v>
      </c>
      <c r="AA76" s="43" t="s">
        <v>540</v>
      </c>
      <c r="AB76" s="56">
        <v>9.2592592592592596E-4</v>
      </c>
      <c r="AC76" s="56">
        <v>1.0185185185185186E-3</v>
      </c>
      <c r="AD76" s="56">
        <v>9.2592592592592596E-4</v>
      </c>
      <c r="AE76" s="56">
        <v>8.7962962962962962E-4</v>
      </c>
      <c r="AF76" s="41"/>
      <c r="AG76" s="41"/>
      <c r="AH76" s="41"/>
      <c r="AI76" s="41"/>
      <c r="AJ76" s="41"/>
    </row>
    <row r="77" spans="1:36" ht="26.45" customHeight="1">
      <c r="A77" s="41" t="s">
        <v>935</v>
      </c>
      <c r="B77" s="43">
        <v>73</v>
      </c>
      <c r="C77" s="43">
        <v>4</v>
      </c>
      <c r="D77" s="43">
        <v>7</v>
      </c>
      <c r="E77" s="41" t="s">
        <v>589</v>
      </c>
      <c r="F77" s="41" t="s">
        <v>463</v>
      </c>
      <c r="G77" s="41" t="s">
        <v>19</v>
      </c>
      <c r="H77" s="41" t="s">
        <v>769</v>
      </c>
      <c r="I77" s="43">
        <v>1</v>
      </c>
      <c r="J77" s="41" t="s">
        <v>661</v>
      </c>
      <c r="K77" s="41" t="s">
        <v>528</v>
      </c>
      <c r="L77" s="41" t="s">
        <v>573</v>
      </c>
      <c r="M77" s="41" t="s">
        <v>787</v>
      </c>
      <c r="N77" s="54">
        <f t="shared" si="4"/>
        <v>8.0266203703703715E-2</v>
      </c>
      <c r="O77" s="41" t="s">
        <v>605</v>
      </c>
      <c r="P77" s="43">
        <v>381</v>
      </c>
      <c r="Q77" s="44">
        <v>7</v>
      </c>
      <c r="R77" s="44">
        <v>2034.82</v>
      </c>
      <c r="S77" s="45" t="s">
        <v>565</v>
      </c>
      <c r="T77" s="46" t="s">
        <v>540</v>
      </c>
      <c r="U77" s="46" t="s">
        <v>540</v>
      </c>
      <c r="V77" s="43" t="s">
        <v>540</v>
      </c>
      <c r="W77" s="41" t="s">
        <v>1038</v>
      </c>
      <c r="X77" s="43" t="s">
        <v>540</v>
      </c>
      <c r="Y77" s="43" t="s">
        <v>540</v>
      </c>
      <c r="Z77" s="43" t="s">
        <v>540</v>
      </c>
      <c r="AA77" s="43" t="s">
        <v>540</v>
      </c>
      <c r="AB77" s="56">
        <v>1.6203703703703703E-3</v>
      </c>
      <c r="AC77" s="56">
        <v>1.928240740740741E-3</v>
      </c>
      <c r="AD77" s="56">
        <v>1.6203703703703703E-3</v>
      </c>
      <c r="AE77" s="56">
        <v>1.4583333333333332E-3</v>
      </c>
      <c r="AF77" s="41"/>
      <c r="AG77" s="41"/>
      <c r="AH77" s="41"/>
      <c r="AI77" s="41"/>
      <c r="AJ77" s="41"/>
    </row>
    <row r="78" spans="1:36" ht="26.45" customHeight="1">
      <c r="A78" s="41" t="s">
        <v>935</v>
      </c>
      <c r="B78" s="43">
        <v>74</v>
      </c>
      <c r="C78" s="43">
        <v>4</v>
      </c>
      <c r="D78" s="43">
        <v>7</v>
      </c>
      <c r="E78" s="41" t="s">
        <v>975</v>
      </c>
      <c r="F78" s="41" t="s">
        <v>280</v>
      </c>
      <c r="G78" s="41" t="s">
        <v>108</v>
      </c>
      <c r="H78" s="41" t="s">
        <v>109</v>
      </c>
      <c r="I78" s="43">
        <v>4</v>
      </c>
      <c r="J78" s="41" t="s">
        <v>609</v>
      </c>
      <c r="K78" s="41" t="s">
        <v>1053</v>
      </c>
      <c r="L78" s="41" t="s">
        <v>523</v>
      </c>
      <c r="M78" s="41" t="s">
        <v>708</v>
      </c>
      <c r="N78" s="54">
        <f t="shared" si="4"/>
        <v>8.2349537037037054E-2</v>
      </c>
      <c r="O78" s="41" t="s">
        <v>605</v>
      </c>
      <c r="P78" s="43">
        <v>388</v>
      </c>
      <c r="Q78" s="44">
        <v>7</v>
      </c>
      <c r="R78" s="44">
        <v>2096.87</v>
      </c>
      <c r="S78" s="45" t="s">
        <v>565</v>
      </c>
      <c r="T78" s="46" t="s">
        <v>540</v>
      </c>
      <c r="U78" s="46" t="s">
        <v>540</v>
      </c>
      <c r="V78" s="43" t="s">
        <v>540</v>
      </c>
      <c r="W78" s="41" t="s">
        <v>58</v>
      </c>
      <c r="X78" s="43">
        <v>30</v>
      </c>
      <c r="Y78" s="43">
        <f>IF(ISNUMBER(X78),ROUND(X78*0.85,0),"—")</f>
        <v>26</v>
      </c>
      <c r="Z78" s="43">
        <f>IF(ISNUMBER(X78),ROUND(X78*0.7,0),"—")</f>
        <v>21</v>
      </c>
      <c r="AA78" s="43">
        <f>IF(ISNUMBER(X78),ROUND(X78*0.55,0),"—")</f>
        <v>17</v>
      </c>
      <c r="AB78" s="56">
        <v>2.0833333333333333E-3</v>
      </c>
      <c r="AC78" s="56">
        <v>2.4791666666666668E-3</v>
      </c>
      <c r="AD78" s="56">
        <v>2.0833333333333333E-3</v>
      </c>
      <c r="AE78" s="56">
        <v>1.8749999999999997E-3</v>
      </c>
      <c r="AF78" s="41"/>
      <c r="AG78" s="41"/>
      <c r="AH78" s="41"/>
      <c r="AI78" s="41"/>
      <c r="AJ78" s="41"/>
    </row>
    <row r="79" spans="1:36" ht="26.45" customHeight="1">
      <c r="A79" s="41" t="s">
        <v>935</v>
      </c>
      <c r="B79" s="43">
        <v>75</v>
      </c>
      <c r="C79" s="43">
        <v>5</v>
      </c>
      <c r="D79" s="43">
        <v>7</v>
      </c>
      <c r="E79" s="41" t="s">
        <v>575</v>
      </c>
      <c r="F79" s="41" t="s">
        <v>298</v>
      </c>
      <c r="G79" s="41" t="s">
        <v>10</v>
      </c>
      <c r="H79" s="41" t="s">
        <v>740</v>
      </c>
      <c r="I79" s="43">
        <v>6</v>
      </c>
      <c r="J79" s="41" t="s">
        <v>600</v>
      </c>
      <c r="K79" s="41" t="s">
        <v>1051</v>
      </c>
      <c r="L79" s="41" t="s">
        <v>576</v>
      </c>
      <c r="M79" s="41" t="s">
        <v>316</v>
      </c>
      <c r="N79" s="54">
        <f t="shared" si="4"/>
        <v>8.4664351851851866E-2</v>
      </c>
      <c r="O79" s="41" t="s">
        <v>605</v>
      </c>
      <c r="P79" s="43">
        <v>396</v>
      </c>
      <c r="Q79" s="44">
        <v>8</v>
      </c>
      <c r="R79" s="44">
        <v>2168.69</v>
      </c>
      <c r="S79" s="45" t="s">
        <v>565</v>
      </c>
      <c r="T79" s="46" t="s">
        <v>540</v>
      </c>
      <c r="U79" s="46" t="s">
        <v>540</v>
      </c>
      <c r="V79" s="43" t="s">
        <v>540</v>
      </c>
      <c r="W79" s="41" t="s">
        <v>227</v>
      </c>
      <c r="X79" s="43">
        <v>30</v>
      </c>
      <c r="Y79" s="43">
        <f>IF(ISNUMBER(X79),ROUND(X79*0.85,0),"—")</f>
        <v>26</v>
      </c>
      <c r="Z79" s="43">
        <f>IF(ISNUMBER(X79),ROUND(X79*0.7,0),"—")</f>
        <v>21</v>
      </c>
      <c r="AA79" s="43">
        <f>IF(ISNUMBER(X79),ROUND(X79*0.55,0),"—")</f>
        <v>17</v>
      </c>
      <c r="AB79" s="56">
        <v>2.3148148148148147E-3</v>
      </c>
      <c r="AC79" s="56">
        <v>2.8587962962962963E-3</v>
      </c>
      <c r="AD79" s="56">
        <v>2.3148148148148147E-3</v>
      </c>
      <c r="AE79" s="56">
        <v>2.0254629629629629E-3</v>
      </c>
      <c r="AF79" s="41"/>
      <c r="AG79" s="41"/>
      <c r="AH79" s="41"/>
      <c r="AI79" s="41"/>
      <c r="AJ79" s="41"/>
    </row>
    <row r="80" spans="1:36" ht="26.45" customHeight="1">
      <c r="A80" s="41" t="s">
        <v>935</v>
      </c>
      <c r="B80" s="43">
        <v>76</v>
      </c>
      <c r="C80" s="43">
        <v>6</v>
      </c>
      <c r="D80" s="43">
        <v>7</v>
      </c>
      <c r="E80" s="41" t="s">
        <v>979</v>
      </c>
      <c r="F80" s="41" t="s">
        <v>97</v>
      </c>
      <c r="G80" s="41" t="s">
        <v>98</v>
      </c>
      <c r="H80" s="41" t="s">
        <v>223</v>
      </c>
      <c r="I80" s="43">
        <v>5</v>
      </c>
      <c r="J80" s="41" t="s">
        <v>672</v>
      </c>
      <c r="K80" s="41" t="s">
        <v>299</v>
      </c>
      <c r="L80" s="41" t="s">
        <v>491</v>
      </c>
      <c r="M80" s="41" t="s">
        <v>383</v>
      </c>
      <c r="N80" s="54">
        <f t="shared" si="4"/>
        <v>8.6863425925925941E-2</v>
      </c>
      <c r="O80" s="41" t="s">
        <v>605</v>
      </c>
      <c r="P80" s="43">
        <v>405</v>
      </c>
      <c r="Q80" s="44">
        <v>9</v>
      </c>
      <c r="R80" s="44">
        <v>2250.61</v>
      </c>
      <c r="S80" s="45" t="s">
        <v>565</v>
      </c>
      <c r="T80" s="46" t="s">
        <v>540</v>
      </c>
      <c r="U80" s="46" t="s">
        <v>540</v>
      </c>
      <c r="V80" s="43" t="s">
        <v>540</v>
      </c>
      <c r="W80" s="41" t="s">
        <v>217</v>
      </c>
      <c r="X80" s="43">
        <v>60</v>
      </c>
      <c r="Y80" s="43">
        <f>IF(ISNUMBER(X80),ROUND(X80*0.85,0),"—")</f>
        <v>51</v>
      </c>
      <c r="Z80" s="43">
        <f>IF(ISNUMBER(X80),ROUND(X80*0.7,0),"—")</f>
        <v>42</v>
      </c>
      <c r="AA80" s="43">
        <f>IF(ISNUMBER(X80),ROUND(X80*0.55,0),"—")</f>
        <v>33</v>
      </c>
      <c r="AB80" s="56">
        <v>2.1990740740740742E-3</v>
      </c>
      <c r="AC80" s="56">
        <v>2.8148148148148151E-3</v>
      </c>
      <c r="AD80" s="56">
        <v>2.1990740740740742E-3</v>
      </c>
      <c r="AE80" s="56">
        <v>1.8692129629629629E-3</v>
      </c>
      <c r="AF80" s="41"/>
      <c r="AG80" s="41"/>
      <c r="AH80" s="41"/>
      <c r="AI80" s="41"/>
      <c r="AJ80" s="41"/>
    </row>
    <row r="81" spans="1:36" ht="39.6" customHeight="1">
      <c r="A81" s="41" t="s">
        <v>935</v>
      </c>
      <c r="B81" s="43">
        <v>77</v>
      </c>
      <c r="C81" s="43">
        <v>2</v>
      </c>
      <c r="D81" s="43">
        <v>6</v>
      </c>
      <c r="E81" s="41" t="s">
        <v>684</v>
      </c>
      <c r="F81" s="41" t="s">
        <v>113</v>
      </c>
      <c r="G81" s="41" t="s">
        <v>869</v>
      </c>
      <c r="H81" s="41" t="s">
        <v>746</v>
      </c>
      <c r="I81" s="43">
        <v>3</v>
      </c>
      <c r="J81" s="41" t="s">
        <v>998</v>
      </c>
      <c r="K81" s="41" t="s">
        <v>528</v>
      </c>
      <c r="L81" s="41" t="s">
        <v>488</v>
      </c>
      <c r="M81" s="41" t="s">
        <v>76</v>
      </c>
      <c r="N81" s="54">
        <f t="shared" si="4"/>
        <v>8.7673611111111133E-2</v>
      </c>
      <c r="O81" s="41" t="s">
        <v>605</v>
      </c>
      <c r="P81" s="43">
        <v>410</v>
      </c>
      <c r="Q81" s="44">
        <v>5</v>
      </c>
      <c r="R81" s="44">
        <v>2296.64</v>
      </c>
      <c r="S81" s="45" t="s">
        <v>978</v>
      </c>
      <c r="T81" s="46" t="s">
        <v>549</v>
      </c>
      <c r="U81" s="46" t="s">
        <v>983</v>
      </c>
      <c r="V81" s="43" t="s">
        <v>572</v>
      </c>
      <c r="W81" s="41" t="s">
        <v>1038</v>
      </c>
      <c r="X81" s="43" t="s">
        <v>540</v>
      </c>
      <c r="Y81" s="43" t="s">
        <v>540</v>
      </c>
      <c r="Z81" s="43" t="s">
        <v>540</v>
      </c>
      <c r="AA81" s="43" t="s">
        <v>540</v>
      </c>
      <c r="AB81" s="56">
        <v>8.1018518518518516E-4</v>
      </c>
      <c r="AC81" s="56">
        <v>8.9120370370370373E-4</v>
      </c>
      <c r="AD81" s="56">
        <v>8.1018518518518516E-4</v>
      </c>
      <c r="AE81" s="56">
        <v>7.6967592592592582E-4</v>
      </c>
      <c r="AF81" s="41"/>
      <c r="AG81" s="41"/>
      <c r="AH81" s="41"/>
      <c r="AI81" s="41"/>
      <c r="AJ81" s="41"/>
    </row>
    <row r="82" spans="1:36" ht="39.6" customHeight="1">
      <c r="A82" s="41" t="s">
        <v>935</v>
      </c>
      <c r="B82" s="43">
        <v>78</v>
      </c>
      <c r="C82" s="43">
        <v>3</v>
      </c>
      <c r="D82" s="43">
        <v>7</v>
      </c>
      <c r="E82" s="41" t="s">
        <v>26</v>
      </c>
      <c r="F82" s="41" t="s">
        <v>868</v>
      </c>
      <c r="G82" s="41" t="s">
        <v>847</v>
      </c>
      <c r="H82" s="41" t="s">
        <v>850</v>
      </c>
      <c r="I82" s="43">
        <v>5</v>
      </c>
      <c r="J82" s="41" t="s">
        <v>711</v>
      </c>
      <c r="K82" s="41" t="s">
        <v>389</v>
      </c>
      <c r="L82" s="41" t="s">
        <v>558</v>
      </c>
      <c r="M82" s="41" t="s">
        <v>82</v>
      </c>
      <c r="N82" s="54">
        <f t="shared" si="4"/>
        <v>8.859953703703706E-2</v>
      </c>
      <c r="O82" s="41" t="s">
        <v>605</v>
      </c>
      <c r="P82" s="43">
        <v>416</v>
      </c>
      <c r="Q82" s="44">
        <v>6</v>
      </c>
      <c r="R82" s="44">
        <v>2352.36</v>
      </c>
      <c r="S82" s="45" t="s">
        <v>978</v>
      </c>
      <c r="T82" s="46" t="s">
        <v>549</v>
      </c>
      <c r="U82" s="46" t="s">
        <v>983</v>
      </c>
      <c r="V82" s="43" t="s">
        <v>572</v>
      </c>
      <c r="W82" s="41" t="s">
        <v>217</v>
      </c>
      <c r="X82" s="43">
        <v>60</v>
      </c>
      <c r="Y82" s="43">
        <f t="shared" ref="Y82:Y89" si="5">IF(ISNUMBER(X82),ROUND(X82*0.85,0),"—")</f>
        <v>51</v>
      </c>
      <c r="Z82" s="43">
        <f t="shared" ref="Z82:Z89" si="6">IF(ISNUMBER(X82),ROUND(X82*0.7,0),"—")</f>
        <v>42</v>
      </c>
      <c r="AA82" s="43">
        <f t="shared" ref="AA82:AA89" si="7">IF(ISNUMBER(X82),ROUND(X82*0.55,0),"—")</f>
        <v>33</v>
      </c>
      <c r="AB82" s="56">
        <v>9.2592592592592596E-4</v>
      </c>
      <c r="AC82" s="56">
        <v>1.0601851851851853E-3</v>
      </c>
      <c r="AD82" s="56">
        <v>9.2592592592592596E-4</v>
      </c>
      <c r="AE82" s="56">
        <v>8.564814814814815E-4</v>
      </c>
      <c r="AF82" s="41"/>
      <c r="AG82" s="41"/>
      <c r="AH82" s="41"/>
      <c r="AI82" s="41"/>
      <c r="AJ82" s="41"/>
    </row>
    <row r="83" spans="1:36" ht="39.6" customHeight="1">
      <c r="A83" s="41" t="s">
        <v>935</v>
      </c>
      <c r="B83" s="43">
        <v>79</v>
      </c>
      <c r="C83" s="43">
        <v>4</v>
      </c>
      <c r="D83" s="43">
        <v>7</v>
      </c>
      <c r="E83" s="41" t="s">
        <v>399</v>
      </c>
      <c r="F83" s="41" t="s">
        <v>837</v>
      </c>
      <c r="G83" s="41" t="s">
        <v>177</v>
      </c>
      <c r="H83" s="41" t="s">
        <v>326</v>
      </c>
      <c r="I83" s="43">
        <v>3</v>
      </c>
      <c r="J83" s="41" t="s">
        <v>297</v>
      </c>
      <c r="K83" s="41" t="s">
        <v>409</v>
      </c>
      <c r="L83" s="41" t="s">
        <v>559</v>
      </c>
      <c r="M83" s="41" t="s">
        <v>106</v>
      </c>
      <c r="N83" s="54">
        <f t="shared" si="4"/>
        <v>8.9641203703703723E-2</v>
      </c>
      <c r="O83" s="41" t="s">
        <v>605</v>
      </c>
      <c r="P83" s="43">
        <v>423</v>
      </c>
      <c r="Q83" s="44">
        <v>7</v>
      </c>
      <c r="R83" s="44">
        <v>2418.0300000000002</v>
      </c>
      <c r="S83" s="45" t="s">
        <v>978</v>
      </c>
      <c r="T83" s="46" t="s">
        <v>549</v>
      </c>
      <c r="U83" s="46" t="s">
        <v>983</v>
      </c>
      <c r="V83" s="43" t="s">
        <v>572</v>
      </c>
      <c r="W83" s="41" t="s">
        <v>206</v>
      </c>
      <c r="X83" s="43">
        <v>20</v>
      </c>
      <c r="Y83" s="43">
        <f t="shared" si="5"/>
        <v>17</v>
      </c>
      <c r="Z83" s="43">
        <f t="shared" si="6"/>
        <v>14</v>
      </c>
      <c r="AA83" s="43">
        <f t="shared" si="7"/>
        <v>11</v>
      </c>
      <c r="AB83" s="56">
        <v>1.0416666666666667E-3</v>
      </c>
      <c r="AC83" s="56">
        <v>1.2395833333333334E-3</v>
      </c>
      <c r="AD83" s="56">
        <v>1.0416666666666667E-3</v>
      </c>
      <c r="AE83" s="56">
        <v>9.3749999999999986E-4</v>
      </c>
      <c r="AF83" s="41"/>
      <c r="AG83" s="41"/>
      <c r="AH83" s="41"/>
      <c r="AI83" s="41"/>
      <c r="AJ83" s="41"/>
    </row>
    <row r="84" spans="1:36" ht="39.6" customHeight="1">
      <c r="A84" s="41" t="s">
        <v>935</v>
      </c>
      <c r="B84" s="43">
        <v>80</v>
      </c>
      <c r="C84" s="43">
        <v>5</v>
      </c>
      <c r="D84" s="43">
        <v>8</v>
      </c>
      <c r="E84" s="41" t="s">
        <v>193</v>
      </c>
      <c r="F84" s="41" t="s">
        <v>841</v>
      </c>
      <c r="G84" s="41" t="s">
        <v>856</v>
      </c>
      <c r="H84" s="41" t="s">
        <v>834</v>
      </c>
      <c r="I84" s="43">
        <v>2</v>
      </c>
      <c r="J84" s="41" t="s">
        <v>197</v>
      </c>
      <c r="K84" s="41" t="s">
        <v>262</v>
      </c>
      <c r="L84" s="41" t="s">
        <v>563</v>
      </c>
      <c r="M84" s="41" t="s">
        <v>1001</v>
      </c>
      <c r="N84" s="54">
        <f t="shared" si="4"/>
        <v>9.0798611111111135E-2</v>
      </c>
      <c r="O84" s="41" t="s">
        <v>605</v>
      </c>
      <c r="P84" s="43">
        <v>432</v>
      </c>
      <c r="Q84" s="44">
        <v>9</v>
      </c>
      <c r="R84" s="44">
        <v>2503.5</v>
      </c>
      <c r="S84" s="45" t="s">
        <v>978</v>
      </c>
      <c r="T84" s="46" t="s">
        <v>549</v>
      </c>
      <c r="U84" s="46" t="s">
        <v>983</v>
      </c>
      <c r="V84" s="43" t="s">
        <v>572</v>
      </c>
      <c r="W84" s="41" t="s">
        <v>217</v>
      </c>
      <c r="X84" s="43">
        <v>60</v>
      </c>
      <c r="Y84" s="43">
        <f t="shared" si="5"/>
        <v>51</v>
      </c>
      <c r="Z84" s="43">
        <f t="shared" si="6"/>
        <v>42</v>
      </c>
      <c r="AA84" s="43">
        <f t="shared" si="7"/>
        <v>33</v>
      </c>
      <c r="AB84" s="56">
        <v>1.1574074074074073E-3</v>
      </c>
      <c r="AC84" s="56">
        <v>1.4293981481481482E-3</v>
      </c>
      <c r="AD84" s="56">
        <v>1.1574074074074073E-3</v>
      </c>
      <c r="AE84" s="56">
        <v>1.0127314814814814E-3</v>
      </c>
      <c r="AF84" s="41"/>
      <c r="AG84" s="41"/>
      <c r="AH84" s="41"/>
      <c r="AI84" s="41"/>
      <c r="AJ84" s="41"/>
    </row>
    <row r="85" spans="1:36" ht="39.6" customHeight="1">
      <c r="A85" s="41" t="s">
        <v>935</v>
      </c>
      <c r="B85" s="43">
        <v>81</v>
      </c>
      <c r="C85" s="43">
        <v>4</v>
      </c>
      <c r="D85" s="43">
        <v>9</v>
      </c>
      <c r="E85" s="41" t="s">
        <v>712</v>
      </c>
      <c r="F85" s="41" t="s">
        <v>117</v>
      </c>
      <c r="G85" s="41" t="s">
        <v>155</v>
      </c>
      <c r="H85" s="41" t="s">
        <v>361</v>
      </c>
      <c r="I85" s="43">
        <v>5</v>
      </c>
      <c r="J85" s="41" t="s">
        <v>999</v>
      </c>
      <c r="K85" s="41" t="s">
        <v>1000</v>
      </c>
      <c r="L85" s="41" t="s">
        <v>488</v>
      </c>
      <c r="M85" s="41" t="s">
        <v>92</v>
      </c>
      <c r="N85" s="54">
        <f t="shared" si="4"/>
        <v>9.1608796296296327E-2</v>
      </c>
      <c r="O85" s="41" t="s">
        <v>605</v>
      </c>
      <c r="P85" s="43">
        <v>440</v>
      </c>
      <c r="Q85" s="44">
        <v>8</v>
      </c>
      <c r="R85" s="44">
        <v>2580.46</v>
      </c>
      <c r="S85" s="45" t="s">
        <v>637</v>
      </c>
      <c r="T85" s="46" t="s">
        <v>878</v>
      </c>
      <c r="U85" s="46" t="s">
        <v>639</v>
      </c>
      <c r="V85" s="43" t="s">
        <v>572</v>
      </c>
      <c r="W85" s="41" t="s">
        <v>227</v>
      </c>
      <c r="X85" s="43">
        <v>30</v>
      </c>
      <c r="Y85" s="43">
        <f t="shared" si="5"/>
        <v>26</v>
      </c>
      <c r="Z85" s="43">
        <f t="shared" si="6"/>
        <v>21</v>
      </c>
      <c r="AA85" s="43">
        <f t="shared" si="7"/>
        <v>17</v>
      </c>
      <c r="AB85" s="56">
        <v>8.1018518518518516E-4</v>
      </c>
      <c r="AC85" s="56">
        <v>9.641203703703705E-4</v>
      </c>
      <c r="AD85" s="56">
        <v>8.1018518518518516E-4</v>
      </c>
      <c r="AE85" s="56">
        <v>7.2916666666666659E-4</v>
      </c>
      <c r="AF85" s="41"/>
      <c r="AG85" s="41"/>
      <c r="AH85" s="41"/>
      <c r="AI85" s="41"/>
      <c r="AJ85" s="41"/>
    </row>
    <row r="86" spans="1:36" ht="39.6" customHeight="1">
      <c r="A86" s="41" t="s">
        <v>935</v>
      </c>
      <c r="B86" s="43">
        <v>82</v>
      </c>
      <c r="C86" s="43">
        <v>5</v>
      </c>
      <c r="D86" s="43">
        <v>9</v>
      </c>
      <c r="E86" s="41" t="s">
        <v>625</v>
      </c>
      <c r="F86" s="41" t="s">
        <v>207</v>
      </c>
      <c r="G86" s="41" t="s">
        <v>63</v>
      </c>
      <c r="H86" s="41" t="s">
        <v>354</v>
      </c>
      <c r="I86" s="43">
        <v>4</v>
      </c>
      <c r="J86" s="41" t="s">
        <v>727</v>
      </c>
      <c r="K86" s="41" t="s">
        <v>720</v>
      </c>
      <c r="L86" s="41" t="s">
        <v>559</v>
      </c>
      <c r="M86" s="41" t="s">
        <v>182</v>
      </c>
      <c r="N86" s="54">
        <f t="shared" si="4"/>
        <v>9.265046296296299E-2</v>
      </c>
      <c r="O86" s="41" t="s">
        <v>605</v>
      </c>
      <c r="P86" s="43">
        <v>449</v>
      </c>
      <c r="Q86" s="44">
        <v>9</v>
      </c>
      <c r="R86" s="44">
        <v>2668.13</v>
      </c>
      <c r="S86" s="45" t="s">
        <v>565</v>
      </c>
      <c r="T86" s="46" t="s">
        <v>540</v>
      </c>
      <c r="U86" s="46" t="s">
        <v>540</v>
      </c>
      <c r="V86" s="43" t="s">
        <v>540</v>
      </c>
      <c r="W86" s="41" t="s">
        <v>217</v>
      </c>
      <c r="X86" s="43">
        <v>60</v>
      </c>
      <c r="Y86" s="43">
        <f t="shared" si="5"/>
        <v>51</v>
      </c>
      <c r="Z86" s="43">
        <f t="shared" si="6"/>
        <v>42</v>
      </c>
      <c r="AA86" s="43">
        <f t="shared" si="7"/>
        <v>33</v>
      </c>
      <c r="AB86" s="56">
        <v>1.0416666666666667E-3</v>
      </c>
      <c r="AC86" s="56">
        <v>1.2864583333333335E-3</v>
      </c>
      <c r="AD86" s="56">
        <v>1.0416666666666667E-3</v>
      </c>
      <c r="AE86" s="56">
        <v>9.1145833333333335E-4</v>
      </c>
      <c r="AF86" s="41"/>
      <c r="AG86" s="41"/>
      <c r="AH86" s="41"/>
      <c r="AI86" s="41"/>
      <c r="AJ86" s="41"/>
    </row>
    <row r="87" spans="1:36" ht="39.6" customHeight="1">
      <c r="A87" s="41" t="s">
        <v>935</v>
      </c>
      <c r="B87" s="43">
        <v>83</v>
      </c>
      <c r="C87" s="43">
        <v>5</v>
      </c>
      <c r="D87" s="43">
        <v>9</v>
      </c>
      <c r="E87" s="41" t="s">
        <v>160</v>
      </c>
      <c r="F87" s="41" t="s">
        <v>145</v>
      </c>
      <c r="G87" s="41" t="s">
        <v>47</v>
      </c>
      <c r="H87" s="41" t="s">
        <v>866</v>
      </c>
      <c r="I87" s="43">
        <v>3</v>
      </c>
      <c r="J87" s="41" t="s">
        <v>731</v>
      </c>
      <c r="K87" s="41" t="s">
        <v>309</v>
      </c>
      <c r="L87" s="41" t="s">
        <v>558</v>
      </c>
      <c r="M87" s="41" t="s">
        <v>1035</v>
      </c>
      <c r="N87" s="54">
        <f t="shared" si="4"/>
        <v>9.3576388888888917E-2</v>
      </c>
      <c r="O87" s="41" t="s">
        <v>605</v>
      </c>
      <c r="P87" s="43">
        <v>458</v>
      </c>
      <c r="Q87" s="44">
        <v>9</v>
      </c>
      <c r="R87" s="44">
        <v>2756.94</v>
      </c>
      <c r="S87" s="45" t="s">
        <v>565</v>
      </c>
      <c r="T87" s="46" t="s">
        <v>540</v>
      </c>
      <c r="U87" s="46" t="s">
        <v>540</v>
      </c>
      <c r="V87" s="43" t="s">
        <v>540</v>
      </c>
      <c r="W87" s="41" t="s">
        <v>52</v>
      </c>
      <c r="X87" s="43">
        <v>50</v>
      </c>
      <c r="Y87" s="43">
        <f t="shared" si="5"/>
        <v>43</v>
      </c>
      <c r="Z87" s="43">
        <f t="shared" si="6"/>
        <v>35</v>
      </c>
      <c r="AA87" s="43">
        <f t="shared" si="7"/>
        <v>28</v>
      </c>
      <c r="AB87" s="56">
        <v>9.2592592592592596E-4</v>
      </c>
      <c r="AC87" s="56">
        <v>1.1435185185185188E-3</v>
      </c>
      <c r="AD87" s="56">
        <v>9.2592592592592596E-4</v>
      </c>
      <c r="AE87" s="56">
        <v>8.1018518518518527E-4</v>
      </c>
      <c r="AF87" s="41"/>
      <c r="AG87" s="41"/>
      <c r="AH87" s="41"/>
      <c r="AI87" s="41"/>
      <c r="AJ87" s="41"/>
    </row>
    <row r="88" spans="1:36" ht="39.6" customHeight="1">
      <c r="A88" s="41" t="s">
        <v>935</v>
      </c>
      <c r="B88" s="43">
        <v>84</v>
      </c>
      <c r="C88" s="43">
        <v>6</v>
      </c>
      <c r="D88" s="43">
        <v>9</v>
      </c>
      <c r="E88" s="41" t="s">
        <v>683</v>
      </c>
      <c r="F88" s="41" t="s">
        <v>112</v>
      </c>
      <c r="G88" s="41" t="s">
        <v>45</v>
      </c>
      <c r="H88" s="41" t="s">
        <v>199</v>
      </c>
      <c r="I88" s="43">
        <v>3</v>
      </c>
      <c r="J88" s="41" t="s">
        <v>186</v>
      </c>
      <c r="K88" s="41" t="s">
        <v>1004</v>
      </c>
      <c r="L88" s="41" t="s">
        <v>521</v>
      </c>
      <c r="M88" s="41" t="s">
        <v>479</v>
      </c>
      <c r="N88" s="54">
        <f t="shared" si="4"/>
        <v>9.658564814814817E-2</v>
      </c>
      <c r="O88" s="41" t="s">
        <v>605</v>
      </c>
      <c r="P88" s="43">
        <v>468</v>
      </c>
      <c r="Q88" s="44">
        <v>10</v>
      </c>
      <c r="R88" s="44">
        <v>2856.97</v>
      </c>
      <c r="S88" s="45">
        <v>180</v>
      </c>
      <c r="T88" s="56">
        <v>5.2083333333333333E-4</v>
      </c>
      <c r="U88" s="56">
        <v>3.0092592592592593E-3</v>
      </c>
      <c r="V88" s="43">
        <v>1</v>
      </c>
      <c r="W88" s="41" t="s">
        <v>225</v>
      </c>
      <c r="X88" s="43">
        <v>120</v>
      </c>
      <c r="Y88" s="43">
        <f t="shared" si="5"/>
        <v>102</v>
      </c>
      <c r="Z88" s="43">
        <f t="shared" si="6"/>
        <v>84</v>
      </c>
      <c r="AA88" s="43">
        <f t="shared" si="7"/>
        <v>66</v>
      </c>
      <c r="AB88" s="56">
        <v>3.0092592592592593E-3</v>
      </c>
      <c r="AC88" s="56">
        <v>3.851851851851852E-3</v>
      </c>
      <c r="AD88" s="56">
        <v>3.0092592592592593E-3</v>
      </c>
      <c r="AE88" s="56">
        <v>2.5578703703703705E-3</v>
      </c>
      <c r="AF88" s="41"/>
      <c r="AG88" s="41"/>
      <c r="AH88" s="41"/>
      <c r="AI88" s="41"/>
      <c r="AJ88" s="41"/>
    </row>
    <row r="89" spans="1:36" ht="39.6" customHeight="1">
      <c r="A89" s="41" t="s">
        <v>935</v>
      </c>
      <c r="B89" s="43">
        <v>85</v>
      </c>
      <c r="C89" s="43">
        <v>3</v>
      </c>
      <c r="D89" s="43">
        <v>8</v>
      </c>
      <c r="E89" s="41" t="s">
        <v>124</v>
      </c>
      <c r="F89" s="41" t="s">
        <v>118</v>
      </c>
      <c r="G89" s="41" t="s">
        <v>73</v>
      </c>
      <c r="H89" s="41" t="s">
        <v>1015</v>
      </c>
      <c r="I89" s="43">
        <v>2</v>
      </c>
      <c r="J89" s="41" t="s">
        <v>132</v>
      </c>
      <c r="K89" s="41" t="s">
        <v>528</v>
      </c>
      <c r="L89" s="41" t="s">
        <v>543</v>
      </c>
      <c r="M89" s="41" t="s">
        <v>163</v>
      </c>
      <c r="N89" s="54">
        <f t="shared" si="4"/>
        <v>9.7280092592592612E-2</v>
      </c>
      <c r="O89" s="41" t="s">
        <v>605</v>
      </c>
      <c r="P89" s="43">
        <v>475</v>
      </c>
      <c r="Q89" s="44">
        <v>7</v>
      </c>
      <c r="R89" s="44">
        <v>2927.82</v>
      </c>
      <c r="S89" s="45" t="s">
        <v>565</v>
      </c>
      <c r="T89" s="56" t="s">
        <v>540</v>
      </c>
      <c r="U89" s="56" t="s">
        <v>540</v>
      </c>
      <c r="V89" s="43" t="s">
        <v>540</v>
      </c>
      <c r="W89" s="41" t="s">
        <v>206</v>
      </c>
      <c r="X89" s="43">
        <v>20</v>
      </c>
      <c r="Y89" s="43">
        <f t="shared" si="5"/>
        <v>17</v>
      </c>
      <c r="Z89" s="43">
        <f t="shared" si="6"/>
        <v>14</v>
      </c>
      <c r="AA89" s="43">
        <f t="shared" si="7"/>
        <v>11</v>
      </c>
      <c r="AB89" s="56">
        <v>6.9444444444444447E-4</v>
      </c>
      <c r="AC89" s="56">
        <v>7.9513888888888896E-4</v>
      </c>
      <c r="AD89" s="56">
        <v>6.9444444444444447E-4</v>
      </c>
      <c r="AE89" s="56">
        <v>6.4236111111111113E-4</v>
      </c>
      <c r="AF89" s="41"/>
      <c r="AG89" s="41"/>
      <c r="AH89" s="41"/>
      <c r="AI89" s="41"/>
      <c r="AJ89" s="41"/>
    </row>
    <row r="90" spans="1:36" ht="26.45" customHeight="1">
      <c r="A90" s="41" t="s">
        <v>935</v>
      </c>
      <c r="B90" s="43">
        <v>86</v>
      </c>
      <c r="C90" s="43">
        <v>1</v>
      </c>
      <c r="D90" s="43">
        <v>7</v>
      </c>
      <c r="E90" s="41" t="s">
        <v>597</v>
      </c>
      <c r="F90" s="41" t="s">
        <v>328</v>
      </c>
      <c r="G90" s="41" t="s">
        <v>814</v>
      </c>
      <c r="H90" s="41" t="s">
        <v>77</v>
      </c>
      <c r="I90" s="43">
        <v>2</v>
      </c>
      <c r="J90" s="41" t="s">
        <v>633</v>
      </c>
      <c r="K90" s="41" t="s">
        <v>401</v>
      </c>
      <c r="L90" s="41" t="s">
        <v>558</v>
      </c>
      <c r="M90" s="41" t="s">
        <v>394</v>
      </c>
      <c r="N90" s="54">
        <f t="shared" si="4"/>
        <v>9.820601851851854E-2</v>
      </c>
      <c r="O90" s="41" t="s">
        <v>605</v>
      </c>
      <c r="P90" s="43">
        <v>479</v>
      </c>
      <c r="Q90" s="44">
        <v>4</v>
      </c>
      <c r="R90" s="44">
        <v>2968.61</v>
      </c>
      <c r="S90" s="45" t="s">
        <v>565</v>
      </c>
      <c r="T90" s="56" t="s">
        <v>540</v>
      </c>
      <c r="U90" s="56" t="s">
        <v>540</v>
      </c>
      <c r="V90" s="43" t="s">
        <v>540</v>
      </c>
      <c r="W90" s="41" t="s">
        <v>1038</v>
      </c>
      <c r="X90" s="43" t="s">
        <v>540</v>
      </c>
      <c r="Y90" s="43" t="s">
        <v>540</v>
      </c>
      <c r="Z90" s="43" t="s">
        <v>540</v>
      </c>
      <c r="AA90" s="43" t="s">
        <v>540</v>
      </c>
      <c r="AB90" s="56">
        <v>9.2592592592592596E-4</v>
      </c>
      <c r="AC90" s="56">
        <v>1.0185185185185186E-3</v>
      </c>
      <c r="AD90" s="56">
        <v>9.2592592592592596E-4</v>
      </c>
      <c r="AE90" s="56">
        <v>8.7962962962962962E-4</v>
      </c>
      <c r="AF90" s="41"/>
      <c r="AG90" s="41"/>
      <c r="AH90" s="41"/>
      <c r="AI90" s="41"/>
      <c r="AJ90" s="41"/>
    </row>
    <row r="91" spans="1:36" ht="39.6" customHeight="1">
      <c r="A91" s="41" t="s">
        <v>935</v>
      </c>
      <c r="B91" s="43">
        <v>87</v>
      </c>
      <c r="C91" s="43">
        <v>1</v>
      </c>
      <c r="D91" s="43">
        <v>7</v>
      </c>
      <c r="E91" s="41" t="s">
        <v>632</v>
      </c>
      <c r="F91" s="41" t="s">
        <v>859</v>
      </c>
      <c r="G91" s="41" t="s">
        <v>367</v>
      </c>
      <c r="H91" s="41" t="s">
        <v>461</v>
      </c>
      <c r="I91" s="43">
        <v>2</v>
      </c>
      <c r="J91" s="41" t="s">
        <v>618</v>
      </c>
      <c r="K91" s="41" t="s">
        <v>528</v>
      </c>
      <c r="L91" s="41" t="s">
        <v>534</v>
      </c>
      <c r="M91" s="41" t="s">
        <v>1006</v>
      </c>
      <c r="N91" s="54">
        <f t="shared" si="4"/>
        <v>9.8784722222222246E-2</v>
      </c>
      <c r="O91" s="41" t="s">
        <v>615</v>
      </c>
      <c r="P91" s="43">
        <v>483</v>
      </c>
      <c r="Q91" s="44">
        <v>4</v>
      </c>
      <c r="R91" s="44">
        <v>3009.63</v>
      </c>
      <c r="S91" s="45" t="s">
        <v>565</v>
      </c>
      <c r="T91" s="56" t="s">
        <v>540</v>
      </c>
      <c r="U91" s="56" t="s">
        <v>540</v>
      </c>
      <c r="V91" s="43" t="s">
        <v>540</v>
      </c>
      <c r="W91" s="41" t="s">
        <v>211</v>
      </c>
      <c r="X91" s="43">
        <v>60</v>
      </c>
      <c r="Y91" s="43">
        <f t="shared" ref="Y91:Y97" si="8">IF(ISNUMBER(X91),ROUND(X91*0.85,0),"—")</f>
        <v>51</v>
      </c>
      <c r="Z91" s="43">
        <f t="shared" ref="Z91:Z97" si="9">IF(ISNUMBER(X91),ROUND(X91*0.7,0),"—")</f>
        <v>42</v>
      </c>
      <c r="AA91" s="43">
        <f t="shared" ref="AA91:AA97" si="10">IF(ISNUMBER(X91),ROUND(X91*0.55,0),"—")</f>
        <v>33</v>
      </c>
      <c r="AB91" s="56">
        <v>5.7870370370370367E-4</v>
      </c>
      <c r="AC91" s="56">
        <v>6.3657407407407413E-4</v>
      </c>
      <c r="AD91" s="56">
        <v>5.7870370370370367E-4</v>
      </c>
      <c r="AE91" s="56">
        <v>5.4976851851851844E-4</v>
      </c>
      <c r="AF91" s="41"/>
      <c r="AG91" s="41"/>
      <c r="AH91" s="41"/>
      <c r="AI91" s="41"/>
      <c r="AJ91" s="41"/>
    </row>
    <row r="92" spans="1:36" ht="39.6" customHeight="1">
      <c r="A92" s="41" t="s">
        <v>935</v>
      </c>
      <c r="B92" s="43">
        <v>88</v>
      </c>
      <c r="C92" s="43">
        <v>4</v>
      </c>
      <c r="D92" s="43">
        <v>8</v>
      </c>
      <c r="E92" s="41" t="s">
        <v>173</v>
      </c>
      <c r="F92" s="41" t="s">
        <v>846</v>
      </c>
      <c r="G92" s="41" t="s">
        <v>843</v>
      </c>
      <c r="H92" s="41" t="s">
        <v>359</v>
      </c>
      <c r="I92" s="43">
        <v>5</v>
      </c>
      <c r="J92" s="41" t="s">
        <v>123</v>
      </c>
      <c r="K92" s="41" t="s">
        <v>699</v>
      </c>
      <c r="L92" s="41" t="s">
        <v>558</v>
      </c>
      <c r="M92" s="41" t="s">
        <v>1018</v>
      </c>
      <c r="N92" s="54">
        <f t="shared" si="4"/>
        <v>9.9710648148148173E-2</v>
      </c>
      <c r="O92" s="41" t="s">
        <v>615</v>
      </c>
      <c r="P92" s="43">
        <v>491</v>
      </c>
      <c r="Q92" s="44">
        <v>8</v>
      </c>
      <c r="R92" s="44">
        <v>3092.32</v>
      </c>
      <c r="S92" s="45" t="s">
        <v>565</v>
      </c>
      <c r="T92" s="56" t="s">
        <v>540</v>
      </c>
      <c r="U92" s="56" t="s">
        <v>540</v>
      </c>
      <c r="V92" s="43" t="s">
        <v>540</v>
      </c>
      <c r="W92" s="41" t="s">
        <v>58</v>
      </c>
      <c r="X92" s="43">
        <v>30</v>
      </c>
      <c r="Y92" s="43">
        <f t="shared" si="8"/>
        <v>26</v>
      </c>
      <c r="Z92" s="43">
        <f t="shared" si="9"/>
        <v>21</v>
      </c>
      <c r="AA92" s="43">
        <f t="shared" si="10"/>
        <v>17</v>
      </c>
      <c r="AB92" s="56">
        <v>9.2592592592592596E-4</v>
      </c>
      <c r="AC92" s="56">
        <v>1.1018518518518521E-3</v>
      </c>
      <c r="AD92" s="56">
        <v>9.2592592592592596E-4</v>
      </c>
      <c r="AE92" s="56">
        <v>8.3333333333333328E-4</v>
      </c>
      <c r="AF92" s="41"/>
      <c r="AG92" s="41"/>
      <c r="AH92" s="41"/>
      <c r="AI92" s="41"/>
      <c r="AJ92" s="41"/>
    </row>
    <row r="93" spans="1:36" ht="39.6" customHeight="1">
      <c r="A93" s="41" t="s">
        <v>935</v>
      </c>
      <c r="B93" s="43">
        <v>89</v>
      </c>
      <c r="C93" s="43">
        <v>6</v>
      </c>
      <c r="D93" s="43">
        <v>9</v>
      </c>
      <c r="E93" s="41" t="s">
        <v>635</v>
      </c>
      <c r="F93" s="41" t="s">
        <v>872</v>
      </c>
      <c r="G93" s="41" t="s">
        <v>204</v>
      </c>
      <c r="H93" s="41" t="s">
        <v>852</v>
      </c>
      <c r="I93" s="43">
        <v>4</v>
      </c>
      <c r="J93" s="41" t="s">
        <v>388</v>
      </c>
      <c r="K93" s="41" t="s">
        <v>1003</v>
      </c>
      <c r="L93" s="41" t="s">
        <v>559</v>
      </c>
      <c r="M93" s="41" t="s">
        <v>191</v>
      </c>
      <c r="N93" s="54">
        <f t="shared" si="4"/>
        <v>0.10075231481481484</v>
      </c>
      <c r="O93" s="41" t="s">
        <v>615</v>
      </c>
      <c r="P93" s="43">
        <v>501</v>
      </c>
      <c r="Q93" s="44">
        <v>10</v>
      </c>
      <c r="R93" s="44">
        <v>3196.92</v>
      </c>
      <c r="S93" s="45" t="s">
        <v>565</v>
      </c>
      <c r="T93" s="56" t="s">
        <v>540</v>
      </c>
      <c r="U93" s="56" t="s">
        <v>540</v>
      </c>
      <c r="V93" s="43" t="s">
        <v>540</v>
      </c>
      <c r="W93" s="41" t="s">
        <v>217</v>
      </c>
      <c r="X93" s="43">
        <v>60</v>
      </c>
      <c r="Y93" s="43">
        <f t="shared" si="8"/>
        <v>51</v>
      </c>
      <c r="Z93" s="43">
        <f t="shared" si="9"/>
        <v>42</v>
      </c>
      <c r="AA93" s="43">
        <f t="shared" si="10"/>
        <v>33</v>
      </c>
      <c r="AB93" s="56">
        <v>1.0416666666666667E-3</v>
      </c>
      <c r="AC93" s="56">
        <v>1.3333333333333333E-3</v>
      </c>
      <c r="AD93" s="56">
        <v>1.0416666666666667E-3</v>
      </c>
      <c r="AE93" s="56">
        <v>8.8541666666666662E-4</v>
      </c>
      <c r="AF93" s="41"/>
      <c r="AG93" s="41"/>
      <c r="AH93" s="41"/>
      <c r="AI93" s="41"/>
      <c r="AJ93" s="41"/>
    </row>
    <row r="94" spans="1:36" ht="39.6" customHeight="1">
      <c r="A94" s="41" t="s">
        <v>935</v>
      </c>
      <c r="B94" s="43">
        <v>90</v>
      </c>
      <c r="C94" s="43">
        <v>6</v>
      </c>
      <c r="D94" s="43">
        <v>9</v>
      </c>
      <c r="E94" s="41" t="s">
        <v>623</v>
      </c>
      <c r="F94" s="41" t="s">
        <v>200</v>
      </c>
      <c r="G94" s="41" t="s">
        <v>215</v>
      </c>
      <c r="H94" s="41" t="s">
        <v>368</v>
      </c>
      <c r="I94" s="43">
        <v>2</v>
      </c>
      <c r="J94" s="41" t="s">
        <v>418</v>
      </c>
      <c r="K94" s="41" t="s">
        <v>692</v>
      </c>
      <c r="L94" s="41" t="s">
        <v>545</v>
      </c>
      <c r="M94" s="41" t="s">
        <v>192</v>
      </c>
      <c r="N94" s="54">
        <f t="shared" si="4"/>
        <v>0.10115740740740743</v>
      </c>
      <c r="O94" s="41" t="s">
        <v>615</v>
      </c>
      <c r="P94" s="43">
        <v>511</v>
      </c>
      <c r="Q94" s="44">
        <v>10</v>
      </c>
      <c r="R94" s="44">
        <v>3302.89</v>
      </c>
      <c r="S94" s="45">
        <f t="shared" ref="S94:S97" si="11">R94/V94</f>
        <v>3302.89</v>
      </c>
      <c r="T94" s="56">
        <v>4.0509259259259258E-4</v>
      </c>
      <c r="U94" s="56">
        <f t="shared" ref="U94:U97" si="12">T94*V94</f>
        <v>4.0509259259259258E-4</v>
      </c>
      <c r="V94" s="43">
        <v>1</v>
      </c>
      <c r="W94" s="41" t="s">
        <v>876</v>
      </c>
      <c r="X94" s="43">
        <v>80</v>
      </c>
      <c r="Y94" s="43">
        <f t="shared" si="8"/>
        <v>68</v>
      </c>
      <c r="Z94" s="43">
        <f t="shared" si="9"/>
        <v>56</v>
      </c>
      <c r="AA94" s="43">
        <f t="shared" si="10"/>
        <v>44</v>
      </c>
      <c r="AB94" s="56">
        <v>4.0509259259259258E-4</v>
      </c>
      <c r="AC94" s="56">
        <v>5.1851851851851853E-4</v>
      </c>
      <c r="AD94" s="56">
        <v>4.0509259259259258E-4</v>
      </c>
      <c r="AE94" s="56">
        <v>3.4432870370370368E-4</v>
      </c>
      <c r="AF94" s="41"/>
      <c r="AG94" s="41"/>
      <c r="AH94" s="41"/>
      <c r="AI94" s="41"/>
      <c r="AJ94" s="41"/>
    </row>
    <row r="95" spans="1:36" ht="26.45" customHeight="1">
      <c r="A95" s="41" t="s">
        <v>935</v>
      </c>
      <c r="B95" s="43">
        <v>91</v>
      </c>
      <c r="C95" s="43">
        <v>4</v>
      </c>
      <c r="D95" s="43">
        <v>6</v>
      </c>
      <c r="E95" s="41" t="s">
        <v>631</v>
      </c>
      <c r="F95" s="41" t="s">
        <v>1008</v>
      </c>
      <c r="G95" s="41" t="s">
        <v>65</v>
      </c>
      <c r="H95" s="41" t="s">
        <v>330</v>
      </c>
      <c r="I95" s="43">
        <v>7</v>
      </c>
      <c r="J95" s="41" t="s">
        <v>980</v>
      </c>
      <c r="K95" s="41" t="s">
        <v>678</v>
      </c>
      <c r="L95" s="41" t="s">
        <v>538</v>
      </c>
      <c r="M95" s="41" t="s">
        <v>269</v>
      </c>
      <c r="N95" s="54">
        <f t="shared" si="4"/>
        <v>0.10393518518518521</v>
      </c>
      <c r="O95" s="41" t="s">
        <v>686</v>
      </c>
      <c r="P95" s="43">
        <v>518</v>
      </c>
      <c r="Q95" s="44">
        <v>7</v>
      </c>
      <c r="R95" s="44">
        <v>3377.88</v>
      </c>
      <c r="S95" s="45" t="s">
        <v>565</v>
      </c>
      <c r="T95" s="56" t="s">
        <v>540</v>
      </c>
      <c r="U95" s="56" t="s">
        <v>540</v>
      </c>
      <c r="V95" s="43" t="s">
        <v>540</v>
      </c>
      <c r="W95" s="41" t="s">
        <v>227</v>
      </c>
      <c r="X95" s="43">
        <v>30</v>
      </c>
      <c r="Y95" s="43">
        <f t="shared" si="8"/>
        <v>26</v>
      </c>
      <c r="Z95" s="43">
        <f t="shared" si="9"/>
        <v>21</v>
      </c>
      <c r="AA95" s="43">
        <f t="shared" si="10"/>
        <v>17</v>
      </c>
      <c r="AB95" s="56">
        <v>2.7777777777777779E-3</v>
      </c>
      <c r="AC95" s="56">
        <v>3.3055555555555559E-3</v>
      </c>
      <c r="AD95" s="56">
        <v>2.7777777777777779E-3</v>
      </c>
      <c r="AE95" s="56">
        <v>2.5000000000000001E-3</v>
      </c>
      <c r="AF95" s="41"/>
      <c r="AG95" s="41"/>
      <c r="AH95" s="41"/>
      <c r="AI95" s="41"/>
      <c r="AJ95" s="41"/>
    </row>
    <row r="96" spans="1:36" ht="39.6" customHeight="1">
      <c r="A96" s="41" t="s">
        <v>935</v>
      </c>
      <c r="B96" s="43">
        <v>92</v>
      </c>
      <c r="C96" s="43">
        <v>6</v>
      </c>
      <c r="D96" s="43">
        <v>9</v>
      </c>
      <c r="E96" s="41" t="s">
        <v>691</v>
      </c>
      <c r="F96" s="41" t="s">
        <v>213</v>
      </c>
      <c r="G96" s="41" t="s">
        <v>53</v>
      </c>
      <c r="H96" s="41" t="s">
        <v>864</v>
      </c>
      <c r="I96" s="43">
        <v>3</v>
      </c>
      <c r="J96" s="41" t="s">
        <v>688</v>
      </c>
      <c r="K96" s="41" t="s">
        <v>1005</v>
      </c>
      <c r="L96" s="41" t="s">
        <v>559</v>
      </c>
      <c r="M96" s="41" t="s">
        <v>184</v>
      </c>
      <c r="N96" s="54">
        <f t="shared" si="4"/>
        <v>0.10497685185185188</v>
      </c>
      <c r="O96" s="41" t="s">
        <v>419</v>
      </c>
      <c r="P96" s="43">
        <v>528</v>
      </c>
      <c r="Q96" s="44">
        <v>10</v>
      </c>
      <c r="R96" s="44">
        <v>3486.15</v>
      </c>
      <c r="S96" s="45" t="s">
        <v>565</v>
      </c>
      <c r="T96" s="56" t="s">
        <v>540</v>
      </c>
      <c r="U96" s="56" t="s">
        <v>540</v>
      </c>
      <c r="V96" s="43" t="s">
        <v>540</v>
      </c>
      <c r="W96" s="41" t="s">
        <v>52</v>
      </c>
      <c r="X96" s="43">
        <v>50</v>
      </c>
      <c r="Y96" s="43">
        <f t="shared" si="8"/>
        <v>43</v>
      </c>
      <c r="Z96" s="43">
        <f t="shared" si="9"/>
        <v>35</v>
      </c>
      <c r="AA96" s="43">
        <f t="shared" si="10"/>
        <v>28</v>
      </c>
      <c r="AB96" s="56">
        <v>1.0416666666666667E-3</v>
      </c>
      <c r="AC96" s="56">
        <v>1.3333333333333333E-3</v>
      </c>
      <c r="AD96" s="56">
        <v>1.0416666666666667E-3</v>
      </c>
      <c r="AE96" s="56">
        <v>8.8541666666666662E-4</v>
      </c>
      <c r="AF96" s="41"/>
      <c r="AG96" s="41"/>
      <c r="AH96" s="41"/>
      <c r="AI96" s="41"/>
      <c r="AJ96" s="41"/>
    </row>
    <row r="97" spans="1:36" ht="39.6" customHeight="1">
      <c r="A97" s="41" t="s">
        <v>935</v>
      </c>
      <c r="B97" s="43">
        <v>93</v>
      </c>
      <c r="C97" s="43">
        <v>7</v>
      </c>
      <c r="D97" s="43">
        <v>9</v>
      </c>
      <c r="E97" s="41" t="s">
        <v>162</v>
      </c>
      <c r="F97" s="41" t="s">
        <v>214</v>
      </c>
      <c r="G97" s="41" t="s">
        <v>44</v>
      </c>
      <c r="H97" s="41" t="s">
        <v>848</v>
      </c>
      <c r="I97" s="43">
        <v>2</v>
      </c>
      <c r="J97" s="41" t="s">
        <v>28</v>
      </c>
      <c r="K97" s="41" t="s">
        <v>178</v>
      </c>
      <c r="L97" s="41" t="s">
        <v>534</v>
      </c>
      <c r="M97" s="41" t="s">
        <v>179</v>
      </c>
      <c r="N97" s="54">
        <f t="shared" si="4"/>
        <v>0.10555555555555558</v>
      </c>
      <c r="O97" s="41" t="s">
        <v>419</v>
      </c>
      <c r="P97" s="43">
        <v>539</v>
      </c>
      <c r="Q97" s="44">
        <v>11</v>
      </c>
      <c r="R97" s="44">
        <v>3606.8</v>
      </c>
      <c r="S97" s="45">
        <f t="shared" si="11"/>
        <v>1803.4</v>
      </c>
      <c r="T97" s="56">
        <v>2.8935185185185184E-4</v>
      </c>
      <c r="U97" s="56">
        <f t="shared" si="12"/>
        <v>5.7870370370370367E-4</v>
      </c>
      <c r="V97" s="43">
        <v>2</v>
      </c>
      <c r="W97" s="41" t="s">
        <v>876</v>
      </c>
      <c r="X97" s="43">
        <v>80</v>
      </c>
      <c r="Y97" s="43">
        <f t="shared" si="8"/>
        <v>68</v>
      </c>
      <c r="Z97" s="43">
        <f t="shared" si="9"/>
        <v>56</v>
      </c>
      <c r="AA97" s="43">
        <f t="shared" si="10"/>
        <v>44</v>
      </c>
      <c r="AB97" s="56">
        <v>5.7870370370370367E-4</v>
      </c>
      <c r="AC97" s="56">
        <v>7.6678240740740743E-4</v>
      </c>
      <c r="AD97" s="56">
        <v>5.7870370370370367E-4</v>
      </c>
      <c r="AE97" s="56">
        <v>4.7743055555555549E-4</v>
      </c>
      <c r="AF97" s="41"/>
      <c r="AG97" s="41"/>
      <c r="AH97" s="41"/>
      <c r="AI97" s="41"/>
      <c r="AJ97" s="41"/>
    </row>
    <row r="98" spans="1:36" ht="39.6" customHeight="1">
      <c r="A98" s="41" t="s">
        <v>935</v>
      </c>
      <c r="B98" s="43">
        <v>94</v>
      </c>
      <c r="C98" s="43">
        <v>1</v>
      </c>
      <c r="D98" s="43">
        <v>7</v>
      </c>
      <c r="E98" s="41" t="s">
        <v>595</v>
      </c>
      <c r="F98" s="41" t="s">
        <v>83</v>
      </c>
      <c r="G98" s="41" t="s">
        <v>110</v>
      </c>
      <c r="H98" s="41" t="s">
        <v>749</v>
      </c>
      <c r="I98" s="43">
        <v>3</v>
      </c>
      <c r="J98" s="41" t="s">
        <v>592</v>
      </c>
      <c r="K98" s="41" t="s">
        <v>528</v>
      </c>
      <c r="L98" s="41" t="s">
        <v>558</v>
      </c>
      <c r="M98" s="41" t="s">
        <v>314</v>
      </c>
      <c r="N98" s="54">
        <f t="shared" si="4"/>
        <v>0.10648148148148151</v>
      </c>
      <c r="O98" s="41" t="s">
        <v>686</v>
      </c>
      <c r="P98" s="43">
        <v>543</v>
      </c>
      <c r="Q98" s="44">
        <v>4</v>
      </c>
      <c r="R98" s="44">
        <v>3651.07</v>
      </c>
      <c r="S98" s="45" t="s">
        <v>565</v>
      </c>
      <c r="T98" s="56" t="s">
        <v>540</v>
      </c>
      <c r="U98" s="56" t="s">
        <v>540</v>
      </c>
      <c r="V98" s="43" t="s">
        <v>540</v>
      </c>
      <c r="W98" s="41" t="s">
        <v>1038</v>
      </c>
      <c r="X98" s="43" t="s">
        <v>540</v>
      </c>
      <c r="Y98" s="43" t="s">
        <v>540</v>
      </c>
      <c r="Z98" s="43" t="s">
        <v>540</v>
      </c>
      <c r="AA98" s="43" t="s">
        <v>540</v>
      </c>
      <c r="AB98" s="56">
        <v>9.2592592592592596E-4</v>
      </c>
      <c r="AC98" s="56">
        <v>1.0185185185185186E-3</v>
      </c>
      <c r="AD98" s="56">
        <v>9.2592592592592596E-4</v>
      </c>
      <c r="AE98" s="56">
        <v>8.7962962962962962E-4</v>
      </c>
      <c r="AF98" s="41"/>
      <c r="AG98" s="41"/>
      <c r="AH98" s="41"/>
      <c r="AI98" s="41"/>
      <c r="AJ98" s="41"/>
    </row>
    <row r="99" spans="1:36" ht="39.6" customHeight="1">
      <c r="A99" s="41" t="s">
        <v>935</v>
      </c>
      <c r="B99" s="43">
        <v>95</v>
      </c>
      <c r="C99" s="43">
        <v>3</v>
      </c>
      <c r="D99" s="43">
        <v>5</v>
      </c>
      <c r="E99" s="41" t="s">
        <v>993</v>
      </c>
      <c r="F99" s="41" t="s">
        <v>51</v>
      </c>
      <c r="G99" s="41" t="s">
        <v>148</v>
      </c>
      <c r="H99" s="41" t="s">
        <v>759</v>
      </c>
      <c r="I99" s="43">
        <v>5</v>
      </c>
      <c r="J99" s="41" t="s">
        <v>135</v>
      </c>
      <c r="K99" s="41" t="s">
        <v>402</v>
      </c>
      <c r="L99" s="41" t="s">
        <v>527</v>
      </c>
      <c r="M99" s="41" t="s">
        <v>381</v>
      </c>
      <c r="N99" s="54">
        <f t="shared" si="4"/>
        <v>0.10787037037037039</v>
      </c>
      <c r="O99" s="41" t="s">
        <v>686</v>
      </c>
      <c r="P99" s="43">
        <v>548</v>
      </c>
      <c r="Q99" s="44">
        <v>5</v>
      </c>
      <c r="R99" s="44">
        <v>3706.7</v>
      </c>
      <c r="S99" s="45" t="s">
        <v>565</v>
      </c>
      <c r="T99" s="56" t="s">
        <v>540</v>
      </c>
      <c r="U99" s="56" t="s">
        <v>540</v>
      </c>
      <c r="V99" s="43" t="s">
        <v>540</v>
      </c>
      <c r="W99" s="41" t="s">
        <v>227</v>
      </c>
      <c r="X99" s="43">
        <v>30</v>
      </c>
      <c r="Y99" s="43">
        <f>IF(ISNUMBER(X99),ROUND(X99*0.85,0),"—")</f>
        <v>26</v>
      </c>
      <c r="Z99" s="43">
        <f>IF(ISNUMBER(X99),ROUND(X99*0.7,0),"—")</f>
        <v>21</v>
      </c>
      <c r="AA99" s="43">
        <f>IF(ISNUMBER(X99),ROUND(X99*0.55,0),"—")</f>
        <v>17</v>
      </c>
      <c r="AB99" s="56">
        <v>1.3888888888888889E-3</v>
      </c>
      <c r="AC99" s="56">
        <v>1.5902777777777779E-3</v>
      </c>
      <c r="AD99" s="56">
        <v>1.3888888888888889E-3</v>
      </c>
      <c r="AE99" s="56">
        <v>1.2847222222222223E-3</v>
      </c>
      <c r="AF99" s="41"/>
      <c r="AG99" s="41"/>
      <c r="AH99" s="41"/>
      <c r="AI99" s="41"/>
      <c r="AJ99" s="41"/>
    </row>
    <row r="100" spans="1:36" ht="39.6" customHeight="1">
      <c r="A100" s="41" t="s">
        <v>991</v>
      </c>
      <c r="B100" s="43">
        <v>96</v>
      </c>
      <c r="C100" s="43">
        <v>1</v>
      </c>
      <c r="D100" s="43">
        <v>7</v>
      </c>
      <c r="E100" s="41" t="s">
        <v>977</v>
      </c>
      <c r="F100" s="41" t="s">
        <v>1002</v>
      </c>
      <c r="G100" s="41" t="s">
        <v>234</v>
      </c>
      <c r="H100" s="41" t="s">
        <v>101</v>
      </c>
      <c r="I100" s="43">
        <v>2</v>
      </c>
      <c r="J100" s="41" t="s">
        <v>988</v>
      </c>
      <c r="K100" s="41" t="s">
        <v>528</v>
      </c>
      <c r="L100" s="41" t="s">
        <v>563</v>
      </c>
      <c r="M100" s="41" t="s">
        <v>1014</v>
      </c>
      <c r="N100" s="54">
        <f t="shared" si="4"/>
        <v>0.10902777777777781</v>
      </c>
      <c r="O100" s="41" t="s">
        <v>987</v>
      </c>
      <c r="P100" s="43">
        <v>552</v>
      </c>
      <c r="Q100" s="44">
        <v>4</v>
      </c>
      <c r="R100" s="44">
        <v>3751.45</v>
      </c>
      <c r="S100" s="45" t="s">
        <v>565</v>
      </c>
      <c r="T100" s="56" t="s">
        <v>540</v>
      </c>
      <c r="U100" s="56" t="s">
        <v>540</v>
      </c>
      <c r="V100" s="43" t="s">
        <v>540</v>
      </c>
      <c r="W100" s="41" t="s">
        <v>1038</v>
      </c>
      <c r="X100" s="43" t="s">
        <v>540</v>
      </c>
      <c r="Y100" s="43" t="s">
        <v>540</v>
      </c>
      <c r="Z100" s="43" t="s">
        <v>540</v>
      </c>
      <c r="AA100" s="43" t="s">
        <v>540</v>
      </c>
      <c r="AB100" s="56">
        <v>1.1574074074074073E-3</v>
      </c>
      <c r="AC100" s="56">
        <v>1.2731481481481483E-3</v>
      </c>
      <c r="AD100" s="56">
        <v>1.1574074074074073E-3</v>
      </c>
      <c r="AE100" s="56">
        <v>1.0995370370370369E-3</v>
      </c>
      <c r="AF100" s="41"/>
      <c r="AG100" s="41"/>
      <c r="AH100" s="41"/>
      <c r="AI100" s="41"/>
      <c r="AJ100" s="41"/>
    </row>
    <row r="101" spans="1:36" ht="26.45" customHeight="1">
      <c r="A101" s="41" t="s">
        <v>991</v>
      </c>
      <c r="B101" s="43">
        <v>97</v>
      </c>
      <c r="C101" s="43">
        <v>2</v>
      </c>
      <c r="D101" s="43">
        <v>5</v>
      </c>
      <c r="E101" s="41" t="s">
        <v>989</v>
      </c>
      <c r="F101" s="41" t="s">
        <v>873</v>
      </c>
      <c r="G101" s="41" t="s">
        <v>41</v>
      </c>
      <c r="H101" s="41" t="s">
        <v>750</v>
      </c>
      <c r="I101" s="43">
        <v>5</v>
      </c>
      <c r="J101" s="41" t="s">
        <v>1029</v>
      </c>
      <c r="K101" s="41" t="s">
        <v>403</v>
      </c>
      <c r="L101" s="41" t="s">
        <v>563</v>
      </c>
      <c r="M101" s="41" t="s">
        <v>630</v>
      </c>
      <c r="N101" s="54">
        <f t="shared" si="4"/>
        <v>0.11018518518518522</v>
      </c>
      <c r="O101" s="41" t="s">
        <v>987</v>
      </c>
      <c r="P101" s="43">
        <v>556</v>
      </c>
      <c r="Q101" s="44">
        <v>4</v>
      </c>
      <c r="R101" s="44">
        <v>3796.41</v>
      </c>
      <c r="S101" s="45" t="s">
        <v>565</v>
      </c>
      <c r="T101" s="56" t="s">
        <v>540</v>
      </c>
      <c r="U101" s="56" t="s">
        <v>540</v>
      </c>
      <c r="V101" s="43" t="s">
        <v>540</v>
      </c>
      <c r="W101" s="41" t="s">
        <v>58</v>
      </c>
      <c r="X101" s="43">
        <v>30</v>
      </c>
      <c r="Y101" s="43">
        <f>IF(ISNUMBER(X101),ROUND(X101*0.85,0),"—")</f>
        <v>26</v>
      </c>
      <c r="Z101" s="43">
        <f>IF(ISNUMBER(X101),ROUND(X101*0.7,0),"—")</f>
        <v>21</v>
      </c>
      <c r="AA101" s="43">
        <f>IF(ISNUMBER(X101),ROUND(X101*0.55,0),"—")</f>
        <v>17</v>
      </c>
      <c r="AB101" s="56">
        <v>1.1574074074074073E-3</v>
      </c>
      <c r="AC101" s="56">
        <v>1.2731481481481483E-3</v>
      </c>
      <c r="AD101" s="56">
        <v>1.1574074074074073E-3</v>
      </c>
      <c r="AE101" s="56">
        <v>1.0995370370370369E-3</v>
      </c>
      <c r="AF101" s="41"/>
      <c r="AG101" s="41"/>
      <c r="AH101" s="41"/>
      <c r="AI101" s="41"/>
      <c r="AJ101" s="41"/>
    </row>
    <row r="102" spans="1:36" ht="26.45" customHeight="1">
      <c r="A102" s="41" t="s">
        <v>991</v>
      </c>
      <c r="B102" s="43">
        <v>98</v>
      </c>
      <c r="C102" s="43">
        <v>2</v>
      </c>
      <c r="D102" s="43">
        <v>5</v>
      </c>
      <c r="E102" s="41" t="s">
        <v>608</v>
      </c>
      <c r="F102" s="41" t="s">
        <v>79</v>
      </c>
      <c r="G102" s="41" t="s">
        <v>737</v>
      </c>
      <c r="H102" s="41" t="s">
        <v>355</v>
      </c>
      <c r="I102" s="43">
        <v>4</v>
      </c>
      <c r="J102" s="41" t="s">
        <v>410</v>
      </c>
      <c r="K102" s="41" t="s">
        <v>528</v>
      </c>
      <c r="L102" s="41" t="s">
        <v>527</v>
      </c>
      <c r="M102" s="41" t="s">
        <v>408</v>
      </c>
      <c r="N102" s="54">
        <f t="shared" ref="N102:N123" si="13">N101+(IFERROR(VALUE(LEFT(L102,FIND("분",L102)-1))*60,0)+IFERROR(VALUE(TRIM(MID(L102,IFERROR(FIND("분",L102),0)+1,IFERROR(FIND("초",L102),LEN(L102)+1)-IFERROR(FIND("분",L102),0)-1))),0))/86400</f>
        <v>0.1115740740740741</v>
      </c>
      <c r="O102" s="41" t="s">
        <v>987</v>
      </c>
      <c r="P102" s="43">
        <v>560</v>
      </c>
      <c r="Q102" s="44">
        <v>4</v>
      </c>
      <c r="R102" s="44">
        <v>3841.58</v>
      </c>
      <c r="S102" s="45" t="s">
        <v>565</v>
      </c>
      <c r="T102" s="56" t="s">
        <v>540</v>
      </c>
      <c r="U102" s="56" t="s">
        <v>540</v>
      </c>
      <c r="V102" s="43" t="s">
        <v>540</v>
      </c>
      <c r="W102" s="41" t="s">
        <v>1038</v>
      </c>
      <c r="X102" s="43" t="s">
        <v>540</v>
      </c>
      <c r="Y102" s="43" t="s">
        <v>540</v>
      </c>
      <c r="Z102" s="43" t="s">
        <v>540</v>
      </c>
      <c r="AA102" s="43" t="s">
        <v>540</v>
      </c>
      <c r="AB102" s="56">
        <v>1.3888888888888889E-3</v>
      </c>
      <c r="AC102" s="56">
        <v>1.5277777777777779E-3</v>
      </c>
      <c r="AD102" s="56">
        <v>1.3888888888888889E-3</v>
      </c>
      <c r="AE102" s="56">
        <v>1.3194444444444445E-3</v>
      </c>
      <c r="AF102" s="41"/>
      <c r="AG102" s="41"/>
      <c r="AH102" s="41"/>
      <c r="AI102" s="41"/>
      <c r="AJ102" s="41"/>
    </row>
    <row r="103" spans="1:36" ht="26.45" customHeight="1">
      <c r="A103" s="41" t="s">
        <v>991</v>
      </c>
      <c r="B103" s="43">
        <v>99</v>
      </c>
      <c r="C103" s="43">
        <v>3</v>
      </c>
      <c r="D103" s="43">
        <v>6</v>
      </c>
      <c r="E103" s="41" t="s">
        <v>982</v>
      </c>
      <c r="F103" s="41" t="s">
        <v>78</v>
      </c>
      <c r="G103" s="41" t="s">
        <v>91</v>
      </c>
      <c r="H103" s="41" t="s">
        <v>335</v>
      </c>
      <c r="I103" s="43">
        <v>1</v>
      </c>
      <c r="J103" s="41" t="s">
        <v>515</v>
      </c>
      <c r="K103" s="41" t="s">
        <v>315</v>
      </c>
      <c r="L103" s="41" t="s">
        <v>497</v>
      </c>
      <c r="M103" s="41" t="s">
        <v>395</v>
      </c>
      <c r="N103" s="54">
        <f t="shared" si="13"/>
        <v>0.11307870370370374</v>
      </c>
      <c r="O103" s="41" t="s">
        <v>976</v>
      </c>
      <c r="P103" s="43">
        <v>566</v>
      </c>
      <c r="Q103" s="44">
        <v>6</v>
      </c>
      <c r="R103" s="44">
        <v>3909.73</v>
      </c>
      <c r="S103" s="45" t="s">
        <v>565</v>
      </c>
      <c r="T103" s="56" t="s">
        <v>540</v>
      </c>
      <c r="U103" s="56" t="s">
        <v>540</v>
      </c>
      <c r="V103" s="43" t="s">
        <v>540</v>
      </c>
      <c r="W103" s="41" t="s">
        <v>1038</v>
      </c>
      <c r="X103" s="43" t="s">
        <v>540</v>
      </c>
      <c r="Y103" s="43" t="s">
        <v>540</v>
      </c>
      <c r="Z103" s="43" t="s">
        <v>540</v>
      </c>
      <c r="AA103" s="43" t="s">
        <v>540</v>
      </c>
      <c r="AB103" s="56">
        <v>1.5046296296296296E-3</v>
      </c>
      <c r="AC103" s="56">
        <v>1.722800925925926E-3</v>
      </c>
      <c r="AD103" s="56">
        <v>1.5046296296296296E-3</v>
      </c>
      <c r="AE103" s="56">
        <v>1.3917824074074073E-3</v>
      </c>
      <c r="AF103" s="41"/>
      <c r="AG103" s="41"/>
      <c r="AH103" s="41"/>
      <c r="AI103" s="41"/>
      <c r="AJ103" s="41"/>
    </row>
    <row r="104" spans="1:36" ht="26.45" customHeight="1">
      <c r="A104" s="41" t="s">
        <v>991</v>
      </c>
      <c r="B104" s="43">
        <v>100</v>
      </c>
      <c r="C104" s="43">
        <v>3</v>
      </c>
      <c r="D104" s="43">
        <v>6</v>
      </c>
      <c r="E104" s="41" t="s">
        <v>965</v>
      </c>
      <c r="F104" s="41" t="s">
        <v>1017</v>
      </c>
      <c r="G104" s="41" t="s">
        <v>331</v>
      </c>
      <c r="H104" s="41" t="s">
        <v>755</v>
      </c>
      <c r="I104" s="43">
        <v>4</v>
      </c>
      <c r="J104" s="41" t="s">
        <v>964</v>
      </c>
      <c r="K104" s="41" t="s">
        <v>390</v>
      </c>
      <c r="L104" s="41" t="s">
        <v>570</v>
      </c>
      <c r="M104" s="41" t="s">
        <v>577</v>
      </c>
      <c r="N104" s="54">
        <f t="shared" si="13"/>
        <v>0.11481481481481484</v>
      </c>
      <c r="O104" s="41" t="s">
        <v>976</v>
      </c>
      <c r="P104" s="43">
        <v>572</v>
      </c>
      <c r="Q104" s="44">
        <v>6</v>
      </c>
      <c r="R104" s="44">
        <v>3978.35</v>
      </c>
      <c r="S104" s="45" t="s">
        <v>565</v>
      </c>
      <c r="T104" s="56" t="s">
        <v>540</v>
      </c>
      <c r="U104" s="56" t="s">
        <v>540</v>
      </c>
      <c r="V104" s="43" t="s">
        <v>540</v>
      </c>
      <c r="W104" s="41" t="s">
        <v>220</v>
      </c>
      <c r="X104" s="43">
        <v>60</v>
      </c>
      <c r="Y104" s="43">
        <f t="shared" ref="Y104:Y109" si="14">IF(ISNUMBER(X104),ROUND(X104*0.85,0),"—")</f>
        <v>51</v>
      </c>
      <c r="Z104" s="43">
        <f t="shared" ref="Z104:Z109" si="15">IF(ISNUMBER(X104),ROUND(X104*0.7,0),"—")</f>
        <v>42</v>
      </c>
      <c r="AA104" s="43">
        <f t="shared" ref="AA104:AA109" si="16">IF(ISNUMBER(X104),ROUND(X104*0.55,0),"—")</f>
        <v>33</v>
      </c>
      <c r="AB104" s="56">
        <v>1.736111111111111E-3</v>
      </c>
      <c r="AC104" s="56">
        <v>1.987847222222222E-3</v>
      </c>
      <c r="AD104" s="56">
        <v>1.736111111111111E-3</v>
      </c>
      <c r="AE104" s="56">
        <v>1.6059027777777775E-3</v>
      </c>
      <c r="AF104" s="41"/>
      <c r="AG104" s="41"/>
      <c r="AH104" s="41"/>
      <c r="AI104" s="41"/>
      <c r="AJ104" s="41"/>
    </row>
    <row r="105" spans="1:36" ht="39.6" customHeight="1">
      <c r="A105" s="41" t="s">
        <v>991</v>
      </c>
      <c r="B105" s="43">
        <v>101</v>
      </c>
      <c r="C105" s="43">
        <v>5</v>
      </c>
      <c r="D105" s="43">
        <v>8</v>
      </c>
      <c r="E105" s="41" t="s">
        <v>164</v>
      </c>
      <c r="F105" s="41" t="s">
        <v>482</v>
      </c>
      <c r="G105" s="41" t="s">
        <v>875</v>
      </c>
      <c r="H105" s="41" t="s">
        <v>84</v>
      </c>
      <c r="I105" s="43">
        <v>5</v>
      </c>
      <c r="J105" s="41" t="s">
        <v>702</v>
      </c>
      <c r="K105" s="41" t="s">
        <v>693</v>
      </c>
      <c r="L105" s="41" t="s">
        <v>527</v>
      </c>
      <c r="M105" s="41" t="s">
        <v>185</v>
      </c>
      <c r="N105" s="54">
        <f t="shared" si="13"/>
        <v>0.11620370370370373</v>
      </c>
      <c r="O105" s="41" t="s">
        <v>588</v>
      </c>
      <c r="P105" s="43">
        <v>581</v>
      </c>
      <c r="Q105" s="44">
        <v>9</v>
      </c>
      <c r="R105" s="44">
        <v>4082.17</v>
      </c>
      <c r="S105" s="45" t="s">
        <v>565</v>
      </c>
      <c r="T105" s="56" t="s">
        <v>540</v>
      </c>
      <c r="U105" s="56" t="s">
        <v>540</v>
      </c>
      <c r="V105" s="43" t="s">
        <v>540</v>
      </c>
      <c r="W105" s="41" t="s">
        <v>217</v>
      </c>
      <c r="X105" s="43">
        <v>60</v>
      </c>
      <c r="Y105" s="43">
        <f t="shared" si="14"/>
        <v>51</v>
      </c>
      <c r="Z105" s="43">
        <f t="shared" si="15"/>
        <v>42</v>
      </c>
      <c r="AA105" s="43">
        <f t="shared" si="16"/>
        <v>33</v>
      </c>
      <c r="AB105" s="56">
        <v>1.3888888888888889E-3</v>
      </c>
      <c r="AC105" s="56">
        <v>1.715277777777778E-3</v>
      </c>
      <c r="AD105" s="56">
        <v>1.3888888888888889E-3</v>
      </c>
      <c r="AE105" s="56">
        <v>1.2152777777777778E-3</v>
      </c>
      <c r="AF105" s="41"/>
      <c r="AG105" s="41"/>
      <c r="AH105" s="41"/>
      <c r="AI105" s="41"/>
      <c r="AJ105" s="41"/>
    </row>
    <row r="106" spans="1:36" ht="26.45" customHeight="1">
      <c r="A106" s="41" t="s">
        <v>991</v>
      </c>
      <c r="B106" s="43">
        <v>102</v>
      </c>
      <c r="C106" s="43">
        <v>4</v>
      </c>
      <c r="D106" s="43">
        <v>7</v>
      </c>
      <c r="E106" s="41" t="s">
        <v>985</v>
      </c>
      <c r="F106" s="41" t="s">
        <v>81</v>
      </c>
      <c r="G106" s="41" t="s">
        <v>339</v>
      </c>
      <c r="H106" s="41" t="s">
        <v>90</v>
      </c>
      <c r="I106" s="43">
        <v>6</v>
      </c>
      <c r="J106" s="41" t="s">
        <v>656</v>
      </c>
      <c r="K106" s="41" t="s">
        <v>528</v>
      </c>
      <c r="L106" s="41" t="s">
        <v>516</v>
      </c>
      <c r="M106" s="41" t="s">
        <v>670</v>
      </c>
      <c r="N106" s="54">
        <f t="shared" si="13"/>
        <v>0.11863425925925929</v>
      </c>
      <c r="O106" s="41" t="s">
        <v>588</v>
      </c>
      <c r="P106" s="43">
        <v>588</v>
      </c>
      <c r="Q106" s="44">
        <v>7</v>
      </c>
      <c r="R106" s="44">
        <v>4163.63</v>
      </c>
      <c r="S106" s="45" t="s">
        <v>565</v>
      </c>
      <c r="T106" s="56" t="s">
        <v>540</v>
      </c>
      <c r="U106" s="56" t="s">
        <v>540</v>
      </c>
      <c r="V106" s="43" t="s">
        <v>540</v>
      </c>
      <c r="W106" s="41" t="s">
        <v>227</v>
      </c>
      <c r="X106" s="43">
        <v>30</v>
      </c>
      <c r="Y106" s="43">
        <f t="shared" si="14"/>
        <v>26</v>
      </c>
      <c r="Z106" s="43">
        <f t="shared" si="15"/>
        <v>21</v>
      </c>
      <c r="AA106" s="43">
        <f t="shared" si="16"/>
        <v>17</v>
      </c>
      <c r="AB106" s="56">
        <v>2.4305555555555556E-3</v>
      </c>
      <c r="AC106" s="56">
        <v>2.8923611111111116E-3</v>
      </c>
      <c r="AD106" s="56">
        <v>2.4305555555555556E-3</v>
      </c>
      <c r="AE106" s="56">
        <v>2.1874999999999998E-3</v>
      </c>
      <c r="AF106" s="41"/>
      <c r="AG106" s="41"/>
      <c r="AH106" s="41"/>
      <c r="AI106" s="41"/>
      <c r="AJ106" s="41"/>
    </row>
    <row r="107" spans="1:36" ht="26.45" customHeight="1">
      <c r="A107" s="41" t="s">
        <v>991</v>
      </c>
      <c r="B107" s="43">
        <v>103</v>
      </c>
      <c r="C107" s="43">
        <v>6</v>
      </c>
      <c r="D107" s="43">
        <v>9</v>
      </c>
      <c r="E107" s="41" t="s">
        <v>984</v>
      </c>
      <c r="F107" s="41" t="s">
        <v>757</v>
      </c>
      <c r="G107" s="41" t="s">
        <v>810</v>
      </c>
      <c r="H107" s="41" t="s">
        <v>349</v>
      </c>
      <c r="I107" s="43">
        <v>5</v>
      </c>
      <c r="J107" s="41" t="s">
        <v>268</v>
      </c>
      <c r="K107" s="41" t="s">
        <v>1016</v>
      </c>
      <c r="L107" s="41" t="s">
        <v>523</v>
      </c>
      <c r="M107" s="41" t="s">
        <v>593</v>
      </c>
      <c r="N107" s="54">
        <f t="shared" si="13"/>
        <v>0.12071759259259263</v>
      </c>
      <c r="O107" s="41" t="s">
        <v>588</v>
      </c>
      <c r="P107" s="43">
        <v>598</v>
      </c>
      <c r="Q107" s="44">
        <v>10</v>
      </c>
      <c r="R107" s="44">
        <v>4281.12</v>
      </c>
      <c r="S107" s="45" t="s">
        <v>565</v>
      </c>
      <c r="T107" s="56" t="s">
        <v>540</v>
      </c>
      <c r="U107" s="56" t="s">
        <v>540</v>
      </c>
      <c r="V107" s="43" t="s">
        <v>540</v>
      </c>
      <c r="W107" s="41" t="s">
        <v>217</v>
      </c>
      <c r="X107" s="43">
        <v>60</v>
      </c>
      <c r="Y107" s="43">
        <f t="shared" si="14"/>
        <v>51</v>
      </c>
      <c r="Z107" s="43">
        <f t="shared" si="15"/>
        <v>42</v>
      </c>
      <c r="AA107" s="43">
        <f t="shared" si="16"/>
        <v>33</v>
      </c>
      <c r="AB107" s="56">
        <v>2.0833333333333333E-3</v>
      </c>
      <c r="AC107" s="56">
        <v>2.6666666666666666E-3</v>
      </c>
      <c r="AD107" s="56">
        <v>2.0833333333333333E-3</v>
      </c>
      <c r="AE107" s="56">
        <v>1.7708333333333332E-3</v>
      </c>
      <c r="AF107" s="41"/>
      <c r="AG107" s="41"/>
      <c r="AH107" s="41"/>
      <c r="AI107" s="41"/>
      <c r="AJ107" s="41"/>
    </row>
    <row r="108" spans="1:36" ht="26.45" customHeight="1">
      <c r="A108" s="41" t="s">
        <v>991</v>
      </c>
      <c r="B108" s="43">
        <v>104</v>
      </c>
      <c r="C108" s="43">
        <v>3</v>
      </c>
      <c r="D108" s="43">
        <v>8</v>
      </c>
      <c r="E108" s="41" t="s">
        <v>611</v>
      </c>
      <c r="F108" s="41" t="s">
        <v>356</v>
      </c>
      <c r="G108" s="41" t="s">
        <v>238</v>
      </c>
      <c r="H108" s="41" t="s">
        <v>341</v>
      </c>
      <c r="I108" s="43">
        <v>5</v>
      </c>
      <c r="J108" s="41" t="s">
        <v>607</v>
      </c>
      <c r="K108" s="41" t="s">
        <v>662</v>
      </c>
      <c r="L108" s="41" t="s">
        <v>576</v>
      </c>
      <c r="M108" s="41" t="s">
        <v>411</v>
      </c>
      <c r="N108" s="54">
        <f t="shared" si="13"/>
        <v>0.12303240740740744</v>
      </c>
      <c r="O108" s="41" t="s">
        <v>588</v>
      </c>
      <c r="P108" s="43">
        <v>605</v>
      </c>
      <c r="Q108" s="44">
        <v>7</v>
      </c>
      <c r="R108" s="44">
        <v>4364.12</v>
      </c>
      <c r="S108" s="45" t="s">
        <v>565</v>
      </c>
      <c r="T108" s="56" t="s">
        <v>540</v>
      </c>
      <c r="U108" s="56" t="s">
        <v>540</v>
      </c>
      <c r="V108" s="43" t="s">
        <v>540</v>
      </c>
      <c r="W108" s="41" t="s">
        <v>58</v>
      </c>
      <c r="X108" s="43">
        <v>30</v>
      </c>
      <c r="Y108" s="43">
        <f t="shared" si="14"/>
        <v>26</v>
      </c>
      <c r="Z108" s="43">
        <f t="shared" si="15"/>
        <v>21</v>
      </c>
      <c r="AA108" s="43">
        <f t="shared" si="16"/>
        <v>17</v>
      </c>
      <c r="AB108" s="56">
        <v>2.3148148148148147E-3</v>
      </c>
      <c r="AC108" s="56">
        <v>2.650462962962963E-3</v>
      </c>
      <c r="AD108" s="56">
        <v>2.3148148148148147E-3</v>
      </c>
      <c r="AE108" s="56">
        <v>2.1412037037037033E-3</v>
      </c>
      <c r="AF108" s="41"/>
      <c r="AG108" s="41"/>
      <c r="AH108" s="41"/>
      <c r="AI108" s="41"/>
      <c r="AJ108" s="41"/>
    </row>
    <row r="109" spans="1:36" ht="39.6" customHeight="1">
      <c r="A109" s="41" t="s">
        <v>991</v>
      </c>
      <c r="B109" s="43">
        <v>105</v>
      </c>
      <c r="C109" s="43">
        <v>5</v>
      </c>
      <c r="D109" s="43">
        <v>7</v>
      </c>
      <c r="E109" s="41" t="s">
        <v>606</v>
      </c>
      <c r="F109" s="41" t="s">
        <v>1012</v>
      </c>
      <c r="G109" s="41" t="s">
        <v>146</v>
      </c>
      <c r="H109" s="41" t="s">
        <v>839</v>
      </c>
      <c r="I109" s="43">
        <v>4</v>
      </c>
      <c r="J109" s="41" t="s">
        <v>954</v>
      </c>
      <c r="K109" s="41" t="s">
        <v>659</v>
      </c>
      <c r="L109" s="41" t="s">
        <v>576</v>
      </c>
      <c r="M109" s="41" t="s">
        <v>696</v>
      </c>
      <c r="N109" s="54">
        <f t="shared" si="13"/>
        <v>0.12534722222222225</v>
      </c>
      <c r="O109" s="41" t="s">
        <v>588</v>
      </c>
      <c r="P109" s="43">
        <v>613</v>
      </c>
      <c r="Q109" s="44">
        <v>8</v>
      </c>
      <c r="R109" s="44">
        <v>4459.74</v>
      </c>
      <c r="S109" s="45" t="s">
        <v>565</v>
      </c>
      <c r="T109" s="56" t="s">
        <v>540</v>
      </c>
      <c r="U109" s="56" t="s">
        <v>540</v>
      </c>
      <c r="V109" s="43" t="s">
        <v>540</v>
      </c>
      <c r="W109" s="41" t="s">
        <v>220</v>
      </c>
      <c r="X109" s="43">
        <v>60</v>
      </c>
      <c r="Y109" s="43">
        <f t="shared" si="14"/>
        <v>51</v>
      </c>
      <c r="Z109" s="43">
        <f t="shared" si="15"/>
        <v>42</v>
      </c>
      <c r="AA109" s="43">
        <f t="shared" si="16"/>
        <v>33</v>
      </c>
      <c r="AB109" s="56">
        <v>2.3148148148148147E-3</v>
      </c>
      <c r="AC109" s="56">
        <v>2.8587962962962963E-3</v>
      </c>
      <c r="AD109" s="56">
        <v>2.3148148148148147E-3</v>
      </c>
      <c r="AE109" s="56">
        <v>2.0254629629629629E-3</v>
      </c>
      <c r="AF109" s="41"/>
      <c r="AG109" s="41"/>
      <c r="AH109" s="41"/>
      <c r="AI109" s="41"/>
      <c r="AJ109" s="41"/>
    </row>
    <row r="110" spans="1:36" ht="26.45" customHeight="1">
      <c r="A110" s="41" t="s">
        <v>991</v>
      </c>
      <c r="B110" s="43">
        <v>106</v>
      </c>
      <c r="C110" s="43">
        <v>4</v>
      </c>
      <c r="D110" s="43">
        <v>7</v>
      </c>
      <c r="E110" s="41" t="s">
        <v>579</v>
      </c>
      <c r="F110" s="41" t="s">
        <v>1040</v>
      </c>
      <c r="G110" s="41" t="s">
        <v>1011</v>
      </c>
      <c r="H110" s="41" t="s">
        <v>290</v>
      </c>
      <c r="I110" s="43">
        <v>1</v>
      </c>
      <c r="J110" s="41" t="s">
        <v>649</v>
      </c>
      <c r="K110" s="41" t="s">
        <v>310</v>
      </c>
      <c r="L110" s="41" t="s">
        <v>563</v>
      </c>
      <c r="M110" s="41" t="s">
        <v>384</v>
      </c>
      <c r="N110" s="54">
        <f t="shared" si="13"/>
        <v>0.12650462962962966</v>
      </c>
      <c r="O110" s="41" t="s">
        <v>640</v>
      </c>
      <c r="P110" s="43">
        <v>620</v>
      </c>
      <c r="Q110" s="44">
        <v>7</v>
      </c>
      <c r="R110" s="44">
        <v>4544.08</v>
      </c>
      <c r="S110" s="45" t="s">
        <v>565</v>
      </c>
      <c r="T110" s="56" t="s">
        <v>540</v>
      </c>
      <c r="U110" s="56" t="s">
        <v>540</v>
      </c>
      <c r="V110" s="43" t="s">
        <v>540</v>
      </c>
      <c r="W110" s="41" t="s">
        <v>1038</v>
      </c>
      <c r="X110" s="43" t="s">
        <v>540</v>
      </c>
      <c r="Y110" s="43" t="s">
        <v>540</v>
      </c>
      <c r="Z110" s="43" t="s">
        <v>540</v>
      </c>
      <c r="AA110" s="43" t="s">
        <v>540</v>
      </c>
      <c r="AB110" s="56">
        <v>1.1574074074074073E-3</v>
      </c>
      <c r="AC110" s="56">
        <v>1.3773148148148149E-3</v>
      </c>
      <c r="AD110" s="56">
        <v>1.1574074074074073E-3</v>
      </c>
      <c r="AE110" s="56">
        <v>1.0416666666666664E-3</v>
      </c>
      <c r="AF110" s="41"/>
      <c r="AG110" s="41"/>
      <c r="AH110" s="41"/>
      <c r="AI110" s="41"/>
      <c r="AJ110" s="41"/>
    </row>
    <row r="111" spans="1:36" ht="26.45" customHeight="1">
      <c r="A111" s="41" t="s">
        <v>991</v>
      </c>
      <c r="B111" s="43">
        <v>107</v>
      </c>
      <c r="C111" s="43">
        <v>3</v>
      </c>
      <c r="D111" s="43">
        <v>8</v>
      </c>
      <c r="E111" s="41" t="s">
        <v>614</v>
      </c>
      <c r="F111" s="41" t="s">
        <v>288</v>
      </c>
      <c r="G111" s="41" t="s">
        <v>142</v>
      </c>
      <c r="H111" s="41" t="s">
        <v>748</v>
      </c>
      <c r="I111" s="43">
        <v>6</v>
      </c>
      <c r="J111" s="41" t="s">
        <v>380</v>
      </c>
      <c r="K111" s="41" t="s">
        <v>528</v>
      </c>
      <c r="L111" s="41" t="s">
        <v>491</v>
      </c>
      <c r="M111" s="41" t="s">
        <v>797</v>
      </c>
      <c r="N111" s="54">
        <f t="shared" si="13"/>
        <v>0.12870370370370374</v>
      </c>
      <c r="O111" s="41" t="s">
        <v>640</v>
      </c>
      <c r="P111" s="43">
        <v>627</v>
      </c>
      <c r="Q111" s="44">
        <v>7</v>
      </c>
      <c r="R111" s="44">
        <v>4629.05</v>
      </c>
      <c r="S111" s="45" t="s">
        <v>565</v>
      </c>
      <c r="T111" s="56" t="s">
        <v>540</v>
      </c>
      <c r="U111" s="56" t="s">
        <v>540</v>
      </c>
      <c r="V111" s="43" t="s">
        <v>540</v>
      </c>
      <c r="W111" s="41" t="s">
        <v>58</v>
      </c>
      <c r="X111" s="43">
        <v>30</v>
      </c>
      <c r="Y111" s="43">
        <f t="shared" ref="Y111:Y117" si="17">IF(ISNUMBER(X111),ROUND(X111*0.85,0),"—")</f>
        <v>26</v>
      </c>
      <c r="Z111" s="43">
        <f t="shared" ref="Z111:Z117" si="18">IF(ISNUMBER(X111),ROUND(X111*0.7,0),"—")</f>
        <v>21</v>
      </c>
      <c r="AA111" s="43">
        <f t="shared" ref="AA111:AA117" si="19">IF(ISNUMBER(X111),ROUND(X111*0.55,0),"—")</f>
        <v>17</v>
      </c>
      <c r="AB111" s="56">
        <v>2.1990740740740742E-3</v>
      </c>
      <c r="AC111" s="56">
        <v>2.5179398148148149E-3</v>
      </c>
      <c r="AD111" s="56">
        <v>2.1990740740740742E-3</v>
      </c>
      <c r="AE111" s="56">
        <v>2.0341435185185185E-3</v>
      </c>
      <c r="AF111" s="41"/>
      <c r="AG111" s="41"/>
      <c r="AH111" s="41"/>
      <c r="AI111" s="41"/>
      <c r="AJ111" s="41"/>
    </row>
    <row r="112" spans="1:36" ht="39.6" customHeight="1">
      <c r="A112" s="41" t="s">
        <v>991</v>
      </c>
      <c r="B112" s="43">
        <v>108</v>
      </c>
      <c r="C112" s="43">
        <v>5</v>
      </c>
      <c r="D112" s="43">
        <v>9</v>
      </c>
      <c r="E112" s="41" t="s">
        <v>636</v>
      </c>
      <c r="F112" s="41" t="s">
        <v>460</v>
      </c>
      <c r="G112" s="41" t="s">
        <v>31</v>
      </c>
      <c r="H112" s="41" t="s">
        <v>88</v>
      </c>
      <c r="I112" s="43">
        <v>6</v>
      </c>
      <c r="J112" s="41" t="s">
        <v>172</v>
      </c>
      <c r="K112" s="41" t="s">
        <v>689</v>
      </c>
      <c r="L112" s="41" t="s">
        <v>570</v>
      </c>
      <c r="M112" s="41" t="s">
        <v>125</v>
      </c>
      <c r="N112" s="54">
        <f t="shared" si="13"/>
        <v>0.13043981481481484</v>
      </c>
      <c r="O112" s="41" t="s">
        <v>640</v>
      </c>
      <c r="P112" s="43">
        <v>636</v>
      </c>
      <c r="Q112" s="44">
        <v>9</v>
      </c>
      <c r="R112" s="44">
        <v>4739.1899999999996</v>
      </c>
      <c r="S112" s="45" t="s">
        <v>565</v>
      </c>
      <c r="T112" s="56" t="s">
        <v>540</v>
      </c>
      <c r="U112" s="56" t="s">
        <v>540</v>
      </c>
      <c r="V112" s="43" t="s">
        <v>540</v>
      </c>
      <c r="W112" s="41" t="s">
        <v>227</v>
      </c>
      <c r="X112" s="43">
        <v>30</v>
      </c>
      <c r="Y112" s="43">
        <f t="shared" si="17"/>
        <v>26</v>
      </c>
      <c r="Z112" s="43">
        <f t="shared" si="18"/>
        <v>21</v>
      </c>
      <c r="AA112" s="43">
        <f t="shared" si="19"/>
        <v>17</v>
      </c>
      <c r="AB112" s="56">
        <v>1.736111111111111E-3</v>
      </c>
      <c r="AC112" s="56">
        <v>2.1440972222222222E-3</v>
      </c>
      <c r="AD112" s="56">
        <v>1.736111111111111E-3</v>
      </c>
      <c r="AE112" s="56">
        <v>1.519097222222222E-3</v>
      </c>
      <c r="AF112" s="41"/>
      <c r="AG112" s="41"/>
      <c r="AH112" s="41"/>
      <c r="AI112" s="41"/>
      <c r="AJ112" s="41"/>
    </row>
    <row r="113" spans="1:36" ht="26.45" customHeight="1">
      <c r="A113" s="41" t="s">
        <v>991</v>
      </c>
      <c r="B113" s="43">
        <v>109</v>
      </c>
      <c r="C113" s="43">
        <v>6</v>
      </c>
      <c r="D113" s="43">
        <v>8</v>
      </c>
      <c r="E113" s="41" t="s">
        <v>894</v>
      </c>
      <c r="F113" s="41" t="s">
        <v>216</v>
      </c>
      <c r="G113" s="41" t="s">
        <v>228</v>
      </c>
      <c r="H113" s="41" t="s">
        <v>30</v>
      </c>
      <c r="I113" s="43">
        <v>5</v>
      </c>
      <c r="J113" s="41" t="s">
        <v>169</v>
      </c>
      <c r="K113" s="41" t="s">
        <v>733</v>
      </c>
      <c r="L113" s="41" t="s">
        <v>527</v>
      </c>
      <c r="M113" s="41" t="s">
        <v>700</v>
      </c>
      <c r="N113" s="54">
        <f t="shared" si="13"/>
        <v>0.13182870370370373</v>
      </c>
      <c r="O113" s="41" t="s">
        <v>640</v>
      </c>
      <c r="P113" s="43">
        <v>646</v>
      </c>
      <c r="Q113" s="44">
        <v>10</v>
      </c>
      <c r="R113" s="44">
        <v>4862.7700000000004</v>
      </c>
      <c r="S113" s="45" t="s">
        <v>565</v>
      </c>
      <c r="T113" s="56" t="s">
        <v>540</v>
      </c>
      <c r="U113" s="56" t="s">
        <v>540</v>
      </c>
      <c r="V113" s="43" t="s">
        <v>540</v>
      </c>
      <c r="W113" s="41" t="s">
        <v>210</v>
      </c>
      <c r="X113" s="43">
        <v>50</v>
      </c>
      <c r="Y113" s="43">
        <f t="shared" si="17"/>
        <v>43</v>
      </c>
      <c r="Z113" s="43">
        <f t="shared" si="18"/>
        <v>35</v>
      </c>
      <c r="AA113" s="43">
        <f t="shared" si="19"/>
        <v>28</v>
      </c>
      <c r="AB113" s="56">
        <v>1.3888888888888889E-3</v>
      </c>
      <c r="AC113" s="56">
        <v>1.7777777777777779E-3</v>
      </c>
      <c r="AD113" s="56">
        <v>1.3888888888888889E-3</v>
      </c>
      <c r="AE113" s="56">
        <v>1.1805555555555556E-3</v>
      </c>
      <c r="AF113" s="41"/>
      <c r="AG113" s="41"/>
      <c r="AH113" s="41"/>
      <c r="AI113" s="41"/>
      <c r="AJ113" s="41"/>
    </row>
    <row r="114" spans="1:36" ht="39.6" customHeight="1">
      <c r="A114" s="41" t="s">
        <v>991</v>
      </c>
      <c r="B114" s="43">
        <v>110</v>
      </c>
      <c r="C114" s="43">
        <v>3</v>
      </c>
      <c r="D114" s="43">
        <v>10</v>
      </c>
      <c r="E114" s="41" t="s">
        <v>721</v>
      </c>
      <c r="F114" s="41" t="s">
        <v>205</v>
      </c>
      <c r="G114" s="41" t="s">
        <v>150</v>
      </c>
      <c r="H114" s="41" t="s">
        <v>327</v>
      </c>
      <c r="I114" s="43">
        <v>2</v>
      </c>
      <c r="J114" s="41" t="s">
        <v>161</v>
      </c>
      <c r="K114" s="41" t="s">
        <v>528</v>
      </c>
      <c r="L114" s="41" t="s">
        <v>488</v>
      </c>
      <c r="M114" s="41" t="s">
        <v>1021</v>
      </c>
      <c r="N114" s="54">
        <f t="shared" si="13"/>
        <v>0.13263888888888892</v>
      </c>
      <c r="O114" s="41" t="s">
        <v>640</v>
      </c>
      <c r="P114" s="43">
        <v>654</v>
      </c>
      <c r="Q114" s="44">
        <v>8</v>
      </c>
      <c r="R114" s="44">
        <v>4962.53</v>
      </c>
      <c r="S114" s="45" t="s">
        <v>565</v>
      </c>
      <c r="T114" s="56" t="s">
        <v>540</v>
      </c>
      <c r="U114" s="56" t="s">
        <v>540</v>
      </c>
      <c r="V114" s="43" t="s">
        <v>540</v>
      </c>
      <c r="W114" s="41" t="s">
        <v>58</v>
      </c>
      <c r="X114" s="43">
        <v>30</v>
      </c>
      <c r="Y114" s="43">
        <f t="shared" si="17"/>
        <v>26</v>
      </c>
      <c r="Z114" s="43">
        <f t="shared" si="18"/>
        <v>21</v>
      </c>
      <c r="AA114" s="43">
        <f t="shared" si="19"/>
        <v>17</v>
      </c>
      <c r="AB114" s="56">
        <v>8.1018518518518516E-4</v>
      </c>
      <c r="AC114" s="56">
        <v>9.2766203703703706E-4</v>
      </c>
      <c r="AD114" s="56">
        <v>8.1018518518518516E-4</v>
      </c>
      <c r="AE114" s="56">
        <v>7.4942129629629621E-4</v>
      </c>
      <c r="AF114" s="41"/>
      <c r="AG114" s="41"/>
      <c r="AH114" s="41"/>
      <c r="AI114" s="41"/>
      <c r="AJ114" s="41"/>
    </row>
    <row r="115" spans="1:36" ht="39.6" customHeight="1">
      <c r="A115" s="41" t="s">
        <v>991</v>
      </c>
      <c r="B115" s="43">
        <v>111</v>
      </c>
      <c r="C115" s="43">
        <v>6</v>
      </c>
      <c r="D115" s="43">
        <v>9</v>
      </c>
      <c r="E115" s="41" t="s">
        <v>170</v>
      </c>
      <c r="F115" s="41" t="s">
        <v>119</v>
      </c>
      <c r="G115" s="41" t="s">
        <v>114</v>
      </c>
      <c r="H115" s="41" t="s">
        <v>1</v>
      </c>
      <c r="I115" s="43">
        <v>1</v>
      </c>
      <c r="J115" s="41" t="s">
        <v>166</v>
      </c>
      <c r="K115" s="41" t="s">
        <v>726</v>
      </c>
      <c r="L115" s="41" t="s">
        <v>545</v>
      </c>
      <c r="M115" s="41" t="s">
        <v>192</v>
      </c>
      <c r="N115" s="54">
        <f t="shared" si="13"/>
        <v>0.1330439814814815</v>
      </c>
      <c r="O115" s="41" t="s">
        <v>640</v>
      </c>
      <c r="P115" s="43">
        <v>664</v>
      </c>
      <c r="Q115" s="44">
        <v>10</v>
      </c>
      <c r="R115" s="44">
        <v>5088.3500000000004</v>
      </c>
      <c r="S115" s="45">
        <v>180</v>
      </c>
      <c r="T115" s="56">
        <v>4.0509259259259258E-4</v>
      </c>
      <c r="U115" s="56">
        <v>4.0509259259259258E-4</v>
      </c>
      <c r="V115" s="43">
        <v>1</v>
      </c>
      <c r="W115" s="41" t="s">
        <v>210</v>
      </c>
      <c r="X115" s="43">
        <v>50</v>
      </c>
      <c r="Y115" s="43">
        <f t="shared" si="17"/>
        <v>43</v>
      </c>
      <c r="Z115" s="43">
        <f t="shared" si="18"/>
        <v>35</v>
      </c>
      <c r="AA115" s="43">
        <f t="shared" si="19"/>
        <v>28</v>
      </c>
      <c r="AB115" s="56">
        <v>4.0509259259259258E-4</v>
      </c>
      <c r="AC115" s="56">
        <v>5.1851851851851853E-4</v>
      </c>
      <c r="AD115" s="56">
        <v>4.0509259259259258E-4</v>
      </c>
      <c r="AE115" s="56">
        <v>3.4432870370370368E-4</v>
      </c>
      <c r="AF115" s="41"/>
      <c r="AG115" s="41"/>
      <c r="AH115" s="41"/>
      <c r="AI115" s="41"/>
      <c r="AJ115" s="41"/>
    </row>
    <row r="116" spans="1:36" ht="26.45" customHeight="1">
      <c r="A116" s="41" t="s">
        <v>991</v>
      </c>
      <c r="B116" s="43">
        <v>112</v>
      </c>
      <c r="C116" s="43">
        <v>6</v>
      </c>
      <c r="D116" s="43">
        <v>7</v>
      </c>
      <c r="E116" s="41" t="s">
        <v>590</v>
      </c>
      <c r="F116" s="41" t="s">
        <v>1012</v>
      </c>
      <c r="G116" s="41" t="s">
        <v>37</v>
      </c>
      <c r="H116" s="41" t="s">
        <v>838</v>
      </c>
      <c r="I116" s="43">
        <v>5</v>
      </c>
      <c r="J116" s="41" t="s">
        <v>954</v>
      </c>
      <c r="K116" s="41" t="s">
        <v>659</v>
      </c>
      <c r="L116" s="41" t="s">
        <v>538</v>
      </c>
      <c r="M116" s="41" t="s">
        <v>696</v>
      </c>
      <c r="N116" s="54">
        <f t="shared" si="13"/>
        <v>0.13582175925925927</v>
      </c>
      <c r="O116" s="41" t="s">
        <v>640</v>
      </c>
      <c r="P116" s="43">
        <v>673</v>
      </c>
      <c r="Q116" s="44">
        <v>9</v>
      </c>
      <c r="R116" s="44">
        <v>5202.6499999999996</v>
      </c>
      <c r="S116" s="45" t="s">
        <v>565</v>
      </c>
      <c r="T116" s="56" t="s">
        <v>540</v>
      </c>
      <c r="U116" s="56" t="s">
        <v>540</v>
      </c>
      <c r="V116" s="43" t="s">
        <v>540</v>
      </c>
      <c r="W116" s="41" t="s">
        <v>220</v>
      </c>
      <c r="X116" s="43">
        <v>60</v>
      </c>
      <c r="Y116" s="43">
        <f t="shared" si="17"/>
        <v>51</v>
      </c>
      <c r="Z116" s="43">
        <f t="shared" si="18"/>
        <v>42</v>
      </c>
      <c r="AA116" s="43">
        <f t="shared" si="19"/>
        <v>33</v>
      </c>
      <c r="AB116" s="56">
        <v>2.7777777777777779E-3</v>
      </c>
      <c r="AC116" s="56">
        <v>3.5555555555555557E-3</v>
      </c>
      <c r="AD116" s="56">
        <v>2.7777777777777779E-3</v>
      </c>
      <c r="AE116" s="56">
        <v>2.3611111111111111E-3</v>
      </c>
      <c r="AF116" s="41"/>
      <c r="AG116" s="41"/>
      <c r="AH116" s="41"/>
      <c r="AI116" s="41"/>
      <c r="AJ116" s="41"/>
    </row>
    <row r="117" spans="1:36" ht="26.45" customHeight="1">
      <c r="A117" s="41" t="s">
        <v>991</v>
      </c>
      <c r="B117" s="43">
        <v>113</v>
      </c>
      <c r="C117" s="43">
        <v>4</v>
      </c>
      <c r="D117" s="43">
        <v>7</v>
      </c>
      <c r="E117" s="41" t="s">
        <v>944</v>
      </c>
      <c r="F117" s="41" t="s">
        <v>334</v>
      </c>
      <c r="G117" s="41" t="s">
        <v>346</v>
      </c>
      <c r="H117" s="41" t="s">
        <v>175</v>
      </c>
      <c r="I117" s="43">
        <v>5</v>
      </c>
      <c r="J117" s="41" t="s">
        <v>950</v>
      </c>
      <c r="K117" s="41" t="s">
        <v>671</v>
      </c>
      <c r="L117" s="41" t="s">
        <v>516</v>
      </c>
      <c r="M117" s="41" t="s">
        <v>664</v>
      </c>
      <c r="N117" s="54">
        <f t="shared" si="13"/>
        <v>0.13825231481481481</v>
      </c>
      <c r="O117" s="41" t="s">
        <v>640</v>
      </c>
      <c r="P117" s="43">
        <v>680</v>
      </c>
      <c r="Q117" s="44">
        <v>7</v>
      </c>
      <c r="R117" s="44">
        <v>5292.24</v>
      </c>
      <c r="S117" s="45" t="s">
        <v>565</v>
      </c>
      <c r="T117" s="56" t="s">
        <v>540</v>
      </c>
      <c r="U117" s="56" t="s">
        <v>540</v>
      </c>
      <c r="V117" s="43" t="s">
        <v>540</v>
      </c>
      <c r="W117" s="41" t="s">
        <v>227</v>
      </c>
      <c r="X117" s="43">
        <v>30</v>
      </c>
      <c r="Y117" s="43">
        <f t="shared" si="17"/>
        <v>26</v>
      </c>
      <c r="Z117" s="43">
        <f t="shared" si="18"/>
        <v>21</v>
      </c>
      <c r="AA117" s="43">
        <f t="shared" si="19"/>
        <v>17</v>
      </c>
      <c r="AB117" s="56">
        <v>2.4305555555555556E-3</v>
      </c>
      <c r="AC117" s="56">
        <v>2.8923611111111116E-3</v>
      </c>
      <c r="AD117" s="56">
        <v>2.4305555555555556E-3</v>
      </c>
      <c r="AE117" s="56">
        <v>2.1874999999999998E-3</v>
      </c>
      <c r="AF117" s="41"/>
      <c r="AG117" s="41"/>
      <c r="AH117" s="41"/>
      <c r="AI117" s="41"/>
      <c r="AJ117" s="41"/>
    </row>
    <row r="118" spans="1:36" ht="26.45" customHeight="1">
      <c r="A118" s="41" t="s">
        <v>991</v>
      </c>
      <c r="B118" s="43">
        <v>114</v>
      </c>
      <c r="C118" s="43">
        <v>4</v>
      </c>
      <c r="D118" s="43">
        <v>7</v>
      </c>
      <c r="E118" s="41" t="s">
        <v>634</v>
      </c>
      <c r="F118" s="41" t="s">
        <v>1040</v>
      </c>
      <c r="G118" s="41" t="s">
        <v>85</v>
      </c>
      <c r="H118" s="41" t="s">
        <v>102</v>
      </c>
      <c r="I118" s="43">
        <v>1</v>
      </c>
      <c r="J118" s="41" t="s">
        <v>649</v>
      </c>
      <c r="K118" s="41" t="s">
        <v>310</v>
      </c>
      <c r="L118" s="41" t="s">
        <v>513</v>
      </c>
      <c r="M118" s="41" t="s">
        <v>384</v>
      </c>
      <c r="N118" s="54">
        <f t="shared" si="13"/>
        <v>0.13952546296296298</v>
      </c>
      <c r="O118" s="41" t="s">
        <v>594</v>
      </c>
      <c r="P118" s="43">
        <v>687</v>
      </c>
      <c r="Q118" s="44">
        <v>7</v>
      </c>
      <c r="R118" s="44">
        <v>5382.43</v>
      </c>
      <c r="S118" s="45" t="s">
        <v>565</v>
      </c>
      <c r="T118" s="56" t="s">
        <v>540</v>
      </c>
      <c r="U118" s="56" t="s">
        <v>540</v>
      </c>
      <c r="V118" s="43" t="s">
        <v>540</v>
      </c>
      <c r="W118" s="41" t="s">
        <v>1038</v>
      </c>
      <c r="X118" s="43" t="s">
        <v>540</v>
      </c>
      <c r="Y118" s="43" t="s">
        <v>540</v>
      </c>
      <c r="Z118" s="43" t="s">
        <v>540</v>
      </c>
      <c r="AA118" s="43" t="s">
        <v>540</v>
      </c>
      <c r="AB118" s="56">
        <v>1.2731481481481483E-3</v>
      </c>
      <c r="AC118" s="56">
        <v>1.5150462962962967E-3</v>
      </c>
      <c r="AD118" s="56">
        <v>1.2731481481481483E-3</v>
      </c>
      <c r="AE118" s="56">
        <v>1.1458333333333333E-3</v>
      </c>
      <c r="AF118" s="41"/>
      <c r="AG118" s="41"/>
      <c r="AH118" s="41"/>
      <c r="AI118" s="41"/>
      <c r="AJ118" s="41"/>
    </row>
    <row r="119" spans="1:36" ht="26.45" customHeight="1">
      <c r="A119" s="41" t="s">
        <v>991</v>
      </c>
      <c r="B119" s="43">
        <v>115</v>
      </c>
      <c r="C119" s="43">
        <v>5</v>
      </c>
      <c r="D119" s="43">
        <v>7</v>
      </c>
      <c r="E119" s="41" t="s">
        <v>638</v>
      </c>
      <c r="F119" s="41" t="s">
        <v>95</v>
      </c>
      <c r="G119" s="41" t="s">
        <v>241</v>
      </c>
      <c r="H119" s="41" t="s">
        <v>831</v>
      </c>
      <c r="I119" s="43">
        <v>4</v>
      </c>
      <c r="J119" s="41" t="s">
        <v>619</v>
      </c>
      <c r="K119" s="41" t="s">
        <v>256</v>
      </c>
      <c r="L119" s="41" t="s">
        <v>491</v>
      </c>
      <c r="M119" s="41" t="s">
        <v>657</v>
      </c>
      <c r="N119" s="54">
        <f t="shared" si="13"/>
        <v>0.14172453703703705</v>
      </c>
      <c r="O119" s="41" t="s">
        <v>594</v>
      </c>
      <c r="P119" s="43">
        <v>695</v>
      </c>
      <c r="Q119" s="44">
        <v>8</v>
      </c>
      <c r="R119" s="44">
        <v>5486.24</v>
      </c>
      <c r="S119" s="45" t="s">
        <v>565</v>
      </c>
      <c r="T119" s="56" t="s">
        <v>540</v>
      </c>
      <c r="U119" s="56" t="s">
        <v>540</v>
      </c>
      <c r="V119" s="43" t="s">
        <v>540</v>
      </c>
      <c r="W119" s="41" t="s">
        <v>217</v>
      </c>
      <c r="X119" s="43">
        <v>60</v>
      </c>
      <c r="Y119" s="43">
        <f>IF(ISNUMBER(X119),ROUND(X119*0.85,0),"—")</f>
        <v>51</v>
      </c>
      <c r="Z119" s="43">
        <f>IF(ISNUMBER(X119),ROUND(X119*0.7,0),"—")</f>
        <v>42</v>
      </c>
      <c r="AA119" s="43">
        <f>IF(ISNUMBER(X119),ROUND(X119*0.55,0),"—")</f>
        <v>33</v>
      </c>
      <c r="AB119" s="56">
        <v>2.1990740740740742E-3</v>
      </c>
      <c r="AC119" s="56">
        <v>2.7158564814814819E-3</v>
      </c>
      <c r="AD119" s="56">
        <v>2.1990740740740742E-3</v>
      </c>
      <c r="AE119" s="56">
        <v>1.924189814814815E-3</v>
      </c>
      <c r="AF119" s="41"/>
      <c r="AG119" s="41"/>
      <c r="AH119" s="41"/>
      <c r="AI119" s="41"/>
      <c r="AJ119" s="41"/>
    </row>
    <row r="120" spans="1:36" ht="26.45" customHeight="1">
      <c r="A120" s="41" t="s">
        <v>991</v>
      </c>
      <c r="B120" s="43">
        <v>116</v>
      </c>
      <c r="C120" s="43">
        <v>4</v>
      </c>
      <c r="D120" s="43">
        <v>7</v>
      </c>
      <c r="E120" s="41" t="s">
        <v>943</v>
      </c>
      <c r="F120" s="41" t="s">
        <v>362</v>
      </c>
      <c r="G120" s="41" t="s">
        <v>830</v>
      </c>
      <c r="H120" s="41" t="s">
        <v>176</v>
      </c>
      <c r="I120" s="43">
        <v>6</v>
      </c>
      <c r="J120" s="41" t="s">
        <v>1010</v>
      </c>
      <c r="K120" s="41" t="s">
        <v>528</v>
      </c>
      <c r="L120" s="41" t="s">
        <v>516</v>
      </c>
      <c r="M120" s="41" t="s">
        <v>1027</v>
      </c>
      <c r="N120" s="54">
        <f t="shared" si="13"/>
        <v>0.1441550925925926</v>
      </c>
      <c r="O120" s="41" t="s">
        <v>594</v>
      </c>
      <c r="P120" s="43">
        <v>702</v>
      </c>
      <c r="Q120" s="44">
        <v>7</v>
      </c>
      <c r="R120" s="44">
        <v>5577.71</v>
      </c>
      <c r="S120" s="45" t="s">
        <v>565</v>
      </c>
      <c r="T120" s="56" t="s">
        <v>540</v>
      </c>
      <c r="U120" s="56" t="s">
        <v>540</v>
      </c>
      <c r="V120" s="43" t="s">
        <v>540</v>
      </c>
      <c r="W120" s="41" t="s">
        <v>58</v>
      </c>
      <c r="X120" s="43">
        <v>30</v>
      </c>
      <c r="Y120" s="43">
        <f>IF(ISNUMBER(X120),ROUND(X120*0.85,0),"—")</f>
        <v>26</v>
      </c>
      <c r="Z120" s="43">
        <f>IF(ISNUMBER(X120),ROUND(X120*0.7,0),"—")</f>
        <v>21</v>
      </c>
      <c r="AA120" s="43">
        <f>IF(ISNUMBER(X120),ROUND(X120*0.55,0),"—")</f>
        <v>17</v>
      </c>
      <c r="AB120" s="56">
        <v>2.4305555555555556E-3</v>
      </c>
      <c r="AC120" s="56">
        <v>2.8923611111111116E-3</v>
      </c>
      <c r="AD120" s="56">
        <v>2.4305555555555556E-3</v>
      </c>
      <c r="AE120" s="56">
        <v>2.1874999999999998E-3</v>
      </c>
      <c r="AF120" s="41"/>
      <c r="AG120" s="41"/>
      <c r="AH120" s="41"/>
      <c r="AI120" s="41"/>
      <c r="AJ120" s="41"/>
    </row>
    <row r="121" spans="1:36" ht="26.45" customHeight="1">
      <c r="A121" s="41" t="s">
        <v>991</v>
      </c>
      <c r="B121" s="43">
        <v>117</v>
      </c>
      <c r="C121" s="43">
        <v>2</v>
      </c>
      <c r="D121" s="43">
        <v>8</v>
      </c>
      <c r="E121" s="41" t="s">
        <v>947</v>
      </c>
      <c r="F121" s="41" t="s">
        <v>1017</v>
      </c>
      <c r="G121" s="41" t="s">
        <v>343</v>
      </c>
      <c r="H121" s="41" t="s">
        <v>752</v>
      </c>
      <c r="I121" s="43">
        <v>2</v>
      </c>
      <c r="J121" s="41" t="s">
        <v>964</v>
      </c>
      <c r="K121" s="41" t="s">
        <v>390</v>
      </c>
      <c r="L121" s="41" t="s">
        <v>558</v>
      </c>
      <c r="M121" s="41" t="s">
        <v>577</v>
      </c>
      <c r="N121" s="54">
        <f t="shared" si="13"/>
        <v>0.14508101851851851</v>
      </c>
      <c r="O121" s="41" t="s">
        <v>594</v>
      </c>
      <c r="P121" s="43">
        <v>708</v>
      </c>
      <c r="Q121" s="44">
        <v>6</v>
      </c>
      <c r="R121" s="44">
        <v>5656.59</v>
      </c>
      <c r="S121" s="45" t="s">
        <v>565</v>
      </c>
      <c r="T121" s="56" t="s">
        <v>540</v>
      </c>
      <c r="U121" s="56" t="s">
        <v>540</v>
      </c>
      <c r="V121" s="43" t="s">
        <v>540</v>
      </c>
      <c r="W121" s="41" t="s">
        <v>1038</v>
      </c>
      <c r="X121" s="43" t="s">
        <v>540</v>
      </c>
      <c r="Y121" s="43" t="s">
        <v>540</v>
      </c>
      <c r="Z121" s="43" t="s">
        <v>540</v>
      </c>
      <c r="AA121" s="43" t="s">
        <v>540</v>
      </c>
      <c r="AB121" s="56">
        <v>9.2592592592592596E-4</v>
      </c>
      <c r="AC121" s="56">
        <v>1.0185185185185186E-3</v>
      </c>
      <c r="AD121" s="56">
        <v>9.2592592592592596E-4</v>
      </c>
      <c r="AE121" s="56">
        <v>8.7962962962962962E-4</v>
      </c>
      <c r="AF121" s="41"/>
      <c r="AG121" s="41"/>
      <c r="AH121" s="41"/>
      <c r="AI121" s="41"/>
      <c r="AJ121" s="41"/>
    </row>
    <row r="122" spans="1:36" ht="39.6" customHeight="1">
      <c r="A122" s="41" t="s">
        <v>991</v>
      </c>
      <c r="B122" s="43">
        <v>118</v>
      </c>
      <c r="C122" s="43">
        <v>4</v>
      </c>
      <c r="D122" s="43">
        <v>10</v>
      </c>
      <c r="E122" s="41" t="s">
        <v>416</v>
      </c>
      <c r="F122" s="41" t="s">
        <v>62</v>
      </c>
      <c r="G122" s="41" t="s">
        <v>56</v>
      </c>
      <c r="H122" s="41" t="s">
        <v>7</v>
      </c>
      <c r="I122" s="43">
        <v>5</v>
      </c>
      <c r="J122" s="41" t="s">
        <v>312</v>
      </c>
      <c r="K122" s="41" t="s">
        <v>1024</v>
      </c>
      <c r="L122" s="41" t="s">
        <v>543</v>
      </c>
      <c r="M122" s="41" t="s">
        <v>320</v>
      </c>
      <c r="N122" s="54">
        <f t="shared" si="13"/>
        <v>0.14577546296296295</v>
      </c>
      <c r="O122" s="41" t="s">
        <v>582</v>
      </c>
      <c r="P122" s="43">
        <v>717</v>
      </c>
      <c r="Q122" s="44">
        <v>9</v>
      </c>
      <c r="R122" s="44">
        <v>5775.73</v>
      </c>
      <c r="S122" s="45" t="s">
        <v>565</v>
      </c>
      <c r="T122" s="46" t="s">
        <v>540</v>
      </c>
      <c r="U122" s="46" t="s">
        <v>540</v>
      </c>
      <c r="V122" s="43" t="s">
        <v>540</v>
      </c>
      <c r="W122" s="41" t="s">
        <v>227</v>
      </c>
      <c r="X122" s="43">
        <v>30</v>
      </c>
      <c r="Y122" s="43">
        <f t="shared" ref="Y122:Y129" si="20">IF(ISNUMBER(X122),ROUND(X122*0.85,0),"—")</f>
        <v>26</v>
      </c>
      <c r="Z122" s="43">
        <f t="shared" ref="Z122:Z129" si="21">IF(ISNUMBER(X122),ROUND(X122*0.7,0),"—")</f>
        <v>21</v>
      </c>
      <c r="AA122" s="43">
        <f t="shared" ref="AA122:AA129" si="22">IF(ISNUMBER(X122),ROUND(X122*0.55,0),"—")</f>
        <v>17</v>
      </c>
      <c r="AB122" s="56">
        <v>6.9444444444444447E-4</v>
      </c>
      <c r="AC122" s="56">
        <v>8.2638888888888898E-4</v>
      </c>
      <c r="AD122" s="56">
        <v>6.9444444444444447E-4</v>
      </c>
      <c r="AE122" s="56">
        <v>6.2500000000000001E-4</v>
      </c>
      <c r="AF122" s="41"/>
      <c r="AG122" s="41"/>
      <c r="AH122" s="41"/>
      <c r="AI122" s="41"/>
      <c r="AJ122" s="41"/>
    </row>
    <row r="123" spans="1:36" ht="39.6" customHeight="1">
      <c r="A123" s="41" t="s">
        <v>991</v>
      </c>
      <c r="B123" s="43">
        <v>119</v>
      </c>
      <c r="C123" s="43">
        <v>5</v>
      </c>
      <c r="D123" s="43">
        <v>9</v>
      </c>
      <c r="E123" s="41" t="s">
        <v>616</v>
      </c>
      <c r="F123" s="41" t="s">
        <v>55</v>
      </c>
      <c r="G123" s="41" t="s">
        <v>212</v>
      </c>
      <c r="H123" s="41" t="s">
        <v>352</v>
      </c>
      <c r="I123" s="43">
        <v>3</v>
      </c>
      <c r="J123" s="41" t="s">
        <v>701</v>
      </c>
      <c r="K123" s="41" t="s">
        <v>129</v>
      </c>
      <c r="L123" s="41" t="s">
        <v>563</v>
      </c>
      <c r="M123" s="41" t="s">
        <v>187</v>
      </c>
      <c r="N123" s="54">
        <f t="shared" si="13"/>
        <v>0.14693287037037037</v>
      </c>
      <c r="O123" s="41" t="s">
        <v>582</v>
      </c>
      <c r="P123" s="43">
        <v>726</v>
      </c>
      <c r="Q123" s="44">
        <v>9</v>
      </c>
      <c r="R123" s="44">
        <v>5895.84</v>
      </c>
      <c r="S123" s="45" t="s">
        <v>978</v>
      </c>
      <c r="T123" s="46" t="s">
        <v>549</v>
      </c>
      <c r="U123" s="46" t="s">
        <v>983</v>
      </c>
      <c r="V123" s="43" t="s">
        <v>572</v>
      </c>
      <c r="W123" s="41" t="s">
        <v>206</v>
      </c>
      <c r="X123" s="43">
        <v>20</v>
      </c>
      <c r="Y123" s="43">
        <f t="shared" si="20"/>
        <v>17</v>
      </c>
      <c r="Z123" s="43">
        <f t="shared" si="21"/>
        <v>14</v>
      </c>
      <c r="AA123" s="43">
        <f t="shared" si="22"/>
        <v>11</v>
      </c>
      <c r="AB123" s="56">
        <v>1.1574074074074073E-3</v>
      </c>
      <c r="AC123" s="56">
        <v>1.4293981481481482E-3</v>
      </c>
      <c r="AD123" s="56">
        <v>1.1574074074074073E-3</v>
      </c>
      <c r="AE123" s="56">
        <v>1.0127314814814814E-3</v>
      </c>
      <c r="AF123" s="41"/>
      <c r="AG123" s="41"/>
      <c r="AH123" s="41"/>
      <c r="AI123" s="41"/>
      <c r="AJ123" s="41"/>
    </row>
    <row r="124" spans="1:36" ht="39.6" customHeight="1">
      <c r="A124" s="41" t="s">
        <v>991</v>
      </c>
      <c r="B124" s="43">
        <v>120</v>
      </c>
      <c r="C124" s="43">
        <v>8</v>
      </c>
      <c r="D124" s="43">
        <v>10</v>
      </c>
      <c r="E124" s="41" t="s">
        <v>687</v>
      </c>
      <c r="F124" s="41" t="s">
        <v>60</v>
      </c>
      <c r="G124" s="41" t="s">
        <v>151</v>
      </c>
      <c r="H124" s="41" t="s">
        <v>33</v>
      </c>
      <c r="I124" s="43">
        <v>3</v>
      </c>
      <c r="J124" s="41" t="s">
        <v>324</v>
      </c>
      <c r="K124" s="41" t="s">
        <v>257</v>
      </c>
      <c r="L124" s="41" t="s">
        <v>516</v>
      </c>
      <c r="M124" s="41" t="s">
        <v>397</v>
      </c>
      <c r="N124" s="55">
        <v>0.14936342592592591</v>
      </c>
      <c r="O124" s="48" t="s">
        <v>582</v>
      </c>
      <c r="P124" s="49">
        <v>739</v>
      </c>
      <c r="Q124" s="50">
        <v>13</v>
      </c>
      <c r="R124" s="50">
        <v>6071.04</v>
      </c>
      <c r="S124" s="51">
        <v>900</v>
      </c>
      <c r="T124" s="57">
        <v>4.0509259259259258E-4</v>
      </c>
      <c r="U124" s="57">
        <v>2.4305555555555556E-3</v>
      </c>
      <c r="V124" s="49">
        <v>1</v>
      </c>
      <c r="W124" s="52" t="s">
        <v>225</v>
      </c>
      <c r="X124" s="49">
        <v>120</v>
      </c>
      <c r="Y124" s="49">
        <f t="shared" si="20"/>
        <v>102</v>
      </c>
      <c r="Z124" s="49">
        <f t="shared" si="21"/>
        <v>84</v>
      </c>
      <c r="AA124" s="49">
        <f t="shared" si="22"/>
        <v>66</v>
      </c>
      <c r="AB124" s="57">
        <v>2.4305555555555556E-3</v>
      </c>
      <c r="AC124" s="57">
        <v>3.3298611111111116E-3</v>
      </c>
      <c r="AD124" s="57">
        <v>2.4305555555555556E-3</v>
      </c>
      <c r="AE124" s="57">
        <v>1.9444444444444444E-3</v>
      </c>
    </row>
    <row r="125" spans="1:36" ht="26.45" customHeight="1">
      <c r="A125" s="41" t="s">
        <v>991</v>
      </c>
      <c r="B125" s="43">
        <v>121</v>
      </c>
      <c r="C125" s="43">
        <v>8</v>
      </c>
      <c r="D125" s="43">
        <v>10</v>
      </c>
      <c r="E125" s="41" t="s">
        <v>27</v>
      </c>
      <c r="F125" s="41" t="s">
        <v>36</v>
      </c>
      <c r="G125" s="41" t="s">
        <v>149</v>
      </c>
      <c r="H125" s="41" t="s">
        <v>198</v>
      </c>
      <c r="I125" s="43">
        <v>3</v>
      </c>
      <c r="J125" s="41" t="s">
        <v>685</v>
      </c>
      <c r="K125" s="41" t="s">
        <v>265</v>
      </c>
      <c r="L125" s="41" t="s">
        <v>497</v>
      </c>
      <c r="M125" s="41" t="s">
        <v>707</v>
      </c>
      <c r="N125" s="55">
        <v>0.15086805555555555</v>
      </c>
      <c r="O125" s="48" t="s">
        <v>582</v>
      </c>
      <c r="P125" s="49">
        <v>752</v>
      </c>
      <c r="Q125" s="50">
        <v>13</v>
      </c>
      <c r="R125" s="50">
        <v>6248.26</v>
      </c>
      <c r="S125" s="51" t="s">
        <v>508</v>
      </c>
      <c r="T125" s="57">
        <v>2.8935185185185184E-4</v>
      </c>
      <c r="U125" s="57">
        <v>1.5046296296296296E-3</v>
      </c>
      <c r="V125" s="49">
        <v>1</v>
      </c>
      <c r="W125" s="52" t="s">
        <v>35</v>
      </c>
      <c r="X125" s="49">
        <v>100</v>
      </c>
      <c r="Y125" s="49">
        <f t="shared" si="20"/>
        <v>85</v>
      </c>
      <c r="Z125" s="49">
        <f t="shared" si="21"/>
        <v>70</v>
      </c>
      <c r="AA125" s="49">
        <f t="shared" si="22"/>
        <v>55</v>
      </c>
      <c r="AB125" s="57">
        <v>1.5046296296296296E-3</v>
      </c>
      <c r="AC125" s="57">
        <v>2.0613425925925929E-3</v>
      </c>
      <c r="AD125" s="57">
        <v>1.5046296296296296E-3</v>
      </c>
      <c r="AE125" s="57">
        <v>1.2037037037037036E-3</v>
      </c>
    </row>
    <row r="126" spans="1:36" ht="39.6" customHeight="1">
      <c r="A126" s="48" t="s">
        <v>991</v>
      </c>
      <c r="B126" s="49">
        <v>122</v>
      </c>
      <c r="C126" s="49">
        <v>8</v>
      </c>
      <c r="D126" s="49">
        <v>10</v>
      </c>
      <c r="E126" s="48" t="s">
        <v>626</v>
      </c>
      <c r="F126" s="48" t="s">
        <v>218</v>
      </c>
      <c r="G126" s="48" t="s">
        <v>34</v>
      </c>
      <c r="H126" s="48" t="s">
        <v>208</v>
      </c>
      <c r="I126" s="43">
        <v>3</v>
      </c>
      <c r="J126" s="52" t="s">
        <v>715</v>
      </c>
      <c r="K126" s="48" t="s">
        <v>8</v>
      </c>
      <c r="L126" s="48" t="s">
        <v>524</v>
      </c>
      <c r="M126" s="48" t="s">
        <v>1022</v>
      </c>
      <c r="N126" s="55">
        <v>0.15138888888888888</v>
      </c>
      <c r="O126" s="48" t="s">
        <v>582</v>
      </c>
      <c r="P126" s="49">
        <v>765</v>
      </c>
      <c r="Q126" s="50">
        <v>13</v>
      </c>
      <c r="R126" s="50">
        <v>6427.49</v>
      </c>
      <c r="S126" s="51" t="s">
        <v>508</v>
      </c>
      <c r="T126" s="57">
        <v>1.7361111111111112E-4</v>
      </c>
      <c r="U126" s="57">
        <v>5.2083333333333333E-4</v>
      </c>
      <c r="V126" s="49">
        <v>1</v>
      </c>
      <c r="W126" s="52" t="s">
        <v>42</v>
      </c>
      <c r="X126" s="49">
        <v>70</v>
      </c>
      <c r="Y126" s="49">
        <f t="shared" si="20"/>
        <v>60</v>
      </c>
      <c r="Z126" s="49">
        <f t="shared" si="21"/>
        <v>49</v>
      </c>
      <c r="AA126" s="49">
        <f t="shared" si="22"/>
        <v>39</v>
      </c>
      <c r="AB126" s="57">
        <v>5.2083333333333333E-4</v>
      </c>
      <c r="AC126" s="57">
        <v>7.1354166666666669E-4</v>
      </c>
      <c r="AD126" s="57">
        <v>5.2083333333333333E-4</v>
      </c>
      <c r="AE126" s="57">
        <v>4.1666666666666664E-4</v>
      </c>
    </row>
    <row r="127" spans="1:36" ht="39.6" customHeight="1">
      <c r="A127" s="48" t="s">
        <v>991</v>
      </c>
      <c r="B127" s="49">
        <v>123</v>
      </c>
      <c r="C127" s="49">
        <v>9</v>
      </c>
      <c r="D127" s="49">
        <v>10</v>
      </c>
      <c r="E127" s="48" t="s">
        <v>322</v>
      </c>
      <c r="F127" s="48" t="s">
        <v>153</v>
      </c>
      <c r="G127" s="48" t="s">
        <v>32</v>
      </c>
      <c r="H127" s="48" t="s">
        <v>24</v>
      </c>
      <c r="I127" s="43">
        <v>6</v>
      </c>
      <c r="J127" s="48" t="s">
        <v>188</v>
      </c>
      <c r="K127" s="48" t="s">
        <v>703</v>
      </c>
      <c r="L127" s="48" t="s">
        <v>538</v>
      </c>
      <c r="M127" s="48" t="s">
        <v>660</v>
      </c>
      <c r="N127" s="55">
        <v>0.15416666666666667</v>
      </c>
      <c r="O127" s="48" t="s">
        <v>582</v>
      </c>
      <c r="P127" s="49">
        <v>779</v>
      </c>
      <c r="Q127" s="50">
        <v>14</v>
      </c>
      <c r="R127" s="50">
        <v>6622.73</v>
      </c>
      <c r="S127" s="51">
        <v>1200</v>
      </c>
      <c r="T127" s="57">
        <v>4.6296296296296298E-4</v>
      </c>
      <c r="U127" s="57">
        <v>2.7777777777777779E-3</v>
      </c>
      <c r="V127" s="49">
        <v>1</v>
      </c>
      <c r="W127" s="52" t="s">
        <v>203</v>
      </c>
      <c r="X127" s="49">
        <v>150</v>
      </c>
      <c r="Y127" s="49">
        <f t="shared" si="20"/>
        <v>128</v>
      </c>
      <c r="Z127" s="49">
        <f t="shared" si="21"/>
        <v>105</v>
      </c>
      <c r="AA127" s="49">
        <f t="shared" si="22"/>
        <v>83</v>
      </c>
      <c r="AB127" s="57">
        <v>2.7777777777777779E-3</v>
      </c>
      <c r="AC127" s="57">
        <v>3.9305555555555561E-3</v>
      </c>
      <c r="AD127" s="57">
        <v>2.7777777777777779E-3</v>
      </c>
      <c r="AE127" s="57">
        <v>2.1527777777777778E-3</v>
      </c>
    </row>
    <row r="128" spans="1:36" ht="26.45" customHeight="1">
      <c r="A128" s="48" t="s">
        <v>991</v>
      </c>
      <c r="B128" s="49">
        <v>124</v>
      </c>
      <c r="C128" s="49">
        <v>10</v>
      </c>
      <c r="D128" s="49">
        <v>10</v>
      </c>
      <c r="E128" s="48" t="s">
        <v>585</v>
      </c>
      <c r="F128" s="48" t="s">
        <v>139</v>
      </c>
      <c r="G128" s="48" t="s">
        <v>46</v>
      </c>
      <c r="H128" s="48" t="s">
        <v>815</v>
      </c>
      <c r="I128" s="49">
        <v>6</v>
      </c>
      <c r="J128" s="48" t="s">
        <v>128</v>
      </c>
      <c r="K128" s="48" t="s">
        <v>663</v>
      </c>
      <c r="L128" s="48" t="s">
        <v>569</v>
      </c>
      <c r="M128" s="48" t="s">
        <v>305</v>
      </c>
      <c r="N128" s="55">
        <v>0.15601851851851853</v>
      </c>
      <c r="O128" s="48" t="s">
        <v>582</v>
      </c>
      <c r="P128" s="49">
        <v>794</v>
      </c>
      <c r="Q128" s="50">
        <v>15</v>
      </c>
      <c r="R128" s="50">
        <v>6834.45</v>
      </c>
      <c r="S128" s="48" t="s">
        <v>508</v>
      </c>
      <c r="T128" s="60">
        <v>2.3148148148148149E-4</v>
      </c>
      <c r="U128" s="60">
        <v>1.8518518518518519E-3</v>
      </c>
      <c r="V128" s="53">
        <v>1</v>
      </c>
      <c r="W128" s="48" t="s">
        <v>40</v>
      </c>
      <c r="X128" s="49">
        <v>120</v>
      </c>
      <c r="Y128" s="49">
        <f t="shared" si="20"/>
        <v>102</v>
      </c>
      <c r="Z128" s="49">
        <f t="shared" si="21"/>
        <v>84</v>
      </c>
      <c r="AA128" s="49">
        <f t="shared" si="22"/>
        <v>66</v>
      </c>
      <c r="AB128" s="57">
        <v>1.8518518518518519E-3</v>
      </c>
      <c r="AC128" s="57">
        <v>2.7037037037037038E-3</v>
      </c>
      <c r="AD128" s="57">
        <v>1.8518518518518519E-3</v>
      </c>
      <c r="AE128" s="57">
        <v>1.3888888888888889E-3</v>
      </c>
    </row>
    <row r="129" spans="1:31" ht="26.45" customHeight="1">
      <c r="A129" s="48" t="s">
        <v>991</v>
      </c>
      <c r="B129" s="49">
        <v>125</v>
      </c>
      <c r="C129" s="49">
        <v>7</v>
      </c>
      <c r="D129" s="49">
        <v>10</v>
      </c>
      <c r="E129" s="48" t="s">
        <v>949</v>
      </c>
      <c r="F129" s="48" t="s">
        <v>1013</v>
      </c>
      <c r="G129" s="48" t="s">
        <v>756</v>
      </c>
      <c r="H129" s="48" t="s">
        <v>832</v>
      </c>
      <c r="I129" s="49">
        <v>5</v>
      </c>
      <c r="J129" s="48" t="s">
        <v>591</v>
      </c>
      <c r="K129" s="48" t="s">
        <v>705</v>
      </c>
      <c r="L129" s="48" t="s">
        <v>573</v>
      </c>
      <c r="M129" s="48" t="s">
        <v>424</v>
      </c>
      <c r="N129" s="55">
        <v>0.15763888888888888</v>
      </c>
      <c r="O129" s="48" t="s">
        <v>582</v>
      </c>
      <c r="P129" s="49">
        <v>806</v>
      </c>
      <c r="Q129" s="50">
        <v>12</v>
      </c>
      <c r="R129" s="50">
        <v>7005.72</v>
      </c>
      <c r="S129" s="48" t="s">
        <v>565</v>
      </c>
      <c r="T129" s="60" t="s">
        <v>540</v>
      </c>
      <c r="U129" s="60" t="s">
        <v>540</v>
      </c>
      <c r="V129" s="53" t="s">
        <v>540</v>
      </c>
      <c r="W129" s="48" t="s">
        <v>210</v>
      </c>
      <c r="X129" s="49">
        <v>50</v>
      </c>
      <c r="Y129" s="49">
        <f t="shared" si="20"/>
        <v>43</v>
      </c>
      <c r="Z129" s="49">
        <f t="shared" si="21"/>
        <v>35</v>
      </c>
      <c r="AA129" s="49">
        <f t="shared" si="22"/>
        <v>28</v>
      </c>
      <c r="AB129" s="57">
        <v>1.6203703703703703E-3</v>
      </c>
      <c r="AC129" s="57">
        <v>2.146990740740741E-3</v>
      </c>
      <c r="AD129" s="57">
        <v>1.6203703703703703E-3</v>
      </c>
      <c r="AE129" s="57">
        <v>1.3368055555555555E-3</v>
      </c>
    </row>
    <row r="130" spans="1:31" ht="39.6" customHeight="1">
      <c r="A130" s="48" t="s">
        <v>991</v>
      </c>
      <c r="B130" s="49">
        <v>126</v>
      </c>
      <c r="C130" s="49">
        <v>1</v>
      </c>
      <c r="D130" s="49">
        <v>10</v>
      </c>
      <c r="E130" s="48" t="s">
        <v>945</v>
      </c>
      <c r="F130" s="48" t="s">
        <v>86</v>
      </c>
      <c r="G130" s="48" t="s">
        <v>822</v>
      </c>
      <c r="H130" s="48" t="s">
        <v>348</v>
      </c>
      <c r="I130" s="49">
        <v>1</v>
      </c>
      <c r="J130" s="48" t="s">
        <v>955</v>
      </c>
      <c r="K130" s="48" t="s">
        <v>673</v>
      </c>
      <c r="L130" s="48" t="s">
        <v>559</v>
      </c>
      <c r="M130" s="48" t="s">
        <v>994</v>
      </c>
      <c r="N130" s="55">
        <v>0.15868055555555555</v>
      </c>
      <c r="O130" s="48" t="s">
        <v>582</v>
      </c>
      <c r="P130" s="49">
        <v>812</v>
      </c>
      <c r="Q130" s="50">
        <v>6</v>
      </c>
      <c r="R130" s="50">
        <v>7091.98</v>
      </c>
      <c r="S130" s="48" t="s">
        <v>565</v>
      </c>
      <c r="T130" s="47" t="s">
        <v>540</v>
      </c>
      <c r="U130" s="47" t="s">
        <v>540</v>
      </c>
      <c r="V130" s="53" t="s">
        <v>540</v>
      </c>
      <c r="W130" s="48" t="s">
        <v>1038</v>
      </c>
      <c r="X130" s="49" t="s">
        <v>540</v>
      </c>
      <c r="Y130" s="49" t="s">
        <v>540</v>
      </c>
      <c r="Z130" s="49" t="s">
        <v>540</v>
      </c>
      <c r="AA130" s="49" t="s">
        <v>540</v>
      </c>
      <c r="AB130" s="57">
        <v>1.0416666666666667E-3</v>
      </c>
      <c r="AC130" s="57">
        <v>1.1458333333333333E-3</v>
      </c>
      <c r="AD130" s="57">
        <v>1.0416666666666667E-3</v>
      </c>
      <c r="AE130" s="57">
        <v>9.895833333333332E-4</v>
      </c>
    </row>
    <row r="131" spans="1:31" ht="39.6" customHeight="1">
      <c r="A131" s="48" t="s">
        <v>991</v>
      </c>
      <c r="B131" s="49">
        <v>127</v>
      </c>
      <c r="C131" s="49">
        <v>2</v>
      </c>
      <c r="D131" s="49">
        <v>10</v>
      </c>
      <c r="E131" s="48" t="s">
        <v>621</v>
      </c>
      <c r="F131" s="48" t="s">
        <v>353</v>
      </c>
      <c r="G131" s="48" t="s">
        <v>826</v>
      </c>
      <c r="H131" s="48" t="s">
        <v>833</v>
      </c>
      <c r="I131" s="49">
        <v>3</v>
      </c>
      <c r="J131" s="48" t="s">
        <v>627</v>
      </c>
      <c r="K131" s="48" t="s">
        <v>679</v>
      </c>
      <c r="L131" s="48" t="s">
        <v>573</v>
      </c>
      <c r="M131" s="48" t="s">
        <v>307</v>
      </c>
      <c r="N131" s="55">
        <v>0.16030092592592593</v>
      </c>
      <c r="O131" s="48" t="s">
        <v>582</v>
      </c>
      <c r="P131" s="49">
        <v>819</v>
      </c>
      <c r="Q131" s="50">
        <v>7</v>
      </c>
      <c r="R131" s="50">
        <v>7193.14</v>
      </c>
      <c r="S131" s="48" t="s">
        <v>565</v>
      </c>
      <c r="T131" s="47" t="s">
        <v>540</v>
      </c>
      <c r="U131" s="47" t="s">
        <v>540</v>
      </c>
      <c r="V131" s="53" t="s">
        <v>540</v>
      </c>
      <c r="W131" s="48" t="s">
        <v>35</v>
      </c>
      <c r="X131" s="49">
        <v>100</v>
      </c>
      <c r="Y131" s="49">
        <f>IF(ISNUMBER(X131),ROUND(X131*0.85,0),"—")</f>
        <v>85</v>
      </c>
      <c r="Z131" s="49">
        <f>IF(ISNUMBER(X131),ROUND(X131*0.7,0),"—")</f>
        <v>70</v>
      </c>
      <c r="AA131" s="49">
        <f>IF(ISNUMBER(X131),ROUND(X131*0.55,0),"—")</f>
        <v>55</v>
      </c>
      <c r="AB131" s="57">
        <v>1.6203703703703703E-3</v>
      </c>
      <c r="AC131" s="57">
        <v>1.7824074074074075E-3</v>
      </c>
      <c r="AD131" s="57">
        <v>1.6203703703703703E-3</v>
      </c>
      <c r="AE131" s="57">
        <v>1.5393518518518516E-3</v>
      </c>
    </row>
    <row r="132" spans="1:31" ht="26.45" customHeight="1">
      <c r="A132" s="48" t="s">
        <v>991</v>
      </c>
      <c r="B132" s="49">
        <v>128</v>
      </c>
      <c r="C132" s="49">
        <v>6</v>
      </c>
      <c r="D132" s="49">
        <v>9</v>
      </c>
      <c r="E132" s="48" t="s">
        <v>968</v>
      </c>
      <c r="F132" s="48" t="s">
        <v>87</v>
      </c>
      <c r="G132" s="48" t="s">
        <v>75</v>
      </c>
      <c r="H132" s="48" t="s">
        <v>809</v>
      </c>
      <c r="I132" s="49">
        <v>1</v>
      </c>
      <c r="J132" s="48" t="s">
        <v>425</v>
      </c>
      <c r="K132" s="48" t="s">
        <v>680</v>
      </c>
      <c r="L132" s="48" t="s">
        <v>523</v>
      </c>
      <c r="M132" s="48" t="s">
        <v>704</v>
      </c>
      <c r="N132" s="55">
        <v>0.16238425925925926</v>
      </c>
      <c r="O132" s="48" t="s">
        <v>612</v>
      </c>
      <c r="P132" s="49">
        <v>829</v>
      </c>
      <c r="Q132" s="50">
        <v>10</v>
      </c>
      <c r="R132" s="50">
        <v>7338.63</v>
      </c>
      <c r="S132" s="48" t="s">
        <v>565</v>
      </c>
      <c r="T132" s="47" t="s">
        <v>540</v>
      </c>
      <c r="U132" s="47" t="s">
        <v>540</v>
      </c>
      <c r="V132" s="53" t="s">
        <v>540</v>
      </c>
      <c r="W132" s="48" t="s">
        <v>39</v>
      </c>
      <c r="X132" s="49">
        <v>120</v>
      </c>
      <c r="Y132" s="49">
        <f>IF(ISNUMBER(X132),ROUND(X132*0.85,0),"—")</f>
        <v>102</v>
      </c>
      <c r="Z132" s="49">
        <f>IF(ISNUMBER(X132),ROUND(X132*0.7,0),"—")</f>
        <v>84</v>
      </c>
      <c r="AA132" s="49">
        <f>IF(ISNUMBER(X132),ROUND(X132*0.55,0),"—")</f>
        <v>66</v>
      </c>
      <c r="AB132" s="57">
        <v>2.0833333333333333E-3</v>
      </c>
      <c r="AC132" s="57">
        <v>2.6666666666666666E-3</v>
      </c>
      <c r="AD132" s="57">
        <v>2.0833333333333333E-3</v>
      </c>
      <c r="AE132" s="57">
        <v>1.7708333333333332E-3</v>
      </c>
    </row>
    <row r="133" spans="1:31" ht="26.45" customHeight="1">
      <c r="A133" s="48" t="s">
        <v>991</v>
      </c>
      <c r="B133" s="49">
        <v>129</v>
      </c>
      <c r="C133" s="49">
        <v>1</v>
      </c>
      <c r="D133" s="49">
        <v>8</v>
      </c>
      <c r="E133" s="48" t="s">
        <v>622</v>
      </c>
      <c r="F133" s="48" t="s">
        <v>328</v>
      </c>
      <c r="G133" s="48" t="s">
        <v>244</v>
      </c>
      <c r="H133" s="48" t="s">
        <v>93</v>
      </c>
      <c r="I133" s="49">
        <v>3</v>
      </c>
      <c r="J133" s="48" t="s">
        <v>633</v>
      </c>
      <c r="K133" s="48" t="s">
        <v>401</v>
      </c>
      <c r="L133" s="48" t="s">
        <v>513</v>
      </c>
      <c r="M133" s="48" t="s">
        <v>394</v>
      </c>
      <c r="N133" s="55">
        <v>0.16365740740740742</v>
      </c>
      <c r="O133" s="48" t="s">
        <v>612</v>
      </c>
      <c r="P133" s="49">
        <v>834</v>
      </c>
      <c r="Q133" s="50">
        <v>5</v>
      </c>
      <c r="R133" s="50">
        <v>7411.8</v>
      </c>
      <c r="S133" s="48" t="s">
        <v>565</v>
      </c>
      <c r="T133" s="47" t="s">
        <v>540</v>
      </c>
      <c r="U133" s="47" t="s">
        <v>540</v>
      </c>
      <c r="V133" s="53" t="s">
        <v>540</v>
      </c>
      <c r="W133" s="48" t="s">
        <v>1038</v>
      </c>
      <c r="X133" s="49" t="s">
        <v>540</v>
      </c>
      <c r="Y133" s="49" t="s">
        <v>540</v>
      </c>
      <c r="Z133" s="49" t="s">
        <v>540</v>
      </c>
      <c r="AA133" s="49" t="s">
        <v>540</v>
      </c>
      <c r="AB133" s="57">
        <v>1.2731481481481483E-3</v>
      </c>
      <c r="AC133" s="57">
        <v>1.4004629629629632E-3</v>
      </c>
      <c r="AD133" s="57">
        <v>1.2731481481481483E-3</v>
      </c>
      <c r="AE133" s="57">
        <v>1.2094907407407408E-3</v>
      </c>
    </row>
    <row r="134" spans="1:31" ht="39.6" customHeight="1">
      <c r="A134" s="48" t="s">
        <v>948</v>
      </c>
      <c r="B134" s="49">
        <v>130</v>
      </c>
      <c r="C134" s="49">
        <v>1</v>
      </c>
      <c r="D134" s="49">
        <v>8</v>
      </c>
      <c r="E134" s="48" t="s">
        <v>560</v>
      </c>
      <c r="F134" s="48" t="s">
        <v>840</v>
      </c>
      <c r="G134" s="48" t="s">
        <v>828</v>
      </c>
      <c r="H134" s="48" t="s">
        <v>104</v>
      </c>
      <c r="I134" s="49">
        <v>2</v>
      </c>
      <c r="J134" s="48" t="s">
        <v>958</v>
      </c>
      <c r="K134" s="48" t="s">
        <v>528</v>
      </c>
      <c r="L134" s="48" t="s">
        <v>563</v>
      </c>
      <c r="M134" s="48" t="s">
        <v>258</v>
      </c>
      <c r="N134" s="55">
        <v>0.1648148148148148</v>
      </c>
      <c r="O134" s="48" t="s">
        <v>599</v>
      </c>
      <c r="P134" s="49">
        <v>839</v>
      </c>
      <c r="Q134" s="50">
        <v>5</v>
      </c>
      <c r="R134" s="50">
        <v>7485.27</v>
      </c>
      <c r="S134" s="48" t="s">
        <v>565</v>
      </c>
      <c r="T134" s="47" t="s">
        <v>540</v>
      </c>
      <c r="U134" s="47" t="s">
        <v>540</v>
      </c>
      <c r="V134" s="53" t="s">
        <v>540</v>
      </c>
      <c r="W134" s="48" t="s">
        <v>1038</v>
      </c>
      <c r="X134" s="49" t="s">
        <v>540</v>
      </c>
      <c r="Y134" s="49" t="s">
        <v>540</v>
      </c>
      <c r="Z134" s="49" t="s">
        <v>540</v>
      </c>
      <c r="AA134" s="49" t="s">
        <v>540</v>
      </c>
      <c r="AB134" s="57">
        <v>1.1574074074074073E-3</v>
      </c>
      <c r="AC134" s="57">
        <v>1.2731481481481483E-3</v>
      </c>
      <c r="AD134" s="57">
        <v>1.1574074074074073E-3</v>
      </c>
      <c r="AE134" s="57">
        <v>1.0995370370370369E-3</v>
      </c>
    </row>
    <row r="135" spans="1:31" ht="26.45" customHeight="1">
      <c r="A135" s="48" t="s">
        <v>948</v>
      </c>
      <c r="B135" s="49">
        <v>131</v>
      </c>
      <c r="C135" s="49">
        <v>1</v>
      </c>
      <c r="D135" s="49">
        <v>9</v>
      </c>
      <c r="E135" s="48" t="s">
        <v>650</v>
      </c>
      <c r="F135" s="48" t="s">
        <v>350</v>
      </c>
      <c r="G135" s="48" t="s">
        <v>59</v>
      </c>
      <c r="H135" s="48" t="s">
        <v>819</v>
      </c>
      <c r="I135" s="49">
        <v>4</v>
      </c>
      <c r="J135" s="48" t="s">
        <v>970</v>
      </c>
      <c r="K135" s="48" t="s">
        <v>528</v>
      </c>
      <c r="L135" s="48" t="s">
        <v>573</v>
      </c>
      <c r="M135" s="48" t="s">
        <v>668</v>
      </c>
      <c r="N135" s="55">
        <v>0.16643518518518519</v>
      </c>
      <c r="O135" s="48" t="s">
        <v>599</v>
      </c>
      <c r="P135" s="49">
        <v>844</v>
      </c>
      <c r="Q135" s="50">
        <v>5</v>
      </c>
      <c r="R135" s="50">
        <v>7559.01</v>
      </c>
      <c r="S135" s="48" t="s">
        <v>565</v>
      </c>
      <c r="T135" s="47" t="s">
        <v>540</v>
      </c>
      <c r="U135" s="47" t="s">
        <v>540</v>
      </c>
      <c r="V135" s="53" t="s">
        <v>540</v>
      </c>
      <c r="W135" s="48" t="s">
        <v>1038</v>
      </c>
      <c r="X135" s="49" t="s">
        <v>540</v>
      </c>
      <c r="Y135" s="49" t="s">
        <v>540</v>
      </c>
      <c r="Z135" s="49" t="s">
        <v>540</v>
      </c>
      <c r="AA135" s="49" t="s">
        <v>540</v>
      </c>
      <c r="AB135" s="57">
        <v>1.6203703703703703E-3</v>
      </c>
      <c r="AC135" s="57">
        <v>1.7824074074074075E-3</v>
      </c>
      <c r="AD135" s="57">
        <v>1.6203703703703703E-3</v>
      </c>
      <c r="AE135" s="57">
        <v>1.5393518518518516E-3</v>
      </c>
    </row>
    <row r="136" spans="1:31" ht="26.45" customHeight="1">
      <c r="A136" s="48" t="s">
        <v>948</v>
      </c>
      <c r="B136" s="49">
        <v>132</v>
      </c>
      <c r="C136" s="49">
        <v>5</v>
      </c>
      <c r="D136" s="49">
        <v>9</v>
      </c>
      <c r="E136" s="48" t="s">
        <v>602</v>
      </c>
      <c r="F136" s="48" t="s">
        <v>463</v>
      </c>
      <c r="G136" s="48" t="s">
        <v>860</v>
      </c>
      <c r="H136" s="48" t="s">
        <v>342</v>
      </c>
      <c r="I136" s="49">
        <v>1</v>
      </c>
      <c r="J136" s="48" t="s">
        <v>301</v>
      </c>
      <c r="K136" s="48" t="s">
        <v>528</v>
      </c>
      <c r="L136" s="48" t="s">
        <v>523</v>
      </c>
      <c r="M136" s="48" t="s">
        <v>787</v>
      </c>
      <c r="N136" s="55">
        <v>0.16851851851851851</v>
      </c>
      <c r="O136" s="48" t="s">
        <v>599</v>
      </c>
      <c r="P136" s="49">
        <v>853</v>
      </c>
      <c r="Q136" s="50">
        <v>9</v>
      </c>
      <c r="R136" s="50">
        <v>7692.47</v>
      </c>
      <c r="S136" s="48" t="s">
        <v>565</v>
      </c>
      <c r="T136" s="47" t="s">
        <v>540</v>
      </c>
      <c r="U136" s="47" t="s">
        <v>540</v>
      </c>
      <c r="V136" s="53" t="s">
        <v>540</v>
      </c>
      <c r="W136" s="48" t="s">
        <v>206</v>
      </c>
      <c r="X136" s="49">
        <v>20</v>
      </c>
      <c r="Y136" s="49">
        <f t="shared" ref="Y136:Y143" si="23">IF(ISNUMBER(X136),ROUND(X136*0.85,0),"—")</f>
        <v>17</v>
      </c>
      <c r="Z136" s="49">
        <f t="shared" ref="Z136:Z143" si="24">IF(ISNUMBER(X136),ROUND(X136*0.7,0),"—")</f>
        <v>14</v>
      </c>
      <c r="AA136" s="49">
        <f t="shared" ref="AA136:AA143" si="25">IF(ISNUMBER(X136),ROUND(X136*0.55,0),"—")</f>
        <v>11</v>
      </c>
      <c r="AB136" s="57">
        <v>2.0833333333333333E-3</v>
      </c>
      <c r="AC136" s="57">
        <v>2.5729166666666669E-3</v>
      </c>
      <c r="AD136" s="57">
        <v>2.0833333333333333E-3</v>
      </c>
      <c r="AE136" s="57">
        <v>1.8229166666666667E-3</v>
      </c>
    </row>
    <row r="137" spans="1:31" ht="26.45" customHeight="1">
      <c r="A137" s="48" t="s">
        <v>948</v>
      </c>
      <c r="B137" s="49">
        <v>133</v>
      </c>
      <c r="C137" s="49">
        <v>6</v>
      </c>
      <c r="D137" s="49">
        <v>10</v>
      </c>
      <c r="E137" s="48" t="s">
        <v>959</v>
      </c>
      <c r="F137" s="48" t="s">
        <v>996</v>
      </c>
      <c r="G137" s="48" t="s">
        <v>844</v>
      </c>
      <c r="H137" s="48" t="s">
        <v>340</v>
      </c>
      <c r="I137" s="49">
        <v>3</v>
      </c>
      <c r="J137" s="48" t="s">
        <v>583</v>
      </c>
      <c r="K137" s="48" t="s">
        <v>709</v>
      </c>
      <c r="L137" s="48" t="s">
        <v>497</v>
      </c>
      <c r="M137" s="48" t="s">
        <v>426</v>
      </c>
      <c r="N137" s="55">
        <v>0.17002314814814815</v>
      </c>
      <c r="O137" s="48" t="s">
        <v>946</v>
      </c>
      <c r="P137" s="49">
        <v>864</v>
      </c>
      <c r="Q137" s="50">
        <v>11</v>
      </c>
      <c r="R137" s="50">
        <v>7856.84</v>
      </c>
      <c r="S137" s="48" t="s">
        <v>565</v>
      </c>
      <c r="T137" s="47" t="s">
        <v>540</v>
      </c>
      <c r="U137" s="47" t="s">
        <v>540</v>
      </c>
      <c r="V137" s="53" t="s">
        <v>540</v>
      </c>
      <c r="W137" s="48" t="s">
        <v>210</v>
      </c>
      <c r="X137" s="49">
        <v>50</v>
      </c>
      <c r="Y137" s="49">
        <f t="shared" si="23"/>
        <v>43</v>
      </c>
      <c r="Z137" s="49">
        <f t="shared" si="24"/>
        <v>35</v>
      </c>
      <c r="AA137" s="49">
        <f t="shared" si="25"/>
        <v>28</v>
      </c>
      <c r="AB137" s="57">
        <v>1.5046296296296296E-3</v>
      </c>
      <c r="AC137" s="57">
        <v>1.925925925925926E-3</v>
      </c>
      <c r="AD137" s="57">
        <v>1.5046296296296296E-3</v>
      </c>
      <c r="AE137" s="57">
        <v>1.2789351851851853E-3</v>
      </c>
    </row>
    <row r="138" spans="1:31" ht="26.45" customHeight="1">
      <c r="A138" s="48" t="s">
        <v>948</v>
      </c>
      <c r="B138" s="49">
        <v>134</v>
      </c>
      <c r="C138" s="49">
        <v>5</v>
      </c>
      <c r="D138" s="49">
        <v>9</v>
      </c>
      <c r="E138" s="48" t="s">
        <v>961</v>
      </c>
      <c r="F138" s="48" t="s">
        <v>291</v>
      </c>
      <c r="G138" s="48" t="s">
        <v>862</v>
      </c>
      <c r="H138" s="48" t="s">
        <v>823</v>
      </c>
      <c r="I138" s="49">
        <v>8</v>
      </c>
      <c r="J138" s="48" t="s">
        <v>971</v>
      </c>
      <c r="K138" s="48" t="s">
        <v>300</v>
      </c>
      <c r="L138" s="48" t="s">
        <v>500</v>
      </c>
      <c r="M138" s="48" t="s">
        <v>698</v>
      </c>
      <c r="N138" s="55">
        <v>0.17256944444444444</v>
      </c>
      <c r="O138" s="48" t="s">
        <v>946</v>
      </c>
      <c r="P138" s="49">
        <v>873</v>
      </c>
      <c r="Q138" s="50">
        <v>9</v>
      </c>
      <c r="R138" s="50">
        <v>7992.33</v>
      </c>
      <c r="S138" s="48" t="s">
        <v>565</v>
      </c>
      <c r="T138" s="47" t="s">
        <v>540</v>
      </c>
      <c r="U138" s="47" t="s">
        <v>540</v>
      </c>
      <c r="V138" s="53" t="s">
        <v>540</v>
      </c>
      <c r="W138" s="48" t="s">
        <v>52</v>
      </c>
      <c r="X138" s="49">
        <v>50</v>
      </c>
      <c r="Y138" s="49">
        <f t="shared" si="23"/>
        <v>43</v>
      </c>
      <c r="Z138" s="49">
        <f t="shared" si="24"/>
        <v>35</v>
      </c>
      <c r="AA138" s="49">
        <f t="shared" si="25"/>
        <v>28</v>
      </c>
      <c r="AB138" s="57">
        <v>2.5462962962962965E-3</v>
      </c>
      <c r="AC138" s="57">
        <v>3.1446759259259266E-3</v>
      </c>
      <c r="AD138" s="57">
        <v>2.5462962962962965E-3</v>
      </c>
      <c r="AE138" s="57">
        <v>2.2280092592592594E-3</v>
      </c>
    </row>
    <row r="139" spans="1:31" ht="39.6" customHeight="1">
      <c r="A139" s="48" t="s">
        <v>948</v>
      </c>
      <c r="B139" s="49">
        <v>135</v>
      </c>
      <c r="C139" s="49">
        <v>2</v>
      </c>
      <c r="D139" s="49">
        <v>10</v>
      </c>
      <c r="E139" s="48" t="s">
        <v>951</v>
      </c>
      <c r="F139" s="48" t="s">
        <v>100</v>
      </c>
      <c r="G139" s="48" t="s">
        <v>835</v>
      </c>
      <c r="H139" s="48" t="s">
        <v>344</v>
      </c>
      <c r="I139" s="49">
        <v>5</v>
      </c>
      <c r="J139" s="48" t="s">
        <v>601</v>
      </c>
      <c r="K139" s="48" t="s">
        <v>528</v>
      </c>
      <c r="L139" s="48" t="s">
        <v>516</v>
      </c>
      <c r="M139" s="48" t="s">
        <v>306</v>
      </c>
      <c r="N139" s="55">
        <v>0.17499999999999999</v>
      </c>
      <c r="O139" s="48" t="s">
        <v>946</v>
      </c>
      <c r="P139" s="49">
        <v>880</v>
      </c>
      <c r="Q139" s="50">
        <v>7</v>
      </c>
      <c r="R139" s="50">
        <v>8098.35</v>
      </c>
      <c r="S139" s="48" t="s">
        <v>565</v>
      </c>
      <c r="T139" s="47" t="s">
        <v>540</v>
      </c>
      <c r="U139" s="47" t="s">
        <v>540</v>
      </c>
      <c r="V139" s="53" t="s">
        <v>540</v>
      </c>
      <c r="W139" s="48" t="s">
        <v>227</v>
      </c>
      <c r="X139" s="49">
        <v>30</v>
      </c>
      <c r="Y139" s="49">
        <f t="shared" si="23"/>
        <v>26</v>
      </c>
      <c r="Z139" s="49">
        <f t="shared" si="24"/>
        <v>21</v>
      </c>
      <c r="AA139" s="49">
        <f t="shared" si="25"/>
        <v>17</v>
      </c>
      <c r="AB139" s="57">
        <v>2.4305555555555556E-3</v>
      </c>
      <c r="AC139" s="57">
        <v>2.6736111111111114E-3</v>
      </c>
      <c r="AD139" s="57">
        <v>2.4305555555555556E-3</v>
      </c>
      <c r="AE139" s="57">
        <v>2.3090277777777779E-3</v>
      </c>
    </row>
    <row r="140" spans="1:31" ht="39.6" customHeight="1">
      <c r="A140" s="48" t="s">
        <v>948</v>
      </c>
      <c r="B140" s="49">
        <v>136</v>
      </c>
      <c r="C140" s="49">
        <v>7</v>
      </c>
      <c r="D140" s="49">
        <v>10</v>
      </c>
      <c r="E140" s="48" t="s">
        <v>652</v>
      </c>
      <c r="F140" s="48" t="s">
        <v>337</v>
      </c>
      <c r="G140" s="48" t="s">
        <v>147</v>
      </c>
      <c r="H140" s="48" t="s">
        <v>849</v>
      </c>
      <c r="I140" s="49">
        <v>6</v>
      </c>
      <c r="J140" s="48" t="s">
        <v>438</v>
      </c>
      <c r="K140" s="48" t="s">
        <v>302</v>
      </c>
      <c r="L140" s="48" t="s">
        <v>521</v>
      </c>
      <c r="M140" s="48" t="s">
        <v>414</v>
      </c>
      <c r="N140" s="55">
        <v>0.17800925925925926</v>
      </c>
      <c r="O140" s="48" t="s">
        <v>946</v>
      </c>
      <c r="P140" s="49">
        <v>892</v>
      </c>
      <c r="Q140" s="50">
        <v>12</v>
      </c>
      <c r="R140" s="50">
        <v>8281.3700000000008</v>
      </c>
      <c r="S140" s="48">
        <v>250</v>
      </c>
      <c r="T140" s="60">
        <v>6.3657407407407413E-4</v>
      </c>
      <c r="U140" s="60">
        <v>1.9097222222222224E-3</v>
      </c>
      <c r="V140" s="53">
        <v>3</v>
      </c>
      <c r="W140" s="48" t="s">
        <v>35</v>
      </c>
      <c r="X140" s="49">
        <v>100</v>
      </c>
      <c r="Y140" s="49">
        <f t="shared" si="23"/>
        <v>85</v>
      </c>
      <c r="Z140" s="49">
        <f t="shared" si="24"/>
        <v>70</v>
      </c>
      <c r="AA140" s="49">
        <f t="shared" si="25"/>
        <v>55</v>
      </c>
      <c r="AB140" s="57">
        <v>3.0092592592592593E-3</v>
      </c>
      <c r="AC140" s="57">
        <v>3.9872685185185193E-3</v>
      </c>
      <c r="AD140" s="57">
        <v>3.0092592592592593E-3</v>
      </c>
      <c r="AE140" s="57">
        <v>2.4826388888888888E-3</v>
      </c>
    </row>
    <row r="141" spans="1:31" ht="39.6" customHeight="1">
      <c r="A141" s="48" t="s">
        <v>948</v>
      </c>
      <c r="B141" s="49">
        <v>137</v>
      </c>
      <c r="C141" s="49">
        <v>7</v>
      </c>
      <c r="D141" s="49">
        <v>9</v>
      </c>
      <c r="E141" s="48" t="s">
        <v>127</v>
      </c>
      <c r="F141" s="48" t="s">
        <v>202</v>
      </c>
      <c r="G141" s="48" t="s">
        <v>115</v>
      </c>
      <c r="H141" s="48" t="s">
        <v>15</v>
      </c>
      <c r="I141" s="49">
        <v>6</v>
      </c>
      <c r="J141" s="48" t="s">
        <v>1007</v>
      </c>
      <c r="K141" s="48" t="s">
        <v>730</v>
      </c>
      <c r="L141" s="48" t="s">
        <v>491</v>
      </c>
      <c r="M141" s="48" t="s">
        <v>1009</v>
      </c>
      <c r="N141" s="55">
        <v>0.18020833333333333</v>
      </c>
      <c r="O141" s="48" t="s">
        <v>946</v>
      </c>
      <c r="P141" s="49">
        <v>903</v>
      </c>
      <c r="Q141" s="50">
        <v>11</v>
      </c>
      <c r="R141" s="50">
        <v>8450.5499999999993</v>
      </c>
      <c r="S141" s="48" t="s">
        <v>565</v>
      </c>
      <c r="T141" s="60" t="s">
        <v>540</v>
      </c>
      <c r="U141" s="60" t="s">
        <v>540</v>
      </c>
      <c r="V141" s="53" t="s">
        <v>540</v>
      </c>
      <c r="W141" s="48" t="s">
        <v>35</v>
      </c>
      <c r="X141" s="49">
        <v>100</v>
      </c>
      <c r="Y141" s="49">
        <f t="shared" si="23"/>
        <v>85</v>
      </c>
      <c r="Z141" s="49">
        <f t="shared" si="24"/>
        <v>70</v>
      </c>
      <c r="AA141" s="49">
        <f t="shared" si="25"/>
        <v>55</v>
      </c>
      <c r="AB141" s="57">
        <v>2.1990740740740742E-3</v>
      </c>
      <c r="AC141" s="57">
        <v>2.9137731481481488E-3</v>
      </c>
      <c r="AD141" s="57">
        <v>2.1990740740740742E-3</v>
      </c>
      <c r="AE141" s="57">
        <v>1.8142361111111111E-3</v>
      </c>
    </row>
    <row r="142" spans="1:31" ht="26.45" customHeight="1">
      <c r="A142" s="48" t="s">
        <v>948</v>
      </c>
      <c r="B142" s="49">
        <v>138</v>
      </c>
      <c r="C142" s="49">
        <v>9</v>
      </c>
      <c r="D142" s="49">
        <v>10</v>
      </c>
      <c r="E142" s="48" t="s">
        <v>447</v>
      </c>
      <c r="F142" s="48" t="s">
        <v>995</v>
      </c>
      <c r="G142" s="48" t="s">
        <v>857</v>
      </c>
      <c r="H142" s="48" t="s">
        <v>61</v>
      </c>
      <c r="I142" s="49">
        <v>10</v>
      </c>
      <c r="J142" s="48" t="s">
        <v>434</v>
      </c>
      <c r="K142" s="48" t="s">
        <v>267</v>
      </c>
      <c r="L142" s="48" t="s">
        <v>576</v>
      </c>
      <c r="M142" s="48" t="s">
        <v>303</v>
      </c>
      <c r="N142" s="55">
        <v>0.18252314814814816</v>
      </c>
      <c r="O142" s="48" t="s">
        <v>946</v>
      </c>
      <c r="P142" s="49">
        <v>917</v>
      </c>
      <c r="Q142" s="50">
        <v>14</v>
      </c>
      <c r="R142" s="50">
        <v>8667.81</v>
      </c>
      <c r="S142" s="48">
        <v>1500</v>
      </c>
      <c r="T142" s="60">
        <v>3.4722222222222224E-4</v>
      </c>
      <c r="U142" s="60">
        <v>2.3148148148148147E-3</v>
      </c>
      <c r="V142" s="53">
        <v>1</v>
      </c>
      <c r="W142" s="48" t="s">
        <v>203</v>
      </c>
      <c r="X142" s="49">
        <v>150</v>
      </c>
      <c r="Y142" s="49">
        <f t="shared" si="23"/>
        <v>128</v>
      </c>
      <c r="Z142" s="49">
        <f t="shared" si="24"/>
        <v>105</v>
      </c>
      <c r="AA142" s="49">
        <f t="shared" si="25"/>
        <v>83</v>
      </c>
      <c r="AB142" s="57">
        <v>2.3148148148148147E-3</v>
      </c>
      <c r="AC142" s="57">
        <v>3.2754629629629627E-3</v>
      </c>
      <c r="AD142" s="57">
        <v>2.3148148148148147E-3</v>
      </c>
      <c r="AE142" s="57">
        <v>1.7939814814814813E-3</v>
      </c>
    </row>
    <row r="143" spans="1:31" ht="26.45" customHeight="1">
      <c r="A143" s="48" t="s">
        <v>948</v>
      </c>
      <c r="B143" s="49">
        <v>139</v>
      </c>
      <c r="C143" s="49">
        <v>6</v>
      </c>
      <c r="D143" s="49">
        <v>10</v>
      </c>
      <c r="E143" s="48" t="s">
        <v>437</v>
      </c>
      <c r="F143" s="48" t="s">
        <v>336</v>
      </c>
      <c r="G143" s="48" t="s">
        <v>851</v>
      </c>
      <c r="H143" s="48" t="s">
        <v>816</v>
      </c>
      <c r="I143" s="49">
        <v>1</v>
      </c>
      <c r="J143" s="48" t="s">
        <v>556</v>
      </c>
      <c r="K143" s="48" t="s">
        <v>323</v>
      </c>
      <c r="L143" s="48" t="s">
        <v>570</v>
      </c>
      <c r="M143" s="48" t="s">
        <v>433</v>
      </c>
      <c r="N143" s="55">
        <v>0.18425925925925926</v>
      </c>
      <c r="O143" s="48" t="s">
        <v>456</v>
      </c>
      <c r="P143" s="49">
        <v>928</v>
      </c>
      <c r="Q143" s="50">
        <v>11</v>
      </c>
      <c r="R143" s="50">
        <v>8840.0400000000009</v>
      </c>
      <c r="S143" s="48" t="s">
        <v>565</v>
      </c>
      <c r="T143" s="47" t="s">
        <v>540</v>
      </c>
      <c r="U143" s="47" t="s">
        <v>540</v>
      </c>
      <c r="V143" s="53" t="s">
        <v>540</v>
      </c>
      <c r="W143" s="48" t="s">
        <v>210</v>
      </c>
      <c r="X143" s="49">
        <v>50</v>
      </c>
      <c r="Y143" s="49">
        <f t="shared" si="23"/>
        <v>43</v>
      </c>
      <c r="Z143" s="49">
        <f t="shared" si="24"/>
        <v>35</v>
      </c>
      <c r="AA143" s="49">
        <f t="shared" si="25"/>
        <v>28</v>
      </c>
      <c r="AB143" s="57">
        <v>1.736111111111111E-3</v>
      </c>
      <c r="AC143" s="57">
        <v>2.2222222222222222E-3</v>
      </c>
      <c r="AD143" s="57">
        <v>1.736111111111111E-3</v>
      </c>
      <c r="AE143" s="57">
        <v>1.4756944444444444E-3</v>
      </c>
    </row>
    <row r="144" spans="1:31" ht="26.45" customHeight="1">
      <c r="A144" s="48" t="s">
        <v>948</v>
      </c>
      <c r="B144" s="49">
        <v>140</v>
      </c>
      <c r="C144" s="49">
        <v>1</v>
      </c>
      <c r="D144" s="49">
        <v>10</v>
      </c>
      <c r="E144" s="48" t="s">
        <v>967</v>
      </c>
      <c r="F144" s="48" t="s">
        <v>275</v>
      </c>
      <c r="G144" s="48" t="s">
        <v>818</v>
      </c>
      <c r="H144" s="48" t="s">
        <v>333</v>
      </c>
      <c r="I144" s="49">
        <v>4</v>
      </c>
      <c r="J144" s="48" t="s">
        <v>441</v>
      </c>
      <c r="K144" s="48" t="s">
        <v>528</v>
      </c>
      <c r="L144" s="48" t="s">
        <v>491</v>
      </c>
      <c r="M144" s="48" t="s">
        <v>319</v>
      </c>
      <c r="N144" s="55">
        <v>0.18645833333333334</v>
      </c>
      <c r="O144" s="48" t="s">
        <v>456</v>
      </c>
      <c r="P144" s="49">
        <v>934</v>
      </c>
      <c r="Q144" s="50">
        <v>6</v>
      </c>
      <c r="R144" s="50">
        <v>8934.5400000000009</v>
      </c>
      <c r="S144" s="48" t="s">
        <v>565</v>
      </c>
      <c r="T144" s="47" t="s">
        <v>540</v>
      </c>
      <c r="U144" s="47" t="s">
        <v>540</v>
      </c>
      <c r="V144" s="53" t="s">
        <v>540</v>
      </c>
      <c r="W144" s="48" t="s">
        <v>1038</v>
      </c>
      <c r="X144" s="49" t="s">
        <v>540</v>
      </c>
      <c r="Y144" s="49" t="s">
        <v>540</v>
      </c>
      <c r="Z144" s="49" t="s">
        <v>540</v>
      </c>
      <c r="AA144" s="49" t="s">
        <v>540</v>
      </c>
      <c r="AB144" s="57">
        <v>2.1990740740740742E-3</v>
      </c>
      <c r="AC144" s="57">
        <v>2.418981481481482E-3</v>
      </c>
      <c r="AD144" s="57">
        <v>2.1990740740740742E-3</v>
      </c>
      <c r="AE144" s="57">
        <v>2.0891203703703705E-3</v>
      </c>
    </row>
    <row r="145" spans="1:31" ht="26.45" customHeight="1">
      <c r="A145" s="48" t="s">
        <v>948</v>
      </c>
      <c r="B145" s="49">
        <v>141</v>
      </c>
      <c r="C145" s="49">
        <v>1</v>
      </c>
      <c r="D145" s="49">
        <v>10</v>
      </c>
      <c r="E145" s="48" t="s">
        <v>643</v>
      </c>
      <c r="F145" s="48" t="s">
        <v>282</v>
      </c>
      <c r="G145" s="48" t="s">
        <v>820</v>
      </c>
      <c r="H145" s="48" t="s">
        <v>274</v>
      </c>
      <c r="I145" s="49">
        <v>3</v>
      </c>
      <c r="J145" s="48" t="s">
        <v>553</v>
      </c>
      <c r="K145" s="48" t="s">
        <v>528</v>
      </c>
      <c r="L145" s="48" t="s">
        <v>569</v>
      </c>
      <c r="M145" s="48" t="s">
        <v>428</v>
      </c>
      <c r="N145" s="55">
        <v>0.18831018518518519</v>
      </c>
      <c r="O145" s="48" t="s">
        <v>456</v>
      </c>
      <c r="P145" s="49">
        <v>940</v>
      </c>
      <c r="Q145" s="50">
        <v>6</v>
      </c>
      <c r="R145" s="50">
        <v>9029.44</v>
      </c>
      <c r="S145" s="48" t="s">
        <v>565</v>
      </c>
      <c r="T145" s="47" t="s">
        <v>540</v>
      </c>
      <c r="U145" s="47" t="s">
        <v>540</v>
      </c>
      <c r="V145" s="53" t="s">
        <v>540</v>
      </c>
      <c r="W145" s="48" t="s">
        <v>1038</v>
      </c>
      <c r="X145" s="49" t="s">
        <v>540</v>
      </c>
      <c r="Y145" s="49" t="s">
        <v>540</v>
      </c>
      <c r="Z145" s="49" t="s">
        <v>540</v>
      </c>
      <c r="AA145" s="49" t="s">
        <v>540</v>
      </c>
      <c r="AB145" s="57">
        <v>1.8518518518518519E-3</v>
      </c>
      <c r="AC145" s="57">
        <v>2.0370370370370373E-3</v>
      </c>
      <c r="AD145" s="57">
        <v>1.8518518518518519E-3</v>
      </c>
      <c r="AE145" s="57">
        <v>1.7592592592592592E-3</v>
      </c>
    </row>
    <row r="146" spans="1:31" ht="26.45" customHeight="1">
      <c r="A146" s="48" t="s">
        <v>948</v>
      </c>
      <c r="B146" s="49">
        <v>142</v>
      </c>
      <c r="C146" s="49">
        <v>1</v>
      </c>
      <c r="D146" s="49">
        <v>10</v>
      </c>
      <c r="E146" s="48" t="s">
        <v>974</v>
      </c>
      <c r="F146" s="48" t="s">
        <v>347</v>
      </c>
      <c r="G146" s="48" t="s">
        <v>252</v>
      </c>
      <c r="H146" s="48" t="s">
        <v>351</v>
      </c>
      <c r="I146" s="49">
        <v>3</v>
      </c>
      <c r="J146" s="48" t="s">
        <v>969</v>
      </c>
      <c r="K146" s="48" t="s">
        <v>528</v>
      </c>
      <c r="L146" s="48" t="s">
        <v>570</v>
      </c>
      <c r="M146" s="48" t="s">
        <v>682</v>
      </c>
      <c r="N146" s="55">
        <v>0.1900462962962963</v>
      </c>
      <c r="O146" s="48" t="s">
        <v>456</v>
      </c>
      <c r="P146" s="49">
        <v>946</v>
      </c>
      <c r="Q146" s="50">
        <v>6</v>
      </c>
      <c r="R146" s="50">
        <v>9124.74</v>
      </c>
      <c r="S146" s="48" t="s">
        <v>565</v>
      </c>
      <c r="T146" s="47" t="s">
        <v>540</v>
      </c>
      <c r="U146" s="47" t="s">
        <v>540</v>
      </c>
      <c r="V146" s="53" t="s">
        <v>540</v>
      </c>
      <c r="W146" s="48" t="s">
        <v>227</v>
      </c>
      <c r="X146" s="49">
        <v>30</v>
      </c>
      <c r="Y146" s="49">
        <f>IF(ISNUMBER(X146),ROUND(X146*0.85,0),"—")</f>
        <v>26</v>
      </c>
      <c r="Z146" s="49">
        <f>IF(ISNUMBER(X146),ROUND(X146*0.7,0),"—")</f>
        <v>21</v>
      </c>
      <c r="AA146" s="49">
        <f>IF(ISNUMBER(X146),ROUND(X146*0.55,0),"—")</f>
        <v>17</v>
      </c>
      <c r="AB146" s="57">
        <v>1.736111111111111E-3</v>
      </c>
      <c r="AC146" s="57">
        <v>1.9097222222222224E-3</v>
      </c>
      <c r="AD146" s="57">
        <v>1.736111111111111E-3</v>
      </c>
      <c r="AE146" s="57">
        <v>1.6493055555555553E-3</v>
      </c>
    </row>
    <row r="147" spans="1:31" ht="39.6" customHeight="1">
      <c r="A147" s="48" t="s">
        <v>948</v>
      </c>
      <c r="B147" s="49">
        <v>143</v>
      </c>
      <c r="C147" s="49">
        <v>4</v>
      </c>
      <c r="D147" s="49">
        <v>10</v>
      </c>
      <c r="E147" s="48" t="s">
        <v>973</v>
      </c>
      <c r="F147" s="48" t="s">
        <v>157</v>
      </c>
      <c r="G147" s="48" t="s">
        <v>853</v>
      </c>
      <c r="H147" s="48" t="s">
        <v>230</v>
      </c>
      <c r="I147" s="49">
        <v>5</v>
      </c>
      <c r="J147" s="48" t="s">
        <v>963</v>
      </c>
      <c r="K147" s="48" t="s">
        <v>304</v>
      </c>
      <c r="L147" s="48" t="s">
        <v>576</v>
      </c>
      <c r="M147" s="48" t="s">
        <v>296</v>
      </c>
      <c r="N147" s="55">
        <v>0.19236111111111112</v>
      </c>
      <c r="O147" s="48" t="s">
        <v>456</v>
      </c>
      <c r="P147" s="49">
        <v>955</v>
      </c>
      <c r="Q147" s="50">
        <v>9</v>
      </c>
      <c r="R147" s="50">
        <v>9268.42</v>
      </c>
      <c r="S147" s="48" t="s">
        <v>565</v>
      </c>
      <c r="T147" s="47" t="s">
        <v>540</v>
      </c>
      <c r="U147" s="47" t="s">
        <v>540</v>
      </c>
      <c r="V147" s="53" t="s">
        <v>540</v>
      </c>
      <c r="W147" s="48" t="s">
        <v>58</v>
      </c>
      <c r="X147" s="49">
        <v>30</v>
      </c>
      <c r="Y147" s="49">
        <f>IF(ISNUMBER(X147),ROUND(X147*0.85,0),"—")</f>
        <v>26</v>
      </c>
      <c r="Z147" s="49">
        <f>IF(ISNUMBER(X147),ROUND(X147*0.7,0),"—")</f>
        <v>21</v>
      </c>
      <c r="AA147" s="49">
        <f>IF(ISNUMBER(X147),ROUND(X147*0.55,0),"—")</f>
        <v>17</v>
      </c>
      <c r="AB147" s="57">
        <v>2.3148148148148147E-3</v>
      </c>
      <c r="AC147" s="57">
        <v>2.7546296296296299E-3</v>
      </c>
      <c r="AD147" s="57">
        <v>2.3148148148148147E-3</v>
      </c>
      <c r="AE147" s="57">
        <v>2.0833333333333329E-3</v>
      </c>
    </row>
    <row r="148" spans="1:31" ht="39.6" customHeight="1">
      <c r="A148" s="48" t="s">
        <v>948</v>
      </c>
      <c r="B148" s="49">
        <v>144</v>
      </c>
      <c r="C148" s="49">
        <v>7</v>
      </c>
      <c r="D148" s="49">
        <v>10</v>
      </c>
      <c r="E148" s="48" t="s">
        <v>972</v>
      </c>
      <c r="F148" s="48" t="s">
        <v>272</v>
      </c>
      <c r="G148" s="48" t="s">
        <v>121</v>
      </c>
      <c r="H148" s="48" t="s">
        <v>865</v>
      </c>
      <c r="I148" s="49">
        <v>4</v>
      </c>
      <c r="J148" s="48" t="s">
        <v>647</v>
      </c>
      <c r="K148" s="48" t="s">
        <v>690</v>
      </c>
      <c r="L148" s="48" t="s">
        <v>523</v>
      </c>
      <c r="M148" s="48" t="s">
        <v>432</v>
      </c>
      <c r="N148" s="55">
        <v>0.19444444444444445</v>
      </c>
      <c r="O148" s="48" t="s">
        <v>456</v>
      </c>
      <c r="P148" s="49">
        <v>967</v>
      </c>
      <c r="Q148" s="50">
        <v>12</v>
      </c>
      <c r="R148" s="50">
        <v>9461.36</v>
      </c>
      <c r="S148" s="48" t="s">
        <v>565</v>
      </c>
      <c r="T148" s="47" t="s">
        <v>540</v>
      </c>
      <c r="U148" s="47" t="s">
        <v>540</v>
      </c>
      <c r="V148" s="53" t="s">
        <v>540</v>
      </c>
      <c r="W148" s="48" t="s">
        <v>64</v>
      </c>
      <c r="X148" s="49">
        <v>100</v>
      </c>
      <c r="Y148" s="49">
        <f>IF(ISNUMBER(X148),ROUND(X148*0.85,0),"—")</f>
        <v>85</v>
      </c>
      <c r="Z148" s="49">
        <f>IF(ISNUMBER(X148),ROUND(X148*0.7,0),"—")</f>
        <v>70</v>
      </c>
      <c r="AA148" s="49">
        <f>IF(ISNUMBER(X148),ROUND(X148*0.55,0),"—")</f>
        <v>55</v>
      </c>
      <c r="AB148" s="57">
        <v>2.0833333333333333E-3</v>
      </c>
      <c r="AC148" s="57">
        <v>2.7604166666666671E-3</v>
      </c>
      <c r="AD148" s="57">
        <v>2.0833333333333333E-3</v>
      </c>
      <c r="AE148" s="57">
        <v>1.7187499999999998E-3</v>
      </c>
    </row>
    <row r="149" spans="1:31" ht="39.6" customHeight="1">
      <c r="A149" s="48" t="s">
        <v>948</v>
      </c>
      <c r="B149" s="49">
        <v>145</v>
      </c>
      <c r="C149" s="49">
        <v>6</v>
      </c>
      <c r="D149" s="49">
        <v>10</v>
      </c>
      <c r="E149" s="48" t="s">
        <v>966</v>
      </c>
      <c r="F149" s="48" t="s">
        <v>154</v>
      </c>
      <c r="G149" s="48" t="s">
        <v>140</v>
      </c>
      <c r="H149" s="48" t="s">
        <v>246</v>
      </c>
      <c r="I149" s="49">
        <v>6</v>
      </c>
      <c r="J149" s="48" t="s">
        <v>648</v>
      </c>
      <c r="K149" s="48" t="s">
        <v>665</v>
      </c>
      <c r="L149" s="48" t="s">
        <v>500</v>
      </c>
      <c r="M149" s="48" t="s">
        <v>126</v>
      </c>
      <c r="N149" s="55">
        <v>0.19699074074074074</v>
      </c>
      <c r="O149" s="48" t="s">
        <v>456</v>
      </c>
      <c r="P149" s="49">
        <v>978</v>
      </c>
      <c r="Q149" s="50">
        <v>11</v>
      </c>
      <c r="R149" s="50">
        <v>9639.6</v>
      </c>
      <c r="S149" s="48" t="s">
        <v>565</v>
      </c>
      <c r="T149" s="47" t="s">
        <v>540</v>
      </c>
      <c r="U149" s="47" t="s">
        <v>540</v>
      </c>
      <c r="V149" s="53" t="s">
        <v>540</v>
      </c>
      <c r="W149" s="48" t="s">
        <v>38</v>
      </c>
      <c r="X149" s="49">
        <v>120</v>
      </c>
      <c r="Y149" s="49">
        <f>IF(ISNUMBER(X149),ROUND(X149*0.85,0),"—")</f>
        <v>102</v>
      </c>
      <c r="Z149" s="49">
        <f>IF(ISNUMBER(X149),ROUND(X149*0.7,0),"—")</f>
        <v>84</v>
      </c>
      <c r="AA149" s="49">
        <f>IF(ISNUMBER(X149),ROUND(X149*0.55,0),"—")</f>
        <v>66</v>
      </c>
      <c r="AB149" s="57">
        <v>2.5462962962962965E-3</v>
      </c>
      <c r="AC149" s="57">
        <v>3.2592592592592595E-3</v>
      </c>
      <c r="AD149" s="57">
        <v>2.5462962962962965E-3</v>
      </c>
      <c r="AE149" s="57">
        <v>2.1643518518518518E-3</v>
      </c>
    </row>
    <row r="150" spans="1:31" ht="26.45" customHeight="1">
      <c r="A150" s="48" t="s">
        <v>948</v>
      </c>
      <c r="B150" s="49">
        <v>146</v>
      </c>
      <c r="C150" s="49">
        <v>1</v>
      </c>
      <c r="D150" s="49">
        <v>10</v>
      </c>
      <c r="E150" s="48" t="s">
        <v>960</v>
      </c>
      <c r="F150" s="48" t="s">
        <v>332</v>
      </c>
      <c r="G150" s="48" t="s">
        <v>813</v>
      </c>
      <c r="H150" s="48" t="s">
        <v>293</v>
      </c>
      <c r="I150" s="49">
        <v>1</v>
      </c>
      <c r="J150" s="48" t="s">
        <v>641</v>
      </c>
      <c r="K150" s="48" t="s">
        <v>528</v>
      </c>
      <c r="L150" s="48" t="s">
        <v>527</v>
      </c>
      <c r="M150" s="48" t="s">
        <v>646</v>
      </c>
      <c r="N150" s="55">
        <v>0.19837962962962963</v>
      </c>
      <c r="O150" s="48" t="s">
        <v>642</v>
      </c>
      <c r="P150" s="49">
        <v>984</v>
      </c>
      <c r="Q150" s="50">
        <v>6</v>
      </c>
      <c r="R150" s="50">
        <v>9737.3799999999992</v>
      </c>
      <c r="S150" s="48" t="s">
        <v>565</v>
      </c>
      <c r="T150" s="47" t="s">
        <v>540</v>
      </c>
      <c r="U150" s="47" t="s">
        <v>540</v>
      </c>
      <c r="V150" s="53" t="s">
        <v>540</v>
      </c>
      <c r="W150" s="48" t="s">
        <v>66</v>
      </c>
      <c r="X150" s="49">
        <v>150</v>
      </c>
      <c r="Y150" s="49">
        <f>IF(ISNUMBER(X150),ROUND(X150*0.85,0),"—")</f>
        <v>128</v>
      </c>
      <c r="Z150" s="49">
        <f>IF(ISNUMBER(X150),ROUND(X150*0.7,0),"—")</f>
        <v>105</v>
      </c>
      <c r="AA150" s="49">
        <f>IF(ISNUMBER(X150),ROUND(X150*0.55,0),"—")</f>
        <v>83</v>
      </c>
      <c r="AB150" s="57">
        <v>1.3888888888888889E-3</v>
      </c>
      <c r="AC150" s="57">
        <v>1.5277777777777779E-3</v>
      </c>
      <c r="AD150" s="57">
        <v>1.3888888888888889E-3</v>
      </c>
      <c r="AE150" s="57">
        <v>1.3194444444444445E-3</v>
      </c>
    </row>
    <row r="151" spans="1:31" ht="26.45" customHeight="1">
      <c r="A151" s="48" t="s">
        <v>948</v>
      </c>
      <c r="B151" s="49">
        <v>147</v>
      </c>
      <c r="C151" s="49">
        <v>1</v>
      </c>
      <c r="D151" s="49">
        <v>10</v>
      </c>
      <c r="E151" s="48" t="s">
        <v>580</v>
      </c>
      <c r="F151" s="48" t="s">
        <v>289</v>
      </c>
      <c r="G151" s="48" t="s">
        <v>229</v>
      </c>
      <c r="H151" s="48" t="s">
        <v>811</v>
      </c>
      <c r="I151" s="49">
        <v>4</v>
      </c>
      <c r="J151" s="48" t="s">
        <v>645</v>
      </c>
      <c r="K151" s="48" t="s">
        <v>528</v>
      </c>
      <c r="L151" s="48" t="s">
        <v>570</v>
      </c>
      <c r="M151" s="48" t="s">
        <v>669</v>
      </c>
      <c r="N151" s="55">
        <v>0.20011574074074073</v>
      </c>
      <c r="O151" s="48" t="s">
        <v>642</v>
      </c>
      <c r="P151" s="49">
        <v>990</v>
      </c>
      <c r="Q151" s="50">
        <v>6</v>
      </c>
      <c r="R151" s="50">
        <v>9835.5400000000009</v>
      </c>
      <c r="S151" s="48" t="s">
        <v>565</v>
      </c>
      <c r="T151" s="47" t="s">
        <v>540</v>
      </c>
      <c r="U151" s="47" t="s">
        <v>540</v>
      </c>
      <c r="V151" s="53" t="s">
        <v>540</v>
      </c>
      <c r="W151" s="48" t="s">
        <v>1038</v>
      </c>
      <c r="X151" s="49" t="s">
        <v>540</v>
      </c>
      <c r="Y151" s="49" t="s">
        <v>540</v>
      </c>
      <c r="Z151" s="49" t="s">
        <v>540</v>
      </c>
      <c r="AA151" s="49" t="s">
        <v>540</v>
      </c>
      <c r="AB151" s="57">
        <v>1.736111111111111E-3</v>
      </c>
      <c r="AC151" s="57">
        <v>1.9097222222222224E-3</v>
      </c>
      <c r="AD151" s="57">
        <v>1.736111111111111E-3</v>
      </c>
      <c r="AE151" s="57">
        <v>1.6493055555555553E-3</v>
      </c>
    </row>
    <row r="152" spans="1:31" ht="39.6" customHeight="1">
      <c r="A152" s="48" t="s">
        <v>948</v>
      </c>
      <c r="B152" s="49">
        <v>148</v>
      </c>
      <c r="C152" s="49">
        <v>1</v>
      </c>
      <c r="D152" s="49">
        <v>9</v>
      </c>
      <c r="E152" s="48" t="s">
        <v>644</v>
      </c>
      <c r="F152" s="48" t="s">
        <v>289</v>
      </c>
      <c r="G152" s="48" t="s">
        <v>240</v>
      </c>
      <c r="H152" s="48" t="s">
        <v>0</v>
      </c>
      <c r="I152" s="49">
        <v>5</v>
      </c>
      <c r="J152" s="48" t="s">
        <v>645</v>
      </c>
      <c r="K152" s="48" t="s">
        <v>528</v>
      </c>
      <c r="L152" s="48" t="s">
        <v>538</v>
      </c>
      <c r="M152" s="48" t="s">
        <v>669</v>
      </c>
      <c r="N152" s="55">
        <v>0.20289351851851853</v>
      </c>
      <c r="O152" s="48" t="s">
        <v>642</v>
      </c>
      <c r="P152" s="49">
        <v>995</v>
      </c>
      <c r="Q152" s="50">
        <v>5</v>
      </c>
      <c r="R152" s="50">
        <v>9917.6299999999992</v>
      </c>
      <c r="S152" s="48" t="s">
        <v>565</v>
      </c>
      <c r="T152" s="47" t="s">
        <v>540</v>
      </c>
      <c r="U152" s="47" t="s">
        <v>540</v>
      </c>
      <c r="V152" s="53" t="s">
        <v>540</v>
      </c>
      <c r="W152" s="48" t="s">
        <v>227</v>
      </c>
      <c r="X152" s="49">
        <v>30</v>
      </c>
      <c r="Y152" s="49">
        <f>IF(ISNUMBER(X152),ROUND(X152*0.85,0),"—")</f>
        <v>26</v>
      </c>
      <c r="Z152" s="49">
        <f>IF(ISNUMBER(X152),ROUND(X152*0.7,0),"—")</f>
        <v>21</v>
      </c>
      <c r="AA152" s="49">
        <f>IF(ISNUMBER(X152),ROUND(X152*0.55,0),"—")</f>
        <v>17</v>
      </c>
      <c r="AB152" s="57">
        <v>2.7777777777777779E-3</v>
      </c>
      <c r="AC152" s="57">
        <v>3.0555555555555557E-3</v>
      </c>
      <c r="AD152" s="57">
        <v>2.7777777777777779E-3</v>
      </c>
      <c r="AE152" s="57">
        <v>2.638888888888889E-3</v>
      </c>
    </row>
    <row r="153" spans="1:31" ht="26.45" customHeight="1">
      <c r="A153" s="48" t="s">
        <v>948</v>
      </c>
      <c r="B153" s="49">
        <v>149</v>
      </c>
      <c r="C153" s="49">
        <v>1</v>
      </c>
      <c r="D153" s="49">
        <v>9</v>
      </c>
      <c r="E153" s="48" t="s">
        <v>962</v>
      </c>
      <c r="F153" s="48" t="s">
        <v>997</v>
      </c>
      <c r="G153" s="48" t="s">
        <v>754</v>
      </c>
      <c r="H153" s="48" t="s">
        <v>338</v>
      </c>
      <c r="I153" s="49">
        <v>1</v>
      </c>
      <c r="J153" s="48" t="s">
        <v>571</v>
      </c>
      <c r="K153" s="48" t="s">
        <v>528</v>
      </c>
      <c r="L153" s="48" t="s">
        <v>523</v>
      </c>
      <c r="M153" s="48" t="s">
        <v>422</v>
      </c>
      <c r="N153" s="55">
        <v>0.20497685185185185</v>
      </c>
      <c r="O153" s="48" t="s">
        <v>642</v>
      </c>
      <c r="P153" s="49">
        <v>1000</v>
      </c>
      <c r="Q153" s="50">
        <v>5</v>
      </c>
      <c r="R153" s="50">
        <v>10000</v>
      </c>
      <c r="S153" s="48" t="s">
        <v>565</v>
      </c>
      <c r="T153" s="47" t="s">
        <v>540</v>
      </c>
      <c r="U153" s="47" t="s">
        <v>540</v>
      </c>
      <c r="V153" s="53" t="s">
        <v>540</v>
      </c>
      <c r="W153" s="48" t="s">
        <v>1038</v>
      </c>
      <c r="X153" s="49" t="s">
        <v>540</v>
      </c>
      <c r="Y153" s="49" t="s">
        <v>540</v>
      </c>
      <c r="Z153" s="49" t="s">
        <v>540</v>
      </c>
      <c r="AA153" s="49" t="s">
        <v>540</v>
      </c>
      <c r="AB153" s="57">
        <v>2.0833333333333333E-3</v>
      </c>
      <c r="AC153" s="57">
        <v>2.2916666666666667E-3</v>
      </c>
      <c r="AD153" s="57">
        <v>2.0833333333333333E-3</v>
      </c>
      <c r="AE153" s="57">
        <v>1.9791666666666664E-3</v>
      </c>
    </row>
  </sheetData>
  <mergeCells count="3">
    <mergeCell ref="S3:V3"/>
    <mergeCell ref="W3:AA3"/>
    <mergeCell ref="AB3:AE3"/>
  </mergeCells>
  <phoneticPr fontId="8" type="noConversion"/>
  <conditionalFormatting sqref="A4:A123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">
      <colorScale>
        <cfvo type="min"/>
        <cfvo type="max"/>
        <color rgb="FF63BE7B"/>
        <color rgb="FFFCFCFF"/>
      </colorScale>
    </cfRule>
    <cfRule type="colorScale" priority="112">
      <colorScale>
        <cfvo type="min"/>
        <cfvo type="max"/>
        <color rgb="FF9BCFD9"/>
        <color rgb="FFC6A5CB"/>
      </colorScale>
    </cfRule>
  </conditionalFormatting>
  <conditionalFormatting sqref="I5:I123">
    <cfRule type="dataBar" priority="108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{7D0BB8F9-225C-41E3-A7E0-A083BE7323BF}</x14:id>
        </ext>
      </extLst>
    </cfRule>
  </conditionalFormatting>
  <conditionalFormatting sqref="D1:D1048575">
    <cfRule type="iconSet" priority="106">
      <iconSet iconSet="3Signs">
        <cfvo type="percent" val="0"/>
        <cfvo type="percent" val="33"/>
        <cfvo type="percent" val="67"/>
      </iconSet>
    </cfRule>
    <cfRule type="iconSet" priority="101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C1:C1048575">
    <cfRule type="iconSet" priority="103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I124:I153">
    <cfRule type="dataBar" priority="1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{1F963149-AA71-42F3-BD60-461BBE4E760A}</x14:id>
        </ext>
      </extLst>
    </cfRule>
  </conditionalFormatting>
  <pageMargins left="0.69972223043441772" right="0.69972223043441772" top="0.75" bottom="0.75" header="0.30000001192092896" footer="0.30000001192092896"/>
  <pageSetup paperSize="9" fitToWidth="0" fitToHeight="0" orientation="portrait" horizontalDpi="0" verticalDpi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0BB8F9-225C-41E3-A7E0-A083BE7323BF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I5:I123</xm:sqref>
        </x14:conditionalFormatting>
        <x14:conditionalFormatting xmlns:xm="http://schemas.microsoft.com/office/excel/2006/main">
          <x14:cfRule type="dataBar" id="{1F963149-AA71-42F3-BD60-461BBE4E760A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I124:I153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Z80"/>
  <sheetViews>
    <sheetView zoomScaleNormal="100" zoomScaleSheetLayoutView="100" workbookViewId="0"/>
  </sheetViews>
  <sheetFormatPr defaultColWidth="9" defaultRowHeight="12"/>
  <cols>
    <col min="1" max="52" width="4.25" style="30" customWidth="1"/>
    <col min="53" max="16384" width="9" style="30"/>
  </cols>
  <sheetData>
    <row r="1" spans="1:22" ht="18" customHeight="1">
      <c r="A1" s="29"/>
    </row>
    <row r="2" spans="1:22" ht="18" customHeight="1">
      <c r="A2" s="31"/>
      <c r="B2" s="58" t="s">
        <v>493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</row>
    <row r="3" spans="1:22" ht="18" customHeight="1">
      <c r="B3" s="58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</row>
    <row r="4" spans="1:22" ht="18" customHeight="1">
      <c r="B4" s="58" t="s">
        <v>236</v>
      </c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</row>
    <row r="5" spans="1:22" ht="18" customHeight="1">
      <c r="B5" s="58"/>
      <c r="C5" s="58"/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</row>
    <row r="6" spans="1:22" ht="18" customHeight="1"/>
    <row r="7" spans="1:22" ht="18" customHeight="1"/>
    <row r="8" spans="1:22" ht="18" customHeight="1"/>
    <row r="9" spans="1:22" ht="18" customHeight="1"/>
    <row r="10" spans="1:22" ht="18" customHeight="1"/>
    <row r="11" spans="1:22" ht="18" customHeight="1"/>
    <row r="12" spans="1:22" ht="18" customHeight="1"/>
    <row r="13" spans="1:22" ht="18" customHeight="1"/>
    <row r="14" spans="1:22" ht="18" customHeight="1"/>
    <row r="15" spans="1:22" ht="18" customHeight="1"/>
    <row r="16" spans="1:22" ht="18" customHeight="1"/>
    <row r="17" ht="18" customHeight="1"/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spans="1:1" ht="18" customHeight="1"/>
    <row r="50" spans="1:1" ht="18" customHeight="1"/>
    <row r="51" spans="1:1" ht="18" customHeight="1"/>
    <row r="52" spans="1:1" ht="18" customHeight="1"/>
    <row r="53" spans="1:1" ht="18" customHeight="1"/>
    <row r="54" spans="1:1" ht="18" customHeight="1"/>
    <row r="55" spans="1:1" ht="18" customHeight="1"/>
    <row r="56" spans="1:1" ht="18" customHeight="1">
      <c r="A56" s="32"/>
    </row>
    <row r="57" spans="1:1" ht="18" customHeight="1"/>
    <row r="58" spans="1:1" ht="18" customHeight="1"/>
    <row r="59" spans="1:1" ht="18" customHeight="1"/>
    <row r="60" spans="1:1" ht="18" customHeight="1"/>
    <row r="61" spans="1:1" ht="18" customHeight="1"/>
    <row r="62" spans="1:1" ht="18" customHeight="1"/>
    <row r="63" spans="1:1" ht="18" customHeight="1"/>
    <row r="64" spans="1:1" ht="18" customHeight="1"/>
    <row r="65" spans="2:26" ht="18" customHeight="1"/>
    <row r="66" spans="2:26" ht="18" customHeight="1"/>
    <row r="67" spans="2:26" ht="18" customHeight="1"/>
    <row r="68" spans="2:26" ht="18" customHeight="1"/>
    <row r="69" spans="2:26" ht="18" customHeight="1"/>
    <row r="70" spans="2:26" ht="18" customHeight="1">
      <c r="B70" s="58" t="s">
        <v>156</v>
      </c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</row>
    <row r="71" spans="2:26" ht="18" customHeight="1"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</row>
    <row r="72" spans="2:26" ht="18" customHeight="1"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</row>
    <row r="73" spans="2:26" ht="18" customHeight="1"/>
    <row r="74" spans="2:26" ht="18" customHeight="1"/>
    <row r="75" spans="2:26" ht="18" customHeight="1"/>
    <row r="76" spans="2:26" ht="18" customHeight="1"/>
    <row r="77" spans="2:26" ht="18" customHeight="1"/>
    <row r="78" spans="2:26" ht="18" customHeight="1"/>
    <row r="79" spans="2:26" ht="18" customHeight="1"/>
    <row r="80" spans="2:26" ht="18" customHeight="1"/>
  </sheetData>
  <mergeCells count="3">
    <mergeCell ref="B2:V3"/>
    <mergeCell ref="B4:V5"/>
    <mergeCell ref="B70:Z72"/>
  </mergeCells>
  <phoneticPr fontId="8" type="noConversion"/>
  <pageMargins left="0.69972223043441772" right="0.69972223043441772" top="0.75" bottom="0.75" header="0.30000001192092896" footer="0.30000001192092896"/>
  <pageSetup paperSize="9" fitToWidth="0" fitToHeight="0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D18"/>
  <sheetViews>
    <sheetView zoomScaleNormal="100" zoomScaleSheetLayoutView="100" workbookViewId="0"/>
  </sheetViews>
  <sheetFormatPr defaultColWidth="8.875" defaultRowHeight="14.25"/>
  <cols>
    <col min="1" max="1" width="20" customWidth="1"/>
    <col min="2" max="2" width="42" customWidth="1"/>
    <col min="3" max="3" width="22" customWidth="1"/>
    <col min="4" max="4" width="50" customWidth="1"/>
  </cols>
  <sheetData>
    <row r="1" spans="1:4">
      <c r="A1" s="59" t="s">
        <v>375</v>
      </c>
      <c r="B1" s="59"/>
      <c r="C1" s="59"/>
      <c r="D1" s="59"/>
    </row>
    <row r="3" spans="1:4">
      <c r="A3" s="1" t="s">
        <v>525</v>
      </c>
      <c r="B3" s="2" t="s">
        <v>505</v>
      </c>
      <c r="C3" s="2" t="s">
        <v>489</v>
      </c>
      <c r="D3" s="3" t="s">
        <v>886</v>
      </c>
    </row>
    <row r="4" spans="1:4" ht="57.95" customHeight="1">
      <c r="A4" s="5" t="s">
        <v>555</v>
      </c>
      <c r="B4" s="6" t="s">
        <v>74</v>
      </c>
      <c r="C4" s="6" t="s">
        <v>566</v>
      </c>
      <c r="D4" s="7" t="s">
        <v>105</v>
      </c>
    </row>
    <row r="5" spans="1:4" ht="57.95" customHeight="1">
      <c r="A5" s="8" t="s">
        <v>539</v>
      </c>
      <c r="B5" s="4" t="s">
        <v>23</v>
      </c>
      <c r="C5" s="4" t="s">
        <v>566</v>
      </c>
      <c r="D5" s="9" t="s">
        <v>94</v>
      </c>
    </row>
    <row r="6" spans="1:4" ht="57.95" customHeight="1">
      <c r="A6" s="8" t="s">
        <v>888</v>
      </c>
      <c r="B6" s="4" t="s">
        <v>357</v>
      </c>
      <c r="C6" s="4" t="s">
        <v>881</v>
      </c>
      <c r="D6" s="9" t="s">
        <v>3</v>
      </c>
    </row>
    <row r="7" spans="1:4" ht="57.95" customHeight="1">
      <c r="A7" s="8" t="s">
        <v>533</v>
      </c>
      <c r="B7" s="4" t="s">
        <v>190</v>
      </c>
      <c r="C7" s="4" t="s">
        <v>501</v>
      </c>
      <c r="D7" s="9" t="s">
        <v>183</v>
      </c>
    </row>
    <row r="8" spans="1:4" ht="57.95" customHeight="1">
      <c r="A8" s="8" t="s">
        <v>510</v>
      </c>
      <c r="B8" s="4" t="s">
        <v>474</v>
      </c>
      <c r="C8" s="4" t="s">
        <v>546</v>
      </c>
      <c r="D8" s="9" t="s">
        <v>366</v>
      </c>
    </row>
    <row r="9" spans="1:4" ht="57.95" customHeight="1">
      <c r="A9" s="8" t="s">
        <v>512</v>
      </c>
      <c r="B9" s="4" t="s">
        <v>478</v>
      </c>
      <c r="C9" s="4" t="s">
        <v>891</v>
      </c>
      <c r="D9" s="9" t="s">
        <v>706</v>
      </c>
    </row>
    <row r="10" spans="1:4" ht="57.95" customHeight="1">
      <c r="A10" s="8" t="s">
        <v>906</v>
      </c>
      <c r="B10" s="4" t="s">
        <v>80</v>
      </c>
      <c r="C10" s="4" t="s">
        <v>378</v>
      </c>
      <c r="D10" s="9" t="s">
        <v>1045</v>
      </c>
    </row>
    <row r="11" spans="1:4" ht="57.95" customHeight="1">
      <c r="A11" s="8" t="s">
        <v>496</v>
      </c>
      <c r="B11" s="4" t="s">
        <v>277</v>
      </c>
      <c r="C11" s="4" t="s">
        <v>541</v>
      </c>
      <c r="D11" s="9" t="s">
        <v>1041</v>
      </c>
    </row>
    <row r="12" spans="1:4" ht="57.95" customHeight="1">
      <c r="A12" s="8" t="s">
        <v>562</v>
      </c>
      <c r="B12" s="4" t="s">
        <v>263</v>
      </c>
      <c r="C12" s="4" t="s">
        <v>882</v>
      </c>
      <c r="D12" s="9" t="s">
        <v>260</v>
      </c>
    </row>
    <row r="13" spans="1:4" ht="57.95" customHeight="1">
      <c r="A13" s="8" t="s">
        <v>567</v>
      </c>
      <c r="B13" s="4" t="s">
        <v>1046</v>
      </c>
      <c r="C13" s="4" t="s">
        <v>430</v>
      </c>
      <c r="D13" s="9" t="s">
        <v>278</v>
      </c>
    </row>
    <row r="14" spans="1:4" ht="57.95" customHeight="1">
      <c r="A14" s="8" t="s">
        <v>908</v>
      </c>
      <c r="B14" s="4" t="s">
        <v>473</v>
      </c>
      <c r="C14" s="4" t="s">
        <v>530</v>
      </c>
      <c r="D14" s="9" t="s">
        <v>1050</v>
      </c>
    </row>
    <row r="15" spans="1:4" ht="57.95" customHeight="1">
      <c r="A15" s="8" t="s">
        <v>905</v>
      </c>
      <c r="B15" s="4" t="s">
        <v>279</v>
      </c>
      <c r="C15" s="4" t="s">
        <v>883</v>
      </c>
      <c r="D15" s="9" t="s">
        <v>271</v>
      </c>
    </row>
    <row r="16" spans="1:4" ht="57.95" customHeight="1">
      <c r="A16" s="8" t="s">
        <v>551</v>
      </c>
      <c r="B16" s="4" t="s">
        <v>1034</v>
      </c>
      <c r="C16" s="4" t="s">
        <v>504</v>
      </c>
      <c r="D16" s="9" t="s">
        <v>468</v>
      </c>
    </row>
    <row r="17" spans="1:4" ht="57.95" customHeight="1">
      <c r="A17" s="8" t="s">
        <v>561</v>
      </c>
      <c r="B17" s="4" t="s">
        <v>1030</v>
      </c>
      <c r="C17" s="4" t="s">
        <v>504</v>
      </c>
      <c r="D17" s="9" t="s">
        <v>1033</v>
      </c>
    </row>
    <row r="18" spans="1:4" ht="57.95" customHeight="1">
      <c r="A18" s="10" t="s">
        <v>568</v>
      </c>
      <c r="B18" s="11" t="s">
        <v>710</v>
      </c>
      <c r="C18" s="11" t="s">
        <v>890</v>
      </c>
      <c r="D18" s="12" t="s">
        <v>697</v>
      </c>
    </row>
  </sheetData>
  <mergeCells count="1">
    <mergeCell ref="A1:D1"/>
  </mergeCells>
  <phoneticPr fontId="8" type="noConversion"/>
  <pageMargins left="0.69972223043441772" right="0.69972223043441772" top="0.75" bottom="0.75" header="0.30000001192092896" footer="0.30000001192092896"/>
  <pageSetup paperSize="9" fitToWidth="0" fitToHeight="0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J153"/>
  <sheetViews>
    <sheetView zoomScaleNormal="100" zoomScaleSheetLayoutView="100" workbookViewId="0"/>
  </sheetViews>
  <sheetFormatPr defaultColWidth="8.875" defaultRowHeight="14.25"/>
  <cols>
    <col min="1" max="1" width="25" customWidth="1"/>
    <col min="2" max="2" width="14" customWidth="1"/>
    <col min="3" max="3" width="18" customWidth="1"/>
    <col min="4" max="4" width="14" customWidth="1"/>
    <col min="5" max="5" width="20" customWidth="1"/>
    <col min="6" max="10" width="12" customWidth="1"/>
  </cols>
  <sheetData>
    <row r="1" spans="1:10">
      <c r="A1" s="59" t="s">
        <v>255</v>
      </c>
      <c r="B1" s="59"/>
      <c r="C1" s="59"/>
      <c r="D1" s="59"/>
      <c r="E1" s="59"/>
      <c r="F1" s="59"/>
      <c r="G1" s="59"/>
      <c r="H1" s="59"/>
      <c r="I1" s="59"/>
      <c r="J1" s="59"/>
    </row>
    <row r="3" spans="1:10" ht="32.1" customHeight="1">
      <c r="A3" s="13" t="s">
        <v>519</v>
      </c>
      <c r="B3" s="14">
        <v>149</v>
      </c>
      <c r="C3" s="14" t="s">
        <v>904</v>
      </c>
      <c r="D3" s="16">
        <v>3.2483221476510069</v>
      </c>
      <c r="E3" s="16" t="s">
        <v>486</v>
      </c>
      <c r="F3" s="16">
        <v>7.5302013422818792</v>
      </c>
      <c r="G3" s="14" t="s">
        <v>900</v>
      </c>
      <c r="H3" s="14">
        <v>10</v>
      </c>
      <c r="I3" s="14" t="s">
        <v>574</v>
      </c>
      <c r="J3" s="15">
        <v>10</v>
      </c>
    </row>
    <row r="5" spans="1:10">
      <c r="A5" s="1">
        <v>1</v>
      </c>
      <c r="B5" s="2">
        <v>5</v>
      </c>
      <c r="C5" s="2">
        <v>1.6</v>
      </c>
      <c r="D5" s="35">
        <v>1.0416666666666667E-3</v>
      </c>
      <c r="E5" s="3" t="s">
        <v>895</v>
      </c>
    </row>
    <row r="6" spans="1:10" ht="24.95" customHeight="1">
      <c r="A6" s="17">
        <v>2</v>
      </c>
      <c r="B6" s="18">
        <v>7</v>
      </c>
      <c r="C6" s="26">
        <v>2.78</v>
      </c>
      <c r="D6" s="36">
        <v>1.2731481481481483E-3</v>
      </c>
      <c r="E6" s="19">
        <v>6</v>
      </c>
    </row>
    <row r="7" spans="1:10" ht="24.95" customHeight="1">
      <c r="A7" s="20">
        <v>3</v>
      </c>
      <c r="B7" s="21">
        <v>10</v>
      </c>
      <c r="C7" s="27">
        <v>5.01</v>
      </c>
      <c r="D7" s="37">
        <v>1.9675925925925924E-3</v>
      </c>
      <c r="E7" s="22">
        <v>7</v>
      </c>
    </row>
    <row r="8" spans="1:10" ht="24.95" customHeight="1">
      <c r="A8" s="20">
        <v>4</v>
      </c>
      <c r="B8" s="21">
        <v>12</v>
      </c>
      <c r="C8" s="27">
        <v>6.77</v>
      </c>
      <c r="D8" s="37">
        <v>2.4305555555555556E-3</v>
      </c>
      <c r="E8" s="22">
        <v>7</v>
      </c>
    </row>
    <row r="9" spans="1:10" ht="24.95" customHeight="1">
      <c r="A9" s="20">
        <v>5</v>
      </c>
      <c r="B9" s="21">
        <v>14</v>
      </c>
      <c r="C9" s="27">
        <v>8.73</v>
      </c>
      <c r="D9" s="37">
        <v>2.7777777777777779E-3</v>
      </c>
      <c r="E9" s="22">
        <v>9</v>
      </c>
    </row>
    <row r="10" spans="1:10" ht="24.95" customHeight="1">
      <c r="A10" s="23">
        <v>6</v>
      </c>
      <c r="B10" s="24">
        <v>17</v>
      </c>
      <c r="C10" s="28">
        <v>12.03</v>
      </c>
      <c r="D10" s="38">
        <v>3.0092592592592593E-3</v>
      </c>
      <c r="E10" s="25">
        <v>9</v>
      </c>
    </row>
    <row r="11" spans="1:10">
      <c r="A11">
        <v>7</v>
      </c>
      <c r="B11">
        <v>21</v>
      </c>
      <c r="C11">
        <v>17.05</v>
      </c>
      <c r="D11" s="34">
        <v>3.8773148148148148E-3</v>
      </c>
    </row>
    <row r="12" spans="1:10">
      <c r="A12">
        <v>8</v>
      </c>
      <c r="B12">
        <v>26</v>
      </c>
      <c r="C12">
        <v>24.25</v>
      </c>
      <c r="D12" s="34">
        <v>4.9189814814814816E-3</v>
      </c>
    </row>
    <row r="13" spans="1:10">
      <c r="A13">
        <v>9</v>
      </c>
      <c r="B13">
        <v>29</v>
      </c>
      <c r="C13">
        <v>29.04</v>
      </c>
      <c r="D13" s="34">
        <v>5.324074074074074E-3</v>
      </c>
    </row>
    <row r="14" spans="1:10">
      <c r="A14" s="1">
        <v>10</v>
      </c>
      <c r="B14" s="2">
        <v>33</v>
      </c>
      <c r="C14" s="3">
        <v>35.94</v>
      </c>
      <c r="D14" s="34">
        <v>6.1921296296296299E-3</v>
      </c>
    </row>
    <row r="15" spans="1:10">
      <c r="A15" s="33">
        <v>11</v>
      </c>
      <c r="B15" s="33">
        <v>37</v>
      </c>
      <c r="C15" s="33">
        <v>43.4</v>
      </c>
      <c r="D15" s="34">
        <v>7.2337962962962963E-3</v>
      </c>
    </row>
    <row r="16" spans="1:10">
      <c r="A16" s="33">
        <v>12</v>
      </c>
      <c r="B16" s="33">
        <v>42</v>
      </c>
      <c r="C16" s="33">
        <v>53.5</v>
      </c>
      <c r="D16" s="34">
        <v>8.5069444444444437E-3</v>
      </c>
    </row>
    <row r="17" spans="1:4">
      <c r="A17" s="33">
        <v>13</v>
      </c>
      <c r="B17" s="33">
        <v>45</v>
      </c>
      <c r="C17" s="33">
        <v>59.95</v>
      </c>
      <c r="D17" s="34">
        <v>9.0856481481481483E-3</v>
      </c>
    </row>
    <row r="18" spans="1:4">
      <c r="A18" s="33">
        <v>14</v>
      </c>
      <c r="B18" s="33">
        <v>49</v>
      </c>
      <c r="C18" s="33">
        <v>69</v>
      </c>
      <c r="D18" s="34">
        <v>1.0474537037037037E-2</v>
      </c>
    </row>
    <row r="19" spans="1:4">
      <c r="A19" s="33">
        <v>15</v>
      </c>
      <c r="B19" s="33">
        <v>53</v>
      </c>
      <c r="C19" s="33">
        <v>78.53</v>
      </c>
      <c r="D19" s="34">
        <v>1.1400462962962961E-2</v>
      </c>
    </row>
    <row r="20" spans="1:4">
      <c r="A20" s="33">
        <v>16</v>
      </c>
      <c r="B20" s="33">
        <v>57</v>
      </c>
      <c r="C20" s="33">
        <v>88.55</v>
      </c>
      <c r="D20" s="34">
        <v>1.1689814814814814E-2</v>
      </c>
    </row>
    <row r="21" spans="1:4">
      <c r="A21" s="33">
        <v>17</v>
      </c>
      <c r="B21" s="33">
        <v>63</v>
      </c>
      <c r="C21" s="33">
        <v>104.45</v>
      </c>
      <c r="D21" s="34">
        <v>1.2500000000000001E-2</v>
      </c>
    </row>
    <row r="22" spans="1:4">
      <c r="A22" s="33">
        <v>18</v>
      </c>
      <c r="B22" s="33">
        <v>72</v>
      </c>
      <c r="C22" s="33">
        <v>130.19999999999999</v>
      </c>
      <c r="D22" s="34">
        <v>1.3888888888888888E-2</v>
      </c>
    </row>
    <row r="23" spans="1:4">
      <c r="A23" s="33">
        <v>19</v>
      </c>
      <c r="B23" s="33">
        <v>81</v>
      </c>
      <c r="C23" s="33">
        <v>158.12</v>
      </c>
      <c r="D23" s="34">
        <v>1.4814814814814815E-2</v>
      </c>
    </row>
    <row r="24" spans="1:4">
      <c r="A24" s="33">
        <v>20</v>
      </c>
      <c r="B24" s="33">
        <v>88</v>
      </c>
      <c r="C24" s="33">
        <v>181.3</v>
      </c>
      <c r="D24" s="34">
        <v>1.5972222222222221E-2</v>
      </c>
    </row>
    <row r="25" spans="1:4">
      <c r="A25" s="33">
        <v>21</v>
      </c>
      <c r="B25" s="33">
        <v>92</v>
      </c>
      <c r="C25" s="33">
        <v>195.1</v>
      </c>
      <c r="D25" s="34">
        <v>1.6608796296296295E-2</v>
      </c>
    </row>
    <row r="26" spans="1:4">
      <c r="A26" s="33">
        <v>22</v>
      </c>
      <c r="B26" s="33">
        <v>95</v>
      </c>
      <c r="C26" s="33">
        <v>205.7</v>
      </c>
      <c r="D26" s="34">
        <v>1.7418981481481483E-2</v>
      </c>
    </row>
    <row r="27" spans="1:4">
      <c r="A27" s="33">
        <v>23</v>
      </c>
      <c r="B27" s="33">
        <v>99</v>
      </c>
      <c r="C27" s="33">
        <v>220.19</v>
      </c>
      <c r="D27" s="34">
        <v>1.9155092592592592E-2</v>
      </c>
    </row>
    <row r="28" spans="1:4">
      <c r="A28" s="33">
        <v>24</v>
      </c>
      <c r="B28" s="33">
        <v>104</v>
      </c>
      <c r="C28" s="33">
        <v>238.84</v>
      </c>
      <c r="D28" s="34">
        <v>2.0196759259259258E-2</v>
      </c>
    </row>
    <row r="29" spans="1:4">
      <c r="A29" s="33">
        <v>25</v>
      </c>
      <c r="B29" s="33">
        <v>111</v>
      </c>
      <c r="C29" s="33">
        <v>265.94</v>
      </c>
      <c r="D29" s="34">
        <v>2.1585648148148149E-2</v>
      </c>
    </row>
    <row r="30" spans="1:4">
      <c r="A30" s="33">
        <v>26</v>
      </c>
      <c r="B30" s="33">
        <v>114</v>
      </c>
      <c r="C30" s="33">
        <v>277.89999999999998</v>
      </c>
      <c r="D30" s="34">
        <v>2.2337962962962962E-2</v>
      </c>
    </row>
    <row r="31" spans="1:4">
      <c r="A31" s="33">
        <v>27</v>
      </c>
      <c r="B31" s="33">
        <v>118</v>
      </c>
      <c r="C31" s="33">
        <v>294.17</v>
      </c>
      <c r="D31" s="34">
        <v>2.361111111111111E-2</v>
      </c>
    </row>
    <row r="32" spans="1:4">
      <c r="A32" s="33">
        <v>28</v>
      </c>
      <c r="B32" s="33">
        <v>121</v>
      </c>
      <c r="C32" s="33">
        <v>306.62</v>
      </c>
      <c r="D32" s="34">
        <v>2.4479166666666666E-2</v>
      </c>
    </row>
    <row r="33" spans="1:4">
      <c r="A33" s="33">
        <v>29</v>
      </c>
      <c r="B33" s="33">
        <v>125</v>
      </c>
      <c r="C33" s="33">
        <v>323.52</v>
      </c>
      <c r="D33" s="34">
        <v>2.4884259259259259E-2</v>
      </c>
    </row>
    <row r="34" spans="1:4">
      <c r="A34" s="33">
        <v>30</v>
      </c>
      <c r="B34" s="33">
        <v>128</v>
      </c>
      <c r="C34" s="33">
        <v>336.43</v>
      </c>
      <c r="D34" s="34">
        <v>2.5405092592592594E-2</v>
      </c>
    </row>
    <row r="35" spans="1:4">
      <c r="A35" s="33">
        <v>31</v>
      </c>
      <c r="B35" s="33">
        <v>132</v>
      </c>
      <c r="C35" s="33">
        <v>353.95</v>
      </c>
      <c r="D35" s="34">
        <v>2.6388888888888889E-2</v>
      </c>
    </row>
    <row r="36" spans="1:4">
      <c r="A36" s="33">
        <v>32</v>
      </c>
      <c r="B36" s="33">
        <v>140</v>
      </c>
      <c r="C36" s="33">
        <v>390.04</v>
      </c>
      <c r="D36" s="34">
        <v>2.7314814814814816E-2</v>
      </c>
    </row>
    <row r="37" spans="1:4">
      <c r="A37" s="33">
        <v>33</v>
      </c>
      <c r="B37" s="33">
        <v>143</v>
      </c>
      <c r="C37" s="33">
        <v>403.93</v>
      </c>
      <c r="D37" s="34">
        <v>2.795138888888889E-2</v>
      </c>
    </row>
    <row r="38" spans="1:4">
      <c r="A38" s="33">
        <v>34</v>
      </c>
      <c r="B38" s="33">
        <v>148</v>
      </c>
      <c r="C38" s="33">
        <v>427.5</v>
      </c>
      <c r="D38" s="34">
        <v>3.0034722222222223E-2</v>
      </c>
    </row>
    <row r="39" spans="1:4">
      <c r="A39" s="33">
        <v>35</v>
      </c>
      <c r="B39" s="33">
        <v>153</v>
      </c>
      <c r="C39" s="33">
        <v>451.59</v>
      </c>
      <c r="D39" s="34">
        <v>3.1886574074074074E-2</v>
      </c>
    </row>
    <row r="40" spans="1:4">
      <c r="A40" s="33">
        <v>36</v>
      </c>
      <c r="B40" s="33">
        <v>159</v>
      </c>
      <c r="C40" s="33">
        <v>481.18</v>
      </c>
      <c r="D40" s="34">
        <v>3.3622685185185186E-2</v>
      </c>
    </row>
    <row r="41" spans="1:4">
      <c r="A41" s="33">
        <v>37</v>
      </c>
      <c r="B41" s="33">
        <v>162</v>
      </c>
      <c r="C41" s="33">
        <v>496.25</v>
      </c>
      <c r="D41" s="34">
        <v>3.4664351851851849E-2</v>
      </c>
    </row>
    <row r="42" spans="1:4">
      <c r="A42" s="33">
        <v>38</v>
      </c>
      <c r="B42" s="33">
        <v>166</v>
      </c>
      <c r="C42" s="33">
        <v>516.63</v>
      </c>
      <c r="D42" s="34">
        <v>3.6284722222222225E-2</v>
      </c>
    </row>
    <row r="43" spans="1:4">
      <c r="A43" s="33">
        <v>39</v>
      </c>
      <c r="B43" s="33">
        <v>174</v>
      </c>
      <c r="C43" s="33">
        <v>558.35</v>
      </c>
      <c r="D43" s="34">
        <v>3.7673611111111109E-2</v>
      </c>
    </row>
    <row r="44" spans="1:4">
      <c r="A44" s="33">
        <v>40</v>
      </c>
      <c r="B44" s="33">
        <v>179</v>
      </c>
      <c r="C44" s="33">
        <v>585.07000000000005</v>
      </c>
      <c r="D44" s="34">
        <v>3.8541666666666669E-2</v>
      </c>
    </row>
    <row r="45" spans="1:4">
      <c r="A45" s="33">
        <v>41</v>
      </c>
      <c r="B45" s="33">
        <v>187</v>
      </c>
      <c r="C45" s="33">
        <v>628.84</v>
      </c>
      <c r="D45" s="34">
        <v>3.9930555555555552E-2</v>
      </c>
    </row>
    <row r="46" spans="1:4">
      <c r="A46" s="33">
        <v>42</v>
      </c>
      <c r="B46" s="33">
        <v>193</v>
      </c>
      <c r="C46" s="33">
        <v>662.48</v>
      </c>
      <c r="D46" s="34">
        <v>4.189814814814815E-2</v>
      </c>
    </row>
    <row r="47" spans="1:4">
      <c r="A47" s="33">
        <v>43</v>
      </c>
      <c r="B47" s="33">
        <v>198</v>
      </c>
      <c r="C47" s="33">
        <v>691.03</v>
      </c>
      <c r="D47" s="34">
        <v>4.2708333333333334E-2</v>
      </c>
    </row>
    <row r="48" spans="1:4">
      <c r="A48" s="33">
        <v>44</v>
      </c>
      <c r="B48" s="33">
        <v>201</v>
      </c>
      <c r="C48" s="33">
        <v>708.39</v>
      </c>
      <c r="D48" s="34">
        <v>4.3749999999999997E-2</v>
      </c>
    </row>
    <row r="49" spans="1:4">
      <c r="A49" s="33">
        <v>45</v>
      </c>
      <c r="B49" s="33">
        <v>206</v>
      </c>
      <c r="C49" s="33">
        <v>737.7</v>
      </c>
      <c r="D49" s="34">
        <v>4.4618055555555557E-2</v>
      </c>
    </row>
    <row r="50" spans="1:4">
      <c r="A50" s="33">
        <v>46</v>
      </c>
      <c r="B50" s="33">
        <v>211</v>
      </c>
      <c r="C50" s="33">
        <v>767.48</v>
      </c>
      <c r="D50" s="34">
        <v>4.6238425925925926E-2</v>
      </c>
    </row>
    <row r="51" spans="1:4">
      <c r="A51" s="33">
        <v>47</v>
      </c>
      <c r="B51" s="33">
        <v>217</v>
      </c>
      <c r="C51" s="33">
        <v>803.82</v>
      </c>
      <c r="D51" s="34">
        <v>4.8321759259259259E-2</v>
      </c>
    </row>
    <row r="52" spans="1:4">
      <c r="A52" s="33">
        <v>48</v>
      </c>
      <c r="B52" s="33">
        <v>223</v>
      </c>
      <c r="C52" s="33">
        <v>840.82</v>
      </c>
      <c r="D52" s="34">
        <v>5.0173611111111113E-2</v>
      </c>
    </row>
    <row r="53" spans="1:4">
      <c r="A53" s="33">
        <v>49</v>
      </c>
      <c r="B53" s="33">
        <v>232</v>
      </c>
      <c r="C53" s="33">
        <v>897.54</v>
      </c>
      <c r="D53" s="34">
        <v>5.1331018518518519E-2</v>
      </c>
    </row>
    <row r="54" spans="1:4">
      <c r="A54" s="33">
        <v>50</v>
      </c>
      <c r="B54" s="33">
        <v>237</v>
      </c>
      <c r="C54" s="33">
        <v>929.68</v>
      </c>
      <c r="D54" s="34">
        <v>5.2141203703703703E-2</v>
      </c>
    </row>
    <row r="55" spans="1:4">
      <c r="A55" s="33">
        <v>51</v>
      </c>
      <c r="B55" s="33">
        <v>242</v>
      </c>
      <c r="C55" s="33">
        <v>962.27</v>
      </c>
      <c r="D55" s="34">
        <v>5.271990740740741E-2</v>
      </c>
    </row>
    <row r="56" spans="1:4">
      <c r="A56" s="33">
        <v>52</v>
      </c>
      <c r="B56" s="33">
        <v>248</v>
      </c>
      <c r="C56" s="33">
        <v>1001.95</v>
      </c>
      <c r="D56" s="34">
        <v>5.3819444444444448E-2</v>
      </c>
    </row>
    <row r="57" spans="1:4">
      <c r="A57" s="33">
        <v>53</v>
      </c>
      <c r="B57" s="33">
        <v>252</v>
      </c>
      <c r="C57" s="33">
        <v>1028.75</v>
      </c>
      <c r="D57" s="34">
        <v>5.5208333333333331E-2</v>
      </c>
    </row>
    <row r="58" spans="1:4">
      <c r="A58" s="33">
        <v>54</v>
      </c>
      <c r="B58" s="33">
        <v>255</v>
      </c>
      <c r="C58" s="33">
        <v>1049.04</v>
      </c>
      <c r="D58" s="34">
        <v>5.5613425925925927E-2</v>
      </c>
    </row>
    <row r="59" spans="1:4">
      <c r="A59" s="33">
        <v>55</v>
      </c>
      <c r="B59" s="33">
        <v>259</v>
      </c>
      <c r="C59" s="33">
        <v>1076.33</v>
      </c>
      <c r="D59" s="34">
        <v>5.6076388888888891E-2</v>
      </c>
    </row>
    <row r="60" spans="1:4">
      <c r="A60" s="33">
        <v>56</v>
      </c>
      <c r="B60" s="33">
        <v>265</v>
      </c>
      <c r="C60" s="33">
        <v>1117.78</v>
      </c>
      <c r="D60" s="34">
        <v>5.6886574074074076E-2</v>
      </c>
    </row>
    <row r="61" spans="1:4">
      <c r="A61" s="33">
        <v>57</v>
      </c>
      <c r="B61" s="33">
        <v>271</v>
      </c>
      <c r="C61" s="33">
        <v>1159.8399999999999</v>
      </c>
      <c r="D61" s="34">
        <v>5.8275462962962966E-2</v>
      </c>
    </row>
    <row r="62" spans="1:4">
      <c r="A62" s="33">
        <v>58</v>
      </c>
      <c r="B62" s="33">
        <v>279</v>
      </c>
      <c r="C62" s="33">
        <v>1216.8800000000001</v>
      </c>
      <c r="D62" s="34">
        <v>6.0127314814814814E-2</v>
      </c>
    </row>
    <row r="63" spans="1:4">
      <c r="A63" s="33">
        <v>59</v>
      </c>
      <c r="B63" s="33">
        <v>287</v>
      </c>
      <c r="C63" s="33">
        <v>1274.99</v>
      </c>
      <c r="D63" s="34">
        <v>6.1226851851851852E-2</v>
      </c>
    </row>
    <row r="64" spans="1:4">
      <c r="A64" s="33">
        <v>60</v>
      </c>
      <c r="B64" s="33">
        <v>296</v>
      </c>
      <c r="C64" s="33">
        <v>1341.63</v>
      </c>
      <c r="D64" s="34">
        <v>6.3310185185185192E-2</v>
      </c>
    </row>
    <row r="65" spans="1:4">
      <c r="A65" s="33">
        <v>61</v>
      </c>
      <c r="B65" s="33">
        <v>305</v>
      </c>
      <c r="C65" s="33">
        <v>1409.6</v>
      </c>
      <c r="D65" s="34">
        <v>6.4930555555555561E-2</v>
      </c>
    </row>
    <row r="66" spans="1:4">
      <c r="A66" s="33">
        <v>62</v>
      </c>
      <c r="B66" s="33">
        <v>313</v>
      </c>
      <c r="C66" s="33">
        <v>1471.12</v>
      </c>
      <c r="D66" s="34">
        <v>6.6666666666666666E-2</v>
      </c>
    </row>
    <row r="67" spans="1:4">
      <c r="A67" s="33">
        <v>63</v>
      </c>
      <c r="B67" s="33">
        <v>323</v>
      </c>
      <c r="C67" s="33">
        <v>1549.47</v>
      </c>
      <c r="D67" s="34">
        <v>6.8402777777777785E-2</v>
      </c>
    </row>
    <row r="68" spans="1:4">
      <c r="A68" s="33">
        <v>64</v>
      </c>
      <c r="B68" s="33">
        <v>329</v>
      </c>
      <c r="C68" s="33">
        <v>1597.25</v>
      </c>
      <c r="D68" s="34">
        <v>6.8923611111111116E-2</v>
      </c>
    </row>
    <row r="69" spans="1:4">
      <c r="A69" s="33">
        <v>65</v>
      </c>
      <c r="B69" s="33">
        <v>335</v>
      </c>
      <c r="C69" s="33">
        <v>1645.6</v>
      </c>
      <c r="D69" s="34">
        <v>6.9849537037037043E-2</v>
      </c>
    </row>
    <row r="70" spans="1:4">
      <c r="A70" s="33">
        <v>66</v>
      </c>
      <c r="B70" s="33">
        <v>342</v>
      </c>
      <c r="C70" s="33">
        <v>1702.72</v>
      </c>
      <c r="D70" s="34">
        <v>7.1238425925925927E-2</v>
      </c>
    </row>
    <row r="71" spans="1:4">
      <c r="A71" s="33">
        <v>67</v>
      </c>
      <c r="B71" s="33">
        <v>347</v>
      </c>
      <c r="C71" s="33">
        <v>1743.99</v>
      </c>
      <c r="D71" s="34">
        <v>7.2511574074074076E-2</v>
      </c>
    </row>
    <row r="72" spans="1:4">
      <c r="A72" s="33">
        <v>68</v>
      </c>
      <c r="B72" s="33">
        <v>353</v>
      </c>
      <c r="C72" s="33">
        <v>1794.02</v>
      </c>
      <c r="D72" s="34">
        <v>7.3668981481481488E-2</v>
      </c>
    </row>
    <row r="73" spans="1:4">
      <c r="A73" s="33">
        <v>69</v>
      </c>
      <c r="B73" s="33">
        <v>359</v>
      </c>
      <c r="C73" s="33">
        <v>1844.62</v>
      </c>
      <c r="D73" s="34">
        <v>7.5173611111111108E-2</v>
      </c>
    </row>
    <row r="74" spans="1:4">
      <c r="A74" s="33">
        <v>70</v>
      </c>
      <c r="B74" s="33">
        <v>364</v>
      </c>
      <c r="C74" s="33">
        <v>1887.2</v>
      </c>
      <c r="D74" s="34">
        <v>7.6562500000000006E-2</v>
      </c>
    </row>
    <row r="75" spans="1:4">
      <c r="A75" s="33">
        <v>71</v>
      </c>
      <c r="B75" s="33">
        <v>369</v>
      </c>
      <c r="C75" s="33">
        <v>1930.16</v>
      </c>
      <c r="D75" s="34">
        <v>7.7719907407407404E-2</v>
      </c>
    </row>
    <row r="76" spans="1:4">
      <c r="A76" s="33">
        <v>72</v>
      </c>
      <c r="B76" s="33">
        <v>374</v>
      </c>
      <c r="C76" s="33">
        <v>1973.5</v>
      </c>
      <c r="D76" s="34">
        <v>7.8645833333333331E-2</v>
      </c>
    </row>
    <row r="77" spans="1:4">
      <c r="A77" s="33">
        <v>73</v>
      </c>
      <c r="B77" s="33">
        <v>381</v>
      </c>
      <c r="C77" s="33">
        <v>2034.82</v>
      </c>
      <c r="D77" s="34">
        <v>8.0266203703703701E-2</v>
      </c>
    </row>
    <row r="78" spans="1:4">
      <c r="A78" s="33">
        <v>74</v>
      </c>
      <c r="B78" s="33">
        <v>388</v>
      </c>
      <c r="C78" s="33">
        <v>2096.87</v>
      </c>
      <c r="D78" s="34">
        <v>8.2349537037037041E-2</v>
      </c>
    </row>
    <row r="79" spans="1:4">
      <c r="A79" s="33">
        <v>75</v>
      </c>
      <c r="B79" s="33">
        <v>396</v>
      </c>
      <c r="C79" s="33">
        <v>2168.69</v>
      </c>
      <c r="D79" s="34">
        <v>8.4664351851851852E-2</v>
      </c>
    </row>
    <row r="80" spans="1:4">
      <c r="A80" s="33">
        <v>76</v>
      </c>
      <c r="B80" s="33">
        <v>405</v>
      </c>
      <c r="C80" s="33">
        <v>2250.61</v>
      </c>
      <c r="D80" s="34">
        <v>8.6863425925925927E-2</v>
      </c>
    </row>
    <row r="81" spans="1:4">
      <c r="A81" s="33">
        <v>77</v>
      </c>
      <c r="B81" s="33">
        <v>410</v>
      </c>
      <c r="C81" s="33">
        <v>2296.64</v>
      </c>
      <c r="D81" s="34">
        <v>8.7673611111111105E-2</v>
      </c>
    </row>
    <row r="82" spans="1:4">
      <c r="A82" s="33">
        <v>78</v>
      </c>
      <c r="B82" s="33">
        <v>416</v>
      </c>
      <c r="C82" s="33">
        <v>2352.36</v>
      </c>
      <c r="D82" s="34">
        <v>8.8599537037037032E-2</v>
      </c>
    </row>
    <row r="83" spans="1:4">
      <c r="A83" s="33">
        <v>79</v>
      </c>
      <c r="B83" s="33">
        <v>423</v>
      </c>
      <c r="C83" s="33">
        <v>2418.0300000000002</v>
      </c>
      <c r="D83" s="34">
        <v>8.9641203703703709E-2</v>
      </c>
    </row>
    <row r="84" spans="1:4">
      <c r="A84" s="33">
        <v>80</v>
      </c>
      <c r="B84" s="33">
        <v>432</v>
      </c>
      <c r="C84" s="33">
        <v>2503.5</v>
      </c>
      <c r="D84" s="34">
        <v>9.0798611111111108E-2</v>
      </c>
    </row>
    <row r="85" spans="1:4">
      <c r="A85" s="33">
        <v>81</v>
      </c>
      <c r="B85" s="33">
        <v>440</v>
      </c>
      <c r="C85" s="33">
        <v>2580.46</v>
      </c>
      <c r="D85" s="34">
        <v>9.1608796296296299E-2</v>
      </c>
    </row>
    <row r="86" spans="1:4">
      <c r="A86" s="33">
        <v>82</v>
      </c>
      <c r="B86" s="33">
        <v>449</v>
      </c>
      <c r="C86" s="33">
        <v>2668.13</v>
      </c>
      <c r="D86" s="34">
        <v>9.2650462962962962E-2</v>
      </c>
    </row>
    <row r="87" spans="1:4">
      <c r="A87" s="33">
        <v>83</v>
      </c>
      <c r="B87" s="33">
        <v>458</v>
      </c>
      <c r="C87" s="33">
        <v>2756.94</v>
      </c>
      <c r="D87" s="34">
        <v>9.357638888888889E-2</v>
      </c>
    </row>
    <row r="88" spans="1:4">
      <c r="A88" s="33">
        <v>84</v>
      </c>
      <c r="B88" s="33">
        <v>468</v>
      </c>
      <c r="C88" s="33">
        <v>2856.97</v>
      </c>
      <c r="D88" s="34">
        <v>9.6585648148148143E-2</v>
      </c>
    </row>
    <row r="89" spans="1:4">
      <c r="A89" s="33">
        <v>85</v>
      </c>
      <c r="B89" s="33">
        <v>475</v>
      </c>
      <c r="C89" s="33">
        <v>2927.82</v>
      </c>
      <c r="D89" s="34">
        <v>9.7280092592592599E-2</v>
      </c>
    </row>
    <row r="90" spans="1:4">
      <c r="A90" s="33">
        <v>86</v>
      </c>
      <c r="B90" s="33">
        <v>479</v>
      </c>
      <c r="C90" s="33">
        <v>2968.61</v>
      </c>
      <c r="D90" s="34">
        <v>9.8206018518518512E-2</v>
      </c>
    </row>
    <row r="91" spans="1:4">
      <c r="A91" s="33">
        <v>87</v>
      </c>
      <c r="B91" s="33">
        <v>483</v>
      </c>
      <c r="C91" s="33">
        <v>3009.63</v>
      </c>
      <c r="D91" s="34">
        <v>9.8784722222222218E-2</v>
      </c>
    </row>
    <row r="92" spans="1:4">
      <c r="A92" s="33">
        <v>88</v>
      </c>
      <c r="B92" s="33">
        <v>491</v>
      </c>
      <c r="C92" s="33">
        <v>3092.32</v>
      </c>
      <c r="D92" s="34">
        <v>9.9710648148148145E-2</v>
      </c>
    </row>
    <row r="93" spans="1:4">
      <c r="A93" s="33">
        <v>89</v>
      </c>
      <c r="B93" s="33">
        <v>501</v>
      </c>
      <c r="C93" s="33">
        <v>3196.92</v>
      </c>
      <c r="D93" s="34">
        <v>0.10075231481481481</v>
      </c>
    </row>
    <row r="94" spans="1:4">
      <c r="A94" s="33">
        <v>90</v>
      </c>
      <c r="B94" s="33">
        <v>511</v>
      </c>
      <c r="C94" s="33">
        <v>3302.89</v>
      </c>
      <c r="D94" s="34">
        <v>0.1011574074074074</v>
      </c>
    </row>
    <row r="95" spans="1:4">
      <c r="A95" s="33">
        <v>91</v>
      </c>
      <c r="B95" s="33">
        <v>518</v>
      </c>
      <c r="C95" s="33">
        <v>3377.88</v>
      </c>
      <c r="D95" s="34">
        <v>0.10393518518518519</v>
      </c>
    </row>
    <row r="96" spans="1:4">
      <c r="A96" s="33">
        <v>92</v>
      </c>
      <c r="B96" s="33">
        <v>528</v>
      </c>
      <c r="C96" s="33">
        <v>3486.15</v>
      </c>
      <c r="D96" s="34">
        <v>0.10497685185185185</v>
      </c>
    </row>
    <row r="97" spans="1:4">
      <c r="A97" s="33">
        <v>93</v>
      </c>
      <c r="B97" s="33">
        <v>539</v>
      </c>
      <c r="C97" s="33">
        <v>3606.8</v>
      </c>
      <c r="D97" s="34">
        <v>0.10555555555555556</v>
      </c>
    </row>
    <row r="98" spans="1:4">
      <c r="A98" s="33">
        <v>94</v>
      </c>
      <c r="B98" s="33">
        <v>543</v>
      </c>
      <c r="C98" s="33">
        <v>3651.07</v>
      </c>
      <c r="D98" s="34">
        <v>0.10648148148148148</v>
      </c>
    </row>
    <row r="99" spans="1:4">
      <c r="A99" s="33">
        <v>95</v>
      </c>
      <c r="B99" s="33">
        <v>548</v>
      </c>
      <c r="C99" s="33">
        <v>3706.7</v>
      </c>
      <c r="D99" s="34">
        <v>0.10787037037037037</v>
      </c>
    </row>
    <row r="100" spans="1:4">
      <c r="A100" s="33">
        <v>96</v>
      </c>
      <c r="B100" s="33">
        <v>552</v>
      </c>
      <c r="C100" s="33">
        <v>3751.45</v>
      </c>
      <c r="D100" s="34">
        <v>0.10902777777777778</v>
      </c>
    </row>
    <row r="101" spans="1:4">
      <c r="A101" s="33">
        <v>97</v>
      </c>
      <c r="B101" s="33">
        <v>556</v>
      </c>
      <c r="C101" s="33">
        <v>3796.41</v>
      </c>
      <c r="D101" s="34">
        <v>0.11018518518518519</v>
      </c>
    </row>
    <row r="102" spans="1:4">
      <c r="A102" s="33">
        <v>98</v>
      </c>
      <c r="B102" s="33">
        <v>560</v>
      </c>
      <c r="C102" s="33">
        <v>3841.58</v>
      </c>
      <c r="D102" s="34">
        <v>0.11157407407407408</v>
      </c>
    </row>
    <row r="103" spans="1:4">
      <c r="A103" s="33">
        <v>99</v>
      </c>
      <c r="B103" s="33">
        <v>566</v>
      </c>
      <c r="C103" s="33">
        <v>3909.73</v>
      </c>
      <c r="D103" s="34">
        <v>0.11307870370370371</v>
      </c>
    </row>
    <row r="104" spans="1:4">
      <c r="A104" s="33">
        <v>100</v>
      </c>
      <c r="B104" s="33">
        <v>572</v>
      </c>
      <c r="C104" s="33">
        <v>3978.35</v>
      </c>
      <c r="D104" s="34">
        <v>0.11481481481481481</v>
      </c>
    </row>
    <row r="105" spans="1:4">
      <c r="A105" s="33">
        <v>101</v>
      </c>
      <c r="B105" s="33">
        <v>581</v>
      </c>
      <c r="C105" s="33">
        <v>4082.17</v>
      </c>
      <c r="D105" s="34">
        <v>0.1162037037037037</v>
      </c>
    </row>
    <row r="106" spans="1:4">
      <c r="A106" s="33">
        <v>102</v>
      </c>
      <c r="B106" s="33">
        <v>588</v>
      </c>
      <c r="C106" s="33">
        <v>4163.63</v>
      </c>
      <c r="D106" s="34">
        <v>0.11863425925925926</v>
      </c>
    </row>
    <row r="107" spans="1:4">
      <c r="A107" s="33">
        <v>103</v>
      </c>
      <c r="B107" s="33">
        <v>598</v>
      </c>
      <c r="C107" s="33">
        <v>4281.12</v>
      </c>
      <c r="D107" s="34">
        <v>0.1207175925925926</v>
      </c>
    </row>
    <row r="108" spans="1:4">
      <c r="A108" s="33">
        <v>104</v>
      </c>
      <c r="B108" s="33">
        <v>605</v>
      </c>
      <c r="C108" s="33">
        <v>4364.12</v>
      </c>
      <c r="D108" s="34">
        <v>0.12303240740740741</v>
      </c>
    </row>
    <row r="109" spans="1:4">
      <c r="A109" s="33">
        <v>105</v>
      </c>
      <c r="B109" s="33">
        <v>613</v>
      </c>
      <c r="C109" s="33">
        <v>4459.74</v>
      </c>
      <c r="D109" s="34">
        <v>0.12534722222222222</v>
      </c>
    </row>
    <row r="110" spans="1:4">
      <c r="A110" s="33">
        <v>106</v>
      </c>
      <c r="B110" s="33">
        <v>620</v>
      </c>
      <c r="C110" s="33">
        <v>4544.08</v>
      </c>
      <c r="D110" s="34">
        <v>0.12650462962962963</v>
      </c>
    </row>
    <row r="111" spans="1:4">
      <c r="A111" s="33">
        <v>107</v>
      </c>
      <c r="B111" s="33">
        <v>627</v>
      </c>
      <c r="C111" s="33">
        <v>4629.05</v>
      </c>
      <c r="D111" s="34">
        <v>0.12870370370370371</v>
      </c>
    </row>
    <row r="112" spans="1:4">
      <c r="A112" s="33">
        <v>108</v>
      </c>
      <c r="B112" s="33">
        <v>636</v>
      </c>
      <c r="C112" s="33">
        <v>4739.1899999999996</v>
      </c>
      <c r="D112" s="34">
        <v>0.13043981481481481</v>
      </c>
    </row>
    <row r="113" spans="1:4">
      <c r="A113" s="33">
        <v>109</v>
      </c>
      <c r="B113" s="33">
        <v>646</v>
      </c>
      <c r="C113" s="33">
        <v>4862.7700000000004</v>
      </c>
      <c r="D113" s="34">
        <v>0.1318287037037037</v>
      </c>
    </row>
    <row r="114" spans="1:4">
      <c r="A114" s="33">
        <v>110</v>
      </c>
      <c r="B114" s="33">
        <v>654</v>
      </c>
      <c r="C114" s="33">
        <v>4962.53</v>
      </c>
      <c r="D114" s="34">
        <v>0.13263888888888889</v>
      </c>
    </row>
    <row r="115" spans="1:4">
      <c r="A115" s="33">
        <v>111</v>
      </c>
      <c r="B115" s="33">
        <v>664</v>
      </c>
      <c r="C115" s="33">
        <v>5088.3500000000004</v>
      </c>
      <c r="D115" s="34">
        <v>0.13304398148148147</v>
      </c>
    </row>
    <row r="116" spans="1:4">
      <c r="A116" s="33">
        <v>112</v>
      </c>
      <c r="B116" s="33">
        <v>673</v>
      </c>
      <c r="C116" s="33">
        <v>5202.6499999999996</v>
      </c>
      <c r="D116" s="34">
        <v>0.13582175925925927</v>
      </c>
    </row>
    <row r="117" spans="1:4">
      <c r="A117" s="33">
        <v>113</v>
      </c>
      <c r="B117" s="33">
        <v>680</v>
      </c>
      <c r="C117" s="33">
        <v>5292.24</v>
      </c>
      <c r="D117" s="34">
        <v>0.13825231481481481</v>
      </c>
    </row>
    <row r="118" spans="1:4">
      <c r="A118" s="33">
        <v>114</v>
      </c>
      <c r="B118" s="33">
        <v>687</v>
      </c>
      <c r="C118" s="33">
        <v>5382.43</v>
      </c>
      <c r="D118" s="34">
        <v>0.13952546296296298</v>
      </c>
    </row>
    <row r="119" spans="1:4">
      <c r="A119" s="33">
        <v>115</v>
      </c>
      <c r="B119" s="33">
        <v>695</v>
      </c>
      <c r="C119" s="33">
        <v>5486.24</v>
      </c>
      <c r="D119" s="34">
        <v>0.14172453703703702</v>
      </c>
    </row>
    <row r="120" spans="1:4">
      <c r="A120" s="33">
        <v>116</v>
      </c>
      <c r="B120" s="33">
        <v>702</v>
      </c>
      <c r="C120" s="33">
        <v>5577.71</v>
      </c>
      <c r="D120" s="34">
        <v>0.1441550925925926</v>
      </c>
    </row>
    <row r="121" spans="1:4">
      <c r="A121" s="33">
        <v>117</v>
      </c>
      <c r="B121" s="33">
        <v>708</v>
      </c>
      <c r="C121" s="33">
        <v>5656.59</v>
      </c>
      <c r="D121" s="34">
        <v>0.14508101851851851</v>
      </c>
    </row>
    <row r="122" spans="1:4">
      <c r="A122" s="33">
        <v>118</v>
      </c>
      <c r="B122" s="33">
        <v>717</v>
      </c>
      <c r="C122" s="33">
        <v>5775.73</v>
      </c>
      <c r="D122" s="34">
        <v>0.14577546296296295</v>
      </c>
    </row>
    <row r="123" spans="1:4">
      <c r="A123" s="33">
        <v>119</v>
      </c>
      <c r="B123" s="33">
        <v>726</v>
      </c>
      <c r="C123" s="33">
        <v>5895.84</v>
      </c>
      <c r="D123" s="34">
        <v>0.14693287037037037</v>
      </c>
    </row>
    <row r="124" spans="1:4">
      <c r="A124" s="33">
        <v>120</v>
      </c>
      <c r="B124" s="33">
        <v>739</v>
      </c>
      <c r="C124" s="33">
        <v>6071.04</v>
      </c>
      <c r="D124" s="34">
        <v>0.14936342592592591</v>
      </c>
    </row>
    <row r="125" spans="1:4">
      <c r="A125" s="33">
        <v>121</v>
      </c>
      <c r="B125" s="33">
        <v>752</v>
      </c>
      <c r="C125" s="33">
        <v>6248.26</v>
      </c>
      <c r="D125" s="34">
        <v>0.15086805555555555</v>
      </c>
    </row>
    <row r="126" spans="1:4">
      <c r="A126" s="33">
        <v>122</v>
      </c>
      <c r="B126" s="33">
        <v>765</v>
      </c>
      <c r="C126" s="33">
        <v>6427.49</v>
      </c>
      <c r="D126" s="34">
        <v>0.15138888888888888</v>
      </c>
    </row>
    <row r="127" spans="1:4">
      <c r="A127" s="33">
        <v>123</v>
      </c>
      <c r="B127" s="33">
        <v>779</v>
      </c>
      <c r="C127" s="33">
        <v>6622.73</v>
      </c>
      <c r="D127" s="34">
        <v>0.15416666666666667</v>
      </c>
    </row>
    <row r="128" spans="1:4">
      <c r="A128" s="33">
        <v>124</v>
      </c>
      <c r="B128" s="33">
        <v>794</v>
      </c>
      <c r="C128" s="33">
        <v>6834.45</v>
      </c>
      <c r="D128" s="34">
        <v>0.15601851851851853</v>
      </c>
    </row>
    <row r="129" spans="1:4">
      <c r="A129" s="33">
        <v>125</v>
      </c>
      <c r="B129" s="33">
        <v>806</v>
      </c>
      <c r="C129" s="33">
        <v>7005.72</v>
      </c>
      <c r="D129" s="34">
        <v>0.15763888888888888</v>
      </c>
    </row>
    <row r="130" spans="1:4">
      <c r="A130" s="33">
        <v>126</v>
      </c>
      <c r="B130" s="33">
        <v>812</v>
      </c>
      <c r="C130" s="33">
        <v>7091.98</v>
      </c>
      <c r="D130" s="34">
        <v>0.15868055555555555</v>
      </c>
    </row>
    <row r="131" spans="1:4">
      <c r="A131" s="33">
        <v>127</v>
      </c>
      <c r="B131" s="33">
        <v>819</v>
      </c>
      <c r="C131" s="33">
        <v>7193.14</v>
      </c>
      <c r="D131" s="34">
        <v>0.16030092592592593</v>
      </c>
    </row>
    <row r="132" spans="1:4">
      <c r="A132" s="33">
        <v>128</v>
      </c>
      <c r="B132" s="33">
        <v>829</v>
      </c>
      <c r="C132" s="33">
        <v>7338.63</v>
      </c>
      <c r="D132" s="34">
        <v>0.16238425925925926</v>
      </c>
    </row>
    <row r="133" spans="1:4">
      <c r="A133" s="33">
        <v>129</v>
      </c>
      <c r="B133" s="33">
        <v>834</v>
      </c>
      <c r="C133" s="33">
        <v>7411.8</v>
      </c>
      <c r="D133" s="34">
        <v>0.16365740740740742</v>
      </c>
    </row>
    <row r="134" spans="1:4">
      <c r="A134">
        <v>130</v>
      </c>
      <c r="B134">
        <v>839</v>
      </c>
      <c r="C134">
        <v>7485.27</v>
      </c>
      <c r="D134" s="34">
        <v>0.1648148148148148</v>
      </c>
    </row>
    <row r="135" spans="1:4">
      <c r="A135">
        <v>131</v>
      </c>
      <c r="B135">
        <v>844</v>
      </c>
      <c r="C135">
        <v>7559.01</v>
      </c>
      <c r="D135" s="34">
        <v>0.16643518518518519</v>
      </c>
    </row>
    <row r="136" spans="1:4">
      <c r="A136">
        <v>132</v>
      </c>
      <c r="B136">
        <v>853</v>
      </c>
      <c r="C136">
        <v>7692.47</v>
      </c>
      <c r="D136" s="34">
        <v>0.16851851851851851</v>
      </c>
    </row>
    <row r="137" spans="1:4">
      <c r="A137">
        <v>133</v>
      </c>
      <c r="B137">
        <v>864</v>
      </c>
      <c r="C137">
        <v>7856.84</v>
      </c>
      <c r="D137" s="34">
        <v>0.17002314814814815</v>
      </c>
    </row>
    <row r="138" spans="1:4">
      <c r="A138">
        <v>134</v>
      </c>
      <c r="B138">
        <v>873</v>
      </c>
      <c r="C138">
        <v>7992.33</v>
      </c>
      <c r="D138" s="34">
        <v>0.17256944444444444</v>
      </c>
    </row>
    <row r="139" spans="1:4">
      <c r="A139">
        <v>135</v>
      </c>
      <c r="B139">
        <v>880</v>
      </c>
      <c r="C139">
        <v>8098.35</v>
      </c>
      <c r="D139" s="34">
        <v>0.17499999999999999</v>
      </c>
    </row>
    <row r="140" spans="1:4">
      <c r="A140">
        <v>136</v>
      </c>
      <c r="B140">
        <v>892</v>
      </c>
      <c r="C140">
        <v>8281.3700000000008</v>
      </c>
      <c r="D140" s="34">
        <v>0.17800925925925926</v>
      </c>
    </row>
    <row r="141" spans="1:4">
      <c r="A141">
        <v>137</v>
      </c>
      <c r="B141">
        <v>903</v>
      </c>
      <c r="C141">
        <v>8450.5499999999993</v>
      </c>
      <c r="D141" s="34">
        <v>0.18020833333333333</v>
      </c>
    </row>
    <row r="142" spans="1:4">
      <c r="A142">
        <v>138</v>
      </c>
      <c r="B142">
        <v>917</v>
      </c>
      <c r="C142">
        <v>8667.81</v>
      </c>
      <c r="D142" s="34">
        <v>0.18252314814814816</v>
      </c>
    </row>
    <row r="143" spans="1:4">
      <c r="A143">
        <v>139</v>
      </c>
      <c r="B143">
        <v>928</v>
      </c>
      <c r="C143">
        <v>8840.0400000000009</v>
      </c>
      <c r="D143" s="34">
        <v>0.18425925925925926</v>
      </c>
    </row>
    <row r="144" spans="1:4">
      <c r="A144">
        <v>140</v>
      </c>
      <c r="B144">
        <v>934</v>
      </c>
      <c r="C144">
        <v>8934.5400000000009</v>
      </c>
      <c r="D144" s="34">
        <v>0.18645833333333334</v>
      </c>
    </row>
    <row r="145" spans="1:4">
      <c r="A145">
        <v>141</v>
      </c>
      <c r="B145">
        <v>940</v>
      </c>
      <c r="C145">
        <v>9029.44</v>
      </c>
      <c r="D145" s="34">
        <v>0.18831018518518519</v>
      </c>
    </row>
    <row r="146" spans="1:4">
      <c r="A146">
        <v>142</v>
      </c>
      <c r="B146">
        <v>946</v>
      </c>
      <c r="C146">
        <v>9124.74</v>
      </c>
      <c r="D146" s="34">
        <v>0.1900462962962963</v>
      </c>
    </row>
    <row r="147" spans="1:4">
      <c r="A147">
        <v>143</v>
      </c>
      <c r="B147">
        <v>955</v>
      </c>
      <c r="C147">
        <v>9268.42</v>
      </c>
      <c r="D147" s="34">
        <v>0.19236111111111112</v>
      </c>
    </row>
    <row r="148" spans="1:4">
      <c r="A148">
        <v>144</v>
      </c>
      <c r="B148">
        <v>967</v>
      </c>
      <c r="C148">
        <v>9461.36</v>
      </c>
      <c r="D148" s="34">
        <v>0.19444444444444445</v>
      </c>
    </row>
    <row r="149" spans="1:4">
      <c r="A149">
        <v>145</v>
      </c>
      <c r="B149">
        <v>978</v>
      </c>
      <c r="C149">
        <v>9639.6</v>
      </c>
      <c r="D149" s="34">
        <v>0.19699074074074074</v>
      </c>
    </row>
    <row r="150" spans="1:4">
      <c r="A150">
        <v>146</v>
      </c>
      <c r="B150">
        <v>984</v>
      </c>
      <c r="C150">
        <v>9737.3799999999992</v>
      </c>
      <c r="D150" s="34">
        <v>0.19837962962962963</v>
      </c>
    </row>
    <row r="151" spans="1:4">
      <c r="A151">
        <v>147</v>
      </c>
      <c r="B151">
        <v>990</v>
      </c>
      <c r="C151">
        <v>9835.5400000000009</v>
      </c>
      <c r="D151" s="34">
        <v>0.20011574074074073</v>
      </c>
    </row>
    <row r="152" spans="1:4">
      <c r="A152">
        <v>148</v>
      </c>
      <c r="B152">
        <v>995</v>
      </c>
      <c r="C152">
        <v>9917.6299999999992</v>
      </c>
      <c r="D152" s="34">
        <v>0.20289351851851853</v>
      </c>
    </row>
    <row r="153" spans="1:4">
      <c r="A153">
        <v>149</v>
      </c>
      <c r="B153">
        <v>1000</v>
      </c>
      <c r="C153">
        <v>10000</v>
      </c>
      <c r="D153" s="34">
        <v>0.20497685185185185</v>
      </c>
    </row>
  </sheetData>
  <mergeCells count="1">
    <mergeCell ref="A1:J1"/>
  </mergeCells>
  <phoneticPr fontId="8" type="noConversion"/>
  <pageMargins left="0.69972223043441772" right="0.69972223043441772" top="0.75" bottom="0.75" header="0.30000001192092896" footer="0.30000001192092896"/>
  <pageSetup paperSize="9" fitToWidth="0" fitToHeight="0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밸런스 문서</vt:lpstr>
      <vt:lpstr>밸런스 팩터</vt:lpstr>
      <vt:lpstr>작성 기준</vt:lpstr>
      <vt:lpstr>밸런스 곡선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FullName</cp:lastModifiedBy>
  <cp:revision>3</cp:revision>
  <dcterms:created xsi:type="dcterms:W3CDTF">2026-07-27T02:30:30Z</dcterms:created>
  <dcterms:modified xsi:type="dcterms:W3CDTF">2026-07-27T04:43:33Z</dcterms:modified>
  <cp:version>1200.0100.01</cp:version>
</cp:coreProperties>
</file>
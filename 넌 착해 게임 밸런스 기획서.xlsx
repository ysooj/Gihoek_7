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8800" windowHeight="11625"/>
  </bookViews>
  <sheets>
    <sheet name="밸런스 문서" sheetId="1" r:id="rId1"/>
    <sheet name="밸런스 팩터" sheetId="4" r:id="rId2"/>
    <sheet name="작성 기준" sheetId="2" r:id="rId3"/>
    <sheet name="밸런스 곡선" sheetId="3" r:id="rId4"/>
  </sheets>
  <calcPr calcId="162913"/>
</workbook>
</file>

<file path=xl/calcChain.xml><?xml version="1.0" encoding="utf-8"?>
<calcChain xmlns="http://schemas.openxmlformats.org/spreadsheetml/2006/main">
  <c r="R10" i="1" l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6" i="1"/>
  <c r="R7" i="1"/>
  <c r="R8" i="1"/>
  <c r="R9" i="1"/>
  <c r="R5" i="1"/>
  <c r="R3" i="1"/>
  <c r="Q3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D10" i="3" l="1"/>
  <c r="C10" i="3"/>
  <c r="D9" i="3"/>
  <c r="C9" i="3"/>
  <c r="D8" i="3"/>
  <c r="C8" i="3"/>
  <c r="D7" i="3"/>
  <c r="C7" i="3"/>
  <c r="D6" i="3"/>
  <c r="C6" i="3"/>
  <c r="J3" i="3"/>
  <c r="H3" i="3"/>
  <c r="F3" i="3"/>
  <c r="D3" i="3"/>
</calcChain>
</file>

<file path=xl/sharedStrings.xml><?xml version="1.0" encoding="utf-8"?>
<sst xmlns="http://schemas.openxmlformats.org/spreadsheetml/2006/main" count="1297" uniqueCount="829">
  <si>
    <t>조작난이도</t>
  </si>
  <si>
    <t>재미율</t>
  </si>
  <si>
    <t>컨텐츠 제시순서</t>
  </si>
  <si>
    <t>방해요소</t>
  </si>
  <si>
    <t>방해요소 공략</t>
  </si>
  <si>
    <t>방해요인의 난이도</t>
  </si>
  <si>
    <t>미션개수</t>
  </si>
  <si>
    <t>성공 미션조건</t>
  </si>
  <si>
    <t>실패 미션조건</t>
  </si>
  <si>
    <t>예상 플레이타임</t>
  </si>
  <si>
    <t>난이도 보정 컨텐츠</t>
  </si>
  <si>
    <t>이동속도 A</t>
  </si>
  <si>
    <t>이동속도 B</t>
  </si>
  <si>
    <t>오프닝 재생이 끝나면 자동 완료</t>
  </si>
  <si>
    <t>1분 30초</t>
  </si>
  <si>
    <t>스킵·다시 보기 기능 제공</t>
  </si>
  <si>
    <t>주인공 주변의 상호작용 표시를 확인하고 조사 키를 누름</t>
  </si>
  <si>
    <t>소파 옆 주인공에서 조사 입력 1회 완료</t>
  </si>
  <si>
    <t>20초</t>
  </si>
  <si>
    <t>첫 상호작용 대상에 반짝임 표시</t>
  </si>
  <si>
    <t>대화 속에 다음 목적지와 필요한 물품 정보가 섞여 있음</t>
  </si>
  <si>
    <t>강조되는 핵심 단어와 NPC의 요구를 확인하며 대화를 끝까지 진행함</t>
  </si>
  <si>
    <t>신상 과자·헤어롤·팝콘 심부름에 관한 대화를 마지막 문장까지 진행</t>
  </si>
  <si>
    <t>1분</t>
  </si>
  <si>
    <t>대화 종료 후 핵심 내용을 화면 한쪽에 요약 표시</t>
  </si>
  <si>
    <t>여러 조작을 한 번에 제시하면 입력 방법을 혼동할 수 있음</t>
  </si>
  <si>
    <t>화면에 표시되는 키를 순서대로 입력하고 각 동작의 결과를 확인함</t>
  </si>
  <si>
    <t>상하좌우 이동과 조사 키를 안내 순서대로 모두 수행</t>
  </si>
  <si>
    <t>40초</t>
  </si>
  <si>
    <t>입력하지 않은 키 안내를 계속 유지</t>
  </si>
  <si>
    <t>갈림길과 주변 상호작용 오브젝트 때문에 목적지 방향을 놓칠 수 있음</t>
  </si>
  <si>
    <t>표지판·미니맵·NPC 이동 방향을 확인하며 거실에서 현관문까지 이동함</t>
  </si>
  <si>
    <t>거실에서 현관문의 도착 트리거에 진입</t>
  </si>
  <si>
    <t>30초</t>
  </si>
  <si>
    <t>일정 시간 정체 시 목적지 방향 화살표 표시</t>
  </si>
  <si>
    <t>조사 대상이 배경 오브젝트와 비슷해 상호작용 가능 여부를 놓칠 수 있음</t>
  </si>
  <si>
    <t>현관문 가까이 이동한 뒤 상호작용 아이콘이 나타날 때 조사함</t>
  </si>
  <si>
    <t>현관문 조사 완료</t>
  </si>
  <si>
    <t>상호작용 가능 범위를 넓히고 아이콘 표시</t>
  </si>
  <si>
    <t>표지판·미니맵·NPC 이동 방향을 확인하며 아파트에서 편의점까지 이동함</t>
  </si>
  <si>
    <t>2/10 – 맵 크기·갈림길 수·목적지 표식의 가시성이 난이도를 결정함</t>
  </si>
  <si>
    <t>아파트에서 편의점의 도착 트리거에 진입</t>
  </si>
  <si>
    <t>1분 15초</t>
  </si>
  <si>
    <t>비슷한 오브젝트와 진열대가 많아 목표 대상을 한 번에 찾기 어려움</t>
  </si>
  <si>
    <t>구역별 표지와 상품 외형을 비교하며 편의점 안 신상 과자 진열대를 조사함</t>
  </si>
  <si>
    <t>3/10 – 후보 오브젝트 수·외형 유사도·탐색 범위가 난이도를 결정함</t>
  </si>
  <si>
    <t>편의점 안 신상 과자 진열대 발견 및 조사 완료</t>
  </si>
  <si>
    <t>30초 이상 미발견 시 목표 구역에 약한 반짝임 표시</t>
  </si>
  <si>
    <t>비어 있는 진열칸과 손글씨 품절 안내 가까이 이동한 뒤 상호작용 아이콘이 나타날 때 조사함</t>
  </si>
  <si>
    <t>비어 있는 진열칸과 손글씨 품절 안내 조사 완료</t>
  </si>
  <si>
    <t>35초</t>
  </si>
  <si>
    <t>2/10 – 대사 길이·핵심 정보의 명확성·선택지 수가 난이도를 결정함</t>
  </si>
  <si>
    <t>재입고 시간과 물류 트럭 정보에 관한 대화를 마지막 문장까지 진행</t>
  </si>
  <si>
    <t>표지판·미니맵·NPC 이동 방향을 확인하며 편의점에서 다이소까지 이동함</t>
  </si>
  <si>
    <t>편의점에서 다이소의 도착 트리거에 진입</t>
  </si>
  <si>
    <t>구역별 표지와 상품 외형을 비교하며 생활용품 코너의 헤어롤를 조사함</t>
  </si>
  <si>
    <t>생활용품 코너의 헤어롤 발견 및 조사 완료</t>
  </si>
  <si>
    <t>1분 50초</t>
  </si>
  <si>
    <t>구매 대상·수량·결제 순서를 잘못 선택할 수 있음</t>
  </si>
  <si>
    <t>요청받은 품목을 확인하고 상품 선택→계산대 상호작용→결제를 순서대로 진행함</t>
  </si>
  <si>
    <t>2/10 – 상품 후보 수·품목 유사도·구매 단계 수가 난이도를 결정함</t>
  </si>
  <si>
    <t>헤어롤 1개 구매 후 인벤토리에 등록</t>
  </si>
  <si>
    <t>잘못된 품목 구매 시 다시 선택해야 함</t>
  </si>
  <si>
    <t>50초</t>
  </si>
  <si>
    <t>요청 품목에 작은 임무 아이콘 표시</t>
  </si>
  <si>
    <t>표지판·미니맵·NPC 이동 방향을 확인하며 다이소에서 영화관까지 이동함</t>
  </si>
  <si>
    <t>다이소에서 영화관의 도착 트리거에 진입</t>
  </si>
  <si>
    <t>2분</t>
  </si>
  <si>
    <t>동생이 지정한 팝콘 구매 후 인벤토리에 등록</t>
  </si>
  <si>
    <t>1분 20초</t>
  </si>
  <si>
    <t>짧은 시간 동안 화면을 지나가는 대상이라 시선을 다른 곳에 두면 놓칠 수 있음</t>
  </si>
  <si>
    <t>카메라 이동과 NPC 시선을 따라 영화관 출구 앞을 지나가는 편의점 물류 트럭를 확인함</t>
  </si>
  <si>
    <t>영화관 출구 앞을 지나가는 편의점 물류 트럭를 화면 안에서 확인</t>
  </si>
  <si>
    <t>대상을 놓치면 짧은 연출이 다시 재생됨</t>
  </si>
  <si>
    <t>25초</t>
  </si>
  <si>
    <t>대상 등장 직전 효과음과 화면 가장자리 표시</t>
  </si>
  <si>
    <t>대상이 빠르게 이동하고 시민과 건물이 시야를 가려 추적이 끊길 수 있음</t>
  </si>
  <si>
    <t>목표 아이콘과 도로 방향을 보며 허용 거리 안에서 물류 트럭를 따라감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</si>
  <si>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</si>
  <si>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</si>
  <si>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</si>
  <si>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</si>
  <si>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</si>
  <si>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재고가 남아 있을 때 목표 상품 상호작용 성공</t>
  </si>
  <si>
    <t>재고가 모두 소진되면 직전 체크포인트에서 재시도</t>
  </si>
  <si>
    <t>1분 40초</t>
  </si>
  <si>
    <t>재시도 시 경쟁 NPC 수 1명 감소</t>
  </si>
  <si>
    <t>3/10 – 상품 후보 수·품목 유사도·구매 단계 수가 난이도를 결정함</t>
  </si>
  <si>
    <t>신상 과자 1봉 구매 후 인벤토리에 등록</t>
  </si>
  <si>
    <t>55초</t>
  </si>
  <si>
    <t>중고 거래 물품 수령 요청에 관한 대화를 마지막 문장까지 진행</t>
  </si>
  <si>
    <t>1분 10초</t>
  </si>
  <si>
    <t>표지판·미니맵·NPC 이동 방향을 확인하며 편의점에서 지하철역 개찰구까지 이동함</t>
  </si>
  <si>
    <t>편의점에서 지하철역 개찰구의 도착 트리거에 진입</t>
  </si>
  <si>
    <t>2분 30초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</si>
  <si>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</si>
  <si>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</si>
  <si>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5/10 – 관찰 대상 수·단서의 명확성·외형 유사도가 난이도를 결정함</t>
  </si>
  <si>
    <t>필수 관찰 대상 모두 조사</t>
  </si>
  <si>
    <t>필수 대상 위에 짧은 시선 유도 아이콘 표시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</si>
  <si>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</si>
  <si>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</si>
  <si>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6/10 – 후보 수·공통 특징 수·추가 단서의 명확성이 난이도를 결정함</t>
  </si>
  <si>
    <t>올바른 거래자와 대화 시작</t>
  </si>
  <si>
    <t>오답 후보 선택 시 경계 대사가 출력되고 다시 선택</t>
  </si>
  <si>
    <t>오답 2회 후 확인하지 않은 단서 목록 표시</t>
  </si>
  <si>
    <t>동생이 부탁한 중고 물품 구매 후 인벤토리에 등록</t>
  </si>
  <si>
    <t>1분 5초</t>
  </si>
  <si>
    <t>표지판·미니맵·NPC 이동 방향을 확인하며 지하철역에서 축제 종료 공원까지 이동함</t>
  </si>
  <si>
    <t>지하철역에서 축제 종료 공원의 도착 트리거에 진입</t>
  </si>
  <si>
    <t>시선·행동·복장·주변 오브젝트를 순서대로 확인해 떠나는 시민과 공원에 남은 쓰레기의 특징을 파악함</t>
  </si>
  <si>
    <t>3/10 – 관찰 대상 수·단서의 명확성·외형 유사도가 난이도를 결정함</t>
  </si>
  <si>
    <t>Q2-02 | 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</si>
  <si>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</si>
  <si>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행동를 확인함</t>
  </si>
  <si>
    <t>1/10 – 연출 속도·동시에 제시되는 정보량이 난이도를 결정함</t>
  </si>
  <si>
    <t>사건 연출 종료</t>
  </si>
  <si>
    <t>핵심 오브젝트에 카메라 줌과 효과음 적용</t>
  </si>
  <si>
    <t>Q2-03 | 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</si>
  <si>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</si>
  <si>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</si>
  <si>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3/10 – 정보의 불완전성·결과 예측 가능성·감정적 부담이 난이도를 결정함</t>
  </si>
  <si>
    <t>선택지 1개 확정</t>
  </si>
  <si>
    <t>45초</t>
  </si>
  <si>
    <t>선택 직전 핵심 상황을 한 문장으로 다시 표시</t>
  </si>
  <si>
    <t>Q2-04 | 청소 도구 찾기</t>
  </si>
  <si>
    <t>구역별 표지와 상품 외형을 비교하며 공원 관리함의 집게와 봉투를 조사함</t>
  </si>
  <si>
    <t>공원 관리함의 집게와 봉투 발견 및 조사 완료</t>
  </si>
  <si>
    <t>1분 25초</t>
  </si>
  <si>
    <t>Q2-05 | 첫 쓰레기 줍기</t>
  </si>
  <si>
    <t>수거 대상과 배경 장식의 차이를 처음에는 구별하기 어려움</t>
  </si>
  <si>
    <t>2/10 – 대상 가시성·입력 단계 수가 난이도를 결정함</t>
  </si>
  <si>
    <t>안내된 수거 행동 3회 완료</t>
  </si>
  <si>
    <t>수거 대상 반짝임과 상호작용 범위를 크게 설정</t>
  </si>
  <si>
    <t>Q2-06 | 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</si>
  <si>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</si>
  <si>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</si>
  <si>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4/10 – 목표 수량·배치 밀도·가림 오브젝트·탐색 범위가 난이도를 결정함</t>
  </si>
  <si>
    <t>잔디 구역 쓰레기 8개 전부 수거</t>
  </si>
  <si>
    <t>필수 수량을 채우지 못하면 다음 구역 진행 불가</t>
  </si>
  <si>
    <t>3분</t>
  </si>
  <si>
    <t>60초 이상 미발견 시 가장 가까운 미수거 대상 방향 표시</t>
  </si>
  <si>
    <t>Q2-07 | 산책로 쓰레기 수거하기</t>
  </si>
  <si>
    <t>구역을 일정한 방향으로 순회하고 반짝임·잔여 개수 UI를 확인하며 산책로 쓰레기 7개를 수거함</t>
  </si>
  <si>
    <t>산책로 쓰레기 7개 전부 수거</t>
  </si>
  <si>
    <t>2분 40초</t>
  </si>
  <si>
    <t>Q2-08 | 벤치 주변 쓰레기 수거하기</t>
  </si>
  <si>
    <t>구역을 일정한 방향으로 순회하고 반짝임·잔여 개수 UI를 확인하며 벤치와 가려진 틈의 쓰레기 6개를 수거함</t>
  </si>
  <si>
    <t>5/10 – 목표 수량·배치 밀도·가림 오브젝트·탐색 범위가 난이도를 결정함</t>
  </si>
  <si>
    <t>벤치와 가려진 틈의 쓰레기 6개 전부 수거</t>
  </si>
  <si>
    <t>Q2-09 | 한도윤과 대화하기</t>
  </si>
  <si>
    <t>혼자 청소하는 이유와 도움 제안에 관한 대화를 마지막 문장까지 진행</t>
  </si>
  <si>
    <t>Q2-10 | 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</si>
  <si>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</si>
  <si>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</si>
  <si>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4/10 – 구역 수·동료 행동 예측 가능성·이동 동선이 난이도를 결정함</t>
  </si>
  <si>
    <t>플레이어 담당 구역의 목표 수량 달성</t>
  </si>
  <si>
    <t>2분 20초</t>
  </si>
  <si>
    <t>미니맵에 담당 구역을 서로 다른 테두리로 표시</t>
  </si>
  <si>
    <t>Q2-11 | 우정 반지 단서 발견하기</t>
  </si>
  <si>
    <t>작은 단서가 쓰레기와 배경에 섞여 있어 일반 수거물로 오인할 수 있음</t>
  </si>
  <si>
    <t>중학생이 잃어버린 반지의 흔적의 형태와 주변 대사를 확인하고 별도 조사함</t>
  </si>
  <si>
    <t>4/10 – 단서 크기·배경 대비·오인 가능성이 난이도를 결정함</t>
  </si>
  <si>
    <t>필수 단서 모두 조사</t>
  </si>
  <si>
    <t>단서를 버리려 하면 경고 후 행동 취소</t>
  </si>
  <si>
    <t>단서에 일반 쓰레기와 다른 약한 빛 효과 적용</t>
  </si>
  <si>
    <t>Q2-12 | 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</si>
  <si>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</si>
  <si>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</si>
  <si>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6/10 – 목표물 크기·탐색 범위·가짜 후보 수가 난이도를 결정함</t>
  </si>
  <si>
    <t>쓰레기 사이에 섞인 작은 반지 발견 후 획득</t>
  </si>
  <si>
    <t>2분 50초</t>
  </si>
  <si>
    <t>90초 이상 미발견 시 탐색 범위를 단계적으로 축소</t>
  </si>
  <si>
    <t>Q2-13 | 중학생에게 반지 전달하기</t>
  </si>
  <si>
    <t>비슷한 복장의 NPC가 있어 물건의 주인을 잘못 선택할 수 있음</t>
  </si>
  <si>
    <t>의뢰 대사와 위치를 확인한 뒤 반지의 주인에게 전달함</t>
  </si>
  <si>
    <t>2/10 – NPC 후보 수·위치 이동 여부·의뢰 단서 명확성이 난이도를 결정함</t>
  </si>
  <si>
    <t>올바른 NPC에게 물품 전달</t>
  </si>
  <si>
    <t>오답 NPC 선택 시 전달이 취소되고 다시 선택</t>
  </si>
  <si>
    <t>의뢰 NPC 머리 위에 약한 대화 아이콘 표시</t>
  </si>
  <si>
    <t>Q2-14 | 남은 쓰레기 확인하기</t>
  </si>
  <si>
    <t>완료한 것처럼 보여도 남은 대상이나 오분류 항목이 존재할 수 있음</t>
  </si>
  <si>
    <t>잔여 수량과 각 구역 상태를 확인해 공원 미수거 구역과 남은 수량의 미완료 항목을 점검함</t>
  </si>
  <si>
    <t>4/10 – 검사 항목 수·오류 위치의 분산 정도가 난이도를 결정함</t>
  </si>
  <si>
    <t>잔여 수량 0 및 오류 항목 0</t>
  </si>
  <si>
    <t>조건 미달 시 완료 상호작용이 비활성화됨</t>
  </si>
  <si>
    <t>미완료 구역과 오류 수량을 별도 UI로 표시</t>
  </si>
  <si>
    <t>Q2-15 | 분리수거장으로 이동하기</t>
  </si>
  <si>
    <t>표지판·미니맵·NPC 이동 방향을 확인하며 공원에서 분리수거장까지 이동함</t>
  </si>
  <si>
    <t>공원에서 분리수거장의 도착 트리거에 진입</t>
  </si>
  <si>
    <t>Q2-16 | 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</si>
  <si>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</si>
  <si>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</si>
  <si>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4/10 – 분류 종류 수·외형 유사도·오답 허용 횟수가 난이도를 결정함</t>
  </si>
  <si>
    <t>일반쓰레기 8개 전부 올바르게 분류</t>
  </si>
  <si>
    <t>오분류 5회 누적 시 해당 분류 단계 재시작</t>
  </si>
  <si>
    <t>오답 2회 후 분류 기준 그림 표시</t>
  </si>
  <si>
    <t>Q2-17 | 재활용품 분류하기</t>
  </si>
  <si>
    <t>재질·오염 여부·남은 내용물을 확인하고 플라스틱·캔·종이 10개를 올바른 수거함에 넣음</t>
  </si>
  <si>
    <t>6/10 – 분류 종류 수·외형 유사도·오답 허용 횟수가 난이도를 결정함</t>
  </si>
  <si>
    <t>플라스틱·캔·종이 10개 전부 올바르게 분류</t>
  </si>
  <si>
    <t>Q2-18 | 오염된 쓰레기 분류하기</t>
  </si>
  <si>
    <t>재질·오염 여부·남은 내용물을 확인하고 내용물이 남거나 오염된 쓰레기 6개를 올바른 수거함에 넣음</t>
  </si>
  <si>
    <t>7/10 – 분류 종류 수·외형 유사도·오답 허용 횟수가 난이도를 결정함</t>
  </si>
  <si>
    <t>내용물이 남거나 오염된 쓰레기 6개 전부 올바르게 분류</t>
  </si>
  <si>
    <t>Q2-19 | 분리수거 완료하기</t>
  </si>
  <si>
    <t>잔여 수량과 각 구역 상태를 확인해 모든 분류함과 오분류 여부의 미완료 항목을 점검함</t>
  </si>
  <si>
    <t>Q2-20 | 균열 발생을 목격하기</t>
  </si>
  <si>
    <t>카메라가 강조하는 인물과 오브젝트를 보며 분리수거장 바닥에서 열리는 도덕 균열를 확인함</t>
  </si>
  <si>
    <t>Q2-21 | 균열 구경하기</t>
  </si>
  <si>
    <t>시선·행동·복장·주변 오브젝트를 순서대로 확인해 균열의 빛·소리·주변 반응의 특징을 파악함</t>
  </si>
  <si>
    <t>4/10 – 관찰 대상 수·단서의 명확성·외형 유사도가 난이도를 결정함</t>
  </si>
  <si>
    <t>1분 35초</t>
  </si>
  <si>
    <t>Q2-22 | 집으로 귀가하기</t>
  </si>
  <si>
    <t>표지판·미니맵·NPC 이동 방향을 확인하며 공원에서 집까지 이동함</t>
  </si>
  <si>
    <t>공원에서 집의 도착 트리거에 진입</t>
  </si>
  <si>
    <t>Q2-23 | 잠자기</t>
  </si>
  <si>
    <t>다음 날로 넘어가는 상호작용임을 알아차리지 못할 수 있음</t>
  </si>
  <si>
    <t>침대를 조사하고 휴식 확인 선택지를 선택함</t>
  </si>
  <si>
    <t>1/10 – 상호작용 대상의 명확성이 난이도를 결정함</t>
  </si>
  <si>
    <t>잠자기 확인 후 다음 장면 전환</t>
  </si>
  <si>
    <t>침대에 임무 아이콘 표시</t>
  </si>
  <si>
    <t>Q3-01 | 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</si>
  <si>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</si>
  <si>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</si>
  <si>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2/10 – 동시 정보량·경고 문구의 명확성이 난이도를 결정함</t>
  </si>
  <si>
    <t>재난 문자 핵심 항목 확인</t>
  </si>
  <si>
    <t>문자를 닫은 뒤 화면에 대피 목표를 고정 표시</t>
  </si>
  <si>
    <t>3/10 – 대사 길이·핵심 정보의 명확성·선택지 수가 난이도를 결정함</t>
  </si>
  <si>
    <t>부모와 동생에 관한 대화를 마지막 문장까지 진행</t>
  </si>
  <si>
    <t>Q3-03 | 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</si>
  <si>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</si>
  <si>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</si>
  <si>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5/10 – 후보 물품 수·인벤토리 제한·필수 조합 수가 난이도를 결정함</t>
  </si>
  <si>
    <t>필수 물품이 포함된 상태로 준비 완료</t>
  </si>
  <si>
    <t>필수 물품이 없으면 확인 단계에서 진행 불가</t>
  </si>
  <si>
    <t>필수 물품 누락 시 용도 힌트 표시</t>
  </si>
  <si>
    <t>Q3-04 | 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</si>
  <si>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</si>
  <si>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</si>
  <si>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6/10 – 동행 인원·속도 차이·장애물 수·허용 거리가 난이도를 결정함</t>
  </si>
  <si>
    <t>모든 동행 NPC가 대피 지점 도착</t>
  </si>
  <si>
    <t>동행 NPC가 위험 구역에 8초 이상 고립되면 재시작</t>
  </si>
  <si>
    <t>동행 NPC가 멀어지면 화면 가장자리에 방향 표시</t>
  </si>
  <si>
    <t>Q3-05 | 아파트 계단으로 이동하기</t>
  </si>
  <si>
    <t>좁은 통로·어두운 조명·장애물로 이동 경로가 제한됨</t>
  </si>
  <si>
    <t>손전등과 안전한 발판을 확인하며 정전된 계단를 통과함</t>
  </si>
  <si>
    <t>5/10 – 통로 폭·시야 범위·장애물 간격이 난이도를 결정함</t>
  </si>
  <si>
    <t>다음 층 도착 트리거 진입</t>
  </si>
  <si>
    <t>낙하 또는 장애물 피격 3회 시 구간 재시작</t>
  </si>
  <si>
    <t>안전 발판 테두리와 체크포인트 제공</t>
  </si>
  <si>
    <t>Q3-06 | 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</si>
  <si>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</si>
  <si>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</si>
  <si>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7/10 – 위험 주기·대상 체력·이동 거리·구조 단계 수가 난이도를 결정함</t>
  </si>
  <si>
    <t>구조 대상이 안전 지점 도착</t>
  </si>
  <si>
    <t>구조 대상 체력이 0이 되면 체크포인트 재시작</t>
  </si>
  <si>
    <t>대상 체력 경고와 안전 경로 표시</t>
  </si>
  <si>
    <t>Q3-07 | 아파트 밖으로 탈출하기</t>
  </si>
  <si>
    <t>출구가 무너지고 안전 경로가 짧은 시간마다 바뀜</t>
  </si>
  <si>
    <t>붕괴 경고 표시를 보고 붕괴되는 출입구의 열린 통로로 빠르게 이동함</t>
  </si>
  <si>
    <t>7/10 – 제한시간·안전 경로 폭·장애물 발생 주기가 난이도를 결정함</t>
  </si>
  <si>
    <t>제한시간 안에 탈출 지점 도착</t>
  </si>
  <si>
    <t>제한시간 종료 또는 3회 피격 시 재시작</t>
  </si>
  <si>
    <t>실패 후 제한시간 10초 증가</t>
  </si>
  <si>
    <t>Q3-08 | 안전 구역으로 이동하기</t>
  </si>
  <si>
    <t>표지판·미니맵·NPC 이동 방향을 확인하며 아파트에서 임시 안전 구역까지 이동함</t>
  </si>
  <si>
    <t>5/10 – 맵 크기·갈림길 수·목적지 표식의 가시성이 난이도를 결정함</t>
  </si>
  <si>
    <t>아파트에서 임시 안전 구역의 도착 트리거에 진입</t>
  </si>
  <si>
    <t>Q3-09 | 괴물의 첫 습격 회피하기</t>
  </si>
  <si>
    <t>적의 시야와 공격 범위가 넓어 직선 이동만으로는 회피하기 어려움</t>
  </si>
  <si>
    <t>장애물 뒤로 이동하고 공격 예고를 확인하며 새벽에 출현한 균열 괴물의 공격을 피함</t>
  </si>
  <si>
    <t>7/10 – 적 속도·공격 범위·예고 시간·안전 지점 수가 난이도를 결정함</t>
  </si>
  <si>
    <t>회피 구간 종료 지점 도착</t>
  </si>
  <si>
    <t>체력 0 또는 연속 피격 4회 시 체크포인트 재시작</t>
  </si>
  <si>
    <t>공격 예고 시간을 늘리고 안전 지점 표시</t>
  </si>
  <si>
    <t>Q3-10 | 한도윤과 합류하기</t>
  </si>
  <si>
    <t>혼란 속에서 신호를 보내는 한도윤에 관한 대화를 마지막 문장까지 진행</t>
  </si>
  <si>
    <t>Q3-11 | 임시 대피소 도착하기</t>
  </si>
  <si>
    <t>표지판·미니맵·NPC 이동 방향을 확인하며 임시 대피소까지 이동함</t>
  </si>
  <si>
    <t>4/10 – 맵 크기·갈림길 수·목적지 표식의 가시성이 난이도를 결정함</t>
  </si>
  <si>
    <t>임시 대피소의 도착 트리거에 진입</t>
  </si>
  <si>
    <t>Q3-12 | 선의관리국 안내 듣기</t>
  </si>
  <si>
    <t>선의 측정과 등급제 설명에 관한 대화를 마지막 문장까지 진행</t>
  </si>
  <si>
    <t>Q3-13 | 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</si>
  <si>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</si>
  <si>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</si>
  <si>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4/10 – 측정 단계 수·대기 시간·비정상 결과의 설명 명확성이 난이도를 결정함</t>
  </si>
  <si>
    <t>측정 절차 모두 완료</t>
  </si>
  <si>
    <t>중간 이탈 시 측정 단계 처음부터 재진행</t>
  </si>
  <si>
    <t>현재 측정 단계와 남은 시간을 표시</t>
  </si>
  <si>
    <t>Q3-14 | 무한대 수치 재측정하기</t>
  </si>
  <si>
    <t>안내에 따라 손을 올리고 재측정 절차를 완료해 오류로 의심받는 무한대 수치를 확인함</t>
  </si>
  <si>
    <t>5/10 – 측정 단계 수·대기 시간·비정상 결과의 설명 명확성이 난이도를 결정함</t>
  </si>
  <si>
    <t>2분 10초</t>
  </si>
  <si>
    <t>Q3-15 | 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</si>
  <si>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</si>
  <si>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반응를 이해함</t>
  </si>
  <si>
    <t>3/10 – 동시 정보량·필수 관찰 대상 수가 난이도를 결정함</t>
  </si>
  <si>
    <t>필수 방송 및 NPC 반응 확인</t>
  </si>
  <si>
    <t>필수 확인 대상을 목록으로 표시</t>
  </si>
  <si>
    <t>Q3-16 | 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</si>
  <si>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</si>
  <si>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</si>
  <si>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3/10 – 조건 문구의 간접성·선택지의 감정적 부담이 난이도를 결정함</t>
  </si>
  <si>
    <t>제안 대화 종료</t>
  </si>
  <si>
    <t>제안 조건의 핵심 문구를 강조</t>
  </si>
  <si>
    <t>Q3-17 | 첫 구조 임무 수락하기</t>
  </si>
  <si>
    <t>임무 목표와 위험 요소가 한 번에 제시되어 우선순위를 놓칠 수 있음</t>
  </si>
  <si>
    <t>요청 지역·구조 대상·예상 위험을 확인한 뒤 도심 잔해 구역 구조 요청를 수락함</t>
  </si>
  <si>
    <t>3/10 – 목표 수·위험 정보량·선택지 수가 난이도를 결정함</t>
  </si>
  <si>
    <t>임무 수락 선택 완료</t>
  </si>
  <si>
    <t>수락 후 목표를 세 줄로 요약 표시</t>
  </si>
  <si>
    <t>Q3-18 | 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</si>
  <si>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</si>
  <si>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</si>
  <si>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Q3-19 | 고립 시민 찾기</t>
  </si>
  <si>
    <t>잔해와 효과음 때문에 구조 신호의 방향을 정확히 판단하기 어려움</t>
  </si>
  <si>
    <t>소리 크기와 탐지기 반응을 비교하며 잔해 속 구조 신호를 탐색함</t>
  </si>
  <si>
    <t>6/10 – 탐색 범위·가짜 신호 수·제한시간이 난이도를 결정함</t>
  </si>
  <si>
    <t>모든 구조 대상 위치 확인</t>
  </si>
  <si>
    <t>제한시간 종료 시 가장 가까운 체크포인트에서 재시작</t>
  </si>
  <si>
    <t>탐지기 반응 범위를 넓히고 방향 표시 제공</t>
  </si>
  <si>
    <t>Q3-20 | 잔해 제거하기</t>
  </si>
  <si>
    <t>잔해마다 필요한 조작과 안전한 제거 순서가 다름</t>
  </si>
  <si>
    <t>균열이 적은 잔해부터 선택하고 반복 입력으로 통로를 막는 잔해 6개를 제거함</t>
  </si>
  <si>
    <t>7/10 – 잔해 수·입력 횟수·위험 순서·피격 빈도가 난이도를 결정함</t>
  </si>
  <si>
    <t>통로를 막는 잔해 전부 제거</t>
  </si>
  <si>
    <t>위험 잔해를 먼저 제거하면 체력 감소 및 진행 지연</t>
  </si>
  <si>
    <t>3분 20초</t>
  </si>
  <si>
    <t>안전한 제거 순서를 색이 아닌 아이콘으로 표시</t>
  </si>
  <si>
    <t>Q3-21 | 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</si>
  <si>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</si>
  <si>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</si>
  <si>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7/10 – 동행 인원·속도 편차·위험 구간 수·명령 재사용 시간이 난이도를 결정함</t>
  </si>
  <si>
    <t>고립 시민 5명 전원이 안전 지점 도착</t>
  </si>
  <si>
    <t>시민 1명이라도 체력 0이 되면 체크포인트 재시작</t>
  </si>
  <si>
    <t>3분 10초</t>
  </si>
  <si>
    <t>이탈 시민 방향과 안전 경로를 표시</t>
  </si>
  <si>
    <t>Q3-22 | 균열 괴물과 첫 전투 치르기</t>
  </si>
  <si>
    <t>공격·회피·회복 조작을 처음 전투에서 동시에 익혀야 함</t>
  </si>
  <si>
    <t>공격 예고를 보고 회피한 뒤 빈틈에 공격하며 하급 균열 괴물를 처치함</t>
  </si>
  <si>
    <t>7/10 – 적 수·공격 빈도·회피 타이밍·회복 수단이 난이도를 결정함</t>
  </si>
  <si>
    <t>모든 적 처치 및 주인공 생존</t>
  </si>
  <si>
    <t>주인공 체력 0 시 전투 시작 지점 재시작</t>
  </si>
  <si>
    <t>3분 40초</t>
  </si>
  <si>
    <t>첫 패턴은 느리게 재생하고 회복 아이템 자동 지급</t>
  </si>
  <si>
    <t>Q3-23 | 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</si>
  <si>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</si>
  <si>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</si>
  <si>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2/10 – 보고 항목 수·정보 분산 정도가 난이도를 결정함</t>
  </si>
  <si>
    <t>필수 보고 항목 모두 선택</t>
  </si>
  <si>
    <t>누락 항목이 있으면 보고 완료 불가</t>
  </si>
  <si>
    <t>미보고 항목을 체크리스트로 표시</t>
  </si>
  <si>
    <t>Q3-24 | 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</si>
  <si>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</si>
  <si>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상황를 완료함</t>
  </si>
  <si>
    <t>7/10 – 요청 수·이동 거리·동시 활성 목표 수가 난이도를 결정함</t>
  </si>
  <si>
    <t>필수 부탁 전부 완료</t>
  </si>
  <si>
    <t>필수 부탁을 포기하면 해당 구간 보상 감소</t>
  </si>
  <si>
    <t>4분</t>
  </si>
  <si>
    <t>비슷한 위치의 부탁을 한 묶음으로 지도에 표시</t>
  </si>
  <si>
    <t>Q3-25 | 자아 마모도 변화 확인하기</t>
  </si>
  <si>
    <t>UI 변화가 서서히 나타나 원인과 의미를 알아차리기 어려움</t>
  </si>
  <si>
    <t>이전 상태와 비교하며 표정·UI 색상·독백 변화의 변화 단계를 확인함</t>
  </si>
  <si>
    <t>4/10 – 변화의 시각적 차이·설명 문구의 명확성이 난이도를 결정함</t>
  </si>
  <si>
    <t>상태 안내와 독백 확인</t>
  </si>
  <si>
    <t>첫 변화 발생 시 이전·현재 상태 비교 창 제공</t>
  </si>
  <si>
    <t>Q3-26 | 다음 출동 준비하기</t>
  </si>
  <si>
    <t>장비·회복품·동료 상태를 동시에 확인해야 하며 준비 누락이 다음 임무에 영향을 줌</t>
  </si>
  <si>
    <t>체력과 보유 자원을 확인해 회복 아이템·장비·동료 상태를 기준 이상으로 맞춤</t>
  </si>
  <si>
    <t>5/10 – 확인 항목 수·인벤토리 복잡도·추천 정보가 난이도를 결정함</t>
  </si>
  <si>
    <t>필수 장비 장착 및 회복품 보유</t>
  </si>
  <si>
    <t>필수 장비 미장착 시 출동 불가</t>
  </si>
  <si>
    <t>누락 항목 경고와 추천 장비 표시</t>
  </si>
  <si>
    <t>Q4-01 | 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</si>
  <si>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</si>
  <si>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</si>
  <si>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3/10 – 목표 간 충돌 정도·브리핑 정보량이 난이도를 결정함</t>
  </si>
  <si>
    <t>명령 브리핑 종료</t>
  </si>
  <si>
    <t>브리핑 종료 후 공식 목표와 개인 목표를 분리 표시</t>
  </si>
  <si>
    <t>Q4-02 | 조사 장비 수령하기</t>
  </si>
  <si>
    <t>장비 칸이 제한되어 탐색과 전투 장비를 모두 챙길 수 없음</t>
  </si>
  <si>
    <t>예상 위험에 맞춰 손전등·회복품·탐지기·전투 장비 중 필수 장비를 선택함</t>
  </si>
  <si>
    <t>4/10 – 장비 후보 수·슬롯 제한·역할 중복이 난이도를 결정함</t>
  </si>
  <si>
    <t>필수 장비가 포함된 상태로 준비 완료</t>
  </si>
  <si>
    <t>필수 장비 누락 시 출발 불가</t>
  </si>
  <si>
    <t>장비 역할과 추천 조합 표시</t>
  </si>
  <si>
    <t>Q4-03 | 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</si>
  <si>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</si>
  <si>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</si>
  <si>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4/10 – 파티원 수·역할 차이·지원 조건 수가 난이도를 결정함</t>
  </si>
  <si>
    <t>모든 파티원 소개 및 역할 확인</t>
  </si>
  <si>
    <t>전투 UI에 역할 아이콘 고정 표시</t>
  </si>
  <si>
    <t>Q4-04 | 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</si>
  <si>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</si>
  <si>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</si>
  <si>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4/10 – 진입로 수·위험 구역 범위·탐지기 명확성이 난이도를 결정함</t>
  </si>
  <si>
    <t>목적지 도착</t>
  </si>
  <si>
    <t>위험 지역 진입 후 체력 0 시 체크포인트 재시작</t>
  </si>
  <si>
    <t>안전 진입로에 탐지기 반응 강화</t>
  </si>
  <si>
    <t>Q4-05 | 정문 봉인 해제하기</t>
  </si>
  <si>
    <t>여러 장치와 열쇠 조건을 올바른 순서로 충족해야 함</t>
  </si>
  <si>
    <t>주변 단서와 장치 반응을 확인해 균열 문양 4개를 순서대로 해제함</t>
  </si>
  <si>
    <t>6/10 – 단계 수·단서 위치·오답 초기화 범위가 난이도를 결정함</t>
  </si>
  <si>
    <t>모든 봉인 조건 해제</t>
  </si>
  <si>
    <t>오답 입력 5회 시 장치 초기화</t>
  </si>
  <si>
    <t>오답 후 잘못된 단계만 표시</t>
  </si>
  <si>
    <t>Q4-06 | 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</si>
  <si>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</si>
  <si>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</si>
  <si>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6/10 – 방 수·연결 구조·지도 정보량이 난이도를 결정함</t>
  </si>
  <si>
    <t>필수 구역과 상호작용 대상 모두 확인</t>
  </si>
  <si>
    <t>3분 30초</t>
  </si>
  <si>
    <t>방문한 문과 미방문 문을 아이콘으로 구분</t>
  </si>
  <si>
    <t>Q4-07 | 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</si>
  <si>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</si>
  <si>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</si>
  <si>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7/10 – 적 감지 범위·순찰 주기·은폐물 간격이 난이도를 결정함</t>
  </si>
  <si>
    <t>발각되지 않거나 추적을 끊고 종료 지점 도착</t>
  </si>
  <si>
    <t>연속 발각 3회 또는 체력 0 시 체크포인트 재시작</t>
  </si>
  <si>
    <t>실패 후 적 청각 범위 감소</t>
  </si>
  <si>
    <t>Q4-08 | 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</si>
  <si>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</si>
  <si>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</si>
  <si>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6/10 – 단서 수·방 분산 정도·환영 연출 길이가 난이도를 결정함</t>
  </si>
  <si>
    <t>필수 기억 단서 전부 수집</t>
  </si>
  <si>
    <t>단서 부족 시 다음 퍼즐 활성화 불가</t>
  </si>
  <si>
    <t>미수집 단서가 있는 방에 지도 표시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</si>
  <si>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</si>
  <si>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</si>
  <si>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7/10 – 단서 수·추론 단계·오답 페널티·초기화 범위가 난이도를 결정함</t>
  </si>
  <si>
    <t>정답 순서 완성</t>
  </si>
  <si>
    <t>오답 누적 시 퍼즐 단계 일부 초기화</t>
  </si>
  <si>
    <t>오답 3회 후 사용하지 않은 단서 강조</t>
  </si>
  <si>
    <t>Q4-10 | 본관 2층으로 이동하기</t>
  </si>
  <si>
    <t>손전등과 안전한 발판을 확인하며 붕괴된 계단를 통과함</t>
  </si>
  <si>
    <t>Q4-11 | 학교폭력 흔적 조사하기</t>
  </si>
  <si>
    <t>시선·행동·복장·주변 오브젝트를 순서대로 확인해 낙서·찢어진 공책·잠긴 사물함의 특징을 파악함</t>
  </si>
  <si>
    <t>6/10 – 관찰 대상 수·단서의 명확성·외형 유사도가 난이도를 결정함</t>
  </si>
  <si>
    <t>Q4-12 | 선택의 분기 퍼즐 해결하기</t>
  </si>
  <si>
    <t>수집한 기록을 비교하고 서로 다른 기억 문을 선택하는 퍼즐의 규칙에 맞게 단계별로 입력함</t>
  </si>
  <si>
    <t>8/10 – 단서 수·추론 단계·오답 페널티·초기화 범위가 난이도를 결정함</t>
  </si>
  <si>
    <t>Q4-13 | 아군 환영 구분하기</t>
  </si>
  <si>
    <t>환영이 동료의 외형과 목소리를 복제해 단순 외형만으로 구분할 수 없음</t>
  </si>
  <si>
    <t>이전 대화와 행동 습관을 비교해 동료와 똑같이 행동하는 환영를 판별함</t>
  </si>
  <si>
    <t>8/10 – 후보 수·복제 정확도·행동 단서의 명확성이 난이도를 결정함</t>
  </si>
  <si>
    <t>진짜 동료 전원 선택</t>
  </si>
  <si>
    <t>환영 선택 시 전투 또는 체력 감소 발생</t>
  </si>
  <si>
    <t>오답 후 구분 가능한 행동 단서 1개 표시</t>
  </si>
  <si>
    <t>Q4-14 | 본관 3층으로 이동하기</t>
  </si>
  <si>
    <t>손전등과 안전한 발판을 확인하며 환영이 반복되는 계단를 통과함</t>
  </si>
  <si>
    <t>6/10 – 통로 폭·시야 범위·장애물 간격이 난이도를 결정함</t>
  </si>
  <si>
    <t>Q4-15 | 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</si>
  <si>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</si>
  <si>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</si>
  <si>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7/10 – 가짜 신호 수·방향 변화 빈도·이동 거리의 차이가 난이도를 결정함</t>
  </si>
  <si>
    <t>올바른 강당 방향 도착</t>
  </si>
  <si>
    <t>가짜 경로 끝에 도달하면 추가 환영 전투 발생</t>
  </si>
  <si>
    <t>정체 45초 후 실제 방향의 음량을 강화</t>
  </si>
  <si>
    <t>Q4-16 | 강당 열쇠 찾기</t>
  </si>
  <si>
    <t>구역별 표지와 상품 외형을 비교하며 관리실·음악실·방송실의 열쇠 후보를 조사함</t>
  </si>
  <si>
    <t>7/10 – 후보 오브젝트 수·외형 유사도·탐색 범위가 난이도를 결정함</t>
  </si>
  <si>
    <t>관리실·음악실·방송실의 열쇠 후보 발견 및 조사 완료</t>
  </si>
  <si>
    <t>Q4-17 | 강당에 진입하기</t>
  </si>
  <si>
    <t>주변 단서와 장치 반응을 확인해 봉인된 강당 출입문를 순서대로 해제함</t>
  </si>
  <si>
    <t>5/10 – 단계 수·단서 위치·오답 초기화 범위가 난이도를 결정함</t>
  </si>
  <si>
    <t>Q4-18 | 괴물형 보스 1페이즈 공략하기</t>
  </si>
  <si>
    <t>넓은 공격 범위와 소환 패턴이 겹쳐 이동 공간이 빠르게 줄어듦</t>
  </si>
  <si>
    <t>공격 예고를 보고 안전 구역으로 이동한 뒤 소환체부터 제거하며 친구의 괴물형 보스를 공략함</t>
  </si>
  <si>
    <t>9/10 – 패턴 수·공격 범위·소환체 수·안전 구역 크기가 난이도를 결정함</t>
  </si>
  <si>
    <t>보스 체력 50% 이하 도달</t>
  </si>
  <si>
    <t>주인공 또는 필수 동료 전멸 시 페이즈 재시작</t>
  </si>
  <si>
    <t>5분</t>
  </si>
  <si>
    <t>3회 실패 후 공격 예고 시간 증가</t>
  </si>
  <si>
    <t>Q4-19 | 기억 개입 패턴 공략하기</t>
  </si>
  <si>
    <t>가짜 기억과 실제 전투 화면이 겹쳐 입력 대상과 회피 방향을 혼동함</t>
  </si>
  <si>
    <t>기억 속 모순 단서를 찾아 가짜 기억을 강제로 재생하는 패턴를 끊고 실제 공격 타이밍에 회피함</t>
  </si>
  <si>
    <t>9/10 – 동시 정보량·모순 단서 수·입력 제한시간이 난이도를 결정함</t>
  </si>
  <si>
    <t>기억 개입 패턴 전부 해제</t>
  </si>
  <si>
    <t>오답 선택 누적 시 죄책감 수치와 피격 위험 증가</t>
  </si>
  <si>
    <t>4분 20초</t>
  </si>
  <si>
    <t>실패 후 모순 단서 노출 시간을 늘림</t>
  </si>
  <si>
    <t>Q4-20 | 인간형 보스 2페이즈 공략하기</t>
  </si>
  <si>
    <t>빠른 공격과 선택 강요 패턴이 연속으로 이어져 회복할 시간이 부족함</t>
  </si>
  <si>
    <t>거리 유지와 방어를 우선하고 선택 패턴이 끝난 직후 빠른 근접 공격과 선택 강요 패턴를 공격함</t>
  </si>
  <si>
    <t>10/10 – 공격 속도·연속 패턴 수·회복 가능 시간·선택 제한시간이 난이도를 결정함</t>
  </si>
  <si>
    <t>보스 체력 0 또는 인간형 상태 해제</t>
  </si>
  <si>
    <t>파티 전멸 시 2페이즈 시작 지점 재시작</t>
  </si>
  <si>
    <t>5분 40초</t>
  </si>
  <si>
    <t>반복 실패 시 회복 아이템 1개 추가</t>
  </si>
  <si>
    <t>Q4-21 | 죄책감 축적 패턴 버티기</t>
  </si>
  <si>
    <t>공격 회피만으로 해결되지 않고 이전 선택에 따라 누적 수치가 달라짐</t>
  </si>
  <si>
    <t>안전 행동을 유지하고 올바른 기억 선택으로 피격보다 선택 실패로 쌓이는 죄책감의 누적을 낮춤</t>
  </si>
  <si>
    <t>9/10 – 누적 속도·감소 수단·제한시간·체력 회복량이 난이도를 결정함</t>
  </si>
  <si>
    <t>제한시간 동안 생존하고 죄책감 수치 기준 이하 유지</t>
  </si>
  <si>
    <t>죄책감 최대치 또는 체력 0 시 재시작</t>
  </si>
  <si>
    <t>3분 50초</t>
  </si>
  <si>
    <t>누적 수치가 높을 때 감소 가능한 선택을 강조</t>
  </si>
  <si>
    <t>Q4-22 | 친구에게 다가가기</t>
  </si>
  <si>
    <t>보스가 공격을 멈추더라도 잔류 패턴과 화면 왜곡이 계속됨</t>
  </si>
  <si>
    <t>잔류 공격 사이의 빈틈을 이용해 공격을 멈춘 친구에게 접근에 단계적으로 접근함</t>
  </si>
  <si>
    <t>8/10 – 잔류 패턴 수·안전 구간 길이·필요 접근 횟수가 난이도를 결정함</t>
  </si>
  <si>
    <t>보스 앞 상호작용 지점 도착</t>
  </si>
  <si>
    <t>잔류 공격에 4회 피격 시 구간 재시작</t>
  </si>
  <si>
    <t>접근 실패 후 안전 지점 표시</t>
  </si>
  <si>
    <t>Q4-23 | 친구를 포옹하기</t>
  </si>
  <si>
    <t>전투에서 사용하던 공격 입력과 반대되는 행동을 선택해야 함</t>
  </si>
  <si>
    <t>주인공의 기억과 친구의 상태를 확인하고 처치 대신 포옹하는 선택를 선택함</t>
  </si>
  <si>
    <t>5/10 – 기존 조작 습관과 선택의 감정적 부담이 난이도를 결정함</t>
  </si>
  <si>
    <t>포옹 상호작용 완료</t>
  </si>
  <si>
    <t>공격 선택 시 다른 결말 분기로 전환</t>
  </si>
  <si>
    <t>상호작용 직전 공격 버튼 안내를 숨기고 선택 문구 강조</t>
  </si>
  <si>
    <t>Q4-24 | 친구를 인간으로 복원하기</t>
  </si>
  <si>
    <t>복원 과정 중 친구의 상태와 주인공의 선의 수치를 동시에 유지해야 함</t>
  </si>
  <si>
    <t>안내되는 타이밍에 상호작용해 선의가 고갈된 친구의 변이 수치를 단계적으로 낮춤</t>
  </si>
  <si>
    <t>4/10 – 입력 타이밍·유지 시간·실패 시 초기화 범위가 난이도를 결정함</t>
  </si>
  <si>
    <t>복원 게이지 100% 달성</t>
  </si>
  <si>
    <t>중단 게이지 최대 시 복원 단계 재시작</t>
  </si>
  <si>
    <t>입력 타이밍 범위를 넓히고 단계 체크포인트 제공</t>
  </si>
  <si>
    <t>Q4-25 | 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</si>
  <si>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</si>
  <si>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</si>
  <si>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7/10 – 제한시간·우회로 길이·동행 인원·붕괴 주기가 난이도를 결정함</t>
  </si>
  <si>
    <t>모든 생존 파티원이 출구 도착</t>
  </si>
  <si>
    <t>제한시간 종료 또는 파티원 전멸 시 재시작</t>
  </si>
  <si>
    <t>실패 후 붕괴 주기 완화 및 우회로 표시</t>
  </si>
  <si>
    <t>Q4-26 | 관리국에 귀환 보고하기</t>
  </si>
  <si>
    <t>임무 결과·인원·특이사항을 확인하고 친구 복원 사실과 균열 정보를 순서대로 보고함</t>
  </si>
  <si>
    <t>3/10 – 보고 항목 수·정보 분산 정도가 난이도를 결정함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</si>
  <si>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</si>
  <si>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</si>
  <si>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3/10 – 정보 비대칭·목표 충돌 정도가 난이도를 결정함</t>
  </si>
  <si>
    <t>최종 브리핑 종료</t>
  </si>
  <si>
    <t>명령의 공개 정보와 숨겨진 조건을 구분해 표시</t>
  </si>
  <si>
    <t>Q5-02 | 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</si>
  <si>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</si>
  <si>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</si>
  <si>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6/10 – 요구 인물 수·대사 강도·선택지의 감정적 부담이 난이도를 결정함</t>
  </si>
  <si>
    <t>압박 대화 전부 확인</t>
  </si>
  <si>
    <t>대화 사이에 독백과 상태 확인 시간을 제공</t>
  </si>
  <si>
    <t>Q5-03 | 균열 중심부로 이동하기</t>
  </si>
  <si>
    <t>표지판·미니맵·NPC 이동 방향을 확인하며 도시에서 대형 균열 중심까지 이동함</t>
  </si>
  <si>
    <t>6/10 – 맵 크기·갈림길 수·목적지 표식의 가시성이 난이도를 결정함</t>
  </si>
  <si>
    <t>도시에서 대형 균열 중심의 도착 트리거에 진입</t>
  </si>
  <si>
    <t>Q5-04 | 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</si>
  <si>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</si>
  <si>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</si>
  <si>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7/10 – 화면 왜곡 강도·안전 표식 수·통로 폭이 난이도를 결정함</t>
  </si>
  <si>
    <t>균열 내부 첫 구역 도착</t>
  </si>
  <si>
    <t>왜곡 구역 낙하 3회 시 체크포인트 재시작</t>
  </si>
  <si>
    <t>실패 후 고정 표식의 밝기 증가</t>
  </si>
  <si>
    <t>Q5-05 | 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</si>
  <si>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</si>
  <si>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</si>
  <si>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7/10 – 목표 수량·배치 거리·위험 주기·이동 지형이 난이도를 결정함</t>
  </si>
  <si>
    <t>필수 자원 전부 수집</t>
  </si>
  <si>
    <t>필수 수량 미달 시 심층부 통로 활성화 불가</t>
  </si>
  <si>
    <t>남은 자원의 대략적 방향과 거리 표시</t>
  </si>
  <si>
    <t>Q5-06 | 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</si>
  <si>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</si>
  <si>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</si>
  <si>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5/10 – 장면 수·시간 순서의 복잡도·인물 수가 난이도를 결정함</t>
  </si>
  <si>
    <t>필수 기억 장면 모두 확인</t>
  </si>
  <si>
    <t>기억 장면마다 시간 표식과 인물 관계 아이콘 표시</t>
  </si>
  <si>
    <t>Q5-07 | 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</si>
  <si>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</si>
  <si>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환영를 무시하고 진행함</t>
  </si>
  <si>
    <t>9/10 – 환영 수·가짜 단서의 설득력·자아 마모도 누적량이 난이도를 결정함</t>
  </si>
  <si>
    <t>환영 구역 종료 지점 도착</t>
  </si>
  <si>
    <t>잘못된 환영 선택 누적 시 자아 마모도 증가</t>
  </si>
  <si>
    <t>실패 후 모순되는 대사의 일부 강조</t>
  </si>
  <si>
    <t>Q5-08 | 균열 수호체 전투 치르기</t>
  </si>
  <si>
    <t>다단계 패턴·환경 공격·자아 마모도 관리가 동시에 요구됨</t>
  </si>
  <si>
    <t>안전 구역을 확보하고 약점 노출 때 집중 공격해 균열 심층부 수호체를 처치함</t>
  </si>
  <si>
    <t>10/10 – 패턴 수·동시 관리 자원·안전 구역 크기·체크포인트 간격이 난이도를 결정함</t>
  </si>
  <si>
    <t>보스 체력 0 및 주인공 생존</t>
  </si>
  <si>
    <t>체력 0 또는 자아 마모도 최대 시 전투 재시작</t>
  </si>
  <si>
    <t>6분</t>
  </si>
  <si>
    <t>반복 실패 시 체크포인트 세분화와 회복 자원 추가</t>
  </si>
  <si>
    <t>Q5-09 | 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</si>
  <si>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</si>
  <si>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</si>
  <si>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7/10 – 붕괴 속도·통로 폭·왜곡 강도·체크포인트 간격이 난이도를 결정함</t>
  </si>
  <si>
    <t>심층부 도착</t>
  </si>
  <si>
    <t>낙하 또는 제한시간 종료 시 직전 지점 재시작</t>
  </si>
  <si>
    <t>구간별 체크포인트와 안전 발판 강조</t>
  </si>
  <si>
    <t>Q5-10 | 출생의 진실 확인하기</t>
  </si>
  <si>
    <t>기존에 알고 있던 세계 규칙과 반대되는 정보가 연속으로 제시됨</t>
  </si>
  <si>
    <t>기록·기억·균열 반응을 비교해 차한해가 균열에서 태어난 존재라는 기록의 사실 관계를 확인함</t>
  </si>
  <si>
    <t>4/10 – 새 정보량·기존 정보와의 충돌 정도가 난이도를 결정함</t>
  </si>
  <si>
    <t>필수 진실 기록 전부 확인</t>
  </si>
  <si>
    <t>핵심 사실을 단계별로 요약해 기록 메뉴에 저장</t>
  </si>
  <si>
    <t>Q5-11 | 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</si>
  <si>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</si>
  <si>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</si>
  <si>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5/10 – 잡음 강도·대사 길이·감정적 부담이 난이도를 결정함</t>
  </si>
  <si>
    <t>통신 종료</t>
  </si>
  <si>
    <t>핵심 대사 자막을 화면에 오래 유지</t>
  </si>
  <si>
    <t>Q5-12 | 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</si>
  <si>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</si>
  <si>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</si>
  <si>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8/10 – 결과의 비가역성·정보량·감정적 부담이 난이도를 결정함</t>
  </si>
  <si>
    <t>최종 선택지 확정</t>
  </si>
  <si>
    <t>선택 전 저장 및 주요 결과 요약 제공</t>
  </si>
  <si>
    <t>Q5-13 | 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</si>
  <si>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</si>
  <si>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</si>
  <si>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7/10 – 목표 수·동선 길이·위험 구역 밀도·자아 마모도 증가량이 난이도를 결정함</t>
  </si>
  <si>
    <t>필수 기억 전부 회수</t>
  </si>
  <si>
    <t>자아 마모도 최대 시 직전 체크포인트 재시작</t>
  </si>
  <si>
    <t>남은 기억 방향과 안전 경로를 단계적으로 표시</t>
  </si>
  <si>
    <t>Q5-14 | 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</si>
  <si>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</si>
  <si>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</si>
  <si>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9/10 – 충격파 주기·안전 지점 거리·필요 접근 횟수가 난이도를 결정함</t>
  </si>
  <si>
    <t>균열 핵 상호작용 지점 도착</t>
  </si>
  <si>
    <t>충격파 5회 피격 또는 체력 0 시 재시작</t>
  </si>
  <si>
    <t>실패 후 충격파 예고 시간 증가</t>
  </si>
  <si>
    <t>Q5-15 | 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</si>
  <si>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</si>
  <si>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</si>
  <si>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9/10 – 게이지 이동속도·목표 범위·동시 입력 수·초기화 범위가 난이도를 결정함</t>
  </si>
  <si>
    <t>동기화 게이지 100% 달성</t>
  </si>
  <si>
    <t>불안정 수치 최대 시 동기화 단계 재시작</t>
  </si>
  <si>
    <t>실패 후 목표 범위 확대와 중간 체크포인트 제공</t>
  </si>
  <si>
    <t>Q5-16 | 최종 선택 실행하기</t>
  </si>
  <si>
    <t>최종 선택을 실행하면 되돌릴 수 없다는 사실이 강한 심리적 부담을 줌</t>
  </si>
  <si>
    <t>확인 문구와 지금까지의 결과를 검토한 뒤 균열과 함께 소멸하는 선택를 실행함</t>
  </si>
  <si>
    <t>7/10 – 선택의 비가역성과 감정적 부담이 난이도를 결정함</t>
  </si>
  <si>
    <t>최종 행동 확인 입력 완료</t>
  </si>
  <si>
    <t>이중 확인과 자동 저장 제공</t>
  </si>
  <si>
    <t>Q5-17 | 균열과 몬스터 소멸 확인하기</t>
  </si>
  <si>
    <t>여러 지역과 인물의 변화를 짧은 장면 안에서 연결해 이해해야 함</t>
  </si>
  <si>
    <t>장면 순서와 반복되는 상징을 보며 도시 곳곳의 균열과 괴물의 결과를 확인함</t>
  </si>
  <si>
    <t>3/10 – 등장 인물 수·장면 전환 속도·결과 연결성이 난이도를 결정함</t>
  </si>
  <si>
    <t>후일담 장면 전부 재생</t>
  </si>
  <si>
    <t>인물별 이름과 이전 선택 결과를 함께 표시</t>
  </si>
  <si>
    <t>Q5-18 | 생존자들의 후일담 확인하기</t>
  </si>
  <si>
    <t>장면 순서와 반복되는 상징을 보며 가족·한도윤·친구·시민의 변화의 결과를 확인함</t>
  </si>
  <si>
    <t>2/10 – 등장 인물 수·장면 전환 속도·결과 연결성이 난이도를 결정함</t>
  </si>
  <si>
    <t>Q5-19 | 엔딩 크레딧 감상하기</t>
  </si>
  <si>
    <t>긴 크레딧 중 추가 장면과 기록이 삽입되어 놓칠 수 있음</t>
  </si>
  <si>
    <t>크레딧 사이의 주요 장면과 엔딩 크레딧를 확인하며 마지막까지 감상함</t>
  </si>
  <si>
    <t>1/10 – 추가 장면의 노출 시간과 배치 간격이 난이도를 결정함</t>
  </si>
  <si>
    <t>크레딧 종료</t>
  </si>
  <si>
    <t>일시정지·배속·다시 보기 기능 제공</t>
  </si>
  <si>
    <t>밸런스 문서 작성 기준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</si>
  <si>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</si>
  <si>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</si>
  <si>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</si>
  <si>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</si>
  <si>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</si>
  <si>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</si>
  <si>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</si>
  <si>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구간이 이 정도로 재미있기를 기대하며 정하는 정성적 목표값</t>
  </si>
  <si>
    <t>탐색·긴장·감정·반전·성취를 모두 포함하며 실제 테스트값이 아님</t>
  </si>
  <si>
    <t>게임 시작부터 엔딩까지 해금되는 모든 플레이 내용을 순서대로 기록</t>
  </si>
  <si>
    <t>1부터 연속 넘버링</t>
  </si>
  <si>
    <t>UI 미션뿐 아니라 이동·조사·대화·전투·업적성 행동·연출 확인까지 포함</t>
  </si>
  <si>
    <t>미션</t>
  </si>
  <si>
    <t>제목만 읽어도 플레이어가 무엇을 해야 하는지 보이도록 작성</t>
  </si>
  <si>
    <t>행동형 제목</t>
  </si>
  <si>
    <t>예: 신상 과자 진열대 찾기, 균열 괴물과 첫 전투 치르기</t>
  </si>
  <si>
    <t>목표를 바로 달성하지 못하게 만드는 맵·NPC·시간·정보·전투 요소</t>
  </si>
  <si>
    <t>구체적 서술</t>
  </si>
  <si>
    <t>비슷한 후보, 넓은 탐색 범위, 제한시간, 시야 차단, 감정적 압박 등</t>
  </si>
  <si>
    <t>방해요소를 해결하기 위해 플레이어가 관찰·판단·조작해야 하는 내용</t>
  </si>
  <si>
    <t>구체적 플레이 절차</t>
  </si>
  <si>
    <t>이 표에서 가장 핵심적인 항목으로 작성</t>
  </si>
  <si>
    <t>관찰·판단·공략의 어려움과 그 난이도를 만드는 요인을 함께 기록</t>
  </si>
  <si>
    <t>숫자/10 + 원인 설명</t>
  </si>
  <si>
    <t>후보 수, 맵 크기, 속도 차이, 제한시간, 패턴 수 등</t>
  </si>
  <si>
    <t>해당 행의 목표를 완료하기 위해 필요한 행동·대상·단계의 수</t>
  </si>
  <si>
    <t>정수</t>
  </si>
  <si>
    <t>수거 8개, 단서 5개, 대화 1회, 보스 패턴 6회 등</t>
  </si>
  <si>
    <t>시스템이 완료를 판정할 수 있는 명확한 조건</t>
  </si>
  <si>
    <t>구체적 판정 조건</t>
  </si>
  <si>
    <t>목표 수량 달성, 트리거 진입, 보스 체력 0 등</t>
  </si>
  <si>
    <t>실패가 존재하는 경우 재시작·페널티가 발생하는 조건</t>
  </si>
  <si>
    <t>구체적 판정 조건 또는 실패 없음</t>
  </si>
  <si>
    <t>추격 거리 초과, 체력 0, 제한시간 종료, 오답 누적 등</t>
  </si>
  <si>
    <t>초회 플레이어가 해당 콘텐츠를 완료하는 데 걸릴 것으로 예상하는 시간</t>
  </si>
  <si>
    <t>초/분</t>
  </si>
  <si>
    <t>이동거리·미션개수·대사량·재시도 가능성을 함께 고려</t>
  </si>
  <si>
    <t>막힌 플레이어가 목표를 다시 파악하도록 돕는 힌트와 보정 장치</t>
  </si>
  <si>
    <t>필요한 경우 작성</t>
  </si>
  <si>
    <t>방향 표시, 반짝임, 속도 감소, 체크포인트, 오답 힌트 등</t>
  </si>
  <si>
    <t>플레이어 또는 해당 행에서 주체가 되는 캐릭터의 이동속도</t>
  </si>
  <si>
    <t>1~5 상대값</t>
  </si>
  <si>
    <t>1 매우 느림, 3 보통, 5 빠름. 이동이 핵심이 아닐 때는 공란</t>
  </si>
  <si>
    <t>추격 대상·동행 NPC·위협체 등 상대 캐릭터의 이동속도</t>
  </si>
  <si>
    <t>A와 B의 속도 차이가 추격·호위·회피 난이도를 결정</t>
  </si>
  <si>
    <t>문서 범위</t>
  </si>
  <si>
    <t>게임 시작부터 엔딩까지 모든 콘텐츠를 작성</t>
  </si>
  <si>
    <t>최소 50개 이상</t>
  </si>
  <si>
    <t>현재 문서에는 총 119개 콘텐츠를 기록</t>
  </si>
  <si>
    <t>전체 밸런스 곡선 요약</t>
  </si>
  <si>
    <t>총 콘텐츠 수</t>
  </si>
  <si>
    <t>평균 조작난이도</t>
  </si>
  <si>
    <t>평균 재미율</t>
  </si>
  <si>
    <t>최고 조작난이도</t>
  </si>
  <si>
    <t>최고 재미율</t>
  </si>
  <si>
    <t>구간</t>
  </si>
  <si>
    <t>콘텐츠 수</t>
  </si>
  <si>
    <t>최고 방해요인 난이도</t>
  </si>
  <si>
    <t>Q1 동생 심부름</t>
  </si>
  <si>
    <t>Q2 공원 청소</t>
  </si>
  <si>
    <t>Q3 재난 대응과 영웅화</t>
  </si>
  <si>
    <t>Q4 폐교 보스</t>
  </si>
  <si>
    <t>Q5 균열 탐색과 결말</t>
  </si>
  <si>
    <t>차한해의 과거 오프닝 감상</t>
    <phoneticPr fontId="5" type="noConversion"/>
  </si>
  <si>
    <t>동생에게 심부름 지시 받기</t>
    <phoneticPr fontId="5" type="noConversion"/>
  </si>
  <si>
    <t>이동 조작 안내 확인</t>
    <phoneticPr fontId="5" type="noConversion"/>
  </si>
  <si>
    <t>현관으로 이동하기</t>
    <phoneticPr fontId="5" type="noConversion"/>
  </si>
  <si>
    <t>집 밖으로 나가기</t>
    <phoneticPr fontId="5" type="noConversion"/>
  </si>
  <si>
    <t>편의점으로 이동하기</t>
    <phoneticPr fontId="5" type="noConversion"/>
  </si>
  <si>
    <t>신상 과자 진열대 찾기</t>
    <phoneticPr fontId="5" type="noConversion"/>
  </si>
  <si>
    <t>품절 안내 조사하기</t>
    <phoneticPr fontId="5" type="noConversion"/>
  </si>
  <si>
    <t>알바생 NPC와 대화하기</t>
    <phoneticPr fontId="5" type="noConversion"/>
  </si>
  <si>
    <t>다이소로 이동하기</t>
    <phoneticPr fontId="5" type="noConversion"/>
  </si>
  <si>
    <t>헤어롤 진열대 찾기</t>
    <phoneticPr fontId="5" type="noConversion"/>
  </si>
  <si>
    <t>헤어롤 구매하기</t>
    <phoneticPr fontId="5" type="noConversion"/>
  </si>
  <si>
    <t>영화관으로 이동하기</t>
    <phoneticPr fontId="5" type="noConversion"/>
  </si>
  <si>
    <t>1 – 연출 길이와 정보량이 난이도를 결정함</t>
    <phoneticPr fontId="5" type="noConversion"/>
  </si>
  <si>
    <t>1 – 상호작용 표시의 가시성과 조사 범위가 난이도를 결정함</t>
    <phoneticPr fontId="5" type="noConversion"/>
  </si>
  <si>
    <t>1 – 대사 길이·핵심 정보의 명확성·선택지 수가 난이도를 결정함</t>
    <phoneticPr fontId="5" type="noConversion"/>
  </si>
  <si>
    <t>1 – 동시에 제시되는 조작 수와 입력 허용 시간이 난이도를 결정함</t>
    <phoneticPr fontId="5" type="noConversion"/>
  </si>
  <si>
    <t>1 – 맵 크기·갈림길 수·목적지 표식의 가시성이 난이도를 결정함</t>
    <phoneticPr fontId="5" type="noConversion"/>
  </si>
  <si>
    <t>1 – 조사 대상의 크기·배경과의 대비·상호작용 범위가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</si>
  <si>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</si>
  <si>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</si>
  <si>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조사 대상의 크기·배경과의 대비·상호작용 범위가 난이도를 결정함</t>
    <phoneticPr fontId="5" type="noConversion"/>
  </si>
  <si>
    <t>2 – 대사 길이·핵심 정보의 명확성·선택지 수가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</si>
  <si>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</si>
  <si>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</si>
  <si>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상품 후보 수·품목 유사도·구매 단계 수가 난이도를 결정함</t>
    <phoneticPr fontId="5" type="noConversion"/>
  </si>
  <si>
    <t>2 – 상품 후보 수·품목 유사도·구매 단계 수가 난이도를 결정함</t>
    <phoneticPr fontId="5" type="noConversion"/>
  </si>
  <si>
    <t>2 – 대상 노출 시간·화면 내 이동속도·시선 유도 강도가 난이도를 결정함</t>
    <phoneticPr fontId="5" type="noConversion"/>
  </si>
  <si>
    <t>6 – 플레이어와 대상의 속도 차이·허용 거리·시야 차단물이 난이도를 결정함</t>
    <phoneticPr fontId="5" type="noConversion"/>
  </si>
  <si>
    <t>6 – 경쟁 NPC 수·충돌 범위·재고 수량·접근 가능 시간이 난이도를 결정함</t>
    <phoneticPr fontId="5" type="noConversion"/>
  </si>
  <si>
    <t>신상 과자 오픈런 참가하기</t>
    <phoneticPr fontId="5" type="noConversion"/>
  </si>
  <si>
    <t>편의점 물류 트럭 따라가기</t>
    <phoneticPr fontId="5" type="noConversion"/>
  </si>
  <si>
    <t>편의점 물류 트럭 발견하기</t>
    <phoneticPr fontId="5" type="noConversion"/>
  </si>
  <si>
    <t>팝콘 구매하기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</si>
  <si>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</si>
  <si>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</si>
  <si>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</si>
  <si>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</si>
  <si>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</si>
  <si>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</si>
  <si>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</si>
  <si>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</si>
  <si>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</si>
  <si>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</si>
  <si>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</si>
  <si>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</si>
  <si>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플레이 목표</t>
    <phoneticPr fontId="5" type="noConversion"/>
  </si>
  <si>
    <t>플레이 흥미도</t>
    <phoneticPr fontId="5" type="noConversion"/>
  </si>
  <si>
    <t>콘텐츠 진행 순서</t>
    <phoneticPr fontId="5" type="noConversion"/>
  </si>
  <si>
    <t>목표 달성 조건</t>
    <phoneticPr fontId="5" type="noConversion"/>
  </si>
  <si>
    <t>예상 소요 시간</t>
    <phoneticPr fontId="5" type="noConversion"/>
  </si>
  <si>
    <t>체감 난이도</t>
    <phoneticPr fontId="5" type="noConversion"/>
  </si>
  <si>
    <t>플레이 난이도</t>
    <phoneticPr fontId="5" type="noConversion"/>
  </si>
  <si>
    <t>공략 방법</t>
    <phoneticPr fontId="5" type="noConversion"/>
  </si>
  <si>
    <t>핵심 장면의 시선 유도와 짧은 자막을 통해 관계와 감정 변화를 이해함</t>
    <phoneticPr fontId="5" type="noConversion"/>
  </si>
  <si>
    <t>난이도 조절 요소</t>
    <phoneticPr fontId="5" type="noConversion"/>
  </si>
  <si>
    <t>실패 결과</t>
    <phoneticPr fontId="5" type="noConversion"/>
  </si>
  <si>
    <t>입양 이후 가족 안에서 희생을 요구받아 온 과거를 보여주는 연출이 길게 이어져 플레이어가 핵심 정보를 놓칠 수 있음</t>
    <phoneticPr fontId="5" type="noConversion"/>
  </si>
  <si>
    <t>플레이 난관</t>
    <phoneticPr fontId="5" type="noConversion"/>
  </si>
  <si>
    <t>수행 과제 수</t>
    <phoneticPr fontId="5" type="noConversion"/>
  </si>
  <si>
    <t>빨래 개기</t>
    <phoneticPr fontId="5" type="noConversion"/>
  </si>
  <si>
    <t>조사 가능한 가구가 많아 조작 가능한 대상을 바로 알아보기 어려움</t>
    <phoneticPr fontId="5" type="noConversion"/>
  </si>
  <si>
    <t>반짝임 표시가 있는 산책로의 첫 쓰레기에 접근해 줍기 입력을 수행함</t>
    <phoneticPr fontId="5" type="noConversion"/>
  </si>
  <si>
    <t>Q3-02 | 가족 찾기</t>
    <phoneticPr fontId="5" type="noConversion"/>
  </si>
  <si>
    <t>Q4-09 | 컴퓨터 잠금 퍼즐 해결하기</t>
    <phoneticPr fontId="5" type="noConversion"/>
  </si>
  <si>
    <t>누적 플레이 시간</t>
    <phoneticPr fontId="5" type="noConversion"/>
  </si>
  <si>
    <t>STAGE</t>
    <phoneticPr fontId="5" type="noConversion"/>
  </si>
  <si>
    <t>미션 해결 개수</t>
    <phoneticPr fontId="5" type="noConversion"/>
  </si>
  <si>
    <t>밸런스 팩터</t>
  </si>
  <si>
    <t>게임 「넌 착해!」의 플레이 경험에 영향을 주는 주요 조정 요소를 원형으로 정리</t>
  </si>
  <si>
    <t>큰 원은 플레이 전반에 미치는 영향이 큰 핵심 팩터이며, 작은 원은 장면·미션 단위에서 조정하는 세부 팩터임</t>
  </si>
  <si>
    <t>1-B | 편의점</t>
  </si>
  <si>
    <t>1-C | 다이소</t>
  </si>
  <si>
    <t>1-D | 영화관</t>
  </si>
  <si>
    <t>1-F | 지하철역</t>
  </si>
  <si>
    <t>2-B | 분리수거장</t>
  </si>
  <si>
    <t>신상 과자 구매하기</t>
    <phoneticPr fontId="5" type="noConversion"/>
  </si>
  <si>
    <t>동생 연락 받기</t>
    <phoneticPr fontId="5" type="noConversion"/>
  </si>
  <si>
    <t>지하철역으로 이동하기</t>
    <phoneticPr fontId="5" type="noConversion"/>
  </si>
  <si>
    <t>거래자 후보 3명 관찰하기</t>
    <phoneticPr fontId="5" type="noConversion"/>
  </si>
  <si>
    <t>중고 거래자 찾기</t>
    <phoneticPr fontId="5" type="noConversion"/>
  </si>
  <si>
    <t>중고 거래 완료하기</t>
    <phoneticPr fontId="5" type="noConversion"/>
  </si>
  <si>
    <t>집으로 돌아가는 길에 공원 진입하기</t>
    <phoneticPr fontId="5" type="noConversion"/>
  </si>
  <si>
    <t>Q2-01 | 축제 종료 현장 관찰하기</t>
    <phoneticPr fontId="5" type="noConversion"/>
  </si>
  <si>
    <t>챕터</t>
    <phoneticPr fontId="5" type="noConversion"/>
  </si>
  <si>
    <t>1 | 동생 심부름</t>
    <phoneticPr fontId="5" type="noConversion"/>
  </si>
  <si>
    <t>2 | 공원 청소</t>
    <phoneticPr fontId="5" type="noConversion"/>
  </si>
  <si>
    <t>3 | 재난 대응</t>
    <phoneticPr fontId="5" type="noConversion"/>
  </si>
  <si>
    <t>4 | 폐교 탐색</t>
    <phoneticPr fontId="5" type="noConversion"/>
  </si>
  <si>
    <t>5 | 균열의 진실</t>
    <phoneticPr fontId="5" type="noConversion"/>
  </si>
  <si>
    <t>5 | 균열의 진실+D104:D112</t>
    <phoneticPr fontId="5" type="noConversion"/>
  </si>
  <si>
    <r>
      <t xml:space="preserve">1-A | </t>
    </r>
    <r>
      <rPr>
        <sz val="11"/>
        <color theme="1"/>
        <rFont val="돋움"/>
        <family val="3"/>
        <charset val="129"/>
      </rPr>
      <t>집</t>
    </r>
    <r>
      <rPr>
        <sz val="11"/>
        <color theme="1"/>
        <rFont val="Carlito"/>
        <family val="2"/>
      </rPr>
      <t>·</t>
    </r>
    <r>
      <rPr>
        <sz val="11"/>
        <color theme="1"/>
        <rFont val="돋움"/>
        <family val="3"/>
        <charset val="129"/>
      </rPr>
      <t>튜토리얼</t>
    </r>
    <phoneticPr fontId="5" type="noConversion"/>
  </si>
  <si>
    <r>
      <t>1-A | 집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튜토리얼</t>
    </r>
  </si>
  <si>
    <r>
      <t>1-E | 편의점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재입고</t>
    </r>
  </si>
  <si>
    <r>
      <t>1-G | 공원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진입</t>
    </r>
  </si>
  <si>
    <r>
      <t>2-A | 공원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축제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청소</t>
    </r>
  </si>
  <si>
    <r>
      <t xml:space="preserve">2-A | </t>
    </r>
    <r>
      <rPr>
        <sz val="11"/>
        <color theme="1"/>
        <rFont val="돋움"/>
        <family val="3"/>
        <charset val="129"/>
      </rPr>
      <t>공원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돋움"/>
        <family val="3"/>
        <charset val="129"/>
      </rPr>
      <t>축제</t>
    </r>
    <r>
      <rPr>
        <sz val="11"/>
        <color theme="1"/>
        <rFont val="Carlito"/>
        <family val="2"/>
      </rPr>
      <t>·</t>
    </r>
    <r>
      <rPr>
        <sz val="11"/>
        <color theme="1"/>
        <rFont val="돋움"/>
        <family val="3"/>
        <charset val="129"/>
      </rPr>
      <t>청소</t>
    </r>
    <phoneticPr fontId="5" type="noConversion"/>
  </si>
  <si>
    <r>
      <t>2-C | 균열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발생</t>
    </r>
  </si>
  <si>
    <r>
      <t>2-D | 귀가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밤</t>
    </r>
  </si>
  <si>
    <r>
      <t>3-A | 아파트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재난</t>
    </r>
  </si>
  <si>
    <r>
      <t>3-B | 대피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경로</t>
    </r>
  </si>
  <si>
    <r>
      <t>3-C | 대피소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선의관리국</t>
    </r>
  </si>
  <si>
    <r>
      <t>3-D | 도심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구조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임무</t>
    </r>
  </si>
  <si>
    <r>
      <t>4-A | 출동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준비</t>
    </r>
  </si>
  <si>
    <r>
      <t>4-B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정문</t>
    </r>
  </si>
  <si>
    <r>
      <t>4-C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본관</t>
    </r>
    <r>
      <rPr>
        <sz val="11"/>
        <color theme="1"/>
        <rFont val="Carlito"/>
        <family val="2"/>
      </rPr>
      <t xml:space="preserve"> 1</t>
    </r>
    <r>
      <rPr>
        <sz val="11"/>
        <color theme="1"/>
        <rFont val="Carlito"/>
      </rPr>
      <t>층</t>
    </r>
  </si>
  <si>
    <r>
      <t>4-D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본관</t>
    </r>
    <r>
      <rPr>
        <sz val="11"/>
        <color theme="1"/>
        <rFont val="Carlito"/>
        <family val="2"/>
      </rPr>
      <t xml:space="preserve"> 2</t>
    </r>
    <r>
      <rPr>
        <sz val="11"/>
        <color theme="1"/>
        <rFont val="Carlito"/>
      </rPr>
      <t>층</t>
    </r>
  </si>
  <si>
    <r>
      <t>4-E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본관</t>
    </r>
    <r>
      <rPr>
        <sz val="11"/>
        <color theme="1"/>
        <rFont val="Carlito"/>
        <family val="2"/>
      </rPr>
      <t xml:space="preserve"> 3</t>
    </r>
    <r>
      <rPr>
        <sz val="11"/>
        <color theme="1"/>
        <rFont val="Carlito"/>
      </rPr>
      <t>층</t>
    </r>
  </si>
  <si>
    <r>
      <t>4-F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강당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보스전</t>
    </r>
  </si>
  <si>
    <r>
      <t>4-G | 폐교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탈출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귀환</t>
    </r>
  </si>
  <si>
    <r>
      <t>5-A | 대형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균열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외부</t>
    </r>
  </si>
  <si>
    <r>
      <t>5-B | 균열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내부</t>
    </r>
  </si>
  <si>
    <r>
      <t>5-C | 균열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심층부</t>
    </r>
  </si>
  <si>
    <r>
      <t>5-D | 최종</t>
    </r>
    <r>
      <rPr>
        <sz val="11"/>
        <color theme="1"/>
        <rFont val="Carlito"/>
        <family val="2"/>
      </rPr>
      <t xml:space="preserve"> </t>
    </r>
    <r>
      <rPr>
        <sz val="11"/>
        <color theme="1"/>
        <rFont val="Carlito"/>
      </rPr>
      <t>선택</t>
    </r>
    <r>
      <rPr>
        <sz val="11"/>
        <color theme="1"/>
        <rFont val="Carlito"/>
        <family val="2"/>
      </rPr>
      <t>·</t>
    </r>
    <r>
      <rPr>
        <sz val="11"/>
        <color theme="1"/>
        <rFont val="Carlito"/>
      </rPr>
      <t>후일담</t>
    </r>
  </si>
  <si>
    <t>Y
레벨업을 위한 필요 경험치</t>
    <phoneticPr fontId="5" type="noConversion"/>
  </si>
  <si>
    <t>X
콘텐츠 진행 포인트</t>
    <phoneticPr fontId="5" type="noConversion"/>
  </si>
  <si>
    <t>a</t>
    <phoneticPr fontId="5" type="noConversion"/>
  </si>
  <si>
    <t>b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</si>
</sst>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"/>
    <numFmt numFmtId="177" formatCode="[h]&quot;시간 &quot;m&quot;분 &quot;s&quot;초&quot;"/>
  </numFmts>
  <fonts count="20">
    <font>
      <sz val="11"/>
      <name val="Carlito"/>
    </font>
    <font>
      <b/>
      <sz val="15"/>
      <color rgb="FFFFFFFF"/>
      <name val="Carlito"/>
    </font>
    <font>
      <b/>
      <sz val="10"/>
      <color rgb="FFFFFFFF"/>
      <name val="Carlito"/>
    </font>
    <font>
      <b/>
      <sz val="11"/>
      <color rgb="FF172B4D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172B4D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1"/>
      <color rgb="FF000000"/>
      <name val="Carlito"/>
    </font>
    <font>
      <b/>
      <sz val="16"/>
      <name val="Carlito"/>
    </font>
    <font>
      <sz val="10"/>
      <name val="Carlito"/>
    </font>
    <font>
      <b/>
      <sz val="20"/>
      <color rgb="FF1F1F1F"/>
      <name val="Carlito"/>
    </font>
    <font>
      <sz val="10"/>
      <color rgb="FF666666"/>
      <name val="Carlito"/>
    </font>
    <font>
      <b/>
      <sz val="11"/>
      <name val="Carlito"/>
    </font>
    <font>
      <sz val="10"/>
      <color rgb="FF404040"/>
      <name val="Carlito"/>
    </font>
    <font>
      <sz val="11"/>
      <color theme="1"/>
      <name val="Carlito"/>
    </font>
    <font>
      <sz val="11"/>
      <color theme="1"/>
      <name val="돋움"/>
      <family val="3"/>
      <charset val="129"/>
    </font>
    <font>
      <sz val="11"/>
      <color theme="1"/>
      <name val="Carlito"/>
      <family val="2"/>
    </font>
  </fonts>
  <fills count="11">
    <fill>
      <patternFill patternType="none"/>
    </fill>
    <fill>
      <patternFill patternType="gray125"/>
    </fill>
    <fill>
      <patternFill patternType="solid">
        <fgColor rgb="FF24324A"/>
      </patternFill>
    </fill>
    <fill>
      <patternFill patternType="solid">
        <fgColor rgb="FF334E68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DE5FF"/>
        <bgColor indexed="64"/>
      </patternFill>
    </fill>
    <fill>
      <patternFill patternType="solid">
        <fgColor rgb="FFD7FFCD"/>
        <bgColor indexed="64"/>
      </patternFill>
    </fill>
    <fill>
      <patternFill patternType="solid">
        <fgColor rgb="FFFFFBCD"/>
        <bgColor indexed="64"/>
      </patternFill>
    </fill>
    <fill>
      <patternFill patternType="solid">
        <fgColor rgb="FFFFDBD5"/>
        <bgColor indexed="64"/>
      </patternFill>
    </fill>
    <fill>
      <patternFill patternType="solid">
        <fgColor rgb="FFF8DDFF"/>
        <bgColor indexed="64"/>
      </patternFill>
    </fill>
  </fills>
  <borders count="25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  <border>
      <left style="thin">
        <color rgb="FF172B4D"/>
      </left>
      <right/>
      <top style="thin">
        <color rgb="FF172B4D"/>
      </top>
      <bottom/>
      <diagonal/>
    </border>
    <border>
      <left/>
      <right/>
      <top style="thin">
        <color rgb="FF172B4D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rgb="FF172B4D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10" fillId="0" borderId="0">
      <alignment vertical="center"/>
    </xf>
  </cellStyleXfs>
  <cellXfs count="69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0" fillId="0" borderId="4" xfId="1" applyNumberFormat="1" applyFont="1" applyFill="1" applyBorder="1" applyAlignment="1">
      <alignment vertical="top" wrapText="1"/>
    </xf>
    <xf numFmtId="0" fontId="0" fillId="0" borderId="5" xfId="1" applyNumberFormat="1" applyFont="1" applyFill="1" applyBorder="1" applyAlignment="1">
      <alignment vertical="top" wrapText="1"/>
    </xf>
    <xf numFmtId="0" fontId="0" fillId="0" borderId="6" xfId="1" applyNumberFormat="1" applyFont="1" applyFill="1" applyBorder="1" applyAlignment="1">
      <alignment vertical="top" wrapText="1"/>
    </xf>
    <xf numFmtId="0" fontId="0" fillId="0" borderId="7" xfId="1" applyNumberFormat="1" applyFont="1" applyFill="1" applyBorder="1" applyAlignment="1">
      <alignment vertical="top" wrapText="1"/>
    </xf>
    <xf numFmtId="0" fontId="0" fillId="0" borderId="8" xfId="1" applyNumberFormat="1" applyFont="1" applyFill="1" applyBorder="1" applyAlignment="1">
      <alignment vertical="top" wrapText="1"/>
    </xf>
    <xf numFmtId="0" fontId="0" fillId="0" borderId="9" xfId="1" applyNumberFormat="1" applyFont="1" applyFill="1" applyBorder="1" applyAlignment="1">
      <alignment vertical="top" wrapText="1"/>
    </xf>
    <xf numFmtId="0" fontId="0" fillId="0" borderId="10" xfId="1" applyNumberFormat="1" applyFont="1" applyFill="1" applyBorder="1" applyAlignment="1">
      <alignment vertical="top" wrapText="1"/>
    </xf>
    <xf numFmtId="0" fontId="0" fillId="0" borderId="11" xfId="1" applyNumberFormat="1" applyFont="1" applyFill="1" applyBorder="1" applyAlignment="1">
      <alignment vertical="top" wrapText="1"/>
    </xf>
    <xf numFmtId="0" fontId="3" fillId="4" borderId="12" xfId="1" applyNumberFormat="1" applyFont="1" applyFill="1" applyBorder="1" applyAlignment="1">
      <alignment horizontal="center" vertical="center"/>
    </xf>
    <xf numFmtId="0" fontId="3" fillId="4" borderId="13" xfId="1" applyNumberFormat="1" applyFont="1" applyFill="1" applyBorder="1" applyAlignment="1">
      <alignment horizontal="center" vertical="center"/>
    </xf>
    <xf numFmtId="0" fontId="3" fillId="4" borderId="14" xfId="1" applyNumberFormat="1" applyFont="1" applyFill="1" applyBorder="1" applyAlignment="1">
      <alignment horizontal="center" vertical="center"/>
    </xf>
    <xf numFmtId="176" fontId="3" fillId="4" borderId="13" xfId="1" applyNumberFormat="1" applyFont="1" applyFill="1" applyBorder="1" applyAlignment="1">
      <alignment horizontal="center" vertical="center"/>
    </xf>
    <xf numFmtId="0" fontId="0" fillId="0" borderId="4" xfId="1" applyNumberFormat="1" applyFont="1" applyFill="1" applyBorder="1"/>
    <xf numFmtId="0" fontId="0" fillId="0" borderId="5" xfId="1" applyNumberFormat="1" applyFont="1" applyFill="1" applyBorder="1"/>
    <xf numFmtId="0" fontId="0" fillId="0" borderId="6" xfId="1" applyNumberFormat="1" applyFont="1" applyFill="1" applyBorder="1"/>
    <xf numFmtId="0" fontId="0" fillId="0" borderId="7" xfId="1" applyNumberFormat="1" applyFont="1" applyFill="1" applyBorder="1"/>
    <xf numFmtId="0" fontId="0" fillId="0" borderId="0" xfId="1" applyNumberFormat="1" applyFont="1" applyFill="1" applyBorder="1"/>
    <xf numFmtId="0" fontId="0" fillId="0" borderId="8" xfId="1" applyNumberFormat="1" applyFont="1" applyFill="1" applyBorder="1"/>
    <xf numFmtId="0" fontId="0" fillId="0" borderId="9" xfId="1" applyNumberFormat="1" applyFont="1" applyFill="1" applyBorder="1"/>
    <xf numFmtId="0" fontId="0" fillId="0" borderId="10" xfId="1" applyNumberFormat="1" applyFont="1" applyFill="1" applyBorder="1"/>
    <xf numFmtId="0" fontId="0" fillId="0" borderId="11" xfId="1" applyNumberFormat="1" applyFont="1" applyFill="1" applyBorder="1"/>
    <xf numFmtId="176" fontId="0" fillId="0" borderId="5" xfId="1" applyNumberFormat="1" applyFont="1" applyFill="1" applyBorder="1"/>
    <xf numFmtId="176" fontId="0" fillId="0" borderId="0" xfId="1" applyNumberFormat="1" applyFont="1" applyFill="1" applyBorder="1"/>
    <xf numFmtId="176" fontId="0" fillId="0" borderId="10" xfId="1" applyNumberFormat="1" applyFont="1" applyFill="1" applyBorder="1"/>
    <xf numFmtId="0" fontId="6" fillId="0" borderId="0" xfId="0" applyFont="1" applyAlignment="1">
      <alignment vertical="center"/>
    </xf>
    <xf numFmtId="0" fontId="7" fillId="3" borderId="15" xfId="1" applyNumberFormat="1" applyFont="1" applyFill="1" applyBorder="1" applyAlignment="1">
      <alignment horizontal="center" vertical="center" wrapText="1"/>
    </xf>
    <xf numFmtId="0" fontId="7" fillId="3" borderId="16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vertical="center"/>
    </xf>
    <xf numFmtId="0" fontId="1" fillId="2" borderId="0" xfId="1" applyNumberFormat="1" applyFont="1" applyFill="1" applyBorder="1" applyAlignment="1">
      <alignment horizontal="center" vertical="center"/>
    </xf>
    <xf numFmtId="0" fontId="11" fillId="5" borderId="0" xfId="2" applyFont="1" applyFill="1" applyAlignment="1"/>
    <xf numFmtId="0" fontId="10" fillId="0" borderId="0" xfId="2" applyAlignment="1"/>
    <xf numFmtId="0" fontId="12" fillId="5" borderId="0" xfId="2" applyFont="1" applyFill="1" applyAlignment="1">
      <alignment wrapText="1"/>
    </xf>
    <xf numFmtId="0" fontId="13" fillId="0" borderId="0" xfId="2" applyNumberFormat="1" applyFont="1" applyFill="1" applyBorder="1" applyAlignment="1">
      <alignment horizontal="left" vertical="center"/>
    </xf>
    <xf numFmtId="0" fontId="10" fillId="0" borderId="0" xfId="2" applyAlignment="1"/>
    <xf numFmtId="0" fontId="14" fillId="0" borderId="0" xfId="2" applyNumberFormat="1" applyFont="1" applyFill="1" applyBorder="1" applyAlignment="1">
      <alignment horizontal="left" vertical="center" wrapText="1"/>
    </xf>
    <xf numFmtId="0" fontId="15" fillId="0" borderId="0" xfId="2" applyFont="1" applyAlignment="1"/>
    <xf numFmtId="0" fontId="16" fillId="5" borderId="0" xfId="2" applyNumberFormat="1" applyFont="1" applyFill="1" applyBorder="1" applyAlignment="1">
      <alignment horizontal="left" vertical="center" wrapText="1"/>
    </xf>
    <xf numFmtId="177" fontId="17" fillId="0" borderId="17" xfId="0" applyNumberFormat="1" applyFont="1" applyBorder="1" applyAlignment="1">
      <alignment horizontal="center" vertical="center"/>
    </xf>
    <xf numFmtId="0" fontId="17" fillId="0" borderId="17" xfId="0" applyNumberFormat="1" applyFont="1" applyBorder="1" applyAlignment="1">
      <alignment horizontal="left" vertical="center" wrapText="1"/>
    </xf>
    <xf numFmtId="0" fontId="17" fillId="0" borderId="17" xfId="0" applyNumberFormat="1" applyFont="1" applyBorder="1" applyAlignment="1">
      <alignment horizontal="center" vertical="center"/>
    </xf>
    <xf numFmtId="177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left" vertical="center" wrapText="1"/>
    </xf>
    <xf numFmtId="0" fontId="17" fillId="0" borderId="20" xfId="0" applyNumberFormat="1" applyFont="1" applyBorder="1" applyAlignment="1">
      <alignment horizontal="center" vertical="center"/>
    </xf>
    <xf numFmtId="0" fontId="7" fillId="3" borderId="21" xfId="1" applyNumberFormat="1" applyFont="1" applyFill="1" applyBorder="1" applyAlignment="1">
      <alignment horizontal="center" vertical="center" wrapText="1"/>
    </xf>
    <xf numFmtId="33" fontId="7" fillId="3" borderId="17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0" fontId="9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vertical="center" wrapText="1"/>
    </xf>
    <xf numFmtId="0" fontId="9" fillId="0" borderId="17" xfId="1" applyNumberFormat="1" applyFont="1" applyBorder="1" applyAlignment="1">
      <alignment vertical="center" wrapText="1"/>
    </xf>
    <xf numFmtId="0" fontId="9" fillId="0" borderId="20" xfId="1" applyNumberFormat="1" applyFont="1" applyBorder="1" applyAlignment="1">
      <alignment horizontal="center" vertical="center" wrapText="1"/>
    </xf>
    <xf numFmtId="0" fontId="9" fillId="0" borderId="20" xfId="1" applyNumberFormat="1" applyFont="1" applyBorder="1" applyAlignment="1">
      <alignment vertical="center" wrapText="1"/>
    </xf>
    <xf numFmtId="0" fontId="9" fillId="6" borderId="18" xfId="1" applyNumberFormat="1" applyFont="1" applyFill="1" applyBorder="1" applyAlignment="1">
      <alignment horizontal="center" vertical="center" wrapText="1"/>
    </xf>
    <xf numFmtId="0" fontId="9" fillId="7" borderId="18" xfId="1" applyNumberFormat="1" applyFont="1" applyFill="1" applyBorder="1" applyAlignment="1">
      <alignment horizontal="center" vertical="center" wrapText="1"/>
    </xf>
    <xf numFmtId="0" fontId="9" fillId="8" borderId="18" xfId="1" applyNumberFormat="1" applyFont="1" applyFill="1" applyBorder="1" applyAlignment="1">
      <alignment horizontal="center" vertical="center" wrapText="1"/>
    </xf>
    <xf numFmtId="0" fontId="9" fillId="9" borderId="18" xfId="1" applyNumberFormat="1" applyFont="1" applyFill="1" applyBorder="1" applyAlignment="1">
      <alignment horizontal="center" vertical="center" wrapText="1"/>
    </xf>
    <xf numFmtId="0" fontId="9" fillId="10" borderId="18" xfId="1" applyNumberFormat="1" applyFont="1" applyFill="1" applyBorder="1" applyAlignment="1">
      <alignment horizontal="center" vertical="center" wrapText="1"/>
    </xf>
    <xf numFmtId="0" fontId="9" fillId="10" borderId="19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1" fontId="17" fillId="0" borderId="17" xfId="0" applyNumberFormat="1" applyFont="1" applyBorder="1" applyAlignment="1">
      <alignment horizontal="center" vertical="center"/>
    </xf>
    <xf numFmtId="1" fontId="17" fillId="0" borderId="20" xfId="0" applyNumberFormat="1" applyFont="1" applyBorder="1" applyAlignment="1">
      <alignment horizontal="center" vertical="center"/>
    </xf>
    <xf numFmtId="0" fontId="7" fillId="3" borderId="22" xfId="1" applyNumberFormat="1" applyFont="1" applyFill="1" applyBorder="1" applyAlignment="1">
      <alignment horizontal="center" vertical="center" wrapText="1"/>
    </xf>
    <xf numFmtId="0" fontId="17" fillId="0" borderId="23" xfId="0" applyNumberFormat="1" applyFont="1" applyBorder="1" applyAlignment="1">
      <alignment horizontal="center" vertical="center"/>
    </xf>
    <xf numFmtId="0" fontId="17" fillId="0" borderId="24" xfId="0" applyNumberFormat="1" applyFont="1" applyBorder="1" applyAlignment="1">
      <alignment horizontal="center" vertical="center"/>
    </xf>
  </cellXfs>
  <cellStyles count="3">
    <cellStyle name="Normal" xfId="1"/>
    <cellStyle name="표준" xfId="0" builtinId="0"/>
    <cellStyle name="표준 2" xfId="2"/>
  </cellStyles>
  <dxfs count="0"/>
  <tableStyles count="0" defaultTableStyle="TableStyleMedium2" defaultPivotStyle="PivotStyleLight16"/>
  <colors>
    <mruColors>
      <color rgb="FFF8DDFF"/>
      <color rgb="FFFFDBD5"/>
      <color rgb="FFFFFBCD"/>
      <color rgb="FFD7FFCD"/>
      <color rgb="FFD9FEFF"/>
      <color rgb="FFCDE5FF"/>
      <color rgb="FFC6A5CB"/>
      <color rgb="FF9BCF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게임 시작부터 엔딩까지의 조작난이도</a:t>
            </a:r>
            <a:r>
              <a:rPr lang="en-US" altLang="ko-KR"/>
              <a:t>·</a:t>
            </a:r>
            <a:r>
              <a:rPr lang="ko-KR" altLang="en-US"/>
              <a:t>재미율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1B-4ED7-A359-FC15E98C3B06}"/>
            </c:ext>
          </c:extLst>
        </c:ser>
        <c:ser>
          <c:idx val="1"/>
          <c:order val="1"/>
          <c:tx>
            <c:v>재미율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1B-4ED7-A359-FC15E98C3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Spin" dx="22" fmlaLink="$Q$2" max="30000" min="1" page="10" val="5"/>
</file>

<file path=xl/ctrlProps/ctrlProp2.xml><?xml version="1.0" encoding="utf-8"?>
<formControlPr xmlns="http://schemas.microsoft.com/office/spreadsheetml/2009/9/main" objectType="Spin" dx="22" fmlaLink="$R$2" max="30000" min="1" page="10" val="6"/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744682</xdr:colOff>
          <xdr:row>0</xdr:row>
          <xdr:rowOff>19050</xdr:rowOff>
        </xdr:from>
        <xdr:to>
          <xdr:col>17</xdr:col>
          <xdr:colOff>0</xdr:colOff>
          <xdr:row>2</xdr:row>
          <xdr:rowOff>19050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722169</xdr:colOff>
          <xdr:row>0</xdr:row>
          <xdr:rowOff>15587</xdr:rowOff>
        </xdr:from>
        <xdr:to>
          <xdr:col>17</xdr:col>
          <xdr:colOff>1156855</xdr:colOff>
          <xdr:row>2</xdr:row>
          <xdr:rowOff>15587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21</xdr:row>
      <xdr:rowOff>0</xdr:rowOff>
    </xdr:from>
    <xdr:ext cx="2667000" cy="2667000"/>
    <xdr:sp macro="" textlink="">
      <xdr:nvSpPr>
        <xdr:cNvPr id="2" name="밸런스팩터_01"/>
        <xdr:cNvSpPr>
          <a:spLocks noGrp="1"/>
        </xdr:cNvSpPr>
      </xdr:nvSpPr>
      <xdr:spPr>
        <a:xfrm>
          <a:off x="6477000" y="48006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650" b="1">
              <a:solidFill>
                <a:srgbClr val="000000"/>
              </a:solidFill>
            </a:rPr>
            <a:t>퀘스트 동선</a:t>
          </a:r>
          <a:endParaRPr/>
        </a:p>
        <a:p>
          <a:pPr algn="ctr"/>
          <a:r>
            <a:rPr sz="1650" b="1">
              <a:solidFill>
                <a:srgbClr val="000000"/>
              </a:solidFill>
            </a:rPr>
            <a:t>레벨디자인</a:t>
          </a:r>
          <a:endParaRPr/>
        </a:p>
        <a:p>
          <a:pPr algn="ctr"/>
          <a:r>
            <a:rPr sz="1650" b="1">
              <a:solidFill>
                <a:srgbClr val="000000"/>
              </a:solidFill>
            </a:rPr>
            <a:t>오브젝트 배치</a:t>
          </a:r>
          <a:endParaRPr/>
        </a:p>
      </xdr:txBody>
    </xdr:sp>
    <xdr:clientData/>
  </xdr:oneCellAnchor>
  <xdr:oneCellAnchor>
    <xdr:from>
      <xdr:col>14</xdr:col>
      <xdr:colOff>190501</xdr:colOff>
      <xdr:row>29</xdr:row>
      <xdr:rowOff>17317</xdr:rowOff>
    </xdr:from>
    <xdr:ext cx="2190750" cy="2190750"/>
    <xdr:sp macro="" textlink="">
      <xdr:nvSpPr>
        <xdr:cNvPr id="3" name="밸런스팩터_02"/>
        <xdr:cNvSpPr>
          <a:spLocks noGrp="1"/>
        </xdr:cNvSpPr>
      </xdr:nvSpPr>
      <xdr:spPr>
        <a:xfrm>
          <a:off x="4797137" y="6546272"/>
          <a:ext cx="2190750" cy="2190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공원 쓰레기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개수·배치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분리수거 규칙</a:t>
          </a:r>
          <a:endParaRPr/>
        </a:p>
      </xdr:txBody>
    </xdr:sp>
    <xdr:clientData/>
  </xdr:oneCellAnchor>
  <xdr:oneCellAnchor>
    <xdr:from>
      <xdr:col>28</xdr:col>
      <xdr:colOff>164523</xdr:colOff>
      <xdr:row>22</xdr:row>
      <xdr:rowOff>56285</xdr:rowOff>
    </xdr:from>
    <xdr:ext cx="2190750" cy="2190750"/>
    <xdr:sp macro="" textlink="">
      <xdr:nvSpPr>
        <xdr:cNvPr id="4" name="밸런스팩터_03"/>
        <xdr:cNvSpPr>
          <a:spLocks noGrp="1"/>
        </xdr:cNvSpPr>
      </xdr:nvSpPr>
      <xdr:spPr>
        <a:xfrm>
          <a:off x="9377796" y="5009285"/>
          <a:ext cx="2190750" cy="2190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선의 감소량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자아 마모도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회복 수단</a:t>
          </a:r>
          <a:endParaRPr/>
        </a:p>
      </xdr:txBody>
    </xdr:sp>
    <xdr:clientData/>
  </xdr:oneCellAnchor>
  <xdr:oneCellAnchor>
    <xdr:from>
      <xdr:col>27</xdr:col>
      <xdr:colOff>138546</xdr:colOff>
      <xdr:row>12</xdr:row>
      <xdr:rowOff>69273</xdr:rowOff>
    </xdr:from>
    <xdr:ext cx="2047875" cy="2047875"/>
    <xdr:sp macro="" textlink="">
      <xdr:nvSpPr>
        <xdr:cNvPr id="5" name="밸런스팩터_04"/>
        <xdr:cNvSpPr>
          <a:spLocks noGrp="1"/>
        </xdr:cNvSpPr>
      </xdr:nvSpPr>
      <xdr:spPr>
        <a:xfrm>
          <a:off x="9022773" y="2770909"/>
          <a:ext cx="2047875" cy="2047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몬스터 개수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배치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공격 판정</a:t>
          </a:r>
          <a:endParaRPr/>
        </a:p>
      </xdr:txBody>
    </xdr:sp>
    <xdr:clientData/>
  </xdr:oneCellAnchor>
  <xdr:oneCellAnchor>
    <xdr:from>
      <xdr:col>13</xdr:col>
      <xdr:colOff>17319</xdr:colOff>
      <xdr:row>19</xdr:row>
      <xdr:rowOff>173181</xdr:rowOff>
    </xdr:from>
    <xdr:ext cx="1952625" cy="1952625"/>
    <xdr:sp macro="" textlink="">
      <xdr:nvSpPr>
        <xdr:cNvPr id="6" name="밸런스팩터_05"/>
        <xdr:cNvSpPr>
          <a:spLocks noGrp="1"/>
        </xdr:cNvSpPr>
      </xdr:nvSpPr>
      <xdr:spPr>
        <a:xfrm>
          <a:off x="4294910" y="4450772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이벤트 템포</a:t>
          </a:r>
          <a:endParaRPr/>
        </a:p>
      </xdr:txBody>
    </xdr:sp>
    <xdr:clientData/>
  </xdr:oneCellAnchor>
  <xdr:oneCellAnchor>
    <xdr:from>
      <xdr:col>23</xdr:col>
      <xdr:colOff>0</xdr:colOff>
      <xdr:row>8</xdr:row>
      <xdr:rowOff>0</xdr:rowOff>
    </xdr:from>
    <xdr:ext cx="1428750" cy="1428750"/>
    <xdr:sp macro="" textlink="">
      <xdr:nvSpPr>
        <xdr:cNvPr id="7" name="밸런스팩터_06"/>
        <xdr:cNvSpPr>
          <a:spLocks noGrp="1"/>
        </xdr:cNvSpPr>
      </xdr:nvSpPr>
      <xdr:spPr>
        <a:xfrm>
          <a:off x="7448550" y="1828800"/>
          <a:ext cx="1428750" cy="1428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PC 이동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속도</a:t>
          </a:r>
          <a:endParaRPr/>
        </a:p>
      </xdr:txBody>
    </xdr:sp>
    <xdr:clientData/>
  </xdr:oneCellAnchor>
  <xdr:oneCellAnchor>
    <xdr:from>
      <xdr:col>30</xdr:col>
      <xdr:colOff>207817</xdr:colOff>
      <xdr:row>6</xdr:row>
      <xdr:rowOff>86591</xdr:rowOff>
    </xdr:from>
    <xdr:ext cx="1285875" cy="1285875"/>
    <xdr:sp macro="" textlink="">
      <xdr:nvSpPr>
        <xdr:cNvPr id="8" name="밸런스팩터_07"/>
        <xdr:cNvSpPr>
          <a:spLocks noGrp="1"/>
        </xdr:cNvSpPr>
      </xdr:nvSpPr>
      <xdr:spPr>
        <a:xfrm>
          <a:off x="10079181" y="1437409"/>
          <a:ext cx="1285875" cy="1285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달리기 속도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지속시간</a:t>
          </a:r>
          <a:endParaRPr/>
        </a:p>
      </xdr:txBody>
    </xdr:sp>
    <xdr:clientData/>
  </xdr:oneCellAnchor>
  <xdr:oneCellAnchor>
    <xdr:from>
      <xdr:col>36</xdr:col>
      <xdr:colOff>17318</xdr:colOff>
      <xdr:row>6</xdr:row>
      <xdr:rowOff>155865</xdr:rowOff>
    </xdr:from>
    <xdr:ext cx="1381125" cy="1381125"/>
    <xdr:sp macro="" textlink="">
      <xdr:nvSpPr>
        <xdr:cNvPr id="9" name="밸런스팩터_08"/>
        <xdr:cNvSpPr>
          <a:spLocks noGrp="1"/>
        </xdr:cNvSpPr>
      </xdr:nvSpPr>
      <xdr:spPr>
        <a:xfrm>
          <a:off x="11862954" y="1506683"/>
          <a:ext cx="1381125" cy="13811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425" b="1">
              <a:solidFill>
                <a:srgbClr val="000000"/>
              </a:solidFill>
            </a:rPr>
            <a:t>맵</a:t>
          </a:r>
          <a:endParaRPr/>
        </a:p>
        <a:p>
          <a:pPr algn="ctr"/>
          <a:r>
            <a:rPr sz="1425" b="1">
              <a:solidFill>
                <a:srgbClr val="000000"/>
              </a:solidFill>
            </a:rPr>
            <a:t>크기</a:t>
          </a:r>
          <a:endParaRPr/>
        </a:p>
      </xdr:txBody>
    </xdr:sp>
    <xdr:clientData/>
  </xdr:oneCellAnchor>
  <xdr:oneCellAnchor>
    <xdr:from>
      <xdr:col>11</xdr:col>
      <xdr:colOff>207818</xdr:colOff>
      <xdr:row>3</xdr:row>
      <xdr:rowOff>155864</xdr:rowOff>
    </xdr:from>
    <xdr:ext cx="1333500" cy="1333500"/>
    <xdr:sp macro="" textlink="">
      <xdr:nvSpPr>
        <xdr:cNvPr id="10" name="밸런스팩터_09"/>
        <xdr:cNvSpPr>
          <a:spLocks noGrp="1"/>
        </xdr:cNvSpPr>
      </xdr:nvSpPr>
      <xdr:spPr>
        <a:xfrm>
          <a:off x="3827318" y="831273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카메라 시야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가시성</a:t>
          </a:r>
          <a:endParaRPr/>
        </a:p>
      </xdr:txBody>
    </xdr:sp>
    <xdr:clientData/>
  </xdr:oneCellAnchor>
  <xdr:oneCellAnchor>
    <xdr:from>
      <xdr:col>9</xdr:col>
      <xdr:colOff>0</xdr:colOff>
      <xdr:row>18</xdr:row>
      <xdr:rowOff>34635</xdr:rowOff>
    </xdr:from>
    <xdr:ext cx="1333500" cy="1333500"/>
    <xdr:sp macro="" textlink="">
      <xdr:nvSpPr>
        <xdr:cNvPr id="11" name="밸런스팩터_10"/>
        <xdr:cNvSpPr>
          <a:spLocks noGrp="1"/>
        </xdr:cNvSpPr>
      </xdr:nvSpPr>
      <xdr:spPr>
        <a:xfrm>
          <a:off x="2961409" y="408709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트리거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위치</a:t>
          </a:r>
          <a:endParaRPr/>
        </a:p>
      </xdr:txBody>
    </xdr:sp>
    <xdr:clientData/>
  </xdr:oneCellAnchor>
  <xdr:oneCellAnchor>
    <xdr:from>
      <xdr:col>10</xdr:col>
      <xdr:colOff>0</xdr:colOff>
      <xdr:row>26</xdr:row>
      <xdr:rowOff>138545</xdr:rowOff>
    </xdr:from>
    <xdr:ext cx="1333500" cy="1333500"/>
    <xdr:sp macro="" textlink="">
      <xdr:nvSpPr>
        <xdr:cNvPr id="12" name="밸런스팩터_11"/>
        <xdr:cNvSpPr>
          <a:spLocks noGrp="1"/>
        </xdr:cNvSpPr>
      </xdr:nvSpPr>
      <xdr:spPr>
        <a:xfrm>
          <a:off x="3290455" y="599209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상호작용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범위</a:t>
          </a:r>
          <a:endParaRPr/>
        </a:p>
      </xdr:txBody>
    </xdr:sp>
    <xdr:clientData/>
  </xdr:oneCellAnchor>
  <xdr:oneCellAnchor>
    <xdr:from>
      <xdr:col>16</xdr:col>
      <xdr:colOff>0</xdr:colOff>
      <xdr:row>6</xdr:row>
      <xdr:rowOff>0</xdr:rowOff>
    </xdr:from>
    <xdr:ext cx="1333500" cy="1333500"/>
    <xdr:sp macro="" textlink="">
      <xdr:nvSpPr>
        <xdr:cNvPr id="13" name="밸런스팩터_12"/>
        <xdr:cNvSpPr>
          <a:spLocks noGrp="1"/>
        </xdr:cNvSpPr>
      </xdr:nvSpPr>
      <xdr:spPr>
        <a:xfrm>
          <a:off x="5181600" y="137160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목표 표시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힌트량</a:t>
          </a:r>
          <a:endParaRPr/>
        </a:p>
      </xdr:txBody>
    </xdr:sp>
    <xdr:clientData/>
  </xdr:oneCellAnchor>
  <xdr:oneCellAnchor>
    <xdr:from>
      <xdr:col>12</xdr:col>
      <xdr:colOff>225136</xdr:colOff>
      <xdr:row>13</xdr:row>
      <xdr:rowOff>138545</xdr:rowOff>
    </xdr:from>
    <xdr:ext cx="1190625" cy="1190625"/>
    <xdr:sp macro="" textlink="">
      <xdr:nvSpPr>
        <xdr:cNvPr id="14" name="밸런스팩터_13"/>
        <xdr:cNvSpPr>
          <a:spLocks noGrp="1"/>
        </xdr:cNvSpPr>
      </xdr:nvSpPr>
      <xdr:spPr>
        <a:xfrm>
          <a:off x="4173681" y="3065318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NPC</a:t>
          </a:r>
          <a:endParaRPr/>
        </a:p>
        <a:p>
          <a:pPr algn="ctr"/>
          <a:r>
            <a:rPr sz="1275" b="1">
              <a:solidFill>
                <a:srgbClr val="000000"/>
              </a:solidFill>
            </a:rPr>
            <a:t>밀도</a:t>
          </a:r>
          <a:endParaRPr/>
        </a:p>
      </xdr:txBody>
    </xdr:sp>
    <xdr:clientData/>
  </xdr:oneCellAnchor>
  <xdr:oneCellAnchor>
    <xdr:from>
      <xdr:col>11</xdr:col>
      <xdr:colOff>86591</xdr:colOff>
      <xdr:row>35</xdr:row>
      <xdr:rowOff>69273</xdr:rowOff>
    </xdr:from>
    <xdr:ext cx="1238250" cy="1238250"/>
    <xdr:sp macro="" textlink="">
      <xdr:nvSpPr>
        <xdr:cNvPr id="15" name="밸런스팩터_14"/>
        <xdr:cNvSpPr>
          <a:spLocks noGrp="1"/>
        </xdr:cNvSpPr>
      </xdr:nvSpPr>
      <xdr:spPr>
        <a:xfrm>
          <a:off x="3706091" y="7949046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미니게임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제한 시간</a:t>
          </a:r>
          <a:endParaRPr/>
        </a:p>
      </xdr:txBody>
    </xdr:sp>
    <xdr:clientData/>
  </xdr:oneCellAnchor>
  <xdr:oneCellAnchor>
    <xdr:from>
      <xdr:col>21</xdr:col>
      <xdr:colOff>121226</xdr:colOff>
      <xdr:row>33</xdr:row>
      <xdr:rowOff>69273</xdr:rowOff>
    </xdr:from>
    <xdr:ext cx="1238250" cy="1238250"/>
    <xdr:sp macro="" textlink="">
      <xdr:nvSpPr>
        <xdr:cNvPr id="16" name="밸런스팩터_15"/>
        <xdr:cNvSpPr>
          <a:spLocks noGrp="1"/>
        </xdr:cNvSpPr>
      </xdr:nvSpPr>
      <xdr:spPr>
        <a:xfrm>
          <a:off x="7031181" y="7498773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미션 실패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패널티</a:t>
          </a:r>
          <a:endParaRPr/>
        </a:p>
      </xdr:txBody>
    </xdr:sp>
    <xdr:clientData/>
  </xdr:oneCellAnchor>
  <xdr:oneCellAnchor>
    <xdr:from>
      <xdr:col>23</xdr:col>
      <xdr:colOff>103910</xdr:colOff>
      <xdr:row>15</xdr:row>
      <xdr:rowOff>69273</xdr:rowOff>
    </xdr:from>
    <xdr:ext cx="1238250" cy="1238250"/>
    <xdr:sp macro="" textlink="">
      <xdr:nvSpPr>
        <xdr:cNvPr id="17" name="밸런스팩터_16"/>
        <xdr:cNvSpPr>
          <a:spLocks noGrp="1"/>
        </xdr:cNvSpPr>
      </xdr:nvSpPr>
      <xdr:spPr>
        <a:xfrm>
          <a:off x="7671955" y="3446318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칭찬·보상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빈도</a:t>
          </a:r>
          <a:endParaRPr/>
        </a:p>
      </xdr:txBody>
    </xdr:sp>
    <xdr:clientData/>
  </xdr:oneCellAnchor>
  <xdr:oneCellAnchor>
    <xdr:from>
      <xdr:col>20</xdr:col>
      <xdr:colOff>69273</xdr:colOff>
      <xdr:row>4</xdr:row>
      <xdr:rowOff>1</xdr:rowOff>
    </xdr:from>
    <xdr:ext cx="1238250" cy="1238250"/>
    <xdr:sp macro="" textlink="">
      <xdr:nvSpPr>
        <xdr:cNvPr id="18" name="밸런스팩터_17"/>
        <xdr:cNvSpPr>
          <a:spLocks noGrp="1"/>
        </xdr:cNvSpPr>
      </xdr:nvSpPr>
      <xdr:spPr>
        <a:xfrm>
          <a:off x="6650182" y="900546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체크포인트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간격</a:t>
          </a:r>
          <a:endParaRPr/>
        </a:p>
      </xdr:txBody>
    </xdr:sp>
    <xdr:clientData/>
  </xdr:oneCellAnchor>
  <xdr:oneCellAnchor>
    <xdr:from>
      <xdr:col>26</xdr:col>
      <xdr:colOff>-1</xdr:colOff>
      <xdr:row>40</xdr:row>
      <xdr:rowOff>69272</xdr:rowOff>
    </xdr:from>
    <xdr:ext cx="1238250" cy="1238250"/>
    <xdr:sp macro="" textlink="">
      <xdr:nvSpPr>
        <xdr:cNvPr id="19" name="밸런스팩터_18"/>
        <xdr:cNvSpPr>
          <a:spLocks noGrp="1"/>
        </xdr:cNvSpPr>
      </xdr:nvSpPr>
      <xdr:spPr>
        <a:xfrm>
          <a:off x="8555181" y="9074727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선택지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영향도</a:t>
          </a:r>
          <a:endParaRPr/>
        </a:p>
      </xdr:txBody>
    </xdr:sp>
    <xdr:clientData/>
  </xdr:oneCellAnchor>
  <xdr:oneCellAnchor>
    <xdr:from>
      <xdr:col>34</xdr:col>
      <xdr:colOff>17319</xdr:colOff>
      <xdr:row>13</xdr:row>
      <xdr:rowOff>103909</xdr:rowOff>
    </xdr:from>
    <xdr:ext cx="1285875" cy="1285875"/>
    <xdr:sp macro="" textlink="">
      <xdr:nvSpPr>
        <xdr:cNvPr id="20" name="밸런스팩터_19"/>
        <xdr:cNvSpPr>
          <a:spLocks noGrp="1"/>
        </xdr:cNvSpPr>
      </xdr:nvSpPr>
      <xdr:spPr>
        <a:xfrm>
          <a:off x="11204864" y="3030682"/>
          <a:ext cx="1285875" cy="1285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보스 패턴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속도</a:t>
          </a:r>
          <a:endParaRPr/>
        </a:p>
      </xdr:txBody>
    </xdr:sp>
    <xdr:clientData/>
  </xdr:oneCellAnchor>
  <xdr:oneCellAnchor>
    <xdr:from>
      <xdr:col>14</xdr:col>
      <xdr:colOff>173182</xdr:colOff>
      <xdr:row>38</xdr:row>
      <xdr:rowOff>207818</xdr:rowOff>
    </xdr:from>
    <xdr:ext cx="1238250" cy="1238250"/>
    <xdr:sp macro="" textlink="">
      <xdr:nvSpPr>
        <xdr:cNvPr id="21" name="밸런스팩터_20"/>
        <xdr:cNvSpPr>
          <a:spLocks noGrp="1"/>
        </xdr:cNvSpPr>
      </xdr:nvSpPr>
      <xdr:spPr>
        <a:xfrm>
          <a:off x="4779818" y="87630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퍼즐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힌트량</a:t>
          </a:r>
          <a:endParaRPr/>
        </a:p>
      </xdr:txBody>
    </xdr:sp>
    <xdr:clientData/>
  </xdr:oneCellAnchor>
  <xdr:oneCellAnchor>
    <xdr:from>
      <xdr:col>34</xdr:col>
      <xdr:colOff>259773</xdr:colOff>
      <xdr:row>19</xdr:row>
      <xdr:rowOff>207819</xdr:rowOff>
    </xdr:from>
    <xdr:ext cx="1238250" cy="1238250"/>
    <xdr:sp macro="" textlink="">
      <xdr:nvSpPr>
        <xdr:cNvPr id="22" name="밸런스팩터_21"/>
        <xdr:cNvSpPr>
          <a:spLocks noGrp="1"/>
        </xdr:cNvSpPr>
      </xdr:nvSpPr>
      <xdr:spPr>
        <a:xfrm>
          <a:off x="11447318" y="448541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균열 발생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타이밍</a:t>
          </a:r>
          <a:endParaRPr/>
        </a:p>
      </xdr:txBody>
    </xdr:sp>
    <xdr:clientData/>
  </xdr:oneCellAnchor>
  <xdr:oneCellAnchor>
    <xdr:from>
      <xdr:col>5</xdr:col>
      <xdr:colOff>103910</xdr:colOff>
      <xdr:row>9</xdr:row>
      <xdr:rowOff>155864</xdr:rowOff>
    </xdr:from>
    <xdr:ext cx="1190625" cy="1190625"/>
    <xdr:sp macro="" textlink="">
      <xdr:nvSpPr>
        <xdr:cNvPr id="23" name="밸런스팩터_22"/>
        <xdr:cNvSpPr>
          <a:spLocks noGrp="1"/>
        </xdr:cNvSpPr>
      </xdr:nvSpPr>
      <xdr:spPr>
        <a:xfrm>
          <a:off x="1749137" y="2182091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975" b="1">
              <a:solidFill>
                <a:srgbClr val="000000"/>
              </a:solidFill>
            </a:rPr>
            <a:t>회색 후드 NPC</a:t>
          </a:r>
          <a:endParaRPr/>
        </a:p>
        <a:p>
          <a:pPr algn="ctr"/>
          <a:r>
            <a:rPr sz="975" b="1">
              <a:solidFill>
                <a:srgbClr val="000000"/>
              </a:solidFill>
            </a:rPr>
            <a:t>구분 난도</a:t>
          </a:r>
          <a:endParaRPr/>
        </a:p>
      </xdr:txBody>
    </xdr:sp>
    <xdr:clientData/>
  </xdr:oneCellAnchor>
  <xdr:oneCellAnchor>
    <xdr:from>
      <xdr:col>5</xdr:col>
      <xdr:colOff>173183</xdr:colOff>
      <xdr:row>22</xdr:row>
      <xdr:rowOff>34637</xdr:rowOff>
    </xdr:from>
    <xdr:ext cx="1238250" cy="1238250"/>
    <xdr:sp macro="" textlink="">
      <xdr:nvSpPr>
        <xdr:cNvPr id="24" name="밸런스팩터_23"/>
        <xdr:cNvSpPr>
          <a:spLocks noGrp="1"/>
        </xdr:cNvSpPr>
      </xdr:nvSpPr>
      <xdr:spPr>
        <a:xfrm>
          <a:off x="1818410" y="4987637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편의점 재고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연출 타이밍</a:t>
          </a:r>
          <a:endParaRPr/>
        </a:p>
      </xdr:txBody>
    </xdr:sp>
    <xdr:clientData/>
  </xdr:oneCellAnchor>
  <xdr:oneCellAnchor>
    <xdr:from>
      <xdr:col>5</xdr:col>
      <xdr:colOff>17318</xdr:colOff>
      <xdr:row>16</xdr:row>
      <xdr:rowOff>17317</xdr:rowOff>
    </xdr:from>
    <xdr:ext cx="1238250" cy="1238250"/>
    <xdr:sp macro="" textlink="">
      <xdr:nvSpPr>
        <xdr:cNvPr id="25" name="밸런스팩터_24"/>
        <xdr:cNvSpPr>
          <a:spLocks noGrp="1"/>
        </xdr:cNvSpPr>
      </xdr:nvSpPr>
      <xdr:spPr>
        <a:xfrm>
          <a:off x="1662545" y="3619499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물류 트럭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이동 속도</a:t>
          </a:r>
          <a:endParaRPr/>
        </a:p>
      </xdr:txBody>
    </xdr:sp>
    <xdr:clientData/>
  </xdr:oneCellAnchor>
  <xdr:oneCellAnchor>
    <xdr:from>
      <xdr:col>9</xdr:col>
      <xdr:colOff>225136</xdr:colOff>
      <xdr:row>9</xdr:row>
      <xdr:rowOff>173183</xdr:rowOff>
    </xdr:from>
    <xdr:ext cx="1143000" cy="1143000"/>
    <xdr:sp macro="" textlink="">
      <xdr:nvSpPr>
        <xdr:cNvPr id="26" name="밸런스팩터_25"/>
        <xdr:cNvSpPr>
          <a:spLocks noGrp="1"/>
        </xdr:cNvSpPr>
      </xdr:nvSpPr>
      <xdr:spPr>
        <a:xfrm>
          <a:off x="3186545" y="2199410"/>
          <a:ext cx="1143000" cy="1143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오픈런</a:t>
          </a:r>
          <a:endParaRPr lang="en-US" sz="1050" b="1">
            <a:solidFill>
              <a:srgbClr val="000000"/>
            </a:solidFill>
          </a:endParaRPr>
        </a:p>
        <a:p>
          <a:pPr algn="ctr"/>
          <a:r>
            <a:rPr sz="1050" b="1">
              <a:solidFill>
                <a:srgbClr val="000000"/>
              </a:solidFill>
            </a:rPr>
            <a:t>경쟁</a:t>
          </a:r>
          <a:endParaRPr/>
        </a:p>
      </xdr:txBody>
    </xdr:sp>
    <xdr:clientData/>
  </xdr:oneCellAnchor>
  <xdr:oneCellAnchor>
    <xdr:from>
      <xdr:col>24</xdr:col>
      <xdr:colOff>51955</xdr:colOff>
      <xdr:row>2</xdr:row>
      <xdr:rowOff>34636</xdr:rowOff>
    </xdr:from>
    <xdr:ext cx="1190625" cy="1190625"/>
    <xdr:sp macro="" textlink="">
      <xdr:nvSpPr>
        <xdr:cNvPr id="27" name="밸런스팩터_26"/>
        <xdr:cNvSpPr>
          <a:spLocks noGrp="1"/>
        </xdr:cNvSpPr>
      </xdr:nvSpPr>
      <xdr:spPr>
        <a:xfrm>
          <a:off x="7949046" y="484909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사운드·시각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경고 강도</a:t>
          </a:r>
          <a:endParaRPr/>
        </a:p>
      </xdr:txBody>
    </xdr:sp>
    <xdr:clientData/>
  </xdr:oneCellAnchor>
  <xdr:oneCellAnchor>
    <xdr:from>
      <xdr:col>25</xdr:col>
      <xdr:colOff>138545</xdr:colOff>
      <xdr:row>31</xdr:row>
      <xdr:rowOff>24245</xdr:rowOff>
    </xdr:from>
    <xdr:ext cx="1952625" cy="1952625"/>
    <xdr:sp macro="" textlink="">
      <xdr:nvSpPr>
        <xdr:cNvPr id="28" name="밸런스팩터_05"/>
        <xdr:cNvSpPr>
          <a:spLocks noGrp="1"/>
        </xdr:cNvSpPr>
      </xdr:nvSpPr>
      <xdr:spPr>
        <a:xfrm>
          <a:off x="8364681" y="7003472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대화 길이</a:t>
          </a:r>
          <a:endParaRPr/>
        </a:p>
      </xdr:txBody>
    </xdr:sp>
    <xdr:clientData/>
  </xdr:oneCellAnchor>
  <xdr:oneCellAnchor>
    <xdr:from>
      <xdr:col>17</xdr:col>
      <xdr:colOff>86590</xdr:colOff>
      <xdr:row>12</xdr:row>
      <xdr:rowOff>58883</xdr:rowOff>
    </xdr:from>
    <xdr:ext cx="1952625" cy="1952625"/>
    <xdr:sp macro="" textlink="">
      <xdr:nvSpPr>
        <xdr:cNvPr id="29" name="밸런스팩터_05"/>
        <xdr:cNvSpPr>
          <a:spLocks noGrp="1"/>
        </xdr:cNvSpPr>
      </xdr:nvSpPr>
      <xdr:spPr>
        <a:xfrm>
          <a:off x="5680363" y="2760519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연출 밀도</a:t>
          </a:r>
          <a:endParaRPr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27"/>
  <sheetViews>
    <sheetView tabSelected="1" topLeftCell="J1" zoomScale="55" zoomScaleNormal="55" workbookViewId="0">
      <selection activeCell="T5" sqref="T5"/>
    </sheetView>
  </sheetViews>
  <sheetFormatPr defaultRowHeight="16.5"/>
  <cols>
    <col min="1" max="1" width="13.875" style="29" customWidth="1"/>
    <col min="2" max="3" width="13.125" style="29" customWidth="1"/>
    <col min="4" max="4" width="13.375" style="29" customWidth="1"/>
    <col min="5" max="5" width="42" style="29" customWidth="1"/>
    <col min="6" max="6" width="38" style="29" customWidth="1"/>
    <col min="7" max="7" width="29.25" style="29" customWidth="1"/>
    <col min="8" max="8" width="28.125" style="29" customWidth="1"/>
    <col min="9" max="9" width="31.875" style="29" customWidth="1"/>
    <col min="10" max="10" width="15" style="29" customWidth="1"/>
    <col min="11" max="11" width="39.625" style="29" customWidth="1"/>
    <col min="12" max="12" width="18.625" style="29" customWidth="1"/>
    <col min="13" max="13" width="20.875" style="29" customWidth="1"/>
    <col min="14" max="14" width="18.75" style="29" customWidth="1"/>
    <col min="15" max="15" width="18.875" style="29" customWidth="1"/>
    <col min="16" max="16" width="9" style="29"/>
    <col min="17" max="18" width="15.375" style="29" customWidth="1"/>
    <col min="19" max="16384" width="9" style="29"/>
  </cols>
  <sheetData>
    <row r="1" spans="1:18" ht="36.75" customHeight="1">
      <c r="Q1" s="29" t="s">
        <v>827</v>
      </c>
      <c r="R1" s="29" t="s">
        <v>828</v>
      </c>
    </row>
    <row r="2" spans="1:18" ht="36.75" customHeight="1">
      <c r="Q2" s="62">
        <v>5</v>
      </c>
      <c r="R2" s="62">
        <v>6</v>
      </c>
    </row>
    <row r="3" spans="1:18" ht="35.25" customHeight="1">
      <c r="Q3" s="62">
        <f>Q2*0.01</f>
        <v>0.05</v>
      </c>
      <c r="R3" s="62">
        <f>R2*0.01</f>
        <v>0.06</v>
      </c>
    </row>
    <row r="4" spans="1:18" ht="42" customHeight="1">
      <c r="A4" s="48" t="s">
        <v>795</v>
      </c>
      <c r="B4" s="31" t="s">
        <v>759</v>
      </c>
      <c r="C4" s="30" t="s">
        <v>763</v>
      </c>
      <c r="D4" s="31" t="s">
        <v>758</v>
      </c>
      <c r="E4" s="31" t="s">
        <v>757</v>
      </c>
      <c r="F4" s="31" t="s">
        <v>769</v>
      </c>
      <c r="G4" s="31" t="s">
        <v>764</v>
      </c>
      <c r="H4" s="31" t="s">
        <v>762</v>
      </c>
      <c r="I4" s="31" t="s">
        <v>770</v>
      </c>
      <c r="J4" s="31" t="s">
        <v>760</v>
      </c>
      <c r="K4" s="31" t="s">
        <v>767</v>
      </c>
      <c r="L4" s="31" t="s">
        <v>761</v>
      </c>
      <c r="M4" s="31" t="s">
        <v>766</v>
      </c>
      <c r="N4" s="49" t="s">
        <v>776</v>
      </c>
      <c r="O4" s="50" t="s">
        <v>777</v>
      </c>
      <c r="P4" s="50" t="s">
        <v>778</v>
      </c>
      <c r="Q4" s="50" t="s">
        <v>826</v>
      </c>
      <c r="R4" s="66" t="s">
        <v>825</v>
      </c>
    </row>
    <row r="5" spans="1:18" ht="81.95" customHeight="1">
      <c r="A5" s="56" t="s">
        <v>796</v>
      </c>
      <c r="B5" s="51">
        <v>1</v>
      </c>
      <c r="C5" s="51">
        <v>1</v>
      </c>
      <c r="D5" s="51">
        <v>7</v>
      </c>
      <c r="E5" s="52" t="s">
        <v>711</v>
      </c>
      <c r="F5" s="53" t="s">
        <v>768</v>
      </c>
      <c r="G5" s="53" t="s">
        <v>765</v>
      </c>
      <c r="H5" s="51" t="s">
        <v>724</v>
      </c>
      <c r="I5" s="51">
        <v>1</v>
      </c>
      <c r="J5" s="53" t="s">
        <v>13</v>
      </c>
      <c r="K5" s="53" t="s">
        <v>745</v>
      </c>
      <c r="L5" s="51" t="s">
        <v>14</v>
      </c>
      <c r="M5" s="51" t="s">
        <v>15</v>
      </c>
      <c r="N5" s="42">
        <f>(IFERROR(VALUE(LEFT(L5,FIND("분",L5)-1))*60,0)+IFERROR(VALUE(TRIM(MID(L5,IFERROR(FIND("분",L5),0)+1,FIND("초",L5)-IFERROR(FIND("분",L5),0)-1))),0))/86400</f>
        <v>1.0416666666666667E-3</v>
      </c>
      <c r="O5" s="43" t="s">
        <v>802</v>
      </c>
      <c r="P5" s="44">
        <f>I5</f>
        <v>1</v>
      </c>
      <c r="Q5" s="64">
        <f>6</f>
        <v>6</v>
      </c>
      <c r="R5" s="67">
        <f>$Q$3*Q5*Q5+$R$3*Q5</f>
        <v>2.16</v>
      </c>
    </row>
    <row r="6" spans="1:18" ht="81.95" customHeight="1">
      <c r="A6" s="56" t="s">
        <v>796</v>
      </c>
      <c r="B6" s="51">
        <v>2</v>
      </c>
      <c r="C6" s="51">
        <v>1</v>
      </c>
      <c r="D6" s="51">
        <v>3</v>
      </c>
      <c r="E6" s="53" t="s">
        <v>771</v>
      </c>
      <c r="F6" s="53" t="s">
        <v>772</v>
      </c>
      <c r="G6" s="53" t="s">
        <v>16</v>
      </c>
      <c r="H6" s="51" t="s">
        <v>725</v>
      </c>
      <c r="I6" s="51">
        <v>1</v>
      </c>
      <c r="J6" s="53" t="s">
        <v>17</v>
      </c>
      <c r="K6" s="53" t="s">
        <v>746</v>
      </c>
      <c r="L6" s="51" t="s">
        <v>18</v>
      </c>
      <c r="M6" s="51" t="s">
        <v>19</v>
      </c>
      <c r="N6" s="42">
        <f>N5+(IFERROR(VALUE(LEFT(L6,FIND("분",L6)-1))*60,0)+IFERROR(VALUE(TRIM(MID(L6,IFERROR(FIND("분",L6),0)+1,FIND("초",L6)-IFERROR(FIND("분",L6),0)-1))),0))/86400</f>
        <v>1.2731481481481483E-3</v>
      </c>
      <c r="O6" s="43" t="s">
        <v>803</v>
      </c>
      <c r="P6" s="44">
        <f>I6</f>
        <v>1</v>
      </c>
      <c r="Q6" s="64">
        <f>Q5+2</f>
        <v>8</v>
      </c>
      <c r="R6" s="67">
        <f t="shared" ref="R6:R69" si="0">$Q$3*Q6*Q6+$R$3*Q6</f>
        <v>3.68</v>
      </c>
    </row>
    <row r="7" spans="1:18" ht="81.95" customHeight="1">
      <c r="A7" s="56" t="s">
        <v>796</v>
      </c>
      <c r="B7" s="51">
        <v>3</v>
      </c>
      <c r="C7" s="51">
        <v>1</v>
      </c>
      <c r="D7" s="51">
        <v>5</v>
      </c>
      <c r="E7" s="53" t="s">
        <v>712</v>
      </c>
      <c r="F7" s="53" t="s">
        <v>20</v>
      </c>
      <c r="G7" s="53" t="s">
        <v>21</v>
      </c>
      <c r="H7" s="51" t="s">
        <v>726</v>
      </c>
      <c r="I7" s="51">
        <v>1</v>
      </c>
      <c r="J7" s="53" t="s">
        <v>22</v>
      </c>
      <c r="K7" s="53" t="s">
        <v>745</v>
      </c>
      <c r="L7" s="51" t="s">
        <v>23</v>
      </c>
      <c r="M7" s="51" t="s">
        <v>24</v>
      </c>
      <c r="N7" s="42">
        <f>N6+(IFERROR(VALUE(LEFT(L7,FIND("분",L7)-1))*60,0)+IFERROR(VALUE(TRIM(MID(L7,IFERROR(FIND("분",L7),0)+1,FIND("초",L7)-IFERROR(FIND("분",L7),0)-1))),0))/86400</f>
        <v>1.9675925925925928E-3</v>
      </c>
      <c r="O7" s="43" t="s">
        <v>803</v>
      </c>
      <c r="P7" s="44">
        <f>I7</f>
        <v>1</v>
      </c>
      <c r="Q7" s="64">
        <f>Q6+4</f>
        <v>12</v>
      </c>
      <c r="R7" s="67">
        <f t="shared" si="0"/>
        <v>7.9200000000000008</v>
      </c>
    </row>
    <row r="8" spans="1:18" ht="81.95" customHeight="1">
      <c r="A8" s="56" t="s">
        <v>796</v>
      </c>
      <c r="B8" s="51">
        <v>4</v>
      </c>
      <c r="C8" s="51">
        <v>1</v>
      </c>
      <c r="D8" s="51">
        <v>3</v>
      </c>
      <c r="E8" s="53" t="s">
        <v>713</v>
      </c>
      <c r="F8" s="53" t="s">
        <v>25</v>
      </c>
      <c r="G8" s="53" t="s">
        <v>26</v>
      </c>
      <c r="H8" s="51" t="s">
        <v>727</v>
      </c>
      <c r="I8" s="51">
        <v>4</v>
      </c>
      <c r="J8" s="53" t="s">
        <v>27</v>
      </c>
      <c r="K8" s="53" t="s">
        <v>745</v>
      </c>
      <c r="L8" s="51" t="s">
        <v>28</v>
      </c>
      <c r="M8" s="51" t="s">
        <v>29</v>
      </c>
      <c r="N8" s="42">
        <f>N7+(IFERROR(VALUE(LEFT(L8,FIND("분",L8)-1))*60,0)+IFERROR(VALUE(TRIM(MID(L8,IFERROR(FIND("분",L8),0)+1,FIND("초",L8)-IFERROR(FIND("분",L8),0)-1))),0))/86400</f>
        <v>2.4305555555555556E-3</v>
      </c>
      <c r="O8" s="43" t="s">
        <v>803</v>
      </c>
      <c r="P8" s="44">
        <f>I8</f>
        <v>4</v>
      </c>
      <c r="Q8" s="64">
        <f>Q7+3</f>
        <v>15</v>
      </c>
      <c r="R8" s="67">
        <f t="shared" si="0"/>
        <v>12.15</v>
      </c>
    </row>
    <row r="9" spans="1:18" ht="81.95" customHeight="1">
      <c r="A9" s="56" t="s">
        <v>796</v>
      </c>
      <c r="B9" s="51">
        <v>5</v>
      </c>
      <c r="C9" s="51">
        <v>1</v>
      </c>
      <c r="D9" s="51">
        <v>3</v>
      </c>
      <c r="E9" s="53" t="s">
        <v>714</v>
      </c>
      <c r="F9" s="53" t="s">
        <v>30</v>
      </c>
      <c r="G9" s="53" t="s">
        <v>31</v>
      </c>
      <c r="H9" s="51" t="s">
        <v>728</v>
      </c>
      <c r="I9" s="51">
        <v>1</v>
      </c>
      <c r="J9" s="53" t="s">
        <v>32</v>
      </c>
      <c r="K9" s="53" t="s">
        <v>746</v>
      </c>
      <c r="L9" s="51" t="s">
        <v>33</v>
      </c>
      <c r="M9" s="51" t="s">
        <v>34</v>
      </c>
      <c r="N9" s="42">
        <f>N8+(IFERROR(VALUE(LEFT(L9,FIND("분",L9)-1))*60,0)+IFERROR(VALUE(TRIM(MID(L9,IFERROR(FIND("분",L9),0)+1,FIND("초",L9)-IFERROR(FIND("분",L9),0)-1))),0))/86400</f>
        <v>2.7777777777777779E-3</v>
      </c>
      <c r="O9" s="43" t="s">
        <v>803</v>
      </c>
      <c r="P9" s="44">
        <f>I9</f>
        <v>1</v>
      </c>
      <c r="Q9" s="64">
        <f>Q8+3</f>
        <v>18</v>
      </c>
      <c r="R9" s="67">
        <f t="shared" si="0"/>
        <v>17.28</v>
      </c>
    </row>
    <row r="10" spans="1:18" ht="81.95" customHeight="1">
      <c r="A10" s="56" t="s">
        <v>796</v>
      </c>
      <c r="B10" s="51">
        <v>6</v>
      </c>
      <c r="C10" s="51">
        <v>1</v>
      </c>
      <c r="D10" s="51">
        <v>5</v>
      </c>
      <c r="E10" s="53" t="s">
        <v>715</v>
      </c>
      <c r="F10" s="53" t="s">
        <v>35</v>
      </c>
      <c r="G10" s="53" t="s">
        <v>36</v>
      </c>
      <c r="H10" s="51" t="s">
        <v>729</v>
      </c>
      <c r="I10" s="51">
        <v>1</v>
      </c>
      <c r="J10" s="53" t="s">
        <v>37</v>
      </c>
      <c r="K10" s="53" t="s">
        <v>745</v>
      </c>
      <c r="L10" s="51" t="s">
        <v>18</v>
      </c>
      <c r="M10" s="51" t="s">
        <v>38</v>
      </c>
      <c r="N10" s="42">
        <f>N9+(IFERROR(VALUE(LEFT(L10,FIND("분",L10)-1))*60,0)+IFERROR(VALUE(TRIM(MID(L10,IFERROR(FIND("분",L10),0)+1,FIND("초",L10)-IFERROR(FIND("분",L10),0)-1))),0))/86400</f>
        <v>3.0092592592592593E-3</v>
      </c>
      <c r="O10" s="43" t="s">
        <v>803</v>
      </c>
      <c r="P10" s="44">
        <f>I10</f>
        <v>1</v>
      </c>
      <c r="Q10" s="64">
        <f>Q9+3</f>
        <v>21</v>
      </c>
      <c r="R10" s="67">
        <f t="shared" si="0"/>
        <v>23.310000000000002</v>
      </c>
    </row>
    <row r="11" spans="1:18" ht="81.95" customHeight="1">
      <c r="A11" s="56" t="s">
        <v>796</v>
      </c>
      <c r="B11" s="51">
        <v>7</v>
      </c>
      <c r="C11" s="51">
        <v>2</v>
      </c>
      <c r="D11" s="51">
        <v>5</v>
      </c>
      <c r="E11" s="53" t="s">
        <v>716</v>
      </c>
      <c r="F11" s="53" t="s">
        <v>30</v>
      </c>
      <c r="G11" s="53" t="s">
        <v>39</v>
      </c>
      <c r="H11" s="51" t="s">
        <v>730</v>
      </c>
      <c r="I11" s="51">
        <v>1</v>
      </c>
      <c r="J11" s="53" t="s">
        <v>41</v>
      </c>
      <c r="K11" s="53" t="s">
        <v>745</v>
      </c>
      <c r="L11" s="51" t="s">
        <v>42</v>
      </c>
      <c r="M11" s="51" t="s">
        <v>34</v>
      </c>
      <c r="N11" s="42">
        <f>N10+(IFERROR(VALUE(LEFT(L11,FIND("분",L11)-1))*60,0)+IFERROR(VALUE(TRIM(MID(L11,IFERROR(FIND("분",L11),0)+1,FIND("초",L11)-IFERROR(FIND("분",L11),0)-1))),0))/86400</f>
        <v>3.8773148148148148E-3</v>
      </c>
      <c r="O11" s="43" t="s">
        <v>782</v>
      </c>
      <c r="P11" s="44">
        <f>I11</f>
        <v>1</v>
      </c>
      <c r="Q11" s="64">
        <f>Q10+5</f>
        <v>26</v>
      </c>
      <c r="R11" s="67">
        <f t="shared" si="0"/>
        <v>35.360000000000007</v>
      </c>
    </row>
    <row r="12" spans="1:18" ht="81.95" customHeight="1">
      <c r="A12" s="56" t="s">
        <v>796</v>
      </c>
      <c r="B12" s="51">
        <v>8</v>
      </c>
      <c r="C12" s="51">
        <v>2</v>
      </c>
      <c r="D12" s="51">
        <v>6</v>
      </c>
      <c r="E12" s="53" t="s">
        <v>717</v>
      </c>
      <c r="F12" s="53" t="s">
        <v>43</v>
      </c>
      <c r="G12" s="53" t="s">
        <v>44</v>
      </c>
      <c r="H12" s="51" t="s">
        <v>731</v>
      </c>
      <c r="I12" s="51">
        <v>4</v>
      </c>
      <c r="J12" s="53" t="s">
        <v>46</v>
      </c>
      <c r="K12" s="53" t="s">
        <v>745</v>
      </c>
      <c r="L12" s="51" t="s">
        <v>14</v>
      </c>
      <c r="M12" s="51" t="s">
        <v>47</v>
      </c>
      <c r="N12" s="42">
        <f>N11+(IFERROR(VALUE(LEFT(L12,FIND("분",L12)-1))*60,0)+IFERROR(VALUE(TRIM(MID(L12,IFERROR(FIND("분",L12),0)+1,FIND("초",L12)-IFERROR(FIND("분",L12),0)-1))),0))/86400</f>
        <v>4.9189814814814816E-3</v>
      </c>
      <c r="O12" s="43" t="s">
        <v>782</v>
      </c>
      <c r="P12" s="44">
        <f>I12</f>
        <v>4</v>
      </c>
      <c r="Q12" s="64">
        <f>Q11+6</f>
        <v>32</v>
      </c>
      <c r="R12" s="67">
        <f t="shared" si="0"/>
        <v>53.120000000000005</v>
      </c>
    </row>
    <row r="13" spans="1:18" ht="81.95" customHeight="1">
      <c r="A13" s="56" t="s">
        <v>796</v>
      </c>
      <c r="B13" s="51">
        <v>9</v>
      </c>
      <c r="C13" s="51">
        <v>1</v>
      </c>
      <c r="D13" s="51">
        <v>5</v>
      </c>
      <c r="E13" s="53" t="s">
        <v>718</v>
      </c>
      <c r="F13" s="53" t="s">
        <v>35</v>
      </c>
      <c r="G13" s="53" t="s">
        <v>48</v>
      </c>
      <c r="H13" s="51" t="s">
        <v>732</v>
      </c>
      <c r="I13" s="51">
        <v>2</v>
      </c>
      <c r="J13" s="53" t="s">
        <v>49</v>
      </c>
      <c r="K13" s="53" t="s">
        <v>745</v>
      </c>
      <c r="L13" s="51" t="s">
        <v>50</v>
      </c>
      <c r="M13" s="51" t="s">
        <v>38</v>
      </c>
      <c r="N13" s="42">
        <f>N12+(IFERROR(VALUE(LEFT(L13,FIND("분",L13)-1))*60,0)+IFERROR(VALUE(TRIM(MID(L13,IFERROR(FIND("분",L13),0)+1,FIND("초",L13)-IFERROR(FIND("분",L13),0)-1))),0))/86400</f>
        <v>5.324074074074074E-3</v>
      </c>
      <c r="O13" s="43" t="s">
        <v>782</v>
      </c>
      <c r="P13" s="44">
        <f>I13</f>
        <v>2</v>
      </c>
      <c r="Q13" s="64">
        <f>Q12+4</f>
        <v>36</v>
      </c>
      <c r="R13" s="67">
        <f t="shared" si="0"/>
        <v>66.959999999999994</v>
      </c>
    </row>
    <row r="14" spans="1:18" ht="81.95" customHeight="1">
      <c r="A14" s="56" t="s">
        <v>796</v>
      </c>
      <c r="B14" s="51">
        <v>10</v>
      </c>
      <c r="C14" s="51">
        <v>1</v>
      </c>
      <c r="D14" s="51">
        <v>6</v>
      </c>
      <c r="E14" s="53" t="s">
        <v>719</v>
      </c>
      <c r="F14" s="53" t="s">
        <v>20</v>
      </c>
      <c r="G14" s="53" t="s">
        <v>21</v>
      </c>
      <c r="H14" s="51" t="s">
        <v>733</v>
      </c>
      <c r="I14" s="51">
        <v>1</v>
      </c>
      <c r="J14" s="53" t="s">
        <v>52</v>
      </c>
      <c r="K14" s="53" t="s">
        <v>747</v>
      </c>
      <c r="L14" s="51" t="s">
        <v>42</v>
      </c>
      <c r="M14" s="51" t="s">
        <v>24</v>
      </c>
      <c r="N14" s="42">
        <f>N13+(IFERROR(VALUE(LEFT(L14,FIND("분",L14)-1))*60,0)+IFERROR(VALUE(TRIM(MID(L14,IFERROR(FIND("분",L14),0)+1,FIND("초",L14)-IFERROR(FIND("분",L14),0)-1))),0))/86400</f>
        <v>6.192129629629629E-3</v>
      </c>
      <c r="O14" s="43" t="s">
        <v>782</v>
      </c>
      <c r="P14" s="44">
        <f>I14</f>
        <v>1</v>
      </c>
      <c r="Q14" s="64">
        <f>Q13+5</f>
        <v>41</v>
      </c>
      <c r="R14" s="67">
        <f t="shared" si="0"/>
        <v>86.51</v>
      </c>
    </row>
    <row r="15" spans="1:18" ht="81.95" customHeight="1">
      <c r="A15" s="56" t="s">
        <v>796</v>
      </c>
      <c r="B15" s="51">
        <v>11</v>
      </c>
      <c r="C15" s="51">
        <v>2</v>
      </c>
      <c r="D15" s="51">
        <v>5</v>
      </c>
      <c r="E15" s="53" t="s">
        <v>720</v>
      </c>
      <c r="F15" s="53" t="s">
        <v>30</v>
      </c>
      <c r="G15" s="53" t="s">
        <v>53</v>
      </c>
      <c r="H15" s="51" t="s">
        <v>734</v>
      </c>
      <c r="I15" s="51">
        <v>1</v>
      </c>
      <c r="J15" s="53" t="s">
        <v>54</v>
      </c>
      <c r="K15" s="53" t="s">
        <v>745</v>
      </c>
      <c r="L15" s="51" t="s">
        <v>14</v>
      </c>
      <c r="M15" s="51" t="s">
        <v>34</v>
      </c>
      <c r="N15" s="42">
        <f>N14+(IFERROR(VALUE(LEFT(L15,FIND("분",L15)-1))*60,0)+IFERROR(VALUE(TRIM(MID(L15,IFERROR(FIND("분",L15),0)+1,FIND("초",L15)-IFERROR(FIND("분",L15),0)-1))),0))/86400</f>
        <v>7.2337962962962955E-3</v>
      </c>
      <c r="O15" s="43" t="s">
        <v>783</v>
      </c>
      <c r="P15" s="44">
        <f>I15</f>
        <v>1</v>
      </c>
      <c r="Q15" s="64">
        <f>Q14+6</f>
        <v>47</v>
      </c>
      <c r="R15" s="67">
        <f t="shared" si="0"/>
        <v>113.27</v>
      </c>
    </row>
    <row r="16" spans="1:18" ht="81.95" customHeight="1">
      <c r="A16" s="56" t="s">
        <v>796</v>
      </c>
      <c r="B16" s="51">
        <v>12</v>
      </c>
      <c r="C16" s="51">
        <v>2</v>
      </c>
      <c r="D16" s="51">
        <v>6</v>
      </c>
      <c r="E16" s="53" t="s">
        <v>721</v>
      </c>
      <c r="F16" s="53" t="s">
        <v>43</v>
      </c>
      <c r="G16" s="53" t="s">
        <v>55</v>
      </c>
      <c r="H16" s="51" t="s">
        <v>735</v>
      </c>
      <c r="I16" s="51">
        <v>5</v>
      </c>
      <c r="J16" s="53" t="s">
        <v>56</v>
      </c>
      <c r="K16" s="53" t="s">
        <v>745</v>
      </c>
      <c r="L16" s="51" t="s">
        <v>57</v>
      </c>
      <c r="M16" s="51" t="s">
        <v>47</v>
      </c>
      <c r="N16" s="42">
        <f>N15+(IFERROR(VALUE(LEFT(L16,FIND("분",L16)-1))*60,0)+IFERROR(VALUE(TRIM(MID(L16,IFERROR(FIND("분",L16),0)+1,FIND("초",L16)-IFERROR(FIND("분",L16),0)-1))),0))/86400</f>
        <v>8.5069444444444437E-3</v>
      </c>
      <c r="O16" s="43" t="s">
        <v>783</v>
      </c>
      <c r="P16" s="44">
        <f>I16</f>
        <v>5</v>
      </c>
      <c r="Q16" s="64">
        <f>Q15+7</f>
        <v>54</v>
      </c>
      <c r="R16" s="67">
        <f t="shared" si="0"/>
        <v>149.04000000000002</v>
      </c>
    </row>
    <row r="17" spans="1:18" ht="81.95" customHeight="1">
      <c r="A17" s="56" t="s">
        <v>796</v>
      </c>
      <c r="B17" s="51">
        <v>13</v>
      </c>
      <c r="C17" s="51">
        <v>1</v>
      </c>
      <c r="D17" s="51">
        <v>5</v>
      </c>
      <c r="E17" s="53" t="s">
        <v>722</v>
      </c>
      <c r="F17" s="53" t="s">
        <v>58</v>
      </c>
      <c r="G17" s="53" t="s">
        <v>59</v>
      </c>
      <c r="H17" s="51" t="s">
        <v>736</v>
      </c>
      <c r="I17" s="51">
        <v>3</v>
      </c>
      <c r="J17" s="53" t="s">
        <v>61</v>
      </c>
      <c r="K17" s="53" t="s">
        <v>62</v>
      </c>
      <c r="L17" s="51" t="s">
        <v>63</v>
      </c>
      <c r="M17" s="51" t="s">
        <v>64</v>
      </c>
      <c r="N17" s="42">
        <f>N16+(IFERROR(VALUE(LEFT(L17,FIND("분",L17)-1))*60,0)+IFERROR(VALUE(TRIM(MID(L17,IFERROR(FIND("분",L17),0)+1,FIND("초",L17)-IFERROR(FIND("분",L17),0)-1))),0))/86400</f>
        <v>9.0856481481481483E-3</v>
      </c>
      <c r="O17" s="43" t="s">
        <v>783</v>
      </c>
      <c r="P17" s="44">
        <f>I17</f>
        <v>3</v>
      </c>
      <c r="Q17" s="64">
        <f>Q16+4</f>
        <v>58</v>
      </c>
      <c r="R17" s="67">
        <f t="shared" si="0"/>
        <v>171.68</v>
      </c>
    </row>
    <row r="18" spans="1:18" ht="81.95" customHeight="1">
      <c r="A18" s="56" t="s">
        <v>796</v>
      </c>
      <c r="B18" s="51">
        <v>14</v>
      </c>
      <c r="C18" s="51">
        <v>2</v>
      </c>
      <c r="D18" s="51">
        <v>5</v>
      </c>
      <c r="E18" s="53" t="s">
        <v>723</v>
      </c>
      <c r="F18" s="53" t="s">
        <v>30</v>
      </c>
      <c r="G18" s="53" t="s">
        <v>65</v>
      </c>
      <c r="H18" s="51" t="s">
        <v>730</v>
      </c>
      <c r="I18" s="51">
        <v>1</v>
      </c>
      <c r="J18" s="53" t="s">
        <v>66</v>
      </c>
      <c r="K18" s="53" t="s">
        <v>748</v>
      </c>
      <c r="L18" s="51" t="s">
        <v>67</v>
      </c>
      <c r="M18" s="51" t="s">
        <v>34</v>
      </c>
      <c r="N18" s="42">
        <f>N17+(IFERROR(VALUE(LEFT(L18,FIND("분",L18)-1))*60,0)+IFERROR(VALUE(TRIM(MID(L18,IFERROR(FIND("분",L18),0)+1,FIND("초",L18)-IFERROR(FIND("분",L18),0)-1))),0))/86400</f>
        <v>1.0474537037037037E-2</v>
      </c>
      <c r="O18" s="43" t="s">
        <v>784</v>
      </c>
      <c r="P18" s="44">
        <f>I18</f>
        <v>1</v>
      </c>
      <c r="Q18" s="64">
        <f>Q17+7</f>
        <v>65</v>
      </c>
      <c r="R18" s="67">
        <f t="shared" si="0"/>
        <v>215.15</v>
      </c>
    </row>
    <row r="19" spans="1:18" ht="81.95" customHeight="1">
      <c r="A19" s="56" t="s">
        <v>796</v>
      </c>
      <c r="B19" s="51">
        <v>15</v>
      </c>
      <c r="C19" s="51">
        <v>2</v>
      </c>
      <c r="D19" s="51">
        <v>5</v>
      </c>
      <c r="E19" s="53" t="s">
        <v>744</v>
      </c>
      <c r="F19" s="53" t="s">
        <v>58</v>
      </c>
      <c r="G19" s="53" t="s">
        <v>59</v>
      </c>
      <c r="H19" s="51" t="s">
        <v>737</v>
      </c>
      <c r="I19" s="51">
        <v>3</v>
      </c>
      <c r="J19" s="53" t="s">
        <v>68</v>
      </c>
      <c r="K19" s="53" t="s">
        <v>62</v>
      </c>
      <c r="L19" s="51" t="s">
        <v>69</v>
      </c>
      <c r="M19" s="51" t="s">
        <v>64</v>
      </c>
      <c r="N19" s="42">
        <f>N18+(IFERROR(VALUE(LEFT(L19,FIND("분",L19)-1))*60,0)+IFERROR(VALUE(TRIM(MID(L19,IFERROR(FIND("분",L19),0)+1,FIND("초",L19)-IFERROR(FIND("분",L19),0)-1))),0))/86400</f>
        <v>1.1400462962962963E-2</v>
      </c>
      <c r="O19" s="43" t="s">
        <v>784</v>
      </c>
      <c r="P19" s="44">
        <f>I19</f>
        <v>3</v>
      </c>
      <c r="Q19" s="64">
        <f>Q18+6</f>
        <v>71</v>
      </c>
      <c r="R19" s="67">
        <f t="shared" si="0"/>
        <v>256.31</v>
      </c>
    </row>
    <row r="20" spans="1:18" ht="81.95" customHeight="1">
      <c r="A20" s="56" t="s">
        <v>796</v>
      </c>
      <c r="B20" s="51">
        <v>16</v>
      </c>
      <c r="C20" s="51">
        <v>1</v>
      </c>
      <c r="D20" s="51">
        <v>7</v>
      </c>
      <c r="E20" s="53" t="s">
        <v>743</v>
      </c>
      <c r="F20" s="53" t="s">
        <v>70</v>
      </c>
      <c r="G20" s="53" t="s">
        <v>71</v>
      </c>
      <c r="H20" s="51" t="s">
        <v>738</v>
      </c>
      <c r="I20" s="51">
        <v>1</v>
      </c>
      <c r="J20" s="53" t="s">
        <v>72</v>
      </c>
      <c r="K20" s="53" t="s">
        <v>73</v>
      </c>
      <c r="L20" s="51" t="s">
        <v>74</v>
      </c>
      <c r="M20" s="51" t="s">
        <v>75</v>
      </c>
      <c r="N20" s="42">
        <f>N19+(IFERROR(VALUE(LEFT(L20,FIND("분",L20)-1))*60,0)+IFERROR(VALUE(TRIM(MID(L20,IFERROR(FIND("분",L20),0)+1,FIND("초",L20)-IFERROR(FIND("분",L20),0)-1))),0))/86400</f>
        <v>1.1689814814814814E-2</v>
      </c>
      <c r="O20" s="43" t="s">
        <v>784</v>
      </c>
      <c r="P20" s="44">
        <f>I20</f>
        <v>1</v>
      </c>
      <c r="Q20" s="64">
        <f>Q19+4</f>
        <v>75</v>
      </c>
      <c r="R20" s="67">
        <f t="shared" si="0"/>
        <v>285.75</v>
      </c>
    </row>
    <row r="21" spans="1:18" ht="81.95" customHeight="1">
      <c r="A21" s="56" t="s">
        <v>796</v>
      </c>
      <c r="B21" s="51">
        <v>17</v>
      </c>
      <c r="C21" s="51">
        <v>5</v>
      </c>
      <c r="D21" s="51">
        <v>8</v>
      </c>
      <c r="E21" s="53" t="s">
        <v>742</v>
      </c>
      <c r="F21" s="53" t="s">
        <v>76</v>
      </c>
      <c r="G21" s="53" t="s">
        <v>77</v>
      </c>
      <c r="H21" s="51" t="s">
        <v>739</v>
      </c>
      <c r="I21" s="51">
        <v>1</v>
      </c>
      <c r="J21" s="53" t="s">
        <v>78</v>
      </c>
      <c r="K21" s="53" t="s">
        <v>79</v>
      </c>
      <c r="L21" s="51" t="s">
        <v>67</v>
      </c>
      <c r="M21" s="51" t="s">
        <v>80</v>
      </c>
      <c r="N21" s="42">
        <f>N20+(IFERROR(VALUE(LEFT(L21,FIND("분",L21)-1))*60,0)+IFERROR(VALUE(TRIM(MID(L21,IFERROR(FIND("분",L21),0)+1,FIND("초",L21)-IFERROR(FIND("분",L21),0)-1))),0))/86400</f>
        <v>1.3078703703703703E-2</v>
      </c>
      <c r="O21" s="43" t="s">
        <v>804</v>
      </c>
      <c r="P21" s="44">
        <f>I21</f>
        <v>1</v>
      </c>
      <c r="Q21" s="64">
        <f>Q20+9</f>
        <v>84</v>
      </c>
      <c r="R21" s="67">
        <f t="shared" si="0"/>
        <v>357.84000000000003</v>
      </c>
    </row>
    <row r="22" spans="1:18" ht="81.95" customHeight="1">
      <c r="A22" s="56" t="s">
        <v>796</v>
      </c>
      <c r="B22" s="51">
        <v>18</v>
      </c>
      <c r="C22" s="51">
        <v>4</v>
      </c>
      <c r="D22" s="51">
        <v>7</v>
      </c>
      <c r="E22" s="53" t="s">
        <v>741</v>
      </c>
      <c r="F22" s="53" t="s">
        <v>81</v>
      </c>
      <c r="G22" s="53" t="s">
        <v>82</v>
      </c>
      <c r="H22" s="51" t="s">
        <v>740</v>
      </c>
      <c r="I22" s="51">
        <v>4</v>
      </c>
      <c r="J22" s="53" t="s">
        <v>83</v>
      </c>
      <c r="K22" s="53" t="s">
        <v>84</v>
      </c>
      <c r="L22" s="51" t="s">
        <v>85</v>
      </c>
      <c r="M22" s="51" t="s">
        <v>86</v>
      </c>
      <c r="N22" s="42">
        <f>N21+(IFERROR(VALUE(LEFT(L22,FIND("분",L22)-1))*60,0)+IFERROR(VALUE(TRIM(MID(L22,IFERROR(FIND("분",L22),0)+1,FIND("초",L22)-IFERROR(FIND("분",L22),0)-1))),0))/86400</f>
        <v>1.4236111111111111E-2</v>
      </c>
      <c r="O22" s="43" t="s">
        <v>804</v>
      </c>
      <c r="P22" s="44">
        <f>I22</f>
        <v>4</v>
      </c>
      <c r="Q22" s="64">
        <f>Q21+8</f>
        <v>92</v>
      </c>
      <c r="R22" s="67">
        <f t="shared" si="0"/>
        <v>428.72</v>
      </c>
    </row>
    <row r="23" spans="1:18" ht="81.95" customHeight="1">
      <c r="A23" s="56" t="s">
        <v>796</v>
      </c>
      <c r="B23" s="51">
        <v>19</v>
      </c>
      <c r="C23" s="51">
        <v>2</v>
      </c>
      <c r="D23" s="51">
        <v>5</v>
      </c>
      <c r="E23" s="53" t="s">
        <v>787</v>
      </c>
      <c r="F23" s="53" t="s">
        <v>58</v>
      </c>
      <c r="G23" s="53" t="s">
        <v>59</v>
      </c>
      <c r="H23" s="51" t="s">
        <v>87</v>
      </c>
      <c r="I23" s="51">
        <v>3</v>
      </c>
      <c r="J23" s="53" t="s">
        <v>88</v>
      </c>
      <c r="K23" s="53" t="s">
        <v>62</v>
      </c>
      <c r="L23" s="51" t="s">
        <v>89</v>
      </c>
      <c r="M23" s="51" t="s">
        <v>64</v>
      </c>
      <c r="N23" s="42">
        <f>N22+(IFERROR(VALUE(LEFT(L23,FIND("분",L23)-1))*60,0)+IFERROR(VALUE(TRIM(MID(L23,IFERROR(FIND("분",L23),0)+1,FIND("초",L23)-IFERROR(FIND("분",L23),0)-1))),0))/86400</f>
        <v>1.4872685185185185E-2</v>
      </c>
      <c r="O23" s="43" t="s">
        <v>804</v>
      </c>
      <c r="P23" s="44">
        <f>I23</f>
        <v>3</v>
      </c>
      <c r="Q23" s="64">
        <f>Q22+5</f>
        <v>97</v>
      </c>
      <c r="R23" s="67">
        <f t="shared" si="0"/>
        <v>476.27000000000004</v>
      </c>
    </row>
    <row r="24" spans="1:18" ht="81.95" customHeight="1">
      <c r="A24" s="56" t="s">
        <v>796</v>
      </c>
      <c r="B24" s="51">
        <v>20</v>
      </c>
      <c r="C24" s="51">
        <v>1</v>
      </c>
      <c r="D24" s="51">
        <v>5</v>
      </c>
      <c r="E24" s="53" t="s">
        <v>788</v>
      </c>
      <c r="F24" s="53" t="s">
        <v>20</v>
      </c>
      <c r="G24" s="53" t="s">
        <v>21</v>
      </c>
      <c r="H24" s="51" t="s">
        <v>51</v>
      </c>
      <c r="I24" s="51">
        <v>1</v>
      </c>
      <c r="J24" s="53" t="s">
        <v>90</v>
      </c>
      <c r="K24" s="53" t="s">
        <v>745</v>
      </c>
      <c r="L24" s="51" t="s">
        <v>91</v>
      </c>
      <c r="M24" s="51" t="s">
        <v>24</v>
      </c>
      <c r="N24" s="42">
        <f>N23+(IFERROR(VALUE(LEFT(L24,FIND("분",L24)-1))*60,0)+IFERROR(VALUE(TRIM(MID(L24,IFERROR(FIND("분",L24),0)+1,FIND("초",L24)-IFERROR(FIND("분",L24),0)-1))),0))/86400</f>
        <v>1.5682870370370371E-2</v>
      </c>
      <c r="O24" s="43" t="s">
        <v>804</v>
      </c>
      <c r="P24" s="44">
        <f>I24</f>
        <v>1</v>
      </c>
      <c r="Q24" s="64">
        <f>Q23+5</f>
        <v>102</v>
      </c>
      <c r="R24" s="67">
        <f t="shared" si="0"/>
        <v>526.32000000000005</v>
      </c>
    </row>
    <row r="25" spans="1:18" ht="81.95" customHeight="1">
      <c r="A25" s="56" t="s">
        <v>796</v>
      </c>
      <c r="B25" s="51">
        <v>21</v>
      </c>
      <c r="C25" s="51">
        <v>2</v>
      </c>
      <c r="D25" s="51">
        <v>5</v>
      </c>
      <c r="E25" s="53" t="s">
        <v>789</v>
      </c>
      <c r="F25" s="53" t="s">
        <v>30</v>
      </c>
      <c r="G25" s="53" t="s">
        <v>92</v>
      </c>
      <c r="H25" s="51" t="s">
        <v>40</v>
      </c>
      <c r="I25" s="51">
        <v>1</v>
      </c>
      <c r="J25" s="53" t="s">
        <v>93</v>
      </c>
      <c r="K25" s="53" t="s">
        <v>749</v>
      </c>
      <c r="L25" s="51" t="s">
        <v>94</v>
      </c>
      <c r="M25" s="51" t="s">
        <v>34</v>
      </c>
      <c r="N25" s="42">
        <f>N24+(IFERROR(VALUE(LEFT(L25,FIND("분",L25)-1))*60,0)+IFERROR(VALUE(TRIM(MID(L25,IFERROR(FIND("분",L25),0)+1,FIND("초",L25)-IFERROR(FIND("분",L25),0)-1))),0))/86400</f>
        <v>1.7418981481481483E-2</v>
      </c>
      <c r="O25" s="43" t="s">
        <v>785</v>
      </c>
      <c r="P25" s="44">
        <f>I25</f>
        <v>1</v>
      </c>
      <c r="Q25" s="64">
        <f>Q24+7</f>
        <v>109</v>
      </c>
      <c r="R25" s="67">
        <f t="shared" si="0"/>
        <v>600.59</v>
      </c>
    </row>
    <row r="26" spans="1:18" ht="81.95" customHeight="1">
      <c r="A26" s="56" t="s">
        <v>796</v>
      </c>
      <c r="B26" s="51">
        <v>22</v>
      </c>
      <c r="C26" s="51">
        <v>2</v>
      </c>
      <c r="D26" s="51">
        <v>7</v>
      </c>
      <c r="E26" s="53" t="s">
        <v>790</v>
      </c>
      <c r="F26" s="53" t="s">
        <v>95</v>
      </c>
      <c r="G26" s="53" t="s">
        <v>96</v>
      </c>
      <c r="H26" s="51" t="s">
        <v>97</v>
      </c>
      <c r="I26" s="51">
        <v>3</v>
      </c>
      <c r="J26" s="53" t="s">
        <v>98</v>
      </c>
      <c r="K26" s="53" t="s">
        <v>751</v>
      </c>
      <c r="L26" s="51" t="s">
        <v>14</v>
      </c>
      <c r="M26" s="51" t="s">
        <v>99</v>
      </c>
      <c r="N26" s="42">
        <f>N25+(IFERROR(VALUE(LEFT(L26,FIND("분",L26)-1))*60,0)+IFERROR(VALUE(TRIM(MID(L26,IFERROR(FIND("분",L26),0)+1,FIND("초",L26)-IFERROR(FIND("분",L26),0)-1))),0))/86400</f>
        <v>1.846064814814815E-2</v>
      </c>
      <c r="O26" s="43" t="s">
        <v>785</v>
      </c>
      <c r="P26" s="44">
        <f>I26</f>
        <v>3</v>
      </c>
      <c r="Q26" s="64">
        <f>Q25+7</f>
        <v>116</v>
      </c>
      <c r="R26" s="67">
        <f t="shared" si="0"/>
        <v>679.7600000000001</v>
      </c>
    </row>
    <row r="27" spans="1:18" ht="81.95" customHeight="1">
      <c r="A27" s="56" t="s">
        <v>796</v>
      </c>
      <c r="B27" s="51">
        <v>23</v>
      </c>
      <c r="C27" s="51">
        <v>3</v>
      </c>
      <c r="D27" s="51">
        <v>8</v>
      </c>
      <c r="E27" s="53" t="s">
        <v>791</v>
      </c>
      <c r="F27" s="53" t="s">
        <v>100</v>
      </c>
      <c r="G27" s="53" t="s">
        <v>101</v>
      </c>
      <c r="H27" s="51" t="s">
        <v>102</v>
      </c>
      <c r="I27" s="51">
        <v>4</v>
      </c>
      <c r="J27" s="53" t="s">
        <v>103</v>
      </c>
      <c r="K27" s="53" t="s">
        <v>104</v>
      </c>
      <c r="L27" s="51" t="s">
        <v>67</v>
      </c>
      <c r="M27" s="51" t="s">
        <v>105</v>
      </c>
      <c r="N27" s="42">
        <f>N26+(IFERROR(VALUE(LEFT(L27,FIND("분",L27)-1))*60,0)+IFERROR(VALUE(TRIM(MID(L27,IFERROR(FIND("분",L27),0)+1,FIND("초",L27)-IFERROR(FIND("분",L27),0)-1))),0))/86400</f>
        <v>1.9849537037037037E-2</v>
      </c>
      <c r="O27" s="43" t="s">
        <v>785</v>
      </c>
      <c r="P27" s="44">
        <f>I27</f>
        <v>4</v>
      </c>
      <c r="Q27" s="64">
        <f>Q26+9</f>
        <v>125</v>
      </c>
      <c r="R27" s="67">
        <f t="shared" si="0"/>
        <v>788.75</v>
      </c>
    </row>
    <row r="28" spans="1:18" ht="81.95" customHeight="1">
      <c r="A28" s="56" t="s">
        <v>796</v>
      </c>
      <c r="B28" s="51">
        <v>24</v>
      </c>
      <c r="C28" s="51">
        <v>1</v>
      </c>
      <c r="D28" s="51">
        <v>5</v>
      </c>
      <c r="E28" s="53" t="s">
        <v>792</v>
      </c>
      <c r="F28" s="53" t="s">
        <v>58</v>
      </c>
      <c r="G28" s="53" t="s">
        <v>59</v>
      </c>
      <c r="H28" s="51" t="s">
        <v>60</v>
      </c>
      <c r="I28" s="51">
        <v>3</v>
      </c>
      <c r="J28" s="53" t="s">
        <v>106</v>
      </c>
      <c r="K28" s="53" t="s">
        <v>62</v>
      </c>
      <c r="L28" s="51" t="s">
        <v>107</v>
      </c>
      <c r="M28" s="51" t="s">
        <v>64</v>
      </c>
      <c r="N28" s="42">
        <f>N27+(IFERROR(VALUE(LEFT(L28,FIND("분",L28)-1))*60,0)+IFERROR(VALUE(TRIM(MID(L28,IFERROR(FIND("분",L28),0)+1,FIND("초",L28)-IFERROR(FIND("분",L28),0)-1))),0))/86400</f>
        <v>2.060185185185185E-2</v>
      </c>
      <c r="O28" s="43" t="s">
        <v>785</v>
      </c>
      <c r="P28" s="44">
        <f>I28</f>
        <v>3</v>
      </c>
      <c r="Q28" s="64">
        <f>Q27+5</f>
        <v>130</v>
      </c>
      <c r="R28" s="67">
        <f t="shared" si="0"/>
        <v>852.8</v>
      </c>
    </row>
    <row r="29" spans="1:18" ht="81.95" customHeight="1">
      <c r="A29" s="56" t="s">
        <v>796</v>
      </c>
      <c r="B29" s="51">
        <v>25</v>
      </c>
      <c r="C29" s="51">
        <v>2</v>
      </c>
      <c r="D29" s="51">
        <v>5</v>
      </c>
      <c r="E29" s="53" t="s">
        <v>793</v>
      </c>
      <c r="F29" s="53" t="s">
        <v>30</v>
      </c>
      <c r="G29" s="53" t="s">
        <v>108</v>
      </c>
      <c r="H29" s="51" t="s">
        <v>40</v>
      </c>
      <c r="I29" s="51">
        <v>1</v>
      </c>
      <c r="J29" s="53" t="s">
        <v>109</v>
      </c>
      <c r="K29" s="53" t="s">
        <v>745</v>
      </c>
      <c r="L29" s="51" t="s">
        <v>57</v>
      </c>
      <c r="M29" s="51" t="s">
        <v>34</v>
      </c>
      <c r="N29" s="42">
        <f>N28+(IFERROR(VALUE(LEFT(L29,FIND("분",L29)-1))*60,0)+IFERROR(VALUE(TRIM(MID(L29,IFERROR(FIND("분",L29),0)+1,FIND("초",L29)-IFERROR(FIND("분",L29),0)-1))),0))/86400</f>
        <v>2.1874999999999999E-2</v>
      </c>
      <c r="O29" s="43" t="s">
        <v>805</v>
      </c>
      <c r="P29" s="44">
        <f>I29</f>
        <v>1</v>
      </c>
      <c r="Q29" s="64">
        <f>Q28+6</f>
        <v>136</v>
      </c>
      <c r="R29" s="67">
        <f t="shared" si="0"/>
        <v>932.96</v>
      </c>
    </row>
    <row r="30" spans="1:18" ht="81.95" customHeight="1">
      <c r="A30" s="57" t="s">
        <v>797</v>
      </c>
      <c r="B30" s="51">
        <v>26</v>
      </c>
      <c r="C30" s="51">
        <v>1</v>
      </c>
      <c r="D30" s="51">
        <v>5</v>
      </c>
      <c r="E30" s="52" t="s">
        <v>794</v>
      </c>
      <c r="F30" s="53" t="s">
        <v>95</v>
      </c>
      <c r="G30" s="53" t="s">
        <v>110</v>
      </c>
      <c r="H30" s="51" t="s">
        <v>111</v>
      </c>
      <c r="I30" s="51">
        <v>4</v>
      </c>
      <c r="J30" s="53" t="s">
        <v>98</v>
      </c>
      <c r="K30" s="53" t="s">
        <v>749</v>
      </c>
      <c r="L30" s="51" t="s">
        <v>42</v>
      </c>
      <c r="M30" s="51" t="s">
        <v>99</v>
      </c>
      <c r="N30" s="42">
        <f>N29+(IFERROR(VALUE(LEFT(L30,FIND("분",L30)-1))*60,0)+IFERROR(VALUE(TRIM(MID(L30,IFERROR(FIND("분",L30),0)+1,FIND("초",L30)-IFERROR(FIND("분",L30),0)-1))),0))/86400</f>
        <v>2.2743055555555555E-2</v>
      </c>
      <c r="O30" s="43" t="s">
        <v>806</v>
      </c>
      <c r="P30" s="44">
        <f>I30</f>
        <v>4</v>
      </c>
      <c r="Q30" s="64">
        <f>Q29+5</f>
        <v>141</v>
      </c>
      <c r="R30" s="67">
        <f t="shared" si="0"/>
        <v>1002.5100000000001</v>
      </c>
    </row>
    <row r="31" spans="1:18" ht="81.95" customHeight="1">
      <c r="A31" s="57" t="s">
        <v>797</v>
      </c>
      <c r="B31" s="51">
        <v>27</v>
      </c>
      <c r="C31" s="51">
        <v>1</v>
      </c>
      <c r="D31" s="51">
        <v>6</v>
      </c>
      <c r="E31" s="53" t="s">
        <v>112</v>
      </c>
      <c r="F31" s="53" t="s">
        <v>113</v>
      </c>
      <c r="G31" s="53" t="s">
        <v>114</v>
      </c>
      <c r="H31" s="51" t="s">
        <v>115</v>
      </c>
      <c r="I31" s="51">
        <v>1</v>
      </c>
      <c r="J31" s="53" t="s">
        <v>116</v>
      </c>
      <c r="K31" s="53" t="s">
        <v>745</v>
      </c>
      <c r="L31" s="51" t="s">
        <v>50</v>
      </c>
      <c r="M31" s="51" t="s">
        <v>117</v>
      </c>
      <c r="N31" s="42">
        <f>N30+(IFERROR(VALUE(LEFT(L31,FIND("분",L31)-1))*60,0)+IFERROR(VALUE(TRIM(MID(L31,IFERROR(FIND("분",L31),0)+1,FIND("초",L31)-IFERROR(FIND("분",L31),0)-1))),0))/86400</f>
        <v>2.3148148148148147E-2</v>
      </c>
      <c r="O31" s="43" t="s">
        <v>806</v>
      </c>
      <c r="P31" s="44">
        <f>I31</f>
        <v>1</v>
      </c>
      <c r="Q31" s="64">
        <f>Q30+4</f>
        <v>145</v>
      </c>
      <c r="R31" s="67">
        <f t="shared" si="0"/>
        <v>1059.95</v>
      </c>
    </row>
    <row r="32" spans="1:18" ht="81.95" customHeight="1">
      <c r="A32" s="57" t="s">
        <v>797</v>
      </c>
      <c r="B32" s="51">
        <v>28</v>
      </c>
      <c r="C32" s="51">
        <v>1</v>
      </c>
      <c r="D32" s="51">
        <v>5</v>
      </c>
      <c r="E32" s="53" t="s">
        <v>118</v>
      </c>
      <c r="F32" s="53" t="s">
        <v>119</v>
      </c>
      <c r="G32" s="53" t="s">
        <v>120</v>
      </c>
      <c r="H32" s="51" t="s">
        <v>121</v>
      </c>
      <c r="I32" s="51">
        <v>1</v>
      </c>
      <c r="J32" s="53" t="s">
        <v>122</v>
      </c>
      <c r="K32" s="53" t="s">
        <v>746</v>
      </c>
      <c r="L32" s="51" t="s">
        <v>123</v>
      </c>
      <c r="M32" s="51" t="s">
        <v>124</v>
      </c>
      <c r="N32" s="42">
        <f>N31+(IFERROR(VALUE(LEFT(L32,FIND("분",L32)-1))*60,0)+IFERROR(VALUE(TRIM(MID(L32,IFERROR(FIND("분",L32),0)+1,FIND("초",L32)-IFERROR(FIND("분",L32),0)-1))),0))/86400</f>
        <v>2.3668981481481482E-2</v>
      </c>
      <c r="O32" s="43" t="s">
        <v>806</v>
      </c>
      <c r="P32" s="44">
        <f>I32</f>
        <v>1</v>
      </c>
      <c r="Q32" s="64">
        <f>Q31+4</f>
        <v>149</v>
      </c>
      <c r="R32" s="67">
        <f t="shared" si="0"/>
        <v>1118.99</v>
      </c>
    </row>
    <row r="33" spans="1:18" ht="81.95" customHeight="1">
      <c r="A33" s="57" t="s">
        <v>797</v>
      </c>
      <c r="B33" s="51">
        <v>29</v>
      </c>
      <c r="C33" s="51">
        <v>2</v>
      </c>
      <c r="D33" s="51">
        <v>5</v>
      </c>
      <c r="E33" s="53" t="s">
        <v>125</v>
      </c>
      <c r="F33" s="53" t="s">
        <v>43</v>
      </c>
      <c r="G33" s="53" t="s">
        <v>126</v>
      </c>
      <c r="H33" s="51" t="s">
        <v>45</v>
      </c>
      <c r="I33" s="51">
        <v>4</v>
      </c>
      <c r="J33" s="53" t="s">
        <v>127</v>
      </c>
      <c r="K33" s="53" t="s">
        <v>745</v>
      </c>
      <c r="L33" s="51" t="s">
        <v>128</v>
      </c>
      <c r="M33" s="51" t="s">
        <v>47</v>
      </c>
      <c r="N33" s="42">
        <f>N32+(IFERROR(VALUE(LEFT(L33,FIND("분",L33)-1))*60,0)+IFERROR(VALUE(TRIM(MID(L33,IFERROR(FIND("분",L33),0)+1,FIND("초",L33)-IFERROR(FIND("분",L33),0)-1))),0))/86400</f>
        <v>2.4652777777777777E-2</v>
      </c>
      <c r="O33" s="43" t="s">
        <v>807</v>
      </c>
      <c r="P33" s="44">
        <f>I33</f>
        <v>4</v>
      </c>
      <c r="Q33" s="64">
        <f>Q32+6</f>
        <v>155</v>
      </c>
      <c r="R33" s="67">
        <f t="shared" si="0"/>
        <v>1210.55</v>
      </c>
    </row>
    <row r="34" spans="1:18" ht="81.95" customHeight="1">
      <c r="A34" s="57" t="s">
        <v>797</v>
      </c>
      <c r="B34" s="51">
        <v>30</v>
      </c>
      <c r="C34" s="51">
        <v>1</v>
      </c>
      <c r="D34" s="51">
        <v>5</v>
      </c>
      <c r="E34" s="53" t="s">
        <v>129</v>
      </c>
      <c r="F34" s="53" t="s">
        <v>130</v>
      </c>
      <c r="G34" s="53" t="s">
        <v>773</v>
      </c>
      <c r="H34" s="51" t="s">
        <v>131</v>
      </c>
      <c r="I34" s="51">
        <v>3</v>
      </c>
      <c r="J34" s="53" t="s">
        <v>132</v>
      </c>
      <c r="K34" s="53" t="s">
        <v>752</v>
      </c>
      <c r="L34" s="51" t="s">
        <v>89</v>
      </c>
      <c r="M34" s="51" t="s">
        <v>133</v>
      </c>
      <c r="N34" s="42">
        <f>N33+(IFERROR(VALUE(LEFT(L34,FIND("분",L34)-1))*60,0)+IFERROR(VALUE(TRIM(MID(L34,IFERROR(FIND("분",L34),0)+1,FIND("초",L34)-IFERROR(FIND("분",L34),0)-1))),0))/86400</f>
        <v>2.5289351851851851E-2</v>
      </c>
      <c r="O34" s="43" t="s">
        <v>806</v>
      </c>
      <c r="P34" s="44">
        <f>I34</f>
        <v>3</v>
      </c>
      <c r="Q34" s="64">
        <f>Q33+4</f>
        <v>159</v>
      </c>
      <c r="R34" s="67">
        <f t="shared" si="0"/>
        <v>1273.5899999999999</v>
      </c>
    </row>
    <row r="35" spans="1:18" ht="81.95" customHeight="1">
      <c r="A35" s="57" t="s">
        <v>797</v>
      </c>
      <c r="B35" s="51">
        <v>31</v>
      </c>
      <c r="C35" s="51">
        <v>2</v>
      </c>
      <c r="D35" s="51">
        <v>6</v>
      </c>
      <c r="E35" s="53" t="s">
        <v>134</v>
      </c>
      <c r="F35" s="53" t="s">
        <v>135</v>
      </c>
      <c r="G35" s="53" t="s">
        <v>136</v>
      </c>
      <c r="H35" s="51" t="s">
        <v>137</v>
      </c>
      <c r="I35" s="51">
        <v>8</v>
      </c>
      <c r="J35" s="53" t="s">
        <v>138</v>
      </c>
      <c r="K35" s="53" t="s">
        <v>139</v>
      </c>
      <c r="L35" s="51" t="s">
        <v>140</v>
      </c>
      <c r="M35" s="51" t="s">
        <v>141</v>
      </c>
      <c r="N35" s="42">
        <f>N34+(IFERROR(VALUE(LEFT(L35,FIND("분",L35)-1))*60,0)+IFERROR(VALUE(TRIM(MID(L35,IFERROR(FIND("분",L35),0)+1,FIND("초",L35)-IFERROR(FIND("분",L35),0)-1))),0))/86400</f>
        <v>2.7372685185185184E-2</v>
      </c>
      <c r="O35" s="43" t="s">
        <v>806</v>
      </c>
      <c r="P35" s="44">
        <f>I35</f>
        <v>8</v>
      </c>
      <c r="Q35" s="64">
        <f>Q34+9</f>
        <v>168</v>
      </c>
      <c r="R35" s="67">
        <f t="shared" si="0"/>
        <v>1421.28</v>
      </c>
    </row>
    <row r="36" spans="1:18" ht="81.95" customHeight="1">
      <c r="A36" s="57" t="s">
        <v>797</v>
      </c>
      <c r="B36" s="51">
        <v>32</v>
      </c>
      <c r="C36" s="51">
        <v>2</v>
      </c>
      <c r="D36" s="51">
        <v>6</v>
      </c>
      <c r="E36" s="53" t="s">
        <v>142</v>
      </c>
      <c r="F36" s="53" t="s">
        <v>135</v>
      </c>
      <c r="G36" s="53" t="s">
        <v>143</v>
      </c>
      <c r="H36" s="51" t="s">
        <v>137</v>
      </c>
      <c r="I36" s="51">
        <v>7</v>
      </c>
      <c r="J36" s="53" t="s">
        <v>144</v>
      </c>
      <c r="K36" s="53" t="s">
        <v>139</v>
      </c>
      <c r="L36" s="51" t="s">
        <v>145</v>
      </c>
      <c r="M36" s="51" t="s">
        <v>141</v>
      </c>
      <c r="N36" s="42">
        <f>N35+(IFERROR(VALUE(LEFT(L36,FIND("분",L36)-1))*60,0)+IFERROR(VALUE(TRIM(MID(L36,IFERROR(FIND("분",L36),0)+1,FIND("초",L36)-IFERROR(FIND("분",L36),0)-1))),0))/86400</f>
        <v>2.9224537037037035E-2</v>
      </c>
      <c r="O36" s="43" t="s">
        <v>806</v>
      </c>
      <c r="P36" s="44">
        <f>I36</f>
        <v>7</v>
      </c>
      <c r="Q36" s="64">
        <f>Q35+9</f>
        <v>177</v>
      </c>
      <c r="R36" s="67">
        <f t="shared" si="0"/>
        <v>1577.07</v>
      </c>
    </row>
    <row r="37" spans="1:18" ht="81.95" customHeight="1">
      <c r="A37" s="57" t="s">
        <v>797</v>
      </c>
      <c r="B37" s="51">
        <v>33</v>
      </c>
      <c r="C37" s="51">
        <v>3</v>
      </c>
      <c r="D37" s="51">
        <v>6</v>
      </c>
      <c r="E37" s="53" t="s">
        <v>146</v>
      </c>
      <c r="F37" s="53" t="s">
        <v>135</v>
      </c>
      <c r="G37" s="53" t="s">
        <v>147</v>
      </c>
      <c r="H37" s="51" t="s">
        <v>148</v>
      </c>
      <c r="I37" s="51">
        <v>6</v>
      </c>
      <c r="J37" s="53" t="s">
        <v>149</v>
      </c>
      <c r="K37" s="53" t="s">
        <v>139</v>
      </c>
      <c r="L37" s="51" t="s">
        <v>94</v>
      </c>
      <c r="M37" s="51" t="s">
        <v>141</v>
      </c>
      <c r="N37" s="42">
        <f>N36+(IFERROR(VALUE(LEFT(L37,FIND("분",L37)-1))*60,0)+IFERROR(VALUE(TRIM(MID(L37,IFERROR(FIND("분",L37),0)+1,FIND("초",L37)-IFERROR(FIND("분",L37),0)-1))),0))/86400</f>
        <v>3.0960648148148147E-2</v>
      </c>
      <c r="O37" s="43" t="s">
        <v>806</v>
      </c>
      <c r="P37" s="44">
        <f>I37</f>
        <v>6</v>
      </c>
      <c r="Q37" s="64">
        <f>Q36+9</f>
        <v>186</v>
      </c>
      <c r="R37" s="67">
        <f t="shared" si="0"/>
        <v>1740.9600000000003</v>
      </c>
    </row>
    <row r="38" spans="1:18" ht="81.95" customHeight="1">
      <c r="A38" s="57" t="s">
        <v>797</v>
      </c>
      <c r="B38" s="51">
        <v>34</v>
      </c>
      <c r="C38" s="51">
        <v>1</v>
      </c>
      <c r="D38" s="51">
        <v>5</v>
      </c>
      <c r="E38" s="53" t="s">
        <v>150</v>
      </c>
      <c r="F38" s="53" t="s">
        <v>20</v>
      </c>
      <c r="G38" s="53" t="s">
        <v>21</v>
      </c>
      <c r="H38" s="51" t="s">
        <v>51</v>
      </c>
      <c r="I38" s="51">
        <v>1</v>
      </c>
      <c r="J38" s="53" t="s">
        <v>151</v>
      </c>
      <c r="K38" s="53" t="s">
        <v>746</v>
      </c>
      <c r="L38" s="51" t="s">
        <v>14</v>
      </c>
      <c r="M38" s="51" t="s">
        <v>24</v>
      </c>
      <c r="N38" s="42">
        <f>N37+(IFERROR(VALUE(LEFT(L38,FIND("분",L38)-1))*60,0)+IFERROR(VALUE(TRIM(MID(L38,IFERROR(FIND("분",L38),0)+1,FIND("초",L38)-IFERROR(FIND("분",L38),0)-1))),0))/86400</f>
        <v>3.2002314814814817E-2</v>
      </c>
      <c r="O38" s="43" t="s">
        <v>806</v>
      </c>
      <c r="P38" s="44">
        <f>I38</f>
        <v>1</v>
      </c>
      <c r="Q38" s="64">
        <f>Q37+5</f>
        <v>191</v>
      </c>
      <c r="R38" s="67">
        <f t="shared" si="0"/>
        <v>1835.5100000000002</v>
      </c>
    </row>
    <row r="39" spans="1:18" ht="81.95" customHeight="1">
      <c r="A39" s="57" t="s">
        <v>797</v>
      </c>
      <c r="B39" s="51">
        <v>35</v>
      </c>
      <c r="C39" s="51">
        <v>2</v>
      </c>
      <c r="D39" s="51">
        <v>5</v>
      </c>
      <c r="E39" s="53" t="s">
        <v>152</v>
      </c>
      <c r="F39" s="53" t="s">
        <v>153</v>
      </c>
      <c r="G39" s="53" t="s">
        <v>154</v>
      </c>
      <c r="H39" s="51" t="s">
        <v>155</v>
      </c>
      <c r="I39" s="51">
        <v>4</v>
      </c>
      <c r="J39" s="53" t="s">
        <v>156</v>
      </c>
      <c r="K39" s="53" t="s">
        <v>745</v>
      </c>
      <c r="L39" s="51" t="s">
        <v>157</v>
      </c>
      <c r="M39" s="51" t="s">
        <v>158</v>
      </c>
      <c r="N39" s="42">
        <f>N38+(IFERROR(VALUE(LEFT(L39,FIND("분",L39)-1))*60,0)+IFERROR(VALUE(TRIM(MID(L39,IFERROR(FIND("분",L39),0)+1,FIND("초",L39)-IFERROR(FIND("분",L39),0)-1))),0))/86400</f>
        <v>3.3622685185185186E-2</v>
      </c>
      <c r="O39" s="43" t="s">
        <v>806</v>
      </c>
      <c r="P39" s="44">
        <f>I39</f>
        <v>4</v>
      </c>
      <c r="Q39" s="64">
        <f>Q38+8</f>
        <v>199</v>
      </c>
      <c r="R39" s="67">
        <f t="shared" si="0"/>
        <v>1991.9900000000002</v>
      </c>
    </row>
    <row r="40" spans="1:18" ht="81.95" customHeight="1">
      <c r="A40" s="57" t="s">
        <v>797</v>
      </c>
      <c r="B40" s="51">
        <v>36</v>
      </c>
      <c r="C40" s="51">
        <v>2</v>
      </c>
      <c r="D40" s="51">
        <v>6</v>
      </c>
      <c r="E40" s="53" t="s">
        <v>159</v>
      </c>
      <c r="F40" s="53" t="s">
        <v>160</v>
      </c>
      <c r="G40" s="53" t="s">
        <v>161</v>
      </c>
      <c r="H40" s="51" t="s">
        <v>162</v>
      </c>
      <c r="I40" s="51">
        <v>3</v>
      </c>
      <c r="J40" s="53" t="s">
        <v>163</v>
      </c>
      <c r="K40" s="53" t="s">
        <v>164</v>
      </c>
      <c r="L40" s="51" t="s">
        <v>42</v>
      </c>
      <c r="M40" s="51" t="s">
        <v>165</v>
      </c>
      <c r="N40" s="42">
        <f>N39+(IFERROR(VALUE(LEFT(L40,FIND("분",L40)-1))*60,0)+IFERROR(VALUE(TRIM(MID(L40,IFERROR(FIND("분",L40),0)+1,FIND("초",L40)-IFERROR(FIND("분",L40),0)-1))),0))/86400</f>
        <v>3.4490740740740738E-2</v>
      </c>
      <c r="O40" s="43" t="s">
        <v>806</v>
      </c>
      <c r="P40" s="44">
        <f>I40</f>
        <v>3</v>
      </c>
      <c r="Q40" s="64">
        <f>Q39+6</f>
        <v>205</v>
      </c>
      <c r="R40" s="67">
        <f t="shared" si="0"/>
        <v>2113.5500000000002</v>
      </c>
    </row>
    <row r="41" spans="1:18" ht="81.95" customHeight="1">
      <c r="A41" s="57" t="s">
        <v>797</v>
      </c>
      <c r="B41" s="51">
        <v>37</v>
      </c>
      <c r="C41" s="51">
        <v>3</v>
      </c>
      <c r="D41" s="51">
        <v>7</v>
      </c>
      <c r="E41" s="53" t="s">
        <v>166</v>
      </c>
      <c r="F41" s="53" t="s">
        <v>167</v>
      </c>
      <c r="G41" s="53" t="s">
        <v>168</v>
      </c>
      <c r="H41" s="51" t="s">
        <v>169</v>
      </c>
      <c r="I41" s="51">
        <v>5</v>
      </c>
      <c r="J41" s="53" t="s">
        <v>170</v>
      </c>
      <c r="K41" s="53" t="s">
        <v>745</v>
      </c>
      <c r="L41" s="51" t="s">
        <v>171</v>
      </c>
      <c r="M41" s="51" t="s">
        <v>172</v>
      </c>
      <c r="N41" s="42">
        <f>N40+(IFERROR(VALUE(LEFT(L41,FIND("분",L41)-1))*60,0)+IFERROR(VALUE(TRIM(MID(L41,IFERROR(FIND("분",L41),0)+1,FIND("초",L41)-IFERROR(FIND("분",L41),0)-1))),0))/86400</f>
        <v>3.6458333333333329E-2</v>
      </c>
      <c r="O41" s="43" t="s">
        <v>806</v>
      </c>
      <c r="P41" s="44">
        <f>I41</f>
        <v>5</v>
      </c>
      <c r="Q41" s="64">
        <f>Q40+10</f>
        <v>215</v>
      </c>
      <c r="R41" s="67">
        <f t="shared" si="0"/>
        <v>2324.15</v>
      </c>
    </row>
    <row r="42" spans="1:18" ht="81.95" customHeight="1">
      <c r="A42" s="57" t="s">
        <v>797</v>
      </c>
      <c r="B42" s="51">
        <v>38</v>
      </c>
      <c r="C42" s="51">
        <v>1</v>
      </c>
      <c r="D42" s="51">
        <v>8</v>
      </c>
      <c r="E42" s="53" t="s">
        <v>173</v>
      </c>
      <c r="F42" s="53" t="s">
        <v>174</v>
      </c>
      <c r="G42" s="53" t="s">
        <v>175</v>
      </c>
      <c r="H42" s="51" t="s">
        <v>176</v>
      </c>
      <c r="I42" s="51">
        <v>2</v>
      </c>
      <c r="J42" s="53" t="s">
        <v>177</v>
      </c>
      <c r="K42" s="53" t="s">
        <v>178</v>
      </c>
      <c r="L42" s="51" t="s">
        <v>91</v>
      </c>
      <c r="M42" s="51" t="s">
        <v>179</v>
      </c>
      <c r="N42" s="42">
        <f>N41+(IFERROR(VALUE(LEFT(L42,FIND("분",L42)-1))*60,0)+IFERROR(VALUE(TRIM(MID(L42,IFERROR(FIND("분",L42),0)+1,FIND("초",L42)-IFERROR(FIND("분",L42),0)-1))),0))/86400</f>
        <v>3.7268518518518513E-2</v>
      </c>
      <c r="O42" s="43" t="s">
        <v>806</v>
      </c>
      <c r="P42" s="44">
        <f>I42</f>
        <v>2</v>
      </c>
      <c r="Q42" s="64">
        <f>Q41+6</f>
        <v>221</v>
      </c>
      <c r="R42" s="67">
        <f t="shared" si="0"/>
        <v>2455.3100000000004</v>
      </c>
    </row>
    <row r="43" spans="1:18" ht="81.95" customHeight="1">
      <c r="A43" s="57" t="s">
        <v>797</v>
      </c>
      <c r="B43" s="51">
        <v>39</v>
      </c>
      <c r="C43" s="51">
        <v>1</v>
      </c>
      <c r="D43" s="51">
        <v>5</v>
      </c>
      <c r="E43" s="53" t="s">
        <v>180</v>
      </c>
      <c r="F43" s="53" t="s">
        <v>181</v>
      </c>
      <c r="G43" s="53" t="s">
        <v>182</v>
      </c>
      <c r="H43" s="51" t="s">
        <v>183</v>
      </c>
      <c r="I43" s="51">
        <v>4</v>
      </c>
      <c r="J43" s="53" t="s">
        <v>184</v>
      </c>
      <c r="K43" s="53" t="s">
        <v>185</v>
      </c>
      <c r="L43" s="51" t="s">
        <v>14</v>
      </c>
      <c r="M43" s="51" t="s">
        <v>186</v>
      </c>
      <c r="N43" s="42">
        <f>N42+(IFERROR(VALUE(LEFT(L43,FIND("분",L43)-1))*60,0)+IFERROR(VALUE(TRIM(MID(L43,IFERROR(FIND("분",L43),0)+1,FIND("초",L43)-IFERROR(FIND("분",L43),0)-1))),0))/86400</f>
        <v>3.8310185185185183E-2</v>
      </c>
      <c r="O43" s="43" t="s">
        <v>806</v>
      </c>
      <c r="P43" s="44">
        <f>I43</f>
        <v>4</v>
      </c>
      <c r="Q43" s="64">
        <f>Q42+6</f>
        <v>227</v>
      </c>
      <c r="R43" s="67">
        <f t="shared" si="0"/>
        <v>2590.0700000000002</v>
      </c>
    </row>
    <row r="44" spans="1:18" ht="81.95" customHeight="1">
      <c r="A44" s="57" t="s">
        <v>797</v>
      </c>
      <c r="B44" s="51">
        <v>40</v>
      </c>
      <c r="C44" s="51">
        <v>2</v>
      </c>
      <c r="D44" s="51">
        <v>6</v>
      </c>
      <c r="E44" s="53" t="s">
        <v>187</v>
      </c>
      <c r="F44" s="53" t="s">
        <v>30</v>
      </c>
      <c r="G44" s="53" t="s">
        <v>188</v>
      </c>
      <c r="H44" s="51" t="s">
        <v>40</v>
      </c>
      <c r="I44" s="51">
        <v>1</v>
      </c>
      <c r="J44" s="53" t="s">
        <v>189</v>
      </c>
      <c r="K44" s="53" t="s">
        <v>746</v>
      </c>
      <c r="L44" s="51" t="s">
        <v>42</v>
      </c>
      <c r="M44" s="51" t="s">
        <v>34</v>
      </c>
      <c r="N44" s="42">
        <f>N43+(IFERROR(VALUE(LEFT(L44,FIND("분",L44)-1))*60,0)+IFERROR(VALUE(TRIM(MID(L44,IFERROR(FIND("분",L44),0)+1,FIND("초",L44)-IFERROR(FIND("분",L44),0)-1))),0))/86400</f>
        <v>3.9178240740740736E-2</v>
      </c>
      <c r="O44" s="43" t="s">
        <v>786</v>
      </c>
      <c r="P44" s="44">
        <f>I44</f>
        <v>1</v>
      </c>
      <c r="Q44" s="64">
        <f>Q43+6</f>
        <v>233</v>
      </c>
      <c r="R44" s="67">
        <f t="shared" si="0"/>
        <v>2728.4300000000003</v>
      </c>
    </row>
    <row r="45" spans="1:18" ht="81.95" customHeight="1">
      <c r="A45" s="57" t="s">
        <v>797</v>
      </c>
      <c r="B45" s="51">
        <v>41</v>
      </c>
      <c r="C45" s="51">
        <v>2</v>
      </c>
      <c r="D45" s="51">
        <v>6</v>
      </c>
      <c r="E45" s="53" t="s">
        <v>190</v>
      </c>
      <c r="F45" s="53" t="s">
        <v>191</v>
      </c>
      <c r="G45" s="53" t="s">
        <v>192</v>
      </c>
      <c r="H45" s="51" t="s">
        <v>193</v>
      </c>
      <c r="I45" s="51">
        <v>8</v>
      </c>
      <c r="J45" s="53" t="s">
        <v>194</v>
      </c>
      <c r="K45" s="53" t="s">
        <v>195</v>
      </c>
      <c r="L45" s="51" t="s">
        <v>157</v>
      </c>
      <c r="M45" s="51" t="s">
        <v>196</v>
      </c>
      <c r="N45" s="42">
        <f>N44+(IFERROR(VALUE(LEFT(L45,FIND("분",L45)-1))*60,0)+IFERROR(VALUE(TRIM(MID(L45,IFERROR(FIND("분",L45),0)+1,FIND("초",L45)-IFERROR(FIND("분",L45),0)-1))),0))/86400</f>
        <v>4.0798611111111105E-2</v>
      </c>
      <c r="O45" s="43" t="s">
        <v>786</v>
      </c>
      <c r="P45" s="44">
        <f>I45</f>
        <v>8</v>
      </c>
      <c r="Q45" s="64">
        <f>Q44+8</f>
        <v>241</v>
      </c>
      <c r="R45" s="67">
        <f t="shared" si="0"/>
        <v>2918.51</v>
      </c>
    </row>
    <row r="46" spans="1:18" ht="81.95" customHeight="1">
      <c r="A46" s="57" t="s">
        <v>797</v>
      </c>
      <c r="B46" s="51">
        <v>42</v>
      </c>
      <c r="C46" s="51">
        <v>3</v>
      </c>
      <c r="D46" s="51">
        <v>7</v>
      </c>
      <c r="E46" s="53" t="s">
        <v>197</v>
      </c>
      <c r="F46" s="53" t="s">
        <v>191</v>
      </c>
      <c r="G46" s="53" t="s">
        <v>198</v>
      </c>
      <c r="H46" s="51" t="s">
        <v>199</v>
      </c>
      <c r="I46" s="51">
        <v>10</v>
      </c>
      <c r="J46" s="53" t="s">
        <v>200</v>
      </c>
      <c r="K46" s="53" t="s">
        <v>195</v>
      </c>
      <c r="L46" s="51" t="s">
        <v>140</v>
      </c>
      <c r="M46" s="51" t="s">
        <v>196</v>
      </c>
      <c r="N46" s="42">
        <f>N45+(IFERROR(VALUE(LEFT(L46,FIND("분",L46)-1))*60,0)+IFERROR(VALUE(TRIM(MID(L46,IFERROR(FIND("분",L46),0)+1,FIND("초",L46)-IFERROR(FIND("분",L46),0)-1))),0))/86400</f>
        <v>4.2881944444444438E-2</v>
      </c>
      <c r="O46" s="43" t="s">
        <v>786</v>
      </c>
      <c r="P46" s="44">
        <f>I46</f>
        <v>10</v>
      </c>
      <c r="Q46" s="64">
        <f>Q45+10</f>
        <v>251</v>
      </c>
      <c r="R46" s="67">
        <f t="shared" si="0"/>
        <v>3165.11</v>
      </c>
    </row>
    <row r="47" spans="1:18" ht="81.95" customHeight="1">
      <c r="A47" s="57" t="s">
        <v>797</v>
      </c>
      <c r="B47" s="51">
        <v>43</v>
      </c>
      <c r="C47" s="51">
        <v>3</v>
      </c>
      <c r="D47" s="51">
        <v>7</v>
      </c>
      <c r="E47" s="53" t="s">
        <v>201</v>
      </c>
      <c r="F47" s="53" t="s">
        <v>191</v>
      </c>
      <c r="G47" s="53" t="s">
        <v>202</v>
      </c>
      <c r="H47" s="51" t="s">
        <v>203</v>
      </c>
      <c r="I47" s="51">
        <v>6</v>
      </c>
      <c r="J47" s="53" t="s">
        <v>204</v>
      </c>
      <c r="K47" s="53" t="s">
        <v>195</v>
      </c>
      <c r="L47" s="51" t="s">
        <v>145</v>
      </c>
      <c r="M47" s="51" t="s">
        <v>196</v>
      </c>
      <c r="N47" s="42">
        <f>N46+(IFERROR(VALUE(LEFT(L47,FIND("분",L47)-1))*60,0)+IFERROR(VALUE(TRIM(MID(L47,IFERROR(FIND("분",L47),0)+1,FIND("초",L47)-IFERROR(FIND("분",L47),0)-1))),0))/86400</f>
        <v>4.4733796296296292E-2</v>
      </c>
      <c r="O47" s="43" t="s">
        <v>786</v>
      </c>
      <c r="P47" s="44">
        <f>I47</f>
        <v>6</v>
      </c>
      <c r="Q47" s="64">
        <f>Q46+10</f>
        <v>261</v>
      </c>
      <c r="R47" s="67">
        <f t="shared" si="0"/>
        <v>3421.71</v>
      </c>
    </row>
    <row r="48" spans="1:18" ht="81.95" customHeight="1">
      <c r="A48" s="57" t="s">
        <v>797</v>
      </c>
      <c r="B48" s="51">
        <v>44</v>
      </c>
      <c r="C48" s="51">
        <v>2</v>
      </c>
      <c r="D48" s="51">
        <v>7</v>
      </c>
      <c r="E48" s="53" t="s">
        <v>205</v>
      </c>
      <c r="F48" s="53" t="s">
        <v>181</v>
      </c>
      <c r="G48" s="53" t="s">
        <v>206</v>
      </c>
      <c r="H48" s="51" t="s">
        <v>183</v>
      </c>
      <c r="I48" s="51">
        <v>3</v>
      </c>
      <c r="J48" s="53" t="s">
        <v>184</v>
      </c>
      <c r="K48" s="53" t="s">
        <v>185</v>
      </c>
      <c r="L48" s="51" t="s">
        <v>91</v>
      </c>
      <c r="M48" s="51" t="s">
        <v>186</v>
      </c>
      <c r="N48" s="42">
        <f>N47+(IFERROR(VALUE(LEFT(L48,FIND("분",L48)-1))*60,0)+IFERROR(VALUE(TRIM(MID(L48,IFERROR(FIND("분",L48),0)+1,FIND("초",L48)-IFERROR(FIND("분",L48),0)-1))),0))/86400</f>
        <v>4.5543981481481477E-2</v>
      </c>
      <c r="O48" s="43" t="s">
        <v>786</v>
      </c>
      <c r="P48" s="44">
        <f>I48</f>
        <v>3</v>
      </c>
      <c r="Q48" s="64">
        <f>Q47+6</f>
        <v>267</v>
      </c>
      <c r="R48" s="67">
        <f t="shared" si="0"/>
        <v>3580.4700000000003</v>
      </c>
    </row>
    <row r="49" spans="1:18" ht="81.95" customHeight="1">
      <c r="A49" s="57" t="s">
        <v>797</v>
      </c>
      <c r="B49" s="51">
        <v>45</v>
      </c>
      <c r="C49" s="51">
        <v>1</v>
      </c>
      <c r="D49" s="51">
        <v>9</v>
      </c>
      <c r="E49" s="53" t="s">
        <v>207</v>
      </c>
      <c r="F49" s="53" t="s">
        <v>113</v>
      </c>
      <c r="G49" s="53" t="s">
        <v>208</v>
      </c>
      <c r="H49" s="51" t="s">
        <v>115</v>
      </c>
      <c r="I49" s="51">
        <v>1</v>
      </c>
      <c r="J49" s="53" t="s">
        <v>116</v>
      </c>
      <c r="K49" s="53" t="s">
        <v>748</v>
      </c>
      <c r="L49" s="51" t="s">
        <v>63</v>
      </c>
      <c r="M49" s="51" t="s">
        <v>117</v>
      </c>
      <c r="N49" s="42">
        <f>N48+(IFERROR(VALUE(LEFT(L49,FIND("분",L49)-1))*60,0)+IFERROR(VALUE(TRIM(MID(L49,IFERROR(FIND("분",L49),0)+1,FIND("초",L49)-IFERROR(FIND("분",L49),0)-1))),0))/86400</f>
        <v>4.6122685185185183E-2</v>
      </c>
      <c r="O49" s="43" t="s">
        <v>808</v>
      </c>
      <c r="P49" s="44">
        <f>I49</f>
        <v>1</v>
      </c>
      <c r="Q49" s="64">
        <f>Q48+6</f>
        <v>273</v>
      </c>
      <c r="R49" s="67">
        <f t="shared" si="0"/>
        <v>3742.8300000000004</v>
      </c>
    </row>
    <row r="50" spans="1:18" ht="81.95" customHeight="1">
      <c r="A50" s="57" t="s">
        <v>797</v>
      </c>
      <c r="B50" s="51">
        <v>46</v>
      </c>
      <c r="C50" s="51">
        <v>2</v>
      </c>
      <c r="D50" s="51">
        <v>9</v>
      </c>
      <c r="E50" s="53" t="s">
        <v>209</v>
      </c>
      <c r="F50" s="53" t="s">
        <v>95</v>
      </c>
      <c r="G50" s="53" t="s">
        <v>210</v>
      </c>
      <c r="H50" s="51" t="s">
        <v>211</v>
      </c>
      <c r="I50" s="51">
        <v>3</v>
      </c>
      <c r="J50" s="53" t="s">
        <v>98</v>
      </c>
      <c r="K50" s="53" t="s">
        <v>753</v>
      </c>
      <c r="L50" s="51" t="s">
        <v>212</v>
      </c>
      <c r="M50" s="51" t="s">
        <v>99</v>
      </c>
      <c r="N50" s="42">
        <f>N49+(IFERROR(VALUE(LEFT(L50,FIND("분",L50)-1))*60,0)+IFERROR(VALUE(TRIM(MID(L50,IFERROR(FIND("분",L50),0)+1,FIND("초",L50)-IFERROR(FIND("분",L50),0)-1))),0))/86400</f>
        <v>4.7222222222222221E-2</v>
      </c>
      <c r="O50" s="43" t="s">
        <v>808</v>
      </c>
      <c r="P50" s="44">
        <f>I50</f>
        <v>3</v>
      </c>
      <c r="Q50" s="64">
        <f>Q49+8</f>
        <v>281</v>
      </c>
      <c r="R50" s="67">
        <f t="shared" si="0"/>
        <v>3964.9100000000003</v>
      </c>
    </row>
    <row r="51" spans="1:18" ht="81.95" customHeight="1">
      <c r="A51" s="57" t="s">
        <v>797</v>
      </c>
      <c r="B51" s="51">
        <v>47</v>
      </c>
      <c r="C51" s="51">
        <v>2</v>
      </c>
      <c r="D51" s="51">
        <v>5</v>
      </c>
      <c r="E51" s="53" t="s">
        <v>213</v>
      </c>
      <c r="F51" s="53" t="s">
        <v>30</v>
      </c>
      <c r="G51" s="53" t="s">
        <v>214</v>
      </c>
      <c r="H51" s="51" t="s">
        <v>40</v>
      </c>
      <c r="I51" s="51">
        <v>1</v>
      </c>
      <c r="J51" s="53" t="s">
        <v>215</v>
      </c>
      <c r="K51" s="53" t="s">
        <v>745</v>
      </c>
      <c r="L51" s="51" t="s">
        <v>67</v>
      </c>
      <c r="M51" s="51" t="s">
        <v>34</v>
      </c>
      <c r="N51" s="42">
        <f>N50+(IFERROR(VALUE(LEFT(L51,FIND("분",L51)-1))*60,0)+IFERROR(VALUE(TRIM(MID(L51,IFERROR(FIND("분",L51),0)+1,FIND("초",L51)-IFERROR(FIND("분",L51),0)-1))),0))/86400</f>
        <v>4.8611111111111112E-2</v>
      </c>
      <c r="O51" s="43" t="s">
        <v>809</v>
      </c>
      <c r="P51" s="44">
        <f>I51</f>
        <v>1</v>
      </c>
      <c r="Q51" s="64">
        <f>Q50+7</f>
        <v>288</v>
      </c>
      <c r="R51" s="67">
        <f t="shared" si="0"/>
        <v>4164.4799999999996</v>
      </c>
    </row>
    <row r="52" spans="1:18" ht="81.95" customHeight="1">
      <c r="A52" s="57" t="s">
        <v>797</v>
      </c>
      <c r="B52" s="51">
        <v>48</v>
      </c>
      <c r="C52" s="51">
        <v>1</v>
      </c>
      <c r="D52" s="51">
        <v>5</v>
      </c>
      <c r="E52" s="53" t="s">
        <v>216</v>
      </c>
      <c r="F52" s="53" t="s">
        <v>217</v>
      </c>
      <c r="G52" s="53" t="s">
        <v>218</v>
      </c>
      <c r="H52" s="51" t="s">
        <v>219</v>
      </c>
      <c r="I52" s="51">
        <v>1</v>
      </c>
      <c r="J52" s="53" t="s">
        <v>220</v>
      </c>
      <c r="K52" s="53" t="s">
        <v>745</v>
      </c>
      <c r="L52" s="51" t="s">
        <v>50</v>
      </c>
      <c r="M52" s="51" t="s">
        <v>221</v>
      </c>
      <c r="N52" s="42">
        <f>N51+(IFERROR(VALUE(LEFT(L52,FIND("분",L52)-1))*60,0)+IFERROR(VALUE(TRIM(MID(L52,IFERROR(FIND("분",L52),0)+1,FIND("초",L52)-IFERROR(FIND("분",L52),0)-1))),0))/86400</f>
        <v>4.9016203703703708E-2</v>
      </c>
      <c r="O52" s="43" t="s">
        <v>809</v>
      </c>
      <c r="P52" s="44">
        <f>I52</f>
        <v>1</v>
      </c>
      <c r="Q52" s="64">
        <f>Q51+4</f>
        <v>292</v>
      </c>
      <c r="R52" s="67">
        <f t="shared" si="0"/>
        <v>4280.7200000000012</v>
      </c>
    </row>
    <row r="53" spans="1:18" ht="81.95" customHeight="1">
      <c r="A53" s="58" t="s">
        <v>798</v>
      </c>
      <c r="B53" s="51">
        <v>49</v>
      </c>
      <c r="C53" s="51">
        <v>1</v>
      </c>
      <c r="D53" s="51">
        <v>6</v>
      </c>
      <c r="E53" s="52" t="s">
        <v>222</v>
      </c>
      <c r="F53" s="53" t="s">
        <v>223</v>
      </c>
      <c r="G53" s="53" t="s">
        <v>224</v>
      </c>
      <c r="H53" s="51" t="s">
        <v>225</v>
      </c>
      <c r="I53" s="51">
        <v>2</v>
      </c>
      <c r="J53" s="53" t="s">
        <v>226</v>
      </c>
      <c r="K53" s="53" t="s">
        <v>746</v>
      </c>
      <c r="L53" s="51" t="s">
        <v>28</v>
      </c>
      <c r="M53" s="51" t="s">
        <v>227</v>
      </c>
      <c r="N53" s="42">
        <f>N52+(IFERROR(VALUE(LEFT(L53,FIND("분",L53)-1))*60,0)+IFERROR(VALUE(TRIM(MID(L53,IFERROR(FIND("분",L53),0)+1,FIND("초",L53)-IFERROR(FIND("분",L53),0)-1))),0))/86400</f>
        <v>4.9479166666666671E-2</v>
      </c>
      <c r="O53" s="43" t="s">
        <v>810</v>
      </c>
      <c r="P53" s="44">
        <f>I53</f>
        <v>2</v>
      </c>
      <c r="Q53" s="64">
        <f>Q52+4</f>
        <v>296</v>
      </c>
      <c r="R53" s="67">
        <f t="shared" si="0"/>
        <v>4398.5600000000004</v>
      </c>
    </row>
    <row r="54" spans="1:18" ht="81.95" customHeight="1">
      <c r="A54" s="58" t="s">
        <v>798</v>
      </c>
      <c r="B54" s="51">
        <v>50</v>
      </c>
      <c r="C54" s="51">
        <v>2</v>
      </c>
      <c r="D54" s="51">
        <v>8</v>
      </c>
      <c r="E54" s="53" t="s">
        <v>774</v>
      </c>
      <c r="F54" s="53" t="s">
        <v>20</v>
      </c>
      <c r="G54" s="53" t="s">
        <v>21</v>
      </c>
      <c r="H54" s="51" t="s">
        <v>228</v>
      </c>
      <c r="I54" s="51">
        <v>3</v>
      </c>
      <c r="J54" s="53" t="s">
        <v>229</v>
      </c>
      <c r="K54" s="53" t="s">
        <v>745</v>
      </c>
      <c r="L54" s="51" t="s">
        <v>91</v>
      </c>
      <c r="M54" s="51" t="s">
        <v>24</v>
      </c>
      <c r="N54" s="42">
        <f>N53+(IFERROR(VALUE(LEFT(L54,FIND("분",L54)-1))*60,0)+IFERROR(VALUE(TRIM(MID(L54,IFERROR(FIND("분",L54),0)+1,FIND("초",L54)-IFERROR(FIND("분",L54),0)-1))),0))/86400</f>
        <v>5.0289351851851856E-2</v>
      </c>
      <c r="O54" s="43" t="s">
        <v>810</v>
      </c>
      <c r="P54" s="44">
        <f>I54</f>
        <v>3</v>
      </c>
      <c r="Q54" s="64">
        <f>Q53+7</f>
        <v>303</v>
      </c>
      <c r="R54" s="67">
        <f t="shared" si="0"/>
        <v>4608.63</v>
      </c>
    </row>
    <row r="55" spans="1:18" ht="81.95" customHeight="1">
      <c r="A55" s="58" t="s">
        <v>798</v>
      </c>
      <c r="B55" s="51">
        <v>51</v>
      </c>
      <c r="C55" s="51">
        <v>3</v>
      </c>
      <c r="D55" s="51">
        <v>7</v>
      </c>
      <c r="E55" s="53" t="s">
        <v>230</v>
      </c>
      <c r="F55" s="53" t="s">
        <v>231</v>
      </c>
      <c r="G55" s="53" t="s">
        <v>232</v>
      </c>
      <c r="H55" s="51" t="s">
        <v>233</v>
      </c>
      <c r="I55" s="51">
        <v>5</v>
      </c>
      <c r="J55" s="53" t="s">
        <v>234</v>
      </c>
      <c r="K55" s="53" t="s">
        <v>235</v>
      </c>
      <c r="L55" s="51" t="s">
        <v>67</v>
      </c>
      <c r="M55" s="51" t="s">
        <v>236</v>
      </c>
      <c r="N55" s="42">
        <f>N54+(IFERROR(VALUE(LEFT(L55,FIND("분",L55)-1))*60,0)+IFERROR(VALUE(TRIM(MID(L55,IFERROR(FIND("분",L55),0)+1,FIND("초",L55)-IFERROR(FIND("분",L55),0)-1))),0))/86400</f>
        <v>5.1678240740740747E-2</v>
      </c>
      <c r="O55" s="43" t="s">
        <v>810</v>
      </c>
      <c r="P55" s="44">
        <f>I55</f>
        <v>5</v>
      </c>
      <c r="Q55" s="64">
        <f>Q54+8</f>
        <v>311</v>
      </c>
      <c r="R55" s="67">
        <f t="shared" si="0"/>
        <v>4854.71</v>
      </c>
    </row>
    <row r="56" spans="1:18" ht="81.95" customHeight="1">
      <c r="A56" s="58" t="s">
        <v>798</v>
      </c>
      <c r="B56" s="51">
        <v>52</v>
      </c>
      <c r="C56" s="51">
        <v>4</v>
      </c>
      <c r="D56" s="51">
        <v>9</v>
      </c>
      <c r="E56" s="53" t="s">
        <v>237</v>
      </c>
      <c r="F56" s="53" t="s">
        <v>238</v>
      </c>
      <c r="G56" s="53" t="s">
        <v>239</v>
      </c>
      <c r="H56" s="51" t="s">
        <v>240</v>
      </c>
      <c r="I56" s="51">
        <v>3</v>
      </c>
      <c r="J56" s="53" t="s">
        <v>241</v>
      </c>
      <c r="K56" s="53" t="s">
        <v>242</v>
      </c>
      <c r="L56" s="51" t="s">
        <v>145</v>
      </c>
      <c r="M56" s="51" t="s">
        <v>243</v>
      </c>
      <c r="N56" s="42">
        <f>N55+(IFERROR(VALUE(LEFT(L56,FIND("분",L56)-1))*60,0)+IFERROR(VALUE(TRIM(MID(L56,IFERROR(FIND("분",L56),0)+1,FIND("초",L56)-IFERROR(FIND("분",L56),0)-1))),0))/86400</f>
        <v>5.3530092592592601E-2</v>
      </c>
      <c r="O56" s="43" t="s">
        <v>810</v>
      </c>
      <c r="P56" s="44">
        <f>I56</f>
        <v>3</v>
      </c>
      <c r="Q56" s="64">
        <f>Q55+10</f>
        <v>321</v>
      </c>
      <c r="R56" s="67">
        <f t="shared" si="0"/>
        <v>5171.3100000000004</v>
      </c>
    </row>
    <row r="57" spans="1:18" ht="81.95" customHeight="1">
      <c r="A57" s="58" t="s">
        <v>798</v>
      </c>
      <c r="B57" s="51">
        <v>53</v>
      </c>
      <c r="C57" s="51">
        <v>4</v>
      </c>
      <c r="D57" s="51">
        <v>8</v>
      </c>
      <c r="E57" s="53" t="s">
        <v>244</v>
      </c>
      <c r="F57" s="53" t="s">
        <v>245</v>
      </c>
      <c r="G57" s="53" t="s">
        <v>246</v>
      </c>
      <c r="H57" s="51" t="s">
        <v>247</v>
      </c>
      <c r="I57" s="51">
        <v>1</v>
      </c>
      <c r="J57" s="53" t="s">
        <v>248</v>
      </c>
      <c r="K57" s="53" t="s">
        <v>249</v>
      </c>
      <c r="L57" s="51" t="s">
        <v>212</v>
      </c>
      <c r="M57" s="51" t="s">
        <v>250</v>
      </c>
      <c r="N57" s="42">
        <f>N56+(IFERROR(VALUE(LEFT(L57,FIND("분",L57)-1))*60,0)+IFERROR(VALUE(TRIM(MID(L57,IFERROR(FIND("분",L57),0)+1,FIND("초",L57)-IFERROR(FIND("분",L57),0)-1))),0))/86400</f>
        <v>5.4629629629629639E-2</v>
      </c>
      <c r="O57" s="43" t="s">
        <v>811</v>
      </c>
      <c r="P57" s="44">
        <f>I57</f>
        <v>1</v>
      </c>
      <c r="Q57" s="64">
        <f>Q56+8</f>
        <v>329</v>
      </c>
      <c r="R57" s="67">
        <f t="shared" si="0"/>
        <v>5431.79</v>
      </c>
    </row>
    <row r="58" spans="1:18" ht="81.95" customHeight="1">
      <c r="A58" s="58" t="s">
        <v>798</v>
      </c>
      <c r="B58" s="51">
        <v>54</v>
      </c>
      <c r="C58" s="51">
        <v>5</v>
      </c>
      <c r="D58" s="51">
        <v>9</v>
      </c>
      <c r="E58" s="53" t="s">
        <v>251</v>
      </c>
      <c r="F58" s="53" t="s">
        <v>252</v>
      </c>
      <c r="G58" s="53" t="s">
        <v>253</v>
      </c>
      <c r="H58" s="51" t="s">
        <v>254</v>
      </c>
      <c r="I58" s="51">
        <v>3</v>
      </c>
      <c r="J58" s="53" t="s">
        <v>255</v>
      </c>
      <c r="K58" s="53" t="s">
        <v>256</v>
      </c>
      <c r="L58" s="51" t="s">
        <v>140</v>
      </c>
      <c r="M58" s="51" t="s">
        <v>257</v>
      </c>
      <c r="N58" s="42">
        <f>N57+(IFERROR(VALUE(LEFT(L58,FIND("분",L58)-1))*60,0)+IFERROR(VALUE(TRIM(MID(L58,IFERROR(FIND("분",L58),0)+1,FIND("초",L58)-IFERROR(FIND("분",L58),0)-1))),0))/86400</f>
        <v>5.6712962962962972E-2</v>
      </c>
      <c r="O58" s="43" t="s">
        <v>811</v>
      </c>
      <c r="P58" s="44">
        <f>I58</f>
        <v>3</v>
      </c>
      <c r="Q58" s="64">
        <f>Q57+11</f>
        <v>340</v>
      </c>
      <c r="R58" s="67">
        <f t="shared" si="0"/>
        <v>5800.4</v>
      </c>
    </row>
    <row r="59" spans="1:18" ht="81.95" customHeight="1">
      <c r="A59" s="58" t="s">
        <v>798</v>
      </c>
      <c r="B59" s="51">
        <v>55</v>
      </c>
      <c r="C59" s="51">
        <v>5</v>
      </c>
      <c r="D59" s="51">
        <v>9</v>
      </c>
      <c r="E59" s="53" t="s">
        <v>258</v>
      </c>
      <c r="F59" s="53" t="s">
        <v>259</v>
      </c>
      <c r="G59" s="53" t="s">
        <v>260</v>
      </c>
      <c r="H59" s="51" t="s">
        <v>261</v>
      </c>
      <c r="I59" s="51">
        <v>1</v>
      </c>
      <c r="J59" s="53" t="s">
        <v>262</v>
      </c>
      <c r="K59" s="53" t="s">
        <v>263</v>
      </c>
      <c r="L59" s="51" t="s">
        <v>157</v>
      </c>
      <c r="M59" s="51" t="s">
        <v>264</v>
      </c>
      <c r="N59" s="42">
        <f>N58+(IFERROR(VALUE(LEFT(L59,FIND("분",L59)-1))*60,0)+IFERROR(VALUE(TRIM(MID(L59,IFERROR(FIND("분",L59),0)+1,FIND("초",L59)-IFERROR(FIND("분",L59),0)-1))),0))/86400</f>
        <v>5.8333333333333341E-2</v>
      </c>
      <c r="O59" s="43" t="s">
        <v>811</v>
      </c>
      <c r="P59" s="44">
        <f>I59</f>
        <v>1</v>
      </c>
      <c r="Q59" s="64">
        <f>Q58+10</f>
        <v>350</v>
      </c>
      <c r="R59" s="67">
        <f t="shared" si="0"/>
        <v>6146</v>
      </c>
    </row>
    <row r="60" spans="1:18" ht="81.95" customHeight="1">
      <c r="A60" s="58" t="s">
        <v>798</v>
      </c>
      <c r="B60" s="51">
        <v>56</v>
      </c>
      <c r="C60" s="51">
        <v>4</v>
      </c>
      <c r="D60" s="51">
        <v>8</v>
      </c>
      <c r="E60" s="53" t="s">
        <v>265</v>
      </c>
      <c r="F60" s="53" t="s">
        <v>30</v>
      </c>
      <c r="G60" s="53" t="s">
        <v>266</v>
      </c>
      <c r="H60" s="51" t="s">
        <v>267</v>
      </c>
      <c r="I60" s="51">
        <v>1</v>
      </c>
      <c r="J60" s="53" t="s">
        <v>268</v>
      </c>
      <c r="K60" s="53" t="s">
        <v>746</v>
      </c>
      <c r="L60" s="51" t="s">
        <v>94</v>
      </c>
      <c r="M60" s="51" t="s">
        <v>34</v>
      </c>
      <c r="N60" s="42">
        <f>N59+(IFERROR(VALUE(LEFT(L60,FIND("분",L60)-1))*60,0)+IFERROR(VALUE(TRIM(MID(L60,IFERROR(FIND("분",L60),0)+1,FIND("초",L60)-IFERROR(FIND("분",L60),0)-1))),0))/86400</f>
        <v>6.0069444444444453E-2</v>
      </c>
      <c r="O60" s="43" t="s">
        <v>811</v>
      </c>
      <c r="P60" s="44">
        <f>I60</f>
        <v>1</v>
      </c>
      <c r="Q60" s="64">
        <f>Q59+9</f>
        <v>359</v>
      </c>
      <c r="R60" s="67">
        <f t="shared" si="0"/>
        <v>6465.59</v>
      </c>
    </row>
    <row r="61" spans="1:18" ht="81.95" customHeight="1">
      <c r="A61" s="58" t="s">
        <v>798</v>
      </c>
      <c r="B61" s="51">
        <v>57</v>
      </c>
      <c r="C61" s="51">
        <v>6</v>
      </c>
      <c r="D61" s="51">
        <v>9</v>
      </c>
      <c r="E61" s="53" t="s">
        <v>269</v>
      </c>
      <c r="F61" s="53" t="s">
        <v>270</v>
      </c>
      <c r="G61" s="53" t="s">
        <v>271</v>
      </c>
      <c r="H61" s="51" t="s">
        <v>272</v>
      </c>
      <c r="I61" s="51">
        <v>4</v>
      </c>
      <c r="J61" s="53" t="s">
        <v>273</v>
      </c>
      <c r="K61" s="53" t="s">
        <v>274</v>
      </c>
      <c r="L61" s="51" t="s">
        <v>94</v>
      </c>
      <c r="M61" s="51" t="s">
        <v>275</v>
      </c>
      <c r="N61" s="42">
        <f>N60+(IFERROR(VALUE(LEFT(L61,FIND("분",L61)-1))*60,0)+IFERROR(VALUE(TRIM(MID(L61,IFERROR(FIND("분",L61),0)+1,FIND("초",L61)-IFERROR(FIND("분",L61),0)-1))),0))/86400</f>
        <v>6.1805555555555565E-2</v>
      </c>
      <c r="O61" s="43" t="s">
        <v>811</v>
      </c>
      <c r="P61" s="44">
        <f>I61</f>
        <v>4</v>
      </c>
      <c r="Q61" s="64">
        <f>Q60+11</f>
        <v>370</v>
      </c>
      <c r="R61" s="67">
        <f t="shared" si="0"/>
        <v>6867.2</v>
      </c>
    </row>
    <row r="62" spans="1:18" ht="81.95" customHeight="1">
      <c r="A62" s="58" t="s">
        <v>798</v>
      </c>
      <c r="B62" s="51">
        <v>58</v>
      </c>
      <c r="C62" s="51">
        <v>2</v>
      </c>
      <c r="D62" s="51">
        <v>8</v>
      </c>
      <c r="E62" s="53" t="s">
        <v>276</v>
      </c>
      <c r="F62" s="53" t="s">
        <v>20</v>
      </c>
      <c r="G62" s="53" t="s">
        <v>21</v>
      </c>
      <c r="H62" s="51" t="s">
        <v>228</v>
      </c>
      <c r="I62" s="51">
        <v>2</v>
      </c>
      <c r="J62" s="53" t="s">
        <v>277</v>
      </c>
      <c r="K62" s="53" t="s">
        <v>745</v>
      </c>
      <c r="L62" s="51" t="s">
        <v>69</v>
      </c>
      <c r="M62" s="51" t="s">
        <v>24</v>
      </c>
      <c r="N62" s="42">
        <f>N61+(IFERROR(VALUE(LEFT(L62,FIND("분",L62)-1))*60,0)+IFERROR(VALUE(TRIM(MID(L62,IFERROR(FIND("분",L62),0)+1,FIND("초",L62)-IFERROR(FIND("분",L62),0)-1))),0))/86400</f>
        <v>6.2731481481481485E-2</v>
      </c>
      <c r="O62" s="43" t="s">
        <v>811</v>
      </c>
      <c r="P62" s="44">
        <f>I62</f>
        <v>2</v>
      </c>
      <c r="Q62" s="64">
        <f>Q61+7</f>
        <v>377</v>
      </c>
      <c r="R62" s="67">
        <f t="shared" si="0"/>
        <v>7129.0700000000006</v>
      </c>
    </row>
    <row r="63" spans="1:18" ht="81.95" customHeight="1">
      <c r="A63" s="58" t="s">
        <v>798</v>
      </c>
      <c r="B63" s="51">
        <v>59</v>
      </c>
      <c r="C63" s="51">
        <v>3</v>
      </c>
      <c r="D63" s="51">
        <v>8</v>
      </c>
      <c r="E63" s="53" t="s">
        <v>278</v>
      </c>
      <c r="F63" s="53" t="s">
        <v>30</v>
      </c>
      <c r="G63" s="53" t="s">
        <v>279</v>
      </c>
      <c r="H63" s="51" t="s">
        <v>280</v>
      </c>
      <c r="I63" s="51">
        <v>1</v>
      </c>
      <c r="J63" s="53" t="s">
        <v>281</v>
      </c>
      <c r="K63" s="53" t="s">
        <v>745</v>
      </c>
      <c r="L63" s="51" t="s">
        <v>67</v>
      </c>
      <c r="M63" s="51" t="s">
        <v>34</v>
      </c>
      <c r="N63" s="42">
        <f>N62+(IFERROR(VALUE(LEFT(L63,FIND("분",L63)-1))*60,0)+IFERROR(VALUE(TRIM(MID(L63,IFERROR(FIND("분",L63),0)+1,FIND("초",L63)-IFERROR(FIND("분",L63),0)-1))),0))/86400</f>
        <v>6.4120370370370369E-2</v>
      </c>
      <c r="O63" s="43" t="s">
        <v>812</v>
      </c>
      <c r="P63" s="44">
        <f>I63</f>
        <v>1</v>
      </c>
      <c r="Q63" s="64">
        <f>Q62+8</f>
        <v>385</v>
      </c>
      <c r="R63" s="67">
        <f t="shared" si="0"/>
        <v>7434.35</v>
      </c>
    </row>
    <row r="64" spans="1:18" ht="81.95" customHeight="1">
      <c r="A64" s="58" t="s">
        <v>798</v>
      </c>
      <c r="B64" s="51">
        <v>60</v>
      </c>
      <c r="C64" s="51">
        <v>1</v>
      </c>
      <c r="D64" s="51">
        <v>8</v>
      </c>
      <c r="E64" s="53" t="s">
        <v>282</v>
      </c>
      <c r="F64" s="53" t="s">
        <v>20</v>
      </c>
      <c r="G64" s="53" t="s">
        <v>21</v>
      </c>
      <c r="H64" s="51" t="s">
        <v>51</v>
      </c>
      <c r="I64" s="51">
        <v>2</v>
      </c>
      <c r="J64" s="53" t="s">
        <v>283</v>
      </c>
      <c r="K64" s="53" t="s">
        <v>745</v>
      </c>
      <c r="L64" s="51" t="s">
        <v>57</v>
      </c>
      <c r="M64" s="51" t="s">
        <v>24</v>
      </c>
      <c r="N64" s="42">
        <f>N63+(IFERROR(VALUE(LEFT(L64,FIND("분",L64)-1))*60,0)+IFERROR(VALUE(TRIM(MID(L64,IFERROR(FIND("분",L64),0)+1,FIND("초",L64)-IFERROR(FIND("분",L64),0)-1))),0))/86400</f>
        <v>6.5393518518518517E-2</v>
      </c>
      <c r="O64" s="43" t="s">
        <v>812</v>
      </c>
      <c r="P64" s="44">
        <f>I64</f>
        <v>2</v>
      </c>
      <c r="Q64" s="64">
        <f>Q63+7</f>
        <v>392</v>
      </c>
      <c r="R64" s="67">
        <f t="shared" si="0"/>
        <v>7706.7200000000012</v>
      </c>
    </row>
    <row r="65" spans="1:18" ht="81.95" customHeight="1">
      <c r="A65" s="58" t="s">
        <v>798</v>
      </c>
      <c r="B65" s="51">
        <v>61</v>
      </c>
      <c r="C65" s="51">
        <v>2</v>
      </c>
      <c r="D65" s="51">
        <v>8</v>
      </c>
      <c r="E65" s="53" t="s">
        <v>284</v>
      </c>
      <c r="F65" s="53" t="s">
        <v>285</v>
      </c>
      <c r="G65" s="53" t="s">
        <v>286</v>
      </c>
      <c r="H65" s="51" t="s">
        <v>287</v>
      </c>
      <c r="I65" s="51">
        <v>3</v>
      </c>
      <c r="J65" s="53" t="s">
        <v>288</v>
      </c>
      <c r="K65" s="53" t="s">
        <v>289</v>
      </c>
      <c r="L65" s="51" t="s">
        <v>85</v>
      </c>
      <c r="M65" s="51" t="s">
        <v>290</v>
      </c>
      <c r="N65" s="42">
        <f>N64+(IFERROR(VALUE(LEFT(L65,FIND("분",L65)-1))*60,0)+IFERROR(VALUE(TRIM(MID(L65,IFERROR(FIND("분",L65),0)+1,FIND("초",L65)-IFERROR(FIND("분",L65),0)-1))),0))/86400</f>
        <v>6.655092592592593E-2</v>
      </c>
      <c r="O65" s="43" t="s">
        <v>812</v>
      </c>
      <c r="P65" s="44">
        <f>I65</f>
        <v>3</v>
      </c>
      <c r="Q65" s="64">
        <f>Q64+7</f>
        <v>399</v>
      </c>
      <c r="R65" s="67">
        <f t="shared" si="0"/>
        <v>7983.9900000000007</v>
      </c>
    </row>
    <row r="66" spans="1:18" ht="81.95" customHeight="1">
      <c r="A66" s="58" t="s">
        <v>798</v>
      </c>
      <c r="B66" s="51">
        <v>62</v>
      </c>
      <c r="C66" s="51">
        <v>2</v>
      </c>
      <c r="D66" s="51">
        <v>9</v>
      </c>
      <c r="E66" s="53" t="s">
        <v>291</v>
      </c>
      <c r="F66" s="53" t="s">
        <v>285</v>
      </c>
      <c r="G66" s="53" t="s">
        <v>292</v>
      </c>
      <c r="H66" s="51" t="s">
        <v>293</v>
      </c>
      <c r="I66" s="51">
        <v>4</v>
      </c>
      <c r="J66" s="53" t="s">
        <v>288</v>
      </c>
      <c r="K66" s="53" t="s">
        <v>289</v>
      </c>
      <c r="L66" s="51" t="s">
        <v>294</v>
      </c>
      <c r="M66" s="51" t="s">
        <v>290</v>
      </c>
      <c r="N66" s="42">
        <f>N65+(IFERROR(VALUE(LEFT(L66,FIND("분",L66)-1))*60,0)+IFERROR(VALUE(TRIM(MID(L66,IFERROR(FIND("분",L66),0)+1,FIND("초",L66)-IFERROR(FIND("분",L66),0)-1))),0))/86400</f>
        <v>6.8055555555555564E-2</v>
      </c>
      <c r="O66" s="43" t="s">
        <v>812</v>
      </c>
      <c r="P66" s="44">
        <f>I66</f>
        <v>4</v>
      </c>
      <c r="Q66" s="64">
        <f>Q65+9</f>
        <v>408</v>
      </c>
      <c r="R66" s="67">
        <f t="shared" si="0"/>
        <v>8347.68</v>
      </c>
    </row>
    <row r="67" spans="1:18" ht="81.95" customHeight="1">
      <c r="A67" s="58" t="s">
        <v>798</v>
      </c>
      <c r="B67" s="51">
        <v>63</v>
      </c>
      <c r="C67" s="51">
        <v>1</v>
      </c>
      <c r="D67" s="51">
        <v>9</v>
      </c>
      <c r="E67" s="53" t="s">
        <v>295</v>
      </c>
      <c r="F67" s="53" t="s">
        <v>296</v>
      </c>
      <c r="G67" s="53" t="s">
        <v>297</v>
      </c>
      <c r="H67" s="51" t="s">
        <v>298</v>
      </c>
      <c r="I67" s="51">
        <v>3</v>
      </c>
      <c r="J67" s="53" t="s">
        <v>299</v>
      </c>
      <c r="K67" s="53" t="s">
        <v>745</v>
      </c>
      <c r="L67" s="51" t="s">
        <v>67</v>
      </c>
      <c r="M67" s="51" t="s">
        <v>300</v>
      </c>
      <c r="N67" s="42">
        <f>N66+(IFERROR(VALUE(LEFT(L67,FIND("분",L67)-1))*60,0)+IFERROR(VALUE(TRIM(MID(L67,IFERROR(FIND("분",L67),0)+1,FIND("초",L67)-IFERROR(FIND("분",L67),0)-1))),0))/86400</f>
        <v>6.9444444444444448E-2</v>
      </c>
      <c r="O67" s="43" t="s">
        <v>812</v>
      </c>
      <c r="P67" s="44">
        <f>I67</f>
        <v>3</v>
      </c>
      <c r="Q67" s="64">
        <f>Q66+8</f>
        <v>416</v>
      </c>
      <c r="R67" s="67">
        <f t="shared" si="0"/>
        <v>8677.76</v>
      </c>
    </row>
    <row r="68" spans="1:18" ht="81.95" customHeight="1">
      <c r="A68" s="58" t="s">
        <v>798</v>
      </c>
      <c r="B68" s="51">
        <v>64</v>
      </c>
      <c r="C68" s="51">
        <v>1</v>
      </c>
      <c r="D68" s="51">
        <v>8</v>
      </c>
      <c r="E68" s="53" t="s">
        <v>301</v>
      </c>
      <c r="F68" s="53" t="s">
        <v>302</v>
      </c>
      <c r="G68" s="53" t="s">
        <v>303</v>
      </c>
      <c r="H68" s="51" t="s">
        <v>304</v>
      </c>
      <c r="I68" s="51">
        <v>2</v>
      </c>
      <c r="J68" s="53" t="s">
        <v>305</v>
      </c>
      <c r="K68" s="53" t="s">
        <v>745</v>
      </c>
      <c r="L68" s="51" t="s">
        <v>85</v>
      </c>
      <c r="M68" s="51" t="s">
        <v>306</v>
      </c>
      <c r="N68" s="42">
        <f>N67+(IFERROR(VALUE(LEFT(L68,FIND("분",L68)-1))*60,0)+IFERROR(VALUE(TRIM(MID(L68,IFERROR(FIND("분",L68),0)+1,FIND("초",L68)-IFERROR(FIND("분",L68),0)-1))),0))/86400</f>
        <v>7.060185185185186E-2</v>
      </c>
      <c r="O68" s="43" t="s">
        <v>812</v>
      </c>
      <c r="P68" s="44">
        <f>I68</f>
        <v>2</v>
      </c>
      <c r="Q68" s="64">
        <f>Q67+7</f>
        <v>423</v>
      </c>
      <c r="R68" s="67">
        <f t="shared" si="0"/>
        <v>8971.83</v>
      </c>
    </row>
    <row r="69" spans="1:18" ht="81.95" customHeight="1">
      <c r="A69" s="58" t="s">
        <v>798</v>
      </c>
      <c r="B69" s="51">
        <v>65</v>
      </c>
      <c r="C69" s="51">
        <v>1</v>
      </c>
      <c r="D69" s="51">
        <v>8</v>
      </c>
      <c r="E69" s="53" t="s">
        <v>307</v>
      </c>
      <c r="F69" s="53" t="s">
        <v>308</v>
      </c>
      <c r="G69" s="53" t="s">
        <v>309</v>
      </c>
      <c r="H69" s="51" t="s">
        <v>310</v>
      </c>
      <c r="I69" s="51">
        <v>2</v>
      </c>
      <c r="J69" s="53" t="s">
        <v>311</v>
      </c>
      <c r="K69" s="53" t="s">
        <v>745</v>
      </c>
      <c r="L69" s="51" t="s">
        <v>69</v>
      </c>
      <c r="M69" s="51" t="s">
        <v>312</v>
      </c>
      <c r="N69" s="42">
        <f>N68+(IFERROR(VALUE(LEFT(L69,FIND("분",L69)-1))*60,0)+IFERROR(VALUE(TRIM(MID(L69,IFERROR(FIND("분",L69),0)+1,FIND("초",L69)-IFERROR(FIND("분",L69),0)-1))),0))/86400</f>
        <v>7.1527777777777787E-2</v>
      </c>
      <c r="O69" s="43" t="s">
        <v>813</v>
      </c>
      <c r="P69" s="44">
        <f>I69</f>
        <v>2</v>
      </c>
      <c r="Q69" s="64">
        <f>Q68+6</f>
        <v>429</v>
      </c>
      <c r="R69" s="67">
        <f t="shared" si="0"/>
        <v>9227.7900000000009</v>
      </c>
    </row>
    <row r="70" spans="1:18" ht="81.95" customHeight="1">
      <c r="A70" s="58" t="s">
        <v>798</v>
      </c>
      <c r="B70" s="51">
        <v>66</v>
      </c>
      <c r="C70" s="51">
        <v>4</v>
      </c>
      <c r="D70" s="51">
        <v>7</v>
      </c>
      <c r="E70" s="53" t="s">
        <v>313</v>
      </c>
      <c r="F70" s="53" t="s">
        <v>30</v>
      </c>
      <c r="G70" s="53" t="s">
        <v>314</v>
      </c>
      <c r="H70" s="51" t="s">
        <v>267</v>
      </c>
      <c r="I70" s="51">
        <v>1</v>
      </c>
      <c r="J70" s="53" t="s">
        <v>315</v>
      </c>
      <c r="K70" s="53" t="s">
        <v>750</v>
      </c>
      <c r="L70" s="51" t="s">
        <v>157</v>
      </c>
      <c r="M70" s="51" t="s">
        <v>34</v>
      </c>
      <c r="N70" s="42">
        <f>N69+(IFERROR(VALUE(LEFT(L70,FIND("분",L70)-1))*60,0)+IFERROR(VALUE(TRIM(MID(L70,IFERROR(FIND("분",L70),0)+1,FIND("초",L70)-IFERROR(FIND("분",L70),0)-1))),0))/86400</f>
        <v>7.3148148148148157E-2</v>
      </c>
      <c r="O70" s="43" t="s">
        <v>813</v>
      </c>
      <c r="P70" s="44">
        <f>I70</f>
        <v>1</v>
      </c>
      <c r="Q70" s="64">
        <f>Q69+9</f>
        <v>438</v>
      </c>
      <c r="R70" s="67">
        <f t="shared" ref="R70:R123" si="1">$Q$3*Q70*Q70+$R$3*Q70</f>
        <v>9618.4800000000014</v>
      </c>
    </row>
    <row r="71" spans="1:18" ht="81.95" customHeight="1">
      <c r="A71" s="58" t="s">
        <v>798</v>
      </c>
      <c r="B71" s="51">
        <v>67</v>
      </c>
      <c r="C71" s="51">
        <v>4</v>
      </c>
      <c r="D71" s="51">
        <v>7</v>
      </c>
      <c r="E71" s="53" t="s">
        <v>316</v>
      </c>
      <c r="F71" s="53" t="s">
        <v>317</v>
      </c>
      <c r="G71" s="53" t="s">
        <v>318</v>
      </c>
      <c r="H71" s="51" t="s">
        <v>319</v>
      </c>
      <c r="I71" s="51">
        <v>4</v>
      </c>
      <c r="J71" s="53" t="s">
        <v>320</v>
      </c>
      <c r="K71" s="53" t="s">
        <v>321</v>
      </c>
      <c r="L71" s="51" t="s">
        <v>140</v>
      </c>
      <c r="M71" s="51" t="s">
        <v>322</v>
      </c>
      <c r="N71" s="42">
        <f>N70+(IFERROR(VALUE(LEFT(L71,FIND("분",L71)-1))*60,0)+IFERROR(VALUE(TRIM(MID(L71,IFERROR(FIND("분",L71),0)+1,FIND("초",L71)-IFERROR(FIND("분",L71),0)-1))),0))/86400</f>
        <v>7.5231481481481496E-2</v>
      </c>
      <c r="O71" s="43" t="s">
        <v>813</v>
      </c>
      <c r="P71" s="44">
        <f>I71</f>
        <v>4</v>
      </c>
      <c r="Q71" s="64">
        <f>Q70+10</f>
        <v>448</v>
      </c>
      <c r="R71" s="67">
        <f t="shared" si="1"/>
        <v>10062.08</v>
      </c>
    </row>
    <row r="72" spans="1:18" ht="81.95" customHeight="1">
      <c r="A72" s="58" t="s">
        <v>798</v>
      </c>
      <c r="B72" s="51">
        <v>68</v>
      </c>
      <c r="C72" s="51">
        <v>5</v>
      </c>
      <c r="D72" s="51">
        <v>7</v>
      </c>
      <c r="E72" s="53" t="s">
        <v>323</v>
      </c>
      <c r="F72" s="53" t="s">
        <v>324</v>
      </c>
      <c r="G72" s="53" t="s">
        <v>325</v>
      </c>
      <c r="H72" s="51" t="s">
        <v>326</v>
      </c>
      <c r="I72" s="51">
        <v>6</v>
      </c>
      <c r="J72" s="53" t="s">
        <v>327</v>
      </c>
      <c r="K72" s="53" t="s">
        <v>328</v>
      </c>
      <c r="L72" s="51" t="s">
        <v>329</v>
      </c>
      <c r="M72" s="51" t="s">
        <v>330</v>
      </c>
      <c r="N72" s="42">
        <f>N71+(IFERROR(VALUE(LEFT(L72,FIND("분",L72)-1))*60,0)+IFERROR(VALUE(TRIM(MID(L72,IFERROR(FIND("분",L72),0)+1,FIND("초",L72)-IFERROR(FIND("분",L72),0)-1))),0))/86400</f>
        <v>7.7546296296296308E-2</v>
      </c>
      <c r="O72" s="43" t="s">
        <v>813</v>
      </c>
      <c r="P72" s="44">
        <f>I72</f>
        <v>6</v>
      </c>
      <c r="Q72" s="64">
        <f>Q71+11</f>
        <v>459</v>
      </c>
      <c r="R72" s="67">
        <f t="shared" si="1"/>
        <v>10561.590000000002</v>
      </c>
    </row>
    <row r="73" spans="1:18" ht="81.95" customHeight="1">
      <c r="A73" s="58" t="s">
        <v>798</v>
      </c>
      <c r="B73" s="51">
        <v>69</v>
      </c>
      <c r="C73" s="51">
        <v>6</v>
      </c>
      <c r="D73" s="51">
        <v>7</v>
      </c>
      <c r="E73" s="53" t="s">
        <v>331</v>
      </c>
      <c r="F73" s="53" t="s">
        <v>332</v>
      </c>
      <c r="G73" s="53" t="s">
        <v>333</v>
      </c>
      <c r="H73" s="51" t="s">
        <v>334</v>
      </c>
      <c r="I73" s="51">
        <v>5</v>
      </c>
      <c r="J73" s="53" t="s">
        <v>335</v>
      </c>
      <c r="K73" s="53" t="s">
        <v>336</v>
      </c>
      <c r="L73" s="51" t="s">
        <v>337</v>
      </c>
      <c r="M73" s="51" t="s">
        <v>338</v>
      </c>
      <c r="N73" s="42">
        <f>N72+(IFERROR(VALUE(LEFT(L73,FIND("분",L73)-1))*60,0)+IFERROR(VALUE(TRIM(MID(L73,IFERROR(FIND("분",L73),0)+1,FIND("초",L73)-IFERROR(FIND("분",L73),0)-1))),0))/86400</f>
        <v>7.9745370370370383E-2</v>
      </c>
      <c r="O73" s="43" t="s">
        <v>813</v>
      </c>
      <c r="P73" s="44">
        <f>I73</f>
        <v>5</v>
      </c>
      <c r="Q73" s="64">
        <f>Q72+11</f>
        <v>470</v>
      </c>
      <c r="R73" s="67">
        <f t="shared" si="1"/>
        <v>11073.2</v>
      </c>
    </row>
    <row r="74" spans="1:18" ht="81.95" customHeight="1">
      <c r="A74" s="58" t="s">
        <v>798</v>
      </c>
      <c r="B74" s="51">
        <v>70</v>
      </c>
      <c r="C74" s="51">
        <v>7</v>
      </c>
      <c r="D74" s="51">
        <v>9</v>
      </c>
      <c r="E74" s="53" t="s">
        <v>339</v>
      </c>
      <c r="F74" s="53" t="s">
        <v>340</v>
      </c>
      <c r="G74" s="53" t="s">
        <v>341</v>
      </c>
      <c r="H74" s="51" t="s">
        <v>342</v>
      </c>
      <c r="I74" s="51">
        <v>5</v>
      </c>
      <c r="J74" s="53" t="s">
        <v>343</v>
      </c>
      <c r="K74" s="53" t="s">
        <v>344</v>
      </c>
      <c r="L74" s="51" t="s">
        <v>345</v>
      </c>
      <c r="M74" s="51" t="s">
        <v>346</v>
      </c>
      <c r="N74" s="42">
        <f>N73+(IFERROR(VALUE(LEFT(L74,FIND("분",L74)-1))*60,0)+IFERROR(VALUE(TRIM(MID(L74,IFERROR(FIND("분",L74),0)+1,FIND("초",L74)-IFERROR(FIND("분",L74),0)-1))),0))/86400</f>
        <v>8.229166666666668E-2</v>
      </c>
      <c r="O74" s="43" t="s">
        <v>813</v>
      </c>
      <c r="P74" s="44">
        <f>I74</f>
        <v>5</v>
      </c>
      <c r="Q74" s="64">
        <f>Q73+13</f>
        <v>483</v>
      </c>
      <c r="R74" s="67">
        <f t="shared" si="1"/>
        <v>11693.43</v>
      </c>
    </row>
    <row r="75" spans="1:18" ht="81.95" customHeight="1">
      <c r="A75" s="58" t="s">
        <v>798</v>
      </c>
      <c r="B75" s="51">
        <v>71</v>
      </c>
      <c r="C75" s="51">
        <v>1</v>
      </c>
      <c r="D75" s="51">
        <v>7</v>
      </c>
      <c r="E75" s="53" t="s">
        <v>347</v>
      </c>
      <c r="F75" s="53" t="s">
        <v>348</v>
      </c>
      <c r="G75" s="53" t="s">
        <v>349</v>
      </c>
      <c r="H75" s="51" t="s">
        <v>350</v>
      </c>
      <c r="I75" s="51">
        <v>2</v>
      </c>
      <c r="J75" s="53" t="s">
        <v>351</v>
      </c>
      <c r="K75" s="53" t="s">
        <v>352</v>
      </c>
      <c r="L75" s="51" t="s">
        <v>69</v>
      </c>
      <c r="M75" s="51" t="s">
        <v>353</v>
      </c>
      <c r="N75" s="42">
        <f>N74+(IFERROR(VALUE(LEFT(L75,FIND("분",L75)-1))*60,0)+IFERROR(VALUE(TRIM(MID(L75,IFERROR(FIND("분",L75),0)+1,FIND("초",L75)-IFERROR(FIND("분",L75),0)-1))),0))/86400</f>
        <v>8.3217592592592607E-2</v>
      </c>
      <c r="O75" s="43" t="s">
        <v>813</v>
      </c>
      <c r="P75" s="44">
        <f>I75</f>
        <v>2</v>
      </c>
      <c r="Q75" s="64">
        <f>Q74+6</f>
        <v>489</v>
      </c>
      <c r="R75" s="67">
        <f t="shared" si="1"/>
        <v>11985.390000000001</v>
      </c>
    </row>
    <row r="76" spans="1:18" ht="81.95" customHeight="1">
      <c r="A76" s="58" t="s">
        <v>798</v>
      </c>
      <c r="B76" s="51">
        <v>72</v>
      </c>
      <c r="C76" s="51">
        <v>4</v>
      </c>
      <c r="D76" s="51">
        <v>6</v>
      </c>
      <c r="E76" s="53" t="s">
        <v>354</v>
      </c>
      <c r="F76" s="53" t="s">
        <v>355</v>
      </c>
      <c r="G76" s="53" t="s">
        <v>356</v>
      </c>
      <c r="H76" s="51" t="s">
        <v>357</v>
      </c>
      <c r="I76" s="51">
        <v>7</v>
      </c>
      <c r="J76" s="53" t="s">
        <v>358</v>
      </c>
      <c r="K76" s="53" t="s">
        <v>359</v>
      </c>
      <c r="L76" s="51" t="s">
        <v>360</v>
      </c>
      <c r="M76" s="51" t="s">
        <v>361</v>
      </c>
      <c r="N76" s="42">
        <f>N75+(IFERROR(VALUE(LEFT(L76,FIND("분",L76)-1))*60,0)+IFERROR(VALUE(TRIM(MID(L76,IFERROR(FIND("분",L76),0)+1,FIND("초",L76)-IFERROR(FIND("분",L76),0)-1))),0))/86400</f>
        <v>8.5995370370370389E-2</v>
      </c>
      <c r="O76" s="43" t="s">
        <v>813</v>
      </c>
      <c r="P76" s="44">
        <f>I76</f>
        <v>7</v>
      </c>
      <c r="Q76" s="64">
        <f>Q75+12</f>
        <v>501</v>
      </c>
      <c r="R76" s="67">
        <f t="shared" si="1"/>
        <v>12580.11</v>
      </c>
    </row>
    <row r="77" spans="1:18" ht="81.95" customHeight="1">
      <c r="A77" s="58" t="s">
        <v>798</v>
      </c>
      <c r="B77" s="51">
        <v>73</v>
      </c>
      <c r="C77" s="51">
        <v>1</v>
      </c>
      <c r="D77" s="51">
        <v>7</v>
      </c>
      <c r="E77" s="53" t="s">
        <v>362</v>
      </c>
      <c r="F77" s="53" t="s">
        <v>363</v>
      </c>
      <c r="G77" s="53" t="s">
        <v>364</v>
      </c>
      <c r="H77" s="51" t="s">
        <v>365</v>
      </c>
      <c r="I77" s="51">
        <v>3</v>
      </c>
      <c r="J77" s="53" t="s">
        <v>366</v>
      </c>
      <c r="K77" s="53" t="s">
        <v>754</v>
      </c>
      <c r="L77" s="51" t="s">
        <v>69</v>
      </c>
      <c r="M77" s="51" t="s">
        <v>367</v>
      </c>
      <c r="N77" s="42">
        <f>N76+(IFERROR(VALUE(LEFT(L77,FIND("분",L77)-1))*60,0)+IFERROR(VALUE(TRIM(MID(L77,IFERROR(FIND("분",L77),0)+1,FIND("초",L77)-IFERROR(FIND("분",L77),0)-1))),0))/86400</f>
        <v>8.6921296296296316E-2</v>
      </c>
      <c r="O77" s="43" t="s">
        <v>813</v>
      </c>
      <c r="P77" s="44">
        <f>I77</f>
        <v>3</v>
      </c>
      <c r="Q77" s="64">
        <f>Q76+6</f>
        <v>507</v>
      </c>
      <c r="R77" s="67">
        <f t="shared" si="1"/>
        <v>12882.87</v>
      </c>
    </row>
    <row r="78" spans="1:18" ht="81.95" customHeight="1">
      <c r="A78" s="58" t="s">
        <v>798</v>
      </c>
      <c r="B78" s="51">
        <v>74</v>
      </c>
      <c r="C78" s="51">
        <v>3</v>
      </c>
      <c r="D78" s="51">
        <v>5</v>
      </c>
      <c r="E78" s="53" t="s">
        <v>368</v>
      </c>
      <c r="F78" s="53" t="s">
        <v>369</v>
      </c>
      <c r="G78" s="53" t="s">
        <v>370</v>
      </c>
      <c r="H78" s="51" t="s">
        <v>371</v>
      </c>
      <c r="I78" s="51">
        <v>5</v>
      </c>
      <c r="J78" s="53" t="s">
        <v>372</v>
      </c>
      <c r="K78" s="53" t="s">
        <v>373</v>
      </c>
      <c r="L78" s="51" t="s">
        <v>67</v>
      </c>
      <c r="M78" s="51" t="s">
        <v>374</v>
      </c>
      <c r="N78" s="42">
        <f>N77+(IFERROR(VALUE(LEFT(L78,FIND("분",L78)-1))*60,0)+IFERROR(VALUE(TRIM(MID(L78,IFERROR(FIND("분",L78),0)+1,FIND("초",L78)-IFERROR(FIND("분",L78),0)-1))),0))/86400</f>
        <v>8.83101851851852E-2</v>
      </c>
      <c r="O78" s="43" t="s">
        <v>813</v>
      </c>
      <c r="P78" s="44">
        <f>I78</f>
        <v>5</v>
      </c>
      <c r="Q78" s="64">
        <f>Q77+7</f>
        <v>514</v>
      </c>
      <c r="R78" s="67">
        <f t="shared" si="1"/>
        <v>13240.640000000001</v>
      </c>
    </row>
    <row r="79" spans="1:18" ht="81.95" customHeight="1">
      <c r="A79" s="59" t="s">
        <v>799</v>
      </c>
      <c r="B79" s="51">
        <v>75</v>
      </c>
      <c r="C79" s="51">
        <v>1</v>
      </c>
      <c r="D79" s="51">
        <v>7</v>
      </c>
      <c r="E79" s="52" t="s">
        <v>375</v>
      </c>
      <c r="F79" s="53" t="s">
        <v>376</v>
      </c>
      <c r="G79" s="53" t="s">
        <v>377</v>
      </c>
      <c r="H79" s="51" t="s">
        <v>378</v>
      </c>
      <c r="I79" s="51">
        <v>2</v>
      </c>
      <c r="J79" s="53" t="s">
        <v>379</v>
      </c>
      <c r="K79" s="53" t="s">
        <v>750</v>
      </c>
      <c r="L79" s="51" t="s">
        <v>85</v>
      </c>
      <c r="M79" s="51" t="s">
        <v>380</v>
      </c>
      <c r="N79" s="42">
        <f>N78+(IFERROR(VALUE(LEFT(L79,FIND("분",L79)-1))*60,0)+IFERROR(VALUE(TRIM(MID(L79,IFERROR(FIND("분",L79),0)+1,FIND("초",L79)-IFERROR(FIND("분",L79),0)-1))),0))/86400</f>
        <v>8.9467592592592612E-2</v>
      </c>
      <c r="O79" s="43" t="s">
        <v>814</v>
      </c>
      <c r="P79" s="44">
        <f>I79</f>
        <v>2</v>
      </c>
      <c r="Q79" s="64">
        <f>Q78+7</f>
        <v>521</v>
      </c>
      <c r="R79" s="67">
        <f t="shared" si="1"/>
        <v>13603.310000000001</v>
      </c>
    </row>
    <row r="80" spans="1:18" ht="81.95" customHeight="1">
      <c r="A80" s="59" t="s">
        <v>799</v>
      </c>
      <c r="B80" s="51">
        <v>76</v>
      </c>
      <c r="C80" s="51">
        <v>2</v>
      </c>
      <c r="D80" s="51">
        <v>5</v>
      </c>
      <c r="E80" s="53" t="s">
        <v>381</v>
      </c>
      <c r="F80" s="53" t="s">
        <v>382</v>
      </c>
      <c r="G80" s="53" t="s">
        <v>383</v>
      </c>
      <c r="H80" s="51" t="s">
        <v>384</v>
      </c>
      <c r="I80" s="51">
        <v>5</v>
      </c>
      <c r="J80" s="53" t="s">
        <v>385</v>
      </c>
      <c r="K80" s="53" t="s">
        <v>386</v>
      </c>
      <c r="L80" s="51" t="s">
        <v>85</v>
      </c>
      <c r="M80" s="51" t="s">
        <v>387</v>
      </c>
      <c r="N80" s="42">
        <f>N79+(IFERROR(VALUE(LEFT(L80,FIND("분",L80)-1))*60,0)+IFERROR(VALUE(TRIM(MID(L80,IFERROR(FIND("분",L80),0)+1,FIND("초",L80)-IFERROR(FIND("분",L80),0)-1))),0))/86400</f>
        <v>9.0625000000000025E-2</v>
      </c>
      <c r="O80" s="43" t="s">
        <v>814</v>
      </c>
      <c r="P80" s="44">
        <f>I80</f>
        <v>5</v>
      </c>
      <c r="Q80" s="64">
        <f>Q79+6</f>
        <v>527</v>
      </c>
      <c r="R80" s="67">
        <f t="shared" si="1"/>
        <v>13918.070000000002</v>
      </c>
    </row>
    <row r="81" spans="1:18" ht="81.95" customHeight="1">
      <c r="A81" s="59" t="s">
        <v>799</v>
      </c>
      <c r="B81" s="51">
        <v>77</v>
      </c>
      <c r="C81" s="51">
        <v>2</v>
      </c>
      <c r="D81" s="51">
        <v>5</v>
      </c>
      <c r="E81" s="53" t="s">
        <v>388</v>
      </c>
      <c r="F81" s="53" t="s">
        <v>389</v>
      </c>
      <c r="G81" s="53" t="s">
        <v>390</v>
      </c>
      <c r="H81" s="51" t="s">
        <v>391</v>
      </c>
      <c r="I81" s="51">
        <v>4</v>
      </c>
      <c r="J81" s="53" t="s">
        <v>392</v>
      </c>
      <c r="K81" s="53" t="s">
        <v>745</v>
      </c>
      <c r="L81" s="51" t="s">
        <v>67</v>
      </c>
      <c r="M81" s="51" t="s">
        <v>393</v>
      </c>
      <c r="N81" s="42">
        <f>N80+(IFERROR(VALUE(LEFT(L81,FIND("분",L81)-1))*60,0)+IFERROR(VALUE(TRIM(MID(L81,IFERROR(FIND("분",L81),0)+1,FIND("초",L81)-IFERROR(FIND("분",L81),0)-1))),0))/86400</f>
        <v>9.2013888888888909E-2</v>
      </c>
      <c r="O81" s="43" t="s">
        <v>814</v>
      </c>
      <c r="P81" s="44">
        <f>I81</f>
        <v>4</v>
      </c>
      <c r="Q81" s="64">
        <f>Q80+7</f>
        <v>534</v>
      </c>
      <c r="R81" s="67">
        <f t="shared" si="1"/>
        <v>14289.840000000002</v>
      </c>
    </row>
    <row r="82" spans="1:18" ht="81.95" customHeight="1">
      <c r="A82" s="59" t="s">
        <v>799</v>
      </c>
      <c r="B82" s="51">
        <v>78</v>
      </c>
      <c r="C82" s="51">
        <v>3</v>
      </c>
      <c r="D82" s="51">
        <v>6</v>
      </c>
      <c r="E82" s="53" t="s">
        <v>394</v>
      </c>
      <c r="F82" s="53" t="s">
        <v>395</v>
      </c>
      <c r="G82" s="53" t="s">
        <v>396</v>
      </c>
      <c r="H82" s="51" t="s">
        <v>397</v>
      </c>
      <c r="I82" s="51">
        <v>1</v>
      </c>
      <c r="J82" s="53" t="s">
        <v>398</v>
      </c>
      <c r="K82" s="53" t="s">
        <v>399</v>
      </c>
      <c r="L82" s="51" t="s">
        <v>294</v>
      </c>
      <c r="M82" s="51" t="s">
        <v>400</v>
      </c>
      <c r="N82" s="42">
        <f>N81+(IFERROR(VALUE(LEFT(L82,FIND("분",L82)-1))*60,0)+IFERROR(VALUE(TRIM(MID(L82,IFERROR(FIND("분",L82),0)+1,FIND("초",L82)-IFERROR(FIND("분",L82),0)-1))),0))/86400</f>
        <v>9.3518518518518542E-2</v>
      </c>
      <c r="O82" s="43" t="s">
        <v>815</v>
      </c>
      <c r="P82" s="44">
        <f>I82</f>
        <v>1</v>
      </c>
      <c r="Q82" s="64">
        <f>Q81+8</f>
        <v>542</v>
      </c>
      <c r="R82" s="67">
        <f t="shared" si="1"/>
        <v>14720.720000000001</v>
      </c>
    </row>
    <row r="83" spans="1:18" ht="81.95" customHeight="1">
      <c r="A83" s="59" t="s">
        <v>799</v>
      </c>
      <c r="B83" s="51">
        <v>79</v>
      </c>
      <c r="C83" s="51">
        <v>3</v>
      </c>
      <c r="D83" s="51">
        <v>6</v>
      </c>
      <c r="E83" s="53" t="s">
        <v>401</v>
      </c>
      <c r="F83" s="53" t="s">
        <v>402</v>
      </c>
      <c r="G83" s="53" t="s">
        <v>403</v>
      </c>
      <c r="H83" s="51" t="s">
        <v>404</v>
      </c>
      <c r="I83" s="51">
        <v>4</v>
      </c>
      <c r="J83" s="53" t="s">
        <v>405</v>
      </c>
      <c r="K83" s="53" t="s">
        <v>406</v>
      </c>
      <c r="L83" s="51" t="s">
        <v>94</v>
      </c>
      <c r="M83" s="51" t="s">
        <v>407</v>
      </c>
      <c r="N83" s="42">
        <f>N82+(IFERROR(VALUE(LEFT(L83,FIND("분",L83)-1))*60,0)+IFERROR(VALUE(TRIM(MID(L83,IFERROR(FIND("분",L83),0)+1,FIND("초",L83)-IFERROR(FIND("분",L83),0)-1))),0))/86400</f>
        <v>9.5254629629629647E-2</v>
      </c>
      <c r="O83" s="43" t="s">
        <v>815</v>
      </c>
      <c r="P83" s="44">
        <f>I83</f>
        <v>4</v>
      </c>
      <c r="Q83" s="64">
        <f>Q82+9</f>
        <v>551</v>
      </c>
      <c r="R83" s="67">
        <f t="shared" si="1"/>
        <v>15213.11</v>
      </c>
    </row>
    <row r="84" spans="1:18" ht="81.95" customHeight="1">
      <c r="A84" s="59" t="s">
        <v>799</v>
      </c>
      <c r="B84" s="51">
        <v>80</v>
      </c>
      <c r="C84" s="51">
        <v>4</v>
      </c>
      <c r="D84" s="51">
        <v>7</v>
      </c>
      <c r="E84" s="53" t="s">
        <v>408</v>
      </c>
      <c r="F84" s="53" t="s">
        <v>409</v>
      </c>
      <c r="G84" s="53" t="s">
        <v>410</v>
      </c>
      <c r="H84" s="51" t="s">
        <v>411</v>
      </c>
      <c r="I84" s="51">
        <v>6</v>
      </c>
      <c r="J84" s="53" t="s">
        <v>412</v>
      </c>
      <c r="K84" s="53" t="s">
        <v>745</v>
      </c>
      <c r="L84" s="51" t="s">
        <v>413</v>
      </c>
      <c r="M84" s="51" t="s">
        <v>414</v>
      </c>
      <c r="N84" s="42">
        <f>N83+(IFERROR(VALUE(LEFT(L84,FIND("분",L84)-1))*60,0)+IFERROR(VALUE(TRIM(MID(L84,IFERROR(FIND("분",L84),0)+1,FIND("초",L84)-IFERROR(FIND("분",L84),0)-1))),0))/86400</f>
        <v>9.7685185185185208E-2</v>
      </c>
      <c r="O84" s="43" t="s">
        <v>816</v>
      </c>
      <c r="P84" s="44">
        <f>I84</f>
        <v>6</v>
      </c>
      <c r="Q84" s="64">
        <f>Q83+11</f>
        <v>562</v>
      </c>
      <c r="R84" s="67">
        <f t="shared" si="1"/>
        <v>15825.92</v>
      </c>
    </row>
    <row r="85" spans="1:18" ht="81.95" customHeight="1">
      <c r="A85" s="59" t="s">
        <v>799</v>
      </c>
      <c r="B85" s="51">
        <v>81</v>
      </c>
      <c r="C85" s="51">
        <v>6</v>
      </c>
      <c r="D85" s="51">
        <v>9</v>
      </c>
      <c r="E85" s="53" t="s">
        <v>415</v>
      </c>
      <c r="F85" s="53" t="s">
        <v>416</v>
      </c>
      <c r="G85" s="53" t="s">
        <v>417</v>
      </c>
      <c r="H85" s="51" t="s">
        <v>418</v>
      </c>
      <c r="I85" s="51">
        <v>5</v>
      </c>
      <c r="J85" s="53" t="s">
        <v>419</v>
      </c>
      <c r="K85" s="53" t="s">
        <v>420</v>
      </c>
      <c r="L85" s="51" t="s">
        <v>140</v>
      </c>
      <c r="M85" s="51" t="s">
        <v>421</v>
      </c>
      <c r="N85" s="42">
        <f>N84+(IFERROR(VALUE(LEFT(L85,FIND("분",L85)-1))*60,0)+IFERROR(VALUE(TRIM(MID(L85,IFERROR(FIND("분",L85),0)+1,FIND("초",L85)-IFERROR(FIND("분",L85),0)-1))),0))/86400</f>
        <v>9.9768518518518548E-2</v>
      </c>
      <c r="O85" s="43" t="s">
        <v>816</v>
      </c>
      <c r="P85" s="44">
        <f>I85</f>
        <v>5</v>
      </c>
      <c r="Q85" s="64">
        <f>Q84+12</f>
        <v>574</v>
      </c>
      <c r="R85" s="67">
        <f t="shared" si="1"/>
        <v>16508.240000000002</v>
      </c>
    </row>
    <row r="86" spans="1:18" ht="81.95" customHeight="1">
      <c r="A86" s="59" t="s">
        <v>799</v>
      </c>
      <c r="B86" s="51">
        <v>82</v>
      </c>
      <c r="C86" s="51">
        <v>3</v>
      </c>
      <c r="D86" s="51">
        <v>8</v>
      </c>
      <c r="E86" s="53" t="s">
        <v>422</v>
      </c>
      <c r="F86" s="53" t="s">
        <v>423</v>
      </c>
      <c r="G86" s="53" t="s">
        <v>424</v>
      </c>
      <c r="H86" s="51" t="s">
        <v>425</v>
      </c>
      <c r="I86" s="51">
        <v>5</v>
      </c>
      <c r="J86" s="53" t="s">
        <v>426</v>
      </c>
      <c r="K86" s="53" t="s">
        <v>427</v>
      </c>
      <c r="L86" s="51" t="s">
        <v>329</v>
      </c>
      <c r="M86" s="51" t="s">
        <v>428</v>
      </c>
      <c r="N86" s="42">
        <f>N85+(IFERROR(VALUE(LEFT(L86,FIND("분",L86)-1))*60,0)+IFERROR(VALUE(TRIM(MID(L86,IFERROR(FIND("분",L86),0)+1,FIND("초",L86)-IFERROR(FIND("분",L86),0)-1))),0))/86400</f>
        <v>0.10208333333333336</v>
      </c>
      <c r="O86" s="43" t="s">
        <v>816</v>
      </c>
      <c r="P86" s="44">
        <f>I86</f>
        <v>5</v>
      </c>
      <c r="Q86" s="64">
        <f>Q85+11</f>
        <v>585</v>
      </c>
      <c r="R86" s="67">
        <f t="shared" si="1"/>
        <v>17146.349999999999</v>
      </c>
    </row>
    <row r="87" spans="1:18" ht="81.95" customHeight="1">
      <c r="A87" s="59" t="s">
        <v>799</v>
      </c>
      <c r="B87" s="51">
        <v>83</v>
      </c>
      <c r="C87" s="51">
        <v>5</v>
      </c>
      <c r="D87" s="51">
        <v>7</v>
      </c>
      <c r="E87" s="53" t="s">
        <v>775</v>
      </c>
      <c r="F87" s="53" t="s">
        <v>429</v>
      </c>
      <c r="G87" s="53" t="s">
        <v>430</v>
      </c>
      <c r="H87" s="51" t="s">
        <v>431</v>
      </c>
      <c r="I87" s="51">
        <v>4</v>
      </c>
      <c r="J87" s="53" t="s">
        <v>432</v>
      </c>
      <c r="K87" s="53" t="s">
        <v>433</v>
      </c>
      <c r="L87" s="51" t="s">
        <v>329</v>
      </c>
      <c r="M87" s="51" t="s">
        <v>434</v>
      </c>
      <c r="N87" s="42">
        <f>N86+(IFERROR(VALUE(LEFT(L87,FIND("분",L87)-1))*60,0)+IFERROR(VALUE(TRIM(MID(L87,IFERROR(FIND("분",L87),0)+1,FIND("초",L87)-IFERROR(FIND("분",L87),0)-1))),0))/86400</f>
        <v>0.10439814814814817</v>
      </c>
      <c r="O87" s="43" t="s">
        <v>816</v>
      </c>
      <c r="P87" s="44">
        <f>I87</f>
        <v>4</v>
      </c>
      <c r="Q87" s="64">
        <f>Q86+11</f>
        <v>596</v>
      </c>
      <c r="R87" s="67">
        <f t="shared" si="1"/>
        <v>17796.559999999998</v>
      </c>
    </row>
    <row r="88" spans="1:18" ht="81.95" customHeight="1">
      <c r="A88" s="59" t="s">
        <v>799</v>
      </c>
      <c r="B88" s="51">
        <v>84</v>
      </c>
      <c r="C88" s="51">
        <v>4</v>
      </c>
      <c r="D88" s="51">
        <v>7</v>
      </c>
      <c r="E88" s="53" t="s">
        <v>435</v>
      </c>
      <c r="F88" s="53" t="s">
        <v>245</v>
      </c>
      <c r="G88" s="53" t="s">
        <v>436</v>
      </c>
      <c r="H88" s="51" t="s">
        <v>247</v>
      </c>
      <c r="I88" s="51">
        <v>1</v>
      </c>
      <c r="J88" s="53" t="s">
        <v>248</v>
      </c>
      <c r="K88" s="53" t="s">
        <v>249</v>
      </c>
      <c r="L88" s="51" t="s">
        <v>85</v>
      </c>
      <c r="M88" s="51" t="s">
        <v>250</v>
      </c>
      <c r="N88" s="42">
        <f>N87+(IFERROR(VALUE(LEFT(L88,FIND("분",L88)-1))*60,0)+IFERROR(VALUE(TRIM(MID(L88,IFERROR(FIND("분",L88),0)+1,FIND("초",L88)-IFERROR(FIND("분",L88),0)-1))),0))/86400</f>
        <v>0.10555555555555558</v>
      </c>
      <c r="O88" s="43" t="s">
        <v>817</v>
      </c>
      <c r="P88" s="44">
        <f>I88</f>
        <v>1</v>
      </c>
      <c r="Q88" s="64">
        <f>Q87+7</f>
        <v>603</v>
      </c>
      <c r="R88" s="67">
        <f t="shared" si="1"/>
        <v>18216.63</v>
      </c>
    </row>
    <row r="89" spans="1:18" ht="81.95" customHeight="1">
      <c r="A89" s="59" t="s">
        <v>799</v>
      </c>
      <c r="B89" s="51">
        <v>85</v>
      </c>
      <c r="C89" s="51">
        <v>3</v>
      </c>
      <c r="D89" s="51">
        <v>8</v>
      </c>
      <c r="E89" s="53" t="s">
        <v>437</v>
      </c>
      <c r="F89" s="53" t="s">
        <v>95</v>
      </c>
      <c r="G89" s="53" t="s">
        <v>438</v>
      </c>
      <c r="H89" s="51" t="s">
        <v>439</v>
      </c>
      <c r="I89" s="51">
        <v>6</v>
      </c>
      <c r="J89" s="53" t="s">
        <v>98</v>
      </c>
      <c r="K89" s="53" t="s">
        <v>745</v>
      </c>
      <c r="L89" s="51" t="s">
        <v>337</v>
      </c>
      <c r="M89" s="51" t="s">
        <v>99</v>
      </c>
      <c r="N89" s="42">
        <f>N88+(IFERROR(VALUE(LEFT(L89,FIND("분",L89)-1))*60,0)+IFERROR(VALUE(TRIM(MID(L89,IFERROR(FIND("분",L89),0)+1,FIND("초",L89)-IFERROR(FIND("분",L89),0)-1))),0))/86400</f>
        <v>0.10775462962962966</v>
      </c>
      <c r="O89" s="43" t="s">
        <v>817</v>
      </c>
      <c r="P89" s="44">
        <f>I89</f>
        <v>6</v>
      </c>
      <c r="Q89" s="64">
        <f>Q88+11</f>
        <v>614</v>
      </c>
      <c r="R89" s="67">
        <f t="shared" si="1"/>
        <v>18886.640000000003</v>
      </c>
    </row>
    <row r="90" spans="1:18" ht="81.95" customHeight="1">
      <c r="A90" s="59" t="s">
        <v>799</v>
      </c>
      <c r="B90" s="51">
        <v>86</v>
      </c>
      <c r="C90" s="51">
        <v>6</v>
      </c>
      <c r="D90" s="51">
        <v>7</v>
      </c>
      <c r="E90" s="53" t="s">
        <v>440</v>
      </c>
      <c r="F90" s="53" t="s">
        <v>429</v>
      </c>
      <c r="G90" s="53" t="s">
        <v>441</v>
      </c>
      <c r="H90" s="51" t="s">
        <v>442</v>
      </c>
      <c r="I90" s="51">
        <v>5</v>
      </c>
      <c r="J90" s="53" t="s">
        <v>432</v>
      </c>
      <c r="K90" s="53" t="s">
        <v>433</v>
      </c>
      <c r="L90" s="51" t="s">
        <v>360</v>
      </c>
      <c r="M90" s="51" t="s">
        <v>434</v>
      </c>
      <c r="N90" s="42">
        <f>N89+(IFERROR(VALUE(LEFT(L90,FIND("분",L90)-1))*60,0)+IFERROR(VALUE(TRIM(MID(L90,IFERROR(FIND("분",L90),0)+1,FIND("초",L90)-IFERROR(FIND("분",L90),0)-1))),0))/86400</f>
        <v>0.11053240740740744</v>
      </c>
      <c r="O90" s="43" t="s">
        <v>817</v>
      </c>
      <c r="P90" s="44">
        <f>I90</f>
        <v>5</v>
      </c>
      <c r="Q90" s="64">
        <f>Q89+13</f>
        <v>627</v>
      </c>
      <c r="R90" s="67">
        <f t="shared" si="1"/>
        <v>19694.07</v>
      </c>
    </row>
    <row r="91" spans="1:18" ht="81.95" customHeight="1">
      <c r="A91" s="59" t="s">
        <v>799</v>
      </c>
      <c r="B91" s="51">
        <v>87</v>
      </c>
      <c r="C91" s="51">
        <v>4</v>
      </c>
      <c r="D91" s="51">
        <v>7</v>
      </c>
      <c r="E91" s="53" t="s">
        <v>443</v>
      </c>
      <c r="F91" s="53" t="s">
        <v>444</v>
      </c>
      <c r="G91" s="53" t="s">
        <v>445</v>
      </c>
      <c r="H91" s="51" t="s">
        <v>446</v>
      </c>
      <c r="I91" s="51">
        <v>5</v>
      </c>
      <c r="J91" s="53" t="s">
        <v>447</v>
      </c>
      <c r="K91" s="53" t="s">
        <v>448</v>
      </c>
      <c r="L91" s="51" t="s">
        <v>413</v>
      </c>
      <c r="M91" s="51" t="s">
        <v>449</v>
      </c>
      <c r="N91" s="42">
        <f>N90+(IFERROR(VALUE(LEFT(L91,FIND("분",L91)-1))*60,0)+IFERROR(VALUE(TRIM(MID(L91,IFERROR(FIND("분",L91),0)+1,FIND("초",L91)-IFERROR(FIND("분",L91),0)-1))),0))/86400</f>
        <v>0.112962962962963</v>
      </c>
      <c r="O91" s="43" t="s">
        <v>817</v>
      </c>
      <c r="P91" s="44">
        <f>I91</f>
        <v>5</v>
      </c>
      <c r="Q91" s="64">
        <f>Q90+11</f>
        <v>638</v>
      </c>
      <c r="R91" s="67">
        <f t="shared" si="1"/>
        <v>20390.48</v>
      </c>
    </row>
    <row r="92" spans="1:18" ht="81.95" customHeight="1">
      <c r="A92" s="59" t="s">
        <v>799</v>
      </c>
      <c r="B92" s="51">
        <v>88</v>
      </c>
      <c r="C92" s="51">
        <v>4</v>
      </c>
      <c r="D92" s="51">
        <v>7</v>
      </c>
      <c r="E92" s="53" t="s">
        <v>450</v>
      </c>
      <c r="F92" s="53" t="s">
        <v>245</v>
      </c>
      <c r="G92" s="53" t="s">
        <v>451</v>
      </c>
      <c r="H92" s="51" t="s">
        <v>452</v>
      </c>
      <c r="I92" s="51">
        <v>1</v>
      </c>
      <c r="J92" s="53" t="s">
        <v>248</v>
      </c>
      <c r="K92" s="53" t="s">
        <v>249</v>
      </c>
      <c r="L92" s="51" t="s">
        <v>57</v>
      </c>
      <c r="M92" s="51" t="s">
        <v>250</v>
      </c>
      <c r="N92" s="42">
        <f>N91+(IFERROR(VALUE(LEFT(L92,FIND("분",L92)-1))*60,0)+IFERROR(VALUE(TRIM(MID(L92,IFERROR(FIND("분",L92),0)+1,FIND("초",L92)-IFERROR(FIND("분",L92),0)-1))),0))/86400</f>
        <v>0.11423611111111115</v>
      </c>
      <c r="O92" s="43" t="s">
        <v>818</v>
      </c>
      <c r="P92" s="44">
        <f>I92</f>
        <v>1</v>
      </c>
      <c r="Q92" s="64">
        <f>Q91+8</f>
        <v>646</v>
      </c>
      <c r="R92" s="67">
        <f t="shared" si="1"/>
        <v>20904.560000000001</v>
      </c>
    </row>
    <row r="93" spans="1:18" ht="81.95" customHeight="1">
      <c r="A93" s="59" t="s">
        <v>799</v>
      </c>
      <c r="B93" s="51">
        <v>89</v>
      </c>
      <c r="C93" s="51">
        <v>5</v>
      </c>
      <c r="D93" s="51">
        <v>7</v>
      </c>
      <c r="E93" s="53" t="s">
        <v>453</v>
      </c>
      <c r="F93" s="53" t="s">
        <v>454</v>
      </c>
      <c r="G93" s="53" t="s">
        <v>455</v>
      </c>
      <c r="H93" s="51" t="s">
        <v>456</v>
      </c>
      <c r="I93" s="51">
        <v>4</v>
      </c>
      <c r="J93" s="53" t="s">
        <v>457</v>
      </c>
      <c r="K93" s="53" t="s">
        <v>458</v>
      </c>
      <c r="L93" s="51" t="s">
        <v>337</v>
      </c>
      <c r="M93" s="51" t="s">
        <v>459</v>
      </c>
      <c r="N93" s="42">
        <f>N92+(IFERROR(VALUE(LEFT(L93,FIND("분",L93)-1))*60,0)+IFERROR(VALUE(TRIM(MID(L93,IFERROR(FIND("분",L93),0)+1,FIND("초",L93)-IFERROR(FIND("분",L93),0)-1))),0))/86400</f>
        <v>0.11643518518518522</v>
      </c>
      <c r="O93" s="43" t="s">
        <v>818</v>
      </c>
      <c r="P93" s="44">
        <f>I93</f>
        <v>4</v>
      </c>
      <c r="Q93" s="64">
        <f>Q92+11</f>
        <v>657</v>
      </c>
      <c r="R93" s="67">
        <f t="shared" si="1"/>
        <v>21621.87</v>
      </c>
    </row>
    <row r="94" spans="1:18" ht="81.95" customHeight="1">
      <c r="A94" s="59" t="s">
        <v>799</v>
      </c>
      <c r="B94" s="51">
        <v>90</v>
      </c>
      <c r="C94" s="51">
        <v>4</v>
      </c>
      <c r="D94" s="51">
        <v>7</v>
      </c>
      <c r="E94" s="53" t="s">
        <v>460</v>
      </c>
      <c r="F94" s="53" t="s">
        <v>43</v>
      </c>
      <c r="G94" s="53" t="s">
        <v>461</v>
      </c>
      <c r="H94" s="51" t="s">
        <v>462</v>
      </c>
      <c r="I94" s="51">
        <v>6</v>
      </c>
      <c r="J94" s="53" t="s">
        <v>463</v>
      </c>
      <c r="K94" s="53" t="s">
        <v>745</v>
      </c>
      <c r="L94" s="51" t="s">
        <v>413</v>
      </c>
      <c r="M94" s="51" t="s">
        <v>47</v>
      </c>
      <c r="N94" s="42">
        <f>N93+(IFERROR(VALUE(LEFT(L94,FIND("분",L94)-1))*60,0)+IFERROR(VALUE(TRIM(MID(L94,IFERROR(FIND("분",L94),0)+1,FIND("초",L94)-IFERROR(FIND("분",L94),0)-1))),0))/86400</f>
        <v>0.11886574074074079</v>
      </c>
      <c r="O94" s="43" t="s">
        <v>818</v>
      </c>
      <c r="P94" s="44">
        <f>I94</f>
        <v>6</v>
      </c>
      <c r="Q94" s="64">
        <f>Q93+11</f>
        <v>668</v>
      </c>
      <c r="R94" s="67">
        <f t="shared" si="1"/>
        <v>22351.280000000002</v>
      </c>
    </row>
    <row r="95" spans="1:18" ht="81.95" customHeight="1">
      <c r="A95" s="59" t="s">
        <v>799</v>
      </c>
      <c r="B95" s="51">
        <v>91</v>
      </c>
      <c r="C95" s="51">
        <v>2</v>
      </c>
      <c r="D95" s="51">
        <v>8</v>
      </c>
      <c r="E95" s="53" t="s">
        <v>464</v>
      </c>
      <c r="F95" s="53" t="s">
        <v>402</v>
      </c>
      <c r="G95" s="53" t="s">
        <v>465</v>
      </c>
      <c r="H95" s="51" t="s">
        <v>466</v>
      </c>
      <c r="I95" s="51">
        <v>2</v>
      </c>
      <c r="J95" s="53" t="s">
        <v>405</v>
      </c>
      <c r="K95" s="53" t="s">
        <v>406</v>
      </c>
      <c r="L95" s="51" t="s">
        <v>69</v>
      </c>
      <c r="M95" s="51" t="s">
        <v>407</v>
      </c>
      <c r="N95" s="42">
        <f>N94+(IFERROR(VALUE(LEFT(L95,FIND("분",L95)-1))*60,0)+IFERROR(VALUE(TRIM(MID(L95,IFERROR(FIND("분",L95),0)+1,FIND("초",L95)-IFERROR(FIND("분",L95),0)-1))),0))/86400</f>
        <v>0.11979166666666671</v>
      </c>
      <c r="O95" s="43" t="s">
        <v>818</v>
      </c>
      <c r="P95" s="44">
        <f>I95</f>
        <v>2</v>
      </c>
      <c r="Q95" s="64">
        <f>Q94+7</f>
        <v>675</v>
      </c>
      <c r="R95" s="67">
        <f t="shared" si="1"/>
        <v>22821.75</v>
      </c>
    </row>
    <row r="96" spans="1:18" ht="81.95" customHeight="1">
      <c r="A96" s="59" t="s">
        <v>799</v>
      </c>
      <c r="B96" s="51">
        <v>92</v>
      </c>
      <c r="C96" s="51">
        <v>8</v>
      </c>
      <c r="D96" s="51">
        <v>10</v>
      </c>
      <c r="E96" s="53" t="s">
        <v>467</v>
      </c>
      <c r="F96" s="53" t="s">
        <v>468</v>
      </c>
      <c r="G96" s="53" t="s">
        <v>469</v>
      </c>
      <c r="H96" s="51" t="s">
        <v>470</v>
      </c>
      <c r="I96" s="51">
        <v>8</v>
      </c>
      <c r="J96" s="53" t="s">
        <v>471</v>
      </c>
      <c r="K96" s="53" t="s">
        <v>472</v>
      </c>
      <c r="L96" s="51" t="s">
        <v>473</v>
      </c>
      <c r="M96" s="51" t="s">
        <v>474</v>
      </c>
      <c r="N96" s="42">
        <f>N95+(IFERROR(VALUE(LEFT(L96,FIND("분",L96)-1))*60,0)+IFERROR(VALUE(TRIM(MID(L96,IFERROR(FIND("분",L96),0)+1,FIND("초",L96)-IFERROR(FIND("분",L96),0)-1))),0))/86400</f>
        <v>0.12326388888888894</v>
      </c>
      <c r="O96" s="43" t="s">
        <v>819</v>
      </c>
      <c r="P96" s="44">
        <f>I96</f>
        <v>8</v>
      </c>
      <c r="Q96" s="64">
        <f>Q95+17</f>
        <v>692</v>
      </c>
      <c r="R96" s="67">
        <f t="shared" si="1"/>
        <v>23984.720000000001</v>
      </c>
    </row>
    <row r="97" spans="1:18" ht="81.95" customHeight="1">
      <c r="A97" s="59" t="s">
        <v>799</v>
      </c>
      <c r="B97" s="51">
        <v>93</v>
      </c>
      <c r="C97" s="51">
        <v>8</v>
      </c>
      <c r="D97" s="51">
        <v>10</v>
      </c>
      <c r="E97" s="53" t="s">
        <v>475</v>
      </c>
      <c r="F97" s="53" t="s">
        <v>476</v>
      </c>
      <c r="G97" s="53" t="s">
        <v>477</v>
      </c>
      <c r="H97" s="51" t="s">
        <v>478</v>
      </c>
      <c r="I97" s="51">
        <v>6</v>
      </c>
      <c r="J97" s="53" t="s">
        <v>479</v>
      </c>
      <c r="K97" s="53" t="s">
        <v>480</v>
      </c>
      <c r="L97" s="51" t="s">
        <v>481</v>
      </c>
      <c r="M97" s="51" t="s">
        <v>482</v>
      </c>
      <c r="N97" s="42">
        <f>N96+(IFERROR(VALUE(LEFT(L97,FIND("분",L97)-1))*60,0)+IFERROR(VALUE(TRIM(MID(L97,IFERROR(FIND("분",L97),0)+1,FIND("초",L97)-IFERROR(FIND("분",L97),0)-1))),0))/86400</f>
        <v>0.12627314814814819</v>
      </c>
      <c r="O97" s="43" t="s">
        <v>819</v>
      </c>
      <c r="P97" s="44">
        <f>I97</f>
        <v>6</v>
      </c>
      <c r="Q97" s="64">
        <f>Q96+15</f>
        <v>707</v>
      </c>
      <c r="R97" s="67">
        <f t="shared" si="1"/>
        <v>25034.87</v>
      </c>
    </row>
    <row r="98" spans="1:18" ht="81.95" customHeight="1">
      <c r="A98" s="59" t="s">
        <v>799</v>
      </c>
      <c r="B98" s="51">
        <v>94</v>
      </c>
      <c r="C98" s="51">
        <v>9</v>
      </c>
      <c r="D98" s="51">
        <v>10</v>
      </c>
      <c r="E98" s="53" t="s">
        <v>483</v>
      </c>
      <c r="F98" s="53" t="s">
        <v>484</v>
      </c>
      <c r="G98" s="53" t="s">
        <v>485</v>
      </c>
      <c r="H98" s="51" t="s">
        <v>486</v>
      </c>
      <c r="I98" s="51">
        <v>9</v>
      </c>
      <c r="J98" s="53" t="s">
        <v>487</v>
      </c>
      <c r="K98" s="53" t="s">
        <v>488</v>
      </c>
      <c r="L98" s="51" t="s">
        <v>489</v>
      </c>
      <c r="M98" s="51" t="s">
        <v>490</v>
      </c>
      <c r="N98" s="42">
        <f>N97+(IFERROR(VALUE(LEFT(L98,FIND("분",L98)-1))*60,0)+IFERROR(VALUE(TRIM(MID(L98,IFERROR(FIND("분",L98),0)+1,FIND("초",L98)-IFERROR(FIND("분",L98),0)-1))),0))/86400</f>
        <v>0.13020833333333337</v>
      </c>
      <c r="O98" s="43" t="s">
        <v>819</v>
      </c>
      <c r="P98" s="44">
        <f>I98</f>
        <v>9</v>
      </c>
      <c r="Q98" s="64">
        <f>Q97+18</f>
        <v>725</v>
      </c>
      <c r="R98" s="67">
        <f t="shared" si="1"/>
        <v>26324.75</v>
      </c>
    </row>
    <row r="99" spans="1:18" ht="81.95" customHeight="1">
      <c r="A99" s="59" t="s">
        <v>799</v>
      </c>
      <c r="B99" s="51">
        <v>95</v>
      </c>
      <c r="C99" s="51">
        <v>10</v>
      </c>
      <c r="D99" s="51">
        <v>10</v>
      </c>
      <c r="E99" s="53" t="s">
        <v>491</v>
      </c>
      <c r="F99" s="53" t="s">
        <v>492</v>
      </c>
      <c r="G99" s="53" t="s">
        <v>493</v>
      </c>
      <c r="H99" s="51" t="s">
        <v>494</v>
      </c>
      <c r="I99" s="51">
        <v>6</v>
      </c>
      <c r="J99" s="53" t="s">
        <v>495</v>
      </c>
      <c r="K99" s="53" t="s">
        <v>496</v>
      </c>
      <c r="L99" s="51" t="s">
        <v>497</v>
      </c>
      <c r="M99" s="51" t="s">
        <v>498</v>
      </c>
      <c r="N99" s="42">
        <f>N98+(IFERROR(VALUE(LEFT(L99,FIND("분",L99)-1))*60,0)+IFERROR(VALUE(TRIM(MID(L99,IFERROR(FIND("분",L99),0)+1,FIND("초",L99)-IFERROR(FIND("분",L99),0)-1))),0))/86400</f>
        <v>0.13287037037037042</v>
      </c>
      <c r="O99" s="43" t="s">
        <v>819</v>
      </c>
      <c r="P99" s="44">
        <f>I99</f>
        <v>6</v>
      </c>
      <c r="Q99" s="64">
        <f>Q98+15</f>
        <v>740</v>
      </c>
      <c r="R99" s="67">
        <f t="shared" si="1"/>
        <v>27424.400000000001</v>
      </c>
    </row>
    <row r="100" spans="1:18" ht="81.95" customHeight="1">
      <c r="A100" s="59" t="s">
        <v>799</v>
      </c>
      <c r="B100" s="51">
        <v>96</v>
      </c>
      <c r="C100" s="51">
        <v>7</v>
      </c>
      <c r="D100" s="51">
        <v>10</v>
      </c>
      <c r="E100" s="53" t="s">
        <v>499</v>
      </c>
      <c r="F100" s="53" t="s">
        <v>500</v>
      </c>
      <c r="G100" s="53" t="s">
        <v>501</v>
      </c>
      <c r="H100" s="51" t="s">
        <v>502</v>
      </c>
      <c r="I100" s="51">
        <v>5</v>
      </c>
      <c r="J100" s="53" t="s">
        <v>503</v>
      </c>
      <c r="K100" s="53" t="s">
        <v>504</v>
      </c>
      <c r="L100" s="51" t="s">
        <v>157</v>
      </c>
      <c r="M100" s="51" t="s">
        <v>505</v>
      </c>
      <c r="N100" s="42">
        <f>N99+(IFERROR(VALUE(LEFT(L100,FIND("분",L100)-1))*60,0)+IFERROR(VALUE(TRIM(MID(L100,IFERROR(FIND("분",L100),0)+1,FIND("초",L100)-IFERROR(FIND("분",L100),0)-1))),0))/86400</f>
        <v>0.1344907407407408</v>
      </c>
      <c r="O100" s="43" t="s">
        <v>819</v>
      </c>
      <c r="P100" s="44">
        <f>I100</f>
        <v>5</v>
      </c>
      <c r="Q100" s="64">
        <f>Q99+11</f>
        <v>751</v>
      </c>
      <c r="R100" s="67">
        <f t="shared" si="1"/>
        <v>28245.110000000004</v>
      </c>
    </row>
    <row r="101" spans="1:18" ht="81.95" customHeight="1">
      <c r="A101" s="59" t="s">
        <v>799</v>
      </c>
      <c r="B101" s="51">
        <v>97</v>
      </c>
      <c r="C101" s="51">
        <v>1</v>
      </c>
      <c r="D101" s="51">
        <v>10</v>
      </c>
      <c r="E101" s="53" t="s">
        <v>506</v>
      </c>
      <c r="F101" s="53" t="s">
        <v>507</v>
      </c>
      <c r="G101" s="53" t="s">
        <v>508</v>
      </c>
      <c r="H101" s="51" t="s">
        <v>509</v>
      </c>
      <c r="I101" s="51">
        <v>1</v>
      </c>
      <c r="J101" s="53" t="s">
        <v>510</v>
      </c>
      <c r="K101" s="53" t="s">
        <v>511</v>
      </c>
      <c r="L101" s="51" t="s">
        <v>14</v>
      </c>
      <c r="M101" s="51" t="s">
        <v>512</v>
      </c>
      <c r="N101" s="42">
        <f>N100+(IFERROR(VALUE(LEFT(L101,FIND("분",L101)-1))*60,0)+IFERROR(VALUE(TRIM(MID(L101,IFERROR(FIND("분",L101),0)+1,FIND("초",L101)-IFERROR(FIND("분",L101),0)-1))),0))/86400</f>
        <v>0.13553240740740746</v>
      </c>
      <c r="O101" s="43" t="s">
        <v>819</v>
      </c>
      <c r="P101" s="44">
        <f>I101</f>
        <v>1</v>
      </c>
      <c r="Q101" s="64">
        <f>Q100+7</f>
        <v>758</v>
      </c>
      <c r="R101" s="67">
        <f t="shared" si="1"/>
        <v>28773.68</v>
      </c>
    </row>
    <row r="102" spans="1:18" ht="81.95" customHeight="1">
      <c r="A102" s="59" t="s">
        <v>799</v>
      </c>
      <c r="B102" s="51">
        <v>98</v>
      </c>
      <c r="C102" s="51">
        <v>2</v>
      </c>
      <c r="D102" s="51">
        <v>10</v>
      </c>
      <c r="E102" s="53" t="s">
        <v>513</v>
      </c>
      <c r="F102" s="53" t="s">
        <v>514</v>
      </c>
      <c r="G102" s="53" t="s">
        <v>515</v>
      </c>
      <c r="H102" s="51" t="s">
        <v>516</v>
      </c>
      <c r="I102" s="51">
        <v>3</v>
      </c>
      <c r="J102" s="53" t="s">
        <v>517</v>
      </c>
      <c r="K102" s="53" t="s">
        <v>518</v>
      </c>
      <c r="L102" s="51" t="s">
        <v>157</v>
      </c>
      <c r="M102" s="51" t="s">
        <v>519</v>
      </c>
      <c r="N102" s="42">
        <f>N101+(IFERROR(VALUE(LEFT(L102,FIND("분",L102)-1))*60,0)+IFERROR(VALUE(TRIM(MID(L102,IFERROR(FIND("분",L102),0)+1,FIND("초",L102)-IFERROR(FIND("분",L102),0)-1))),0))/86400</f>
        <v>0.13715277777777785</v>
      </c>
      <c r="O102" s="43" t="s">
        <v>819</v>
      </c>
      <c r="P102" s="44">
        <f>I102</f>
        <v>3</v>
      </c>
      <c r="Q102" s="64">
        <f>Q101+9</f>
        <v>767</v>
      </c>
      <c r="R102" s="67">
        <f t="shared" si="1"/>
        <v>29460.47</v>
      </c>
    </row>
    <row r="103" spans="1:18" ht="81.95" customHeight="1">
      <c r="A103" s="59" t="s">
        <v>799</v>
      </c>
      <c r="B103" s="51">
        <v>99</v>
      </c>
      <c r="C103" s="51">
        <v>6</v>
      </c>
      <c r="D103" s="51">
        <v>9</v>
      </c>
      <c r="E103" s="53" t="s">
        <v>520</v>
      </c>
      <c r="F103" s="53" t="s">
        <v>521</v>
      </c>
      <c r="G103" s="53" t="s">
        <v>522</v>
      </c>
      <c r="H103" s="51" t="s">
        <v>523</v>
      </c>
      <c r="I103" s="51">
        <v>1</v>
      </c>
      <c r="J103" s="53" t="s">
        <v>524</v>
      </c>
      <c r="K103" s="53" t="s">
        <v>525</v>
      </c>
      <c r="L103" s="51" t="s">
        <v>140</v>
      </c>
      <c r="M103" s="51" t="s">
        <v>526</v>
      </c>
      <c r="N103" s="42">
        <f>N102+(IFERROR(VALUE(LEFT(L103,FIND("분",L103)-1))*60,0)+IFERROR(VALUE(TRIM(MID(L103,IFERROR(FIND("분",L103),0)+1,FIND("초",L103)-IFERROR(FIND("분",L103),0)-1))),0))/86400</f>
        <v>0.13923611111111117</v>
      </c>
      <c r="O103" s="43" t="s">
        <v>820</v>
      </c>
      <c r="P103" s="44">
        <f>I103</f>
        <v>1</v>
      </c>
      <c r="Q103" s="64">
        <f>Q102+11</f>
        <v>778</v>
      </c>
      <c r="R103" s="67">
        <f t="shared" si="1"/>
        <v>30310.880000000005</v>
      </c>
    </row>
    <row r="104" spans="1:18" ht="81.95" customHeight="1">
      <c r="A104" s="59" t="s">
        <v>799</v>
      </c>
      <c r="B104" s="51">
        <v>100</v>
      </c>
      <c r="C104" s="51">
        <v>1</v>
      </c>
      <c r="D104" s="51">
        <v>8</v>
      </c>
      <c r="E104" s="53" t="s">
        <v>527</v>
      </c>
      <c r="F104" s="53" t="s">
        <v>348</v>
      </c>
      <c r="G104" s="53" t="s">
        <v>528</v>
      </c>
      <c r="H104" s="51" t="s">
        <v>529</v>
      </c>
      <c r="I104" s="51">
        <v>3</v>
      </c>
      <c r="J104" s="53" t="s">
        <v>351</v>
      </c>
      <c r="K104" s="53" t="s">
        <v>352</v>
      </c>
      <c r="L104" s="51" t="s">
        <v>57</v>
      </c>
      <c r="M104" s="51" t="s">
        <v>353</v>
      </c>
      <c r="N104" s="42">
        <f>N103+(IFERROR(VALUE(LEFT(L104,FIND("분",L104)-1))*60,0)+IFERROR(VALUE(TRIM(MID(L104,IFERROR(FIND("분",L104),0)+1,FIND("초",L104)-IFERROR(FIND("분",L104),0)-1))),0))/86400</f>
        <v>0.14050925925925933</v>
      </c>
      <c r="O104" s="43" t="s">
        <v>820</v>
      </c>
      <c r="P104" s="44">
        <f>I104</f>
        <v>3</v>
      </c>
      <c r="Q104" s="64">
        <f>Q103+7</f>
        <v>785</v>
      </c>
      <c r="R104" s="67">
        <f t="shared" si="1"/>
        <v>30858.35</v>
      </c>
    </row>
    <row r="105" spans="1:18" ht="81.95" customHeight="1">
      <c r="A105" s="60" t="s">
        <v>800</v>
      </c>
      <c r="B105" s="51">
        <v>101</v>
      </c>
      <c r="C105" s="51">
        <v>1</v>
      </c>
      <c r="D105" s="51">
        <v>8</v>
      </c>
      <c r="E105" s="53" t="s">
        <v>801</v>
      </c>
      <c r="F105" s="53" t="s">
        <v>530</v>
      </c>
      <c r="G105" s="53" t="s">
        <v>531</v>
      </c>
      <c r="H105" s="51" t="s">
        <v>532</v>
      </c>
      <c r="I105" s="51">
        <v>2</v>
      </c>
      <c r="J105" s="53" t="s">
        <v>533</v>
      </c>
      <c r="K105" s="53" t="s">
        <v>745</v>
      </c>
      <c r="L105" s="51" t="s">
        <v>85</v>
      </c>
      <c r="M105" s="51" t="s">
        <v>534</v>
      </c>
      <c r="N105" s="42">
        <f>N104+(IFERROR(VALUE(LEFT(L105,FIND("분",L105)-1))*60,0)+IFERROR(VALUE(TRIM(MID(L105,IFERROR(FIND("분",L105),0)+1,FIND("초",L105)-IFERROR(FIND("분",L105),0)-1))),0))/86400</f>
        <v>0.14166666666666675</v>
      </c>
      <c r="O105" s="43" t="s">
        <v>821</v>
      </c>
      <c r="P105" s="44">
        <f>I105</f>
        <v>2</v>
      </c>
      <c r="Q105" s="64">
        <f>Q104+7</f>
        <v>792</v>
      </c>
      <c r="R105" s="67">
        <f t="shared" si="1"/>
        <v>31410.720000000001</v>
      </c>
    </row>
    <row r="106" spans="1:18" ht="81.95" customHeight="1">
      <c r="A106" s="60" t="s">
        <v>800</v>
      </c>
      <c r="B106" s="51">
        <v>102</v>
      </c>
      <c r="C106" s="51">
        <v>1</v>
      </c>
      <c r="D106" s="51">
        <v>9</v>
      </c>
      <c r="E106" s="53" t="s">
        <v>535</v>
      </c>
      <c r="F106" s="53" t="s">
        <v>536</v>
      </c>
      <c r="G106" s="53" t="s">
        <v>537</v>
      </c>
      <c r="H106" s="51" t="s">
        <v>538</v>
      </c>
      <c r="I106" s="51">
        <v>4</v>
      </c>
      <c r="J106" s="53" t="s">
        <v>539</v>
      </c>
      <c r="K106" s="53" t="s">
        <v>745</v>
      </c>
      <c r="L106" s="51" t="s">
        <v>157</v>
      </c>
      <c r="M106" s="51" t="s">
        <v>540</v>
      </c>
      <c r="N106" s="42">
        <f>N105+(IFERROR(VALUE(LEFT(L106,FIND("분",L106)-1))*60,0)+IFERROR(VALUE(TRIM(MID(L106,IFERROR(FIND("분",L106),0)+1,FIND("초",L106)-IFERROR(FIND("분",L106),0)-1))),0))/86400</f>
        <v>0.14328703703703713</v>
      </c>
      <c r="O106" s="43" t="s">
        <v>821</v>
      </c>
      <c r="P106" s="44">
        <f>I106</f>
        <v>4</v>
      </c>
      <c r="Q106" s="64">
        <f>Q105+9</f>
        <v>801</v>
      </c>
      <c r="R106" s="67">
        <f t="shared" si="1"/>
        <v>32128.110000000004</v>
      </c>
    </row>
    <row r="107" spans="1:18" ht="81.95" customHeight="1">
      <c r="A107" s="60" t="s">
        <v>800</v>
      </c>
      <c r="B107" s="51">
        <v>103</v>
      </c>
      <c r="C107" s="51">
        <v>5</v>
      </c>
      <c r="D107" s="51">
        <v>9</v>
      </c>
      <c r="E107" s="53" t="s">
        <v>541</v>
      </c>
      <c r="F107" s="53" t="s">
        <v>30</v>
      </c>
      <c r="G107" s="53" t="s">
        <v>542</v>
      </c>
      <c r="H107" s="51" t="s">
        <v>543</v>
      </c>
      <c r="I107" s="51">
        <v>1</v>
      </c>
      <c r="J107" s="53" t="s">
        <v>544</v>
      </c>
      <c r="K107" s="53" t="s">
        <v>750</v>
      </c>
      <c r="L107" s="51" t="s">
        <v>140</v>
      </c>
      <c r="M107" s="51" t="s">
        <v>34</v>
      </c>
      <c r="N107" s="42">
        <f>N106+(IFERROR(VALUE(LEFT(L107,FIND("분",L107)-1))*60,0)+IFERROR(VALUE(TRIM(MID(L107,IFERROR(FIND("분",L107),0)+1,FIND("초",L107)-IFERROR(FIND("분",L107),0)-1))),0))/86400</f>
        <v>0.14537037037037046</v>
      </c>
      <c r="O107" s="43" t="s">
        <v>821</v>
      </c>
      <c r="P107" s="44">
        <f>I107</f>
        <v>1</v>
      </c>
      <c r="Q107" s="64">
        <f>Q106+11</f>
        <v>812</v>
      </c>
      <c r="R107" s="67">
        <f t="shared" si="1"/>
        <v>33015.920000000006</v>
      </c>
    </row>
    <row r="108" spans="1:18" ht="81.95" customHeight="1">
      <c r="A108" s="60" t="s">
        <v>800</v>
      </c>
      <c r="B108" s="51">
        <v>104</v>
      </c>
      <c r="C108" s="51">
        <v>6</v>
      </c>
      <c r="D108" s="51">
        <v>10</v>
      </c>
      <c r="E108" s="53" t="s">
        <v>545</v>
      </c>
      <c r="F108" s="53" t="s">
        <v>546</v>
      </c>
      <c r="G108" s="53" t="s">
        <v>547</v>
      </c>
      <c r="H108" s="51" t="s">
        <v>548</v>
      </c>
      <c r="I108" s="51">
        <v>3</v>
      </c>
      <c r="J108" s="53" t="s">
        <v>549</v>
      </c>
      <c r="K108" s="53" t="s">
        <v>550</v>
      </c>
      <c r="L108" s="51" t="s">
        <v>294</v>
      </c>
      <c r="M108" s="51" t="s">
        <v>551</v>
      </c>
      <c r="N108" s="42">
        <f>N107+(IFERROR(VALUE(LEFT(L108,FIND("분",L108)-1))*60,0)+IFERROR(VALUE(TRIM(MID(L108,IFERROR(FIND("분",L108),0)+1,FIND("초",L108)-IFERROR(FIND("분",L108),0)-1))),0))/86400</f>
        <v>0.14687500000000009</v>
      </c>
      <c r="O108" s="43" t="s">
        <v>822</v>
      </c>
      <c r="P108" s="44">
        <f>I108</f>
        <v>3</v>
      </c>
      <c r="Q108" s="64">
        <f>Q107+10</f>
        <v>822</v>
      </c>
      <c r="R108" s="67">
        <f t="shared" si="1"/>
        <v>33833.520000000004</v>
      </c>
    </row>
    <row r="109" spans="1:18" ht="81.95" customHeight="1">
      <c r="A109" s="60" t="s">
        <v>800</v>
      </c>
      <c r="B109" s="51">
        <v>105</v>
      </c>
      <c r="C109" s="51">
        <v>5</v>
      </c>
      <c r="D109" s="51">
        <v>9</v>
      </c>
      <c r="E109" s="53" t="s">
        <v>552</v>
      </c>
      <c r="F109" s="53" t="s">
        <v>553</v>
      </c>
      <c r="G109" s="53" t="s">
        <v>554</v>
      </c>
      <c r="H109" s="51" t="s">
        <v>555</v>
      </c>
      <c r="I109" s="51">
        <v>8</v>
      </c>
      <c r="J109" s="53" t="s">
        <v>556</v>
      </c>
      <c r="K109" s="53" t="s">
        <v>557</v>
      </c>
      <c r="L109" s="51" t="s">
        <v>345</v>
      </c>
      <c r="M109" s="51" t="s">
        <v>558</v>
      </c>
      <c r="N109" s="42">
        <f>N108+(IFERROR(VALUE(LEFT(L109,FIND("분",L109)-1))*60,0)+IFERROR(VALUE(TRIM(MID(L109,IFERROR(FIND("분",L109),0)+1,FIND("초",L109)-IFERROR(FIND("분",L109),0)-1))),0))/86400</f>
        <v>0.14942129629629639</v>
      </c>
      <c r="O109" s="43" t="s">
        <v>822</v>
      </c>
      <c r="P109" s="44">
        <f>I109</f>
        <v>8</v>
      </c>
      <c r="Q109" s="64">
        <f>Q108+13</f>
        <v>835</v>
      </c>
      <c r="R109" s="67">
        <f t="shared" si="1"/>
        <v>34911.35</v>
      </c>
    </row>
    <row r="110" spans="1:18" ht="81.95" customHeight="1">
      <c r="A110" s="60" t="s">
        <v>800</v>
      </c>
      <c r="B110" s="51">
        <v>106</v>
      </c>
      <c r="C110" s="51">
        <v>2</v>
      </c>
      <c r="D110" s="51">
        <v>10</v>
      </c>
      <c r="E110" s="53" t="s">
        <v>559</v>
      </c>
      <c r="F110" s="53" t="s">
        <v>560</v>
      </c>
      <c r="G110" s="53" t="s">
        <v>561</v>
      </c>
      <c r="H110" s="51" t="s">
        <v>562</v>
      </c>
      <c r="I110" s="51">
        <v>5</v>
      </c>
      <c r="J110" s="53" t="s">
        <v>563</v>
      </c>
      <c r="K110" s="53" t="s">
        <v>755</v>
      </c>
      <c r="L110" s="51" t="s">
        <v>413</v>
      </c>
      <c r="M110" s="51" t="s">
        <v>564</v>
      </c>
      <c r="N110" s="42">
        <f>N109+(IFERROR(VALUE(LEFT(L110,FIND("분",L110)-1))*60,0)+IFERROR(VALUE(TRIM(MID(L110,IFERROR(FIND("분",L110),0)+1,FIND("초",L110)-IFERROR(FIND("분",L110),0)-1))),0))/86400</f>
        <v>0.15185185185185193</v>
      </c>
      <c r="O110" s="43" t="s">
        <v>822</v>
      </c>
      <c r="P110" s="44">
        <f>I110</f>
        <v>5</v>
      </c>
      <c r="Q110" s="64">
        <f>Q109+12</f>
        <v>847</v>
      </c>
      <c r="R110" s="67">
        <f t="shared" si="1"/>
        <v>35921.270000000004</v>
      </c>
    </row>
    <row r="111" spans="1:18" ht="81.95" customHeight="1">
      <c r="A111" s="60" t="s">
        <v>800</v>
      </c>
      <c r="B111" s="51">
        <v>107</v>
      </c>
      <c r="C111" s="51">
        <v>7</v>
      </c>
      <c r="D111" s="51">
        <v>10</v>
      </c>
      <c r="E111" s="53" t="s">
        <v>565</v>
      </c>
      <c r="F111" s="53" t="s">
        <v>566</v>
      </c>
      <c r="G111" s="53" t="s">
        <v>567</v>
      </c>
      <c r="H111" s="51" t="s">
        <v>568</v>
      </c>
      <c r="I111" s="51">
        <v>6</v>
      </c>
      <c r="J111" s="53" t="s">
        <v>569</v>
      </c>
      <c r="K111" s="53" t="s">
        <v>570</v>
      </c>
      <c r="L111" s="51" t="s">
        <v>481</v>
      </c>
      <c r="M111" s="51" t="s">
        <v>571</v>
      </c>
      <c r="N111" s="42">
        <f>N110+(IFERROR(VALUE(LEFT(L111,FIND("분",L111)-1))*60,0)+IFERROR(VALUE(TRIM(MID(L111,IFERROR(FIND("분",L111),0)+1,FIND("초",L111)-IFERROR(FIND("분",L111),0)-1))),0))/86400</f>
        <v>0.1548611111111112</v>
      </c>
      <c r="O111" s="43" t="s">
        <v>822</v>
      </c>
      <c r="P111" s="44">
        <f>I111</f>
        <v>6</v>
      </c>
      <c r="Q111" s="64">
        <f>Q110+15</f>
        <v>862</v>
      </c>
      <c r="R111" s="67">
        <f t="shared" si="1"/>
        <v>37203.920000000006</v>
      </c>
    </row>
    <row r="112" spans="1:18" ht="81.95" customHeight="1">
      <c r="A112" s="60" t="s">
        <v>800</v>
      </c>
      <c r="B112" s="51">
        <v>108</v>
      </c>
      <c r="C112" s="51">
        <v>9</v>
      </c>
      <c r="D112" s="51">
        <v>10</v>
      </c>
      <c r="E112" s="53" t="s">
        <v>572</v>
      </c>
      <c r="F112" s="53" t="s">
        <v>573</v>
      </c>
      <c r="G112" s="53" t="s">
        <v>574</v>
      </c>
      <c r="H112" s="51" t="s">
        <v>575</v>
      </c>
      <c r="I112" s="51">
        <v>10</v>
      </c>
      <c r="J112" s="53" t="s">
        <v>576</v>
      </c>
      <c r="K112" s="53" t="s">
        <v>577</v>
      </c>
      <c r="L112" s="51" t="s">
        <v>578</v>
      </c>
      <c r="M112" s="51" t="s">
        <v>579</v>
      </c>
      <c r="N112" s="42">
        <f>N111+(IFERROR(VALUE(LEFT(L112,FIND("분",L112)-1))*60,0)+IFERROR(VALUE(TRIM(MID(L112,IFERROR(FIND("분",L112),0)+1,FIND("초",L112)-IFERROR(FIND("분",L112),0)-1))),0))/86400</f>
        <v>0.15902777777777788</v>
      </c>
      <c r="O112" s="43" t="s">
        <v>822</v>
      </c>
      <c r="P112" s="44">
        <f>I112</f>
        <v>10</v>
      </c>
      <c r="Q112" s="64">
        <f>Q111+19</f>
        <v>881</v>
      </c>
      <c r="R112" s="67">
        <f t="shared" si="1"/>
        <v>38860.910000000003</v>
      </c>
    </row>
    <row r="113" spans="1:18" ht="81.95" customHeight="1">
      <c r="A113" s="60" t="s">
        <v>800</v>
      </c>
      <c r="B113" s="51">
        <v>109</v>
      </c>
      <c r="C113" s="51">
        <v>6</v>
      </c>
      <c r="D113" s="51">
        <v>10</v>
      </c>
      <c r="E113" s="53" t="s">
        <v>580</v>
      </c>
      <c r="F113" s="53" t="s">
        <v>581</v>
      </c>
      <c r="G113" s="53" t="s">
        <v>582</v>
      </c>
      <c r="H113" s="51" t="s">
        <v>583</v>
      </c>
      <c r="I113" s="51">
        <v>1</v>
      </c>
      <c r="J113" s="53" t="s">
        <v>584</v>
      </c>
      <c r="K113" s="53" t="s">
        <v>585</v>
      </c>
      <c r="L113" s="51" t="s">
        <v>94</v>
      </c>
      <c r="M113" s="51" t="s">
        <v>586</v>
      </c>
      <c r="N113" s="42">
        <f>N112+(IFERROR(VALUE(LEFT(L113,FIND("분",L113)-1))*60,0)+IFERROR(VALUE(TRIM(MID(L113,IFERROR(FIND("분",L113),0)+1,FIND("초",L113)-IFERROR(FIND("분",L113),0)-1))),0))/86400</f>
        <v>0.16076388888888898</v>
      </c>
      <c r="O113" s="43" t="s">
        <v>823</v>
      </c>
      <c r="P113" s="44">
        <f>I113</f>
        <v>1</v>
      </c>
      <c r="Q113" s="64">
        <f>Q112+11</f>
        <v>892</v>
      </c>
      <c r="R113" s="67">
        <f t="shared" si="1"/>
        <v>39836.720000000001</v>
      </c>
    </row>
    <row r="114" spans="1:18" ht="81.95" customHeight="1">
      <c r="A114" s="60" t="s">
        <v>800</v>
      </c>
      <c r="B114" s="51">
        <v>110</v>
      </c>
      <c r="C114" s="51">
        <v>1</v>
      </c>
      <c r="D114" s="51">
        <v>10</v>
      </c>
      <c r="E114" s="53" t="s">
        <v>587</v>
      </c>
      <c r="F114" s="53" t="s">
        <v>588</v>
      </c>
      <c r="G114" s="53" t="s">
        <v>589</v>
      </c>
      <c r="H114" s="51" t="s">
        <v>590</v>
      </c>
      <c r="I114" s="51">
        <v>4</v>
      </c>
      <c r="J114" s="53" t="s">
        <v>591</v>
      </c>
      <c r="K114" s="53" t="s">
        <v>756</v>
      </c>
      <c r="L114" s="51" t="s">
        <v>337</v>
      </c>
      <c r="M114" s="51" t="s">
        <v>592</v>
      </c>
      <c r="N114" s="42">
        <f>N113+(IFERROR(VALUE(LEFT(L114,FIND("분",L114)-1))*60,0)+IFERROR(VALUE(TRIM(MID(L114,IFERROR(FIND("분",L114),0)+1,FIND("초",L114)-IFERROR(FIND("분",L114),0)-1))),0))/86400</f>
        <v>0.16296296296296306</v>
      </c>
      <c r="O114" s="43" t="s">
        <v>823</v>
      </c>
      <c r="P114" s="44">
        <f>I114</f>
        <v>4</v>
      </c>
      <c r="Q114" s="64">
        <f>Q113+11</f>
        <v>903</v>
      </c>
      <c r="R114" s="67">
        <f t="shared" si="1"/>
        <v>40824.630000000005</v>
      </c>
    </row>
    <row r="115" spans="1:18" ht="81.95" customHeight="1">
      <c r="A115" s="60" t="s">
        <v>800</v>
      </c>
      <c r="B115" s="51">
        <v>111</v>
      </c>
      <c r="C115" s="51">
        <v>1</v>
      </c>
      <c r="D115" s="51">
        <v>10</v>
      </c>
      <c r="E115" s="53" t="s">
        <v>593</v>
      </c>
      <c r="F115" s="53" t="s">
        <v>594</v>
      </c>
      <c r="G115" s="53" t="s">
        <v>595</v>
      </c>
      <c r="H115" s="51" t="s">
        <v>596</v>
      </c>
      <c r="I115" s="51">
        <v>3</v>
      </c>
      <c r="J115" s="53" t="s">
        <v>597</v>
      </c>
      <c r="K115" s="53" t="s">
        <v>745</v>
      </c>
      <c r="L115" s="51" t="s">
        <v>145</v>
      </c>
      <c r="M115" s="51" t="s">
        <v>598</v>
      </c>
      <c r="N115" s="42">
        <f>N114+(IFERROR(VALUE(LEFT(L115,FIND("분",L115)-1))*60,0)+IFERROR(VALUE(TRIM(MID(L115,IFERROR(FIND("분",L115),0)+1,FIND("초",L115)-IFERROR(FIND("분",L115),0)-1))),0))/86400</f>
        <v>0.16481481481481491</v>
      </c>
      <c r="O115" s="43" t="s">
        <v>823</v>
      </c>
      <c r="P115" s="44">
        <f>I115</f>
        <v>3</v>
      </c>
      <c r="Q115" s="64">
        <f>Q114+10</f>
        <v>913</v>
      </c>
      <c r="R115" s="67">
        <f t="shared" si="1"/>
        <v>41733.230000000003</v>
      </c>
    </row>
    <row r="116" spans="1:18" ht="81.95" customHeight="1">
      <c r="A116" s="60" t="s">
        <v>800</v>
      </c>
      <c r="B116" s="51">
        <v>112</v>
      </c>
      <c r="C116" s="51">
        <v>1</v>
      </c>
      <c r="D116" s="51">
        <v>10</v>
      </c>
      <c r="E116" s="53" t="s">
        <v>599</v>
      </c>
      <c r="F116" s="53" t="s">
        <v>600</v>
      </c>
      <c r="G116" s="53" t="s">
        <v>601</v>
      </c>
      <c r="H116" s="51" t="s">
        <v>602</v>
      </c>
      <c r="I116" s="51">
        <v>3</v>
      </c>
      <c r="J116" s="53" t="s">
        <v>603</v>
      </c>
      <c r="K116" s="53" t="s">
        <v>745</v>
      </c>
      <c r="L116" s="51" t="s">
        <v>94</v>
      </c>
      <c r="M116" s="51" t="s">
        <v>604</v>
      </c>
      <c r="N116" s="42">
        <f>N115+(IFERROR(VALUE(LEFT(L116,FIND("분",L116)-1))*60,0)+IFERROR(VALUE(TRIM(MID(L116,IFERROR(FIND("분",L116),0)+1,FIND("초",L116)-IFERROR(FIND("분",L116),0)-1))),0))/86400</f>
        <v>0.16655092592592602</v>
      </c>
      <c r="O116" s="43" t="s">
        <v>823</v>
      </c>
      <c r="P116" s="44">
        <f>I116</f>
        <v>3</v>
      </c>
      <c r="Q116" s="64">
        <f>Q115+9</f>
        <v>922</v>
      </c>
      <c r="R116" s="67">
        <f t="shared" si="1"/>
        <v>42559.520000000004</v>
      </c>
    </row>
    <row r="117" spans="1:18" ht="81.95" customHeight="1">
      <c r="A117" s="60" t="s">
        <v>800</v>
      </c>
      <c r="B117" s="51">
        <v>113</v>
      </c>
      <c r="C117" s="51">
        <v>4</v>
      </c>
      <c r="D117" s="51">
        <v>10</v>
      </c>
      <c r="E117" s="53" t="s">
        <v>605</v>
      </c>
      <c r="F117" s="53" t="s">
        <v>606</v>
      </c>
      <c r="G117" s="53" t="s">
        <v>607</v>
      </c>
      <c r="H117" s="51" t="s">
        <v>608</v>
      </c>
      <c r="I117" s="51">
        <v>5</v>
      </c>
      <c r="J117" s="53" t="s">
        <v>609</v>
      </c>
      <c r="K117" s="53" t="s">
        <v>610</v>
      </c>
      <c r="L117" s="51" t="s">
        <v>329</v>
      </c>
      <c r="M117" s="51" t="s">
        <v>611</v>
      </c>
      <c r="N117" s="42">
        <f>N116+(IFERROR(VALUE(LEFT(L117,FIND("분",L117)-1))*60,0)+IFERROR(VALUE(TRIM(MID(L117,IFERROR(FIND("분",L117),0)+1,FIND("초",L117)-IFERROR(FIND("분",L117),0)-1))),0))/86400</f>
        <v>0.16886574074074084</v>
      </c>
      <c r="O117" s="43" t="s">
        <v>823</v>
      </c>
      <c r="P117" s="44">
        <f>I117</f>
        <v>5</v>
      </c>
      <c r="Q117" s="64">
        <f>Q116+12</f>
        <v>934</v>
      </c>
      <c r="R117" s="67">
        <f t="shared" si="1"/>
        <v>43673.840000000004</v>
      </c>
    </row>
    <row r="118" spans="1:18" ht="81.95" customHeight="1">
      <c r="A118" s="60" t="s">
        <v>800</v>
      </c>
      <c r="B118" s="51">
        <v>114</v>
      </c>
      <c r="C118" s="51">
        <v>7</v>
      </c>
      <c r="D118" s="51">
        <v>10</v>
      </c>
      <c r="E118" s="53" t="s">
        <v>612</v>
      </c>
      <c r="F118" s="53" t="s">
        <v>613</v>
      </c>
      <c r="G118" s="53" t="s">
        <v>614</v>
      </c>
      <c r="H118" s="51" t="s">
        <v>615</v>
      </c>
      <c r="I118" s="51">
        <v>4</v>
      </c>
      <c r="J118" s="53" t="s">
        <v>616</v>
      </c>
      <c r="K118" s="53" t="s">
        <v>617</v>
      </c>
      <c r="L118" s="51" t="s">
        <v>140</v>
      </c>
      <c r="M118" s="51" t="s">
        <v>618</v>
      </c>
      <c r="N118" s="42">
        <f>N117+(IFERROR(VALUE(LEFT(L118,FIND("분",L118)-1))*60,0)+IFERROR(VALUE(TRIM(MID(L118,IFERROR(FIND("분",L118),0)+1,FIND("초",L118)-IFERROR(FIND("분",L118),0)-1))),0))/86400</f>
        <v>0.17094907407407417</v>
      </c>
      <c r="O118" s="43" t="s">
        <v>823</v>
      </c>
      <c r="P118" s="44">
        <f>I118</f>
        <v>4</v>
      </c>
      <c r="Q118" s="64">
        <f>Q117+12</f>
        <v>946</v>
      </c>
      <c r="R118" s="67">
        <f t="shared" si="1"/>
        <v>44802.560000000005</v>
      </c>
    </row>
    <row r="119" spans="1:18" ht="81.95" customHeight="1">
      <c r="A119" s="60" t="s">
        <v>800</v>
      </c>
      <c r="B119" s="51">
        <v>115</v>
      </c>
      <c r="C119" s="51">
        <v>6</v>
      </c>
      <c r="D119" s="51">
        <v>10</v>
      </c>
      <c r="E119" s="53" t="s">
        <v>619</v>
      </c>
      <c r="F119" s="53" t="s">
        <v>620</v>
      </c>
      <c r="G119" s="53" t="s">
        <v>621</v>
      </c>
      <c r="H119" s="51" t="s">
        <v>622</v>
      </c>
      <c r="I119" s="51">
        <v>6</v>
      </c>
      <c r="J119" s="53" t="s">
        <v>623</v>
      </c>
      <c r="K119" s="53" t="s">
        <v>624</v>
      </c>
      <c r="L119" s="51" t="s">
        <v>345</v>
      </c>
      <c r="M119" s="51" t="s">
        <v>625</v>
      </c>
      <c r="N119" s="42">
        <f>N118+(IFERROR(VALUE(LEFT(L119,FIND("분",L119)-1))*60,0)+IFERROR(VALUE(TRIM(MID(L119,IFERROR(FIND("분",L119),0)+1,FIND("초",L119)-IFERROR(FIND("분",L119),0)-1))),0))/86400</f>
        <v>0.17349537037037047</v>
      </c>
      <c r="O119" s="43" t="s">
        <v>823</v>
      </c>
      <c r="P119" s="44">
        <f>I119</f>
        <v>6</v>
      </c>
      <c r="Q119" s="64">
        <f>Q118+14</f>
        <v>960</v>
      </c>
      <c r="R119" s="67">
        <f t="shared" si="1"/>
        <v>46137.599999999999</v>
      </c>
    </row>
    <row r="120" spans="1:18" ht="81.95" customHeight="1">
      <c r="A120" s="60" t="s">
        <v>800</v>
      </c>
      <c r="B120" s="51">
        <v>116</v>
      </c>
      <c r="C120" s="51">
        <v>1</v>
      </c>
      <c r="D120" s="51">
        <v>10</v>
      </c>
      <c r="E120" s="53" t="s">
        <v>626</v>
      </c>
      <c r="F120" s="53" t="s">
        <v>627</v>
      </c>
      <c r="G120" s="53" t="s">
        <v>628</v>
      </c>
      <c r="H120" s="51" t="s">
        <v>629</v>
      </c>
      <c r="I120" s="51">
        <v>1</v>
      </c>
      <c r="J120" s="53" t="s">
        <v>630</v>
      </c>
      <c r="K120" s="53" t="s">
        <v>750</v>
      </c>
      <c r="L120" s="51" t="s">
        <v>67</v>
      </c>
      <c r="M120" s="51" t="s">
        <v>631</v>
      </c>
      <c r="N120" s="42">
        <f>N119+(IFERROR(VALUE(LEFT(L120,FIND("분",L120)-1))*60,0)+IFERROR(VALUE(TRIM(MID(L120,IFERROR(FIND("분",L120),0)+1,FIND("초",L120)-IFERROR(FIND("분",L120),0)-1))),0))/86400</f>
        <v>0.17488425925925935</v>
      </c>
      <c r="O120" s="43" t="s">
        <v>824</v>
      </c>
      <c r="P120" s="44">
        <f>I120</f>
        <v>1</v>
      </c>
      <c r="Q120" s="64">
        <f>Q119+8</f>
        <v>968</v>
      </c>
      <c r="R120" s="67">
        <f t="shared" si="1"/>
        <v>46909.280000000006</v>
      </c>
    </row>
    <row r="121" spans="1:18" ht="81.95" customHeight="1">
      <c r="A121" s="60" t="s">
        <v>800</v>
      </c>
      <c r="B121" s="51">
        <v>117</v>
      </c>
      <c r="C121" s="51">
        <v>1</v>
      </c>
      <c r="D121" s="51">
        <v>10</v>
      </c>
      <c r="E121" s="53" t="s">
        <v>632</v>
      </c>
      <c r="F121" s="53" t="s">
        <v>633</v>
      </c>
      <c r="G121" s="53" t="s">
        <v>634</v>
      </c>
      <c r="H121" s="51" t="s">
        <v>635</v>
      </c>
      <c r="I121" s="51">
        <v>4</v>
      </c>
      <c r="J121" s="53" t="s">
        <v>636</v>
      </c>
      <c r="K121" s="53" t="s">
        <v>745</v>
      </c>
      <c r="L121" s="51" t="s">
        <v>94</v>
      </c>
      <c r="M121" s="51" t="s">
        <v>637</v>
      </c>
      <c r="N121" s="42">
        <f>N120+(IFERROR(VALUE(LEFT(L121,FIND("분",L121)-1))*60,0)+IFERROR(VALUE(TRIM(MID(L121,IFERROR(FIND("분",L121),0)+1,FIND("초",L121)-IFERROR(FIND("분",L121),0)-1))),0))/86400</f>
        <v>0.17662037037037046</v>
      </c>
      <c r="O121" s="43" t="s">
        <v>824</v>
      </c>
      <c r="P121" s="44">
        <f>I121</f>
        <v>4</v>
      </c>
      <c r="Q121" s="64">
        <f>Q120+10</f>
        <v>978</v>
      </c>
      <c r="R121" s="67">
        <f t="shared" si="1"/>
        <v>47882.880000000005</v>
      </c>
    </row>
    <row r="122" spans="1:18" ht="81.95" customHeight="1">
      <c r="A122" s="60" t="s">
        <v>800</v>
      </c>
      <c r="B122" s="51">
        <v>118</v>
      </c>
      <c r="C122" s="51">
        <v>1</v>
      </c>
      <c r="D122" s="51">
        <v>9</v>
      </c>
      <c r="E122" s="53" t="s">
        <v>638</v>
      </c>
      <c r="F122" s="53" t="s">
        <v>633</v>
      </c>
      <c r="G122" s="53" t="s">
        <v>639</v>
      </c>
      <c r="H122" s="51" t="s">
        <v>640</v>
      </c>
      <c r="I122" s="51">
        <v>5</v>
      </c>
      <c r="J122" s="53" t="s">
        <v>636</v>
      </c>
      <c r="K122" s="53" t="s">
        <v>745</v>
      </c>
      <c r="L122" s="51" t="s">
        <v>360</v>
      </c>
      <c r="M122" s="51" t="s">
        <v>637</v>
      </c>
      <c r="N122" s="42">
        <f>N121+(IFERROR(VALUE(LEFT(L122,FIND("분",L122)-1))*60,0)+IFERROR(VALUE(TRIM(MID(L122,IFERROR(FIND("분",L122),0)+1,FIND("초",L122)-IFERROR(FIND("분",L122),0)-1))),0))/86400</f>
        <v>0.17939814814814822</v>
      </c>
      <c r="O122" s="43" t="s">
        <v>824</v>
      </c>
      <c r="P122" s="44">
        <f>I122</f>
        <v>5</v>
      </c>
      <c r="Q122" s="64">
        <f>Q121+12</f>
        <v>990</v>
      </c>
      <c r="R122" s="67">
        <f t="shared" si="1"/>
        <v>49064.4</v>
      </c>
    </row>
    <row r="123" spans="1:18" ht="81.95" customHeight="1">
      <c r="A123" s="61" t="s">
        <v>800</v>
      </c>
      <c r="B123" s="54">
        <v>119</v>
      </c>
      <c r="C123" s="54">
        <v>1</v>
      </c>
      <c r="D123" s="54">
        <v>9</v>
      </c>
      <c r="E123" s="55" t="s">
        <v>641</v>
      </c>
      <c r="F123" s="55" t="s">
        <v>642</v>
      </c>
      <c r="G123" s="55" t="s">
        <v>643</v>
      </c>
      <c r="H123" s="54" t="s">
        <v>644</v>
      </c>
      <c r="I123" s="54">
        <v>1</v>
      </c>
      <c r="J123" s="55" t="s">
        <v>645</v>
      </c>
      <c r="K123" s="55" t="s">
        <v>751</v>
      </c>
      <c r="L123" s="54" t="s">
        <v>140</v>
      </c>
      <c r="M123" s="54" t="s">
        <v>646</v>
      </c>
      <c r="N123" s="45">
        <f>N122+(IFERROR(VALUE(LEFT(L123,FIND("분",L123)-1))*60,0)+IFERROR(VALUE(TRIM(MID(L123,IFERROR(FIND("분",L123),0)+1,FIND("초",L123)-IFERROR(FIND("분",L123),0)-1))),0))/86400</f>
        <v>0.18148148148148155</v>
      </c>
      <c r="O123" s="46" t="s">
        <v>824</v>
      </c>
      <c r="P123" s="47">
        <f>I123</f>
        <v>1</v>
      </c>
      <c r="Q123" s="65">
        <f>Q122+10</f>
        <v>1000</v>
      </c>
      <c r="R123" s="68">
        <f t="shared" si="1"/>
        <v>50060</v>
      </c>
    </row>
    <row r="124" spans="1:18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</row>
    <row r="125" spans="1:18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</row>
    <row r="126" spans="1:18">
      <c r="I126" s="63"/>
      <c r="J126" s="62"/>
    </row>
    <row r="127" spans="1:18">
      <c r="I127" s="63"/>
    </row>
  </sheetData>
  <phoneticPr fontId="5" type="noConversion"/>
  <conditionalFormatting sqref="C5:C123">
    <cfRule type="colorScale" priority="10">
      <colorScale>
        <cfvo type="min"/>
        <cfvo type="percentile" val="50"/>
        <cfvo type="max"/>
        <color rgb="FFDCEEFF"/>
        <color rgb="FFFFF2CC"/>
        <color rgb="FFF8CBAD"/>
      </colorScale>
    </cfRule>
  </conditionalFormatting>
  <conditionalFormatting sqref="D5:D123">
    <cfRule type="colorScale" priority="11">
      <colorScale>
        <cfvo type="min"/>
        <cfvo type="percentile" val="50"/>
        <cfvo type="max"/>
        <color rgb="FFFCE4D6"/>
        <color rgb="FFFFF2CC"/>
        <color rgb="FFC6E0B4"/>
      </colorScale>
    </cfRule>
  </conditionalFormatting>
  <conditionalFormatting sqref="A4:A123">
    <cfRule type="colorScale" priority="4">
      <colorScale>
        <cfvo type="min"/>
        <cfvo type="max"/>
        <color rgb="FF9BCFD9"/>
        <color rgb="FFC6A5CB"/>
      </colorScale>
    </cfRule>
    <cfRule type="colorScale" priority="5">
      <colorScale>
        <cfvo type="min"/>
        <cfvo type="max"/>
        <color rgb="FF63BE7B"/>
        <color rgb="FFFCFCFF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4:B1048576">
    <cfRule type="colorScale" priority="1">
      <colorScale>
        <cfvo type="min"/>
        <cfvo type="max"/>
        <color rgb="FF9BCFD9"/>
        <color rgb="FFC6A5CB"/>
      </colorScale>
    </cfRule>
    <cfRule type="colorScale" priority="2">
      <colorScale>
        <cfvo type="min"/>
        <cfvo type="max"/>
        <color rgb="FF63BE7B"/>
        <color rgb="FFFCFCFF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Spinner 3">
              <controlPr defaultSize="0" autoPict="0">
                <anchor moveWithCells="1" sizeWithCells="1">
                  <from>
                    <xdr:col>16</xdr:col>
                    <xdr:colOff>742950</xdr:colOff>
                    <xdr:row>0</xdr:row>
                    <xdr:rowOff>19050</xdr:rowOff>
                  </from>
                  <to>
                    <xdr:col>17</xdr:col>
                    <xdr:colOff>0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4" name="Spinner 4">
              <controlPr defaultSize="0" autoPict="0">
                <anchor moveWithCells="1" sizeWithCells="1">
                  <from>
                    <xdr:col>17</xdr:col>
                    <xdr:colOff>723900</xdr:colOff>
                    <xdr:row>0</xdr:row>
                    <xdr:rowOff>19050</xdr:rowOff>
                  </from>
                  <to>
                    <xdr:col>17</xdr:col>
                    <xdr:colOff>1152525</xdr:colOff>
                    <xdr:row>2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0"/>
  <sheetViews>
    <sheetView zoomScale="55" zoomScaleNormal="55" workbookViewId="0">
      <selection activeCell="AO32" sqref="AO32"/>
    </sheetView>
  </sheetViews>
  <sheetFormatPr defaultRowHeight="14.25"/>
  <cols>
    <col min="1" max="52" width="4.25" style="35" customWidth="1"/>
    <col min="53" max="16384" width="9" style="35"/>
  </cols>
  <sheetData>
    <row r="1" spans="1:22" ht="18" customHeight="1">
      <c r="A1" s="34"/>
    </row>
    <row r="2" spans="1:22" ht="18" customHeight="1">
      <c r="A2" s="36"/>
      <c r="B2" s="37" t="s">
        <v>779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</row>
    <row r="3" spans="1:22" ht="18" customHeight="1"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ht="18" customHeight="1">
      <c r="B4" s="39" t="s">
        <v>780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</row>
    <row r="5" spans="1:22" ht="18" customHeight="1"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40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41" t="s">
        <v>781</v>
      </c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2:26" ht="18" customHeight="1"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2:26" ht="18" customHeight="1"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/>
  </sheetViews>
  <sheetFormatPr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33" t="s">
        <v>647</v>
      </c>
      <c r="B1" s="33"/>
      <c r="C1" s="33"/>
      <c r="D1" s="33"/>
    </row>
    <row r="3" spans="1:4">
      <c r="A3" s="1" t="s">
        <v>648</v>
      </c>
      <c r="B3" s="2" t="s">
        <v>649</v>
      </c>
      <c r="C3" s="2" t="s">
        <v>650</v>
      </c>
      <c r="D3" s="3" t="s">
        <v>651</v>
      </c>
    </row>
    <row r="4" spans="1:4" ht="57.95" customHeight="1">
      <c r="A4" s="5" t="s">
        <v>0</v>
      </c>
      <c r="B4" s="6" t="s">
        <v>652</v>
      </c>
      <c r="C4" s="6" t="s">
        <v>653</v>
      </c>
      <c r="D4" s="7" t="s">
        <v>654</v>
      </c>
    </row>
    <row r="5" spans="1:4" ht="57.95" customHeight="1">
      <c r="A5" s="8" t="s">
        <v>1</v>
      </c>
      <c r="B5" s="4" t="s">
        <v>655</v>
      </c>
      <c r="C5" s="4" t="s">
        <v>653</v>
      </c>
      <c r="D5" s="9" t="s">
        <v>656</v>
      </c>
    </row>
    <row r="6" spans="1:4" ht="57.95" customHeight="1">
      <c r="A6" s="8" t="s">
        <v>2</v>
      </c>
      <c r="B6" s="4" t="s">
        <v>657</v>
      </c>
      <c r="C6" s="4" t="s">
        <v>658</v>
      </c>
      <c r="D6" s="9" t="s">
        <v>659</v>
      </c>
    </row>
    <row r="7" spans="1:4" ht="57.95" customHeight="1">
      <c r="A7" s="8" t="s">
        <v>660</v>
      </c>
      <c r="B7" s="4" t="s">
        <v>661</v>
      </c>
      <c r="C7" s="4" t="s">
        <v>662</v>
      </c>
      <c r="D7" s="9" t="s">
        <v>663</v>
      </c>
    </row>
    <row r="8" spans="1:4" ht="57.95" customHeight="1">
      <c r="A8" s="8" t="s">
        <v>3</v>
      </c>
      <c r="B8" s="4" t="s">
        <v>664</v>
      </c>
      <c r="C8" s="4" t="s">
        <v>665</v>
      </c>
      <c r="D8" s="9" t="s">
        <v>666</v>
      </c>
    </row>
    <row r="9" spans="1:4" ht="57.95" customHeight="1">
      <c r="A9" s="8" t="s">
        <v>4</v>
      </c>
      <c r="B9" s="4" t="s">
        <v>667</v>
      </c>
      <c r="C9" s="4" t="s">
        <v>668</v>
      </c>
      <c r="D9" s="9" t="s">
        <v>669</v>
      </c>
    </row>
    <row r="10" spans="1:4" ht="57.95" customHeight="1">
      <c r="A10" s="8" t="s">
        <v>5</v>
      </c>
      <c r="B10" s="4" t="s">
        <v>670</v>
      </c>
      <c r="C10" s="4" t="s">
        <v>671</v>
      </c>
      <c r="D10" s="9" t="s">
        <v>672</v>
      </c>
    </row>
    <row r="11" spans="1:4" ht="57.95" customHeight="1">
      <c r="A11" s="8" t="s">
        <v>6</v>
      </c>
      <c r="B11" s="4" t="s">
        <v>673</v>
      </c>
      <c r="C11" s="4" t="s">
        <v>674</v>
      </c>
      <c r="D11" s="9" t="s">
        <v>675</v>
      </c>
    </row>
    <row r="12" spans="1:4" ht="57.95" customHeight="1">
      <c r="A12" s="8" t="s">
        <v>7</v>
      </c>
      <c r="B12" s="4" t="s">
        <v>676</v>
      </c>
      <c r="C12" s="4" t="s">
        <v>677</v>
      </c>
      <c r="D12" s="9" t="s">
        <v>678</v>
      </c>
    </row>
    <row r="13" spans="1:4" ht="57.95" customHeight="1">
      <c r="A13" s="8" t="s">
        <v>8</v>
      </c>
      <c r="B13" s="4" t="s">
        <v>679</v>
      </c>
      <c r="C13" s="4" t="s">
        <v>680</v>
      </c>
      <c r="D13" s="9" t="s">
        <v>681</v>
      </c>
    </row>
    <row r="14" spans="1:4" ht="57.95" customHeight="1">
      <c r="A14" s="8" t="s">
        <v>9</v>
      </c>
      <c r="B14" s="4" t="s">
        <v>682</v>
      </c>
      <c r="C14" s="4" t="s">
        <v>683</v>
      </c>
      <c r="D14" s="9" t="s">
        <v>684</v>
      </c>
    </row>
    <row r="15" spans="1:4" ht="57.95" customHeight="1">
      <c r="A15" s="8" t="s">
        <v>10</v>
      </c>
      <c r="B15" s="4" t="s">
        <v>685</v>
      </c>
      <c r="C15" s="4" t="s">
        <v>686</v>
      </c>
      <c r="D15" s="9" t="s">
        <v>687</v>
      </c>
    </row>
    <row r="16" spans="1:4" ht="57.95" customHeight="1">
      <c r="A16" s="8" t="s">
        <v>11</v>
      </c>
      <c r="B16" s="4" t="s">
        <v>688</v>
      </c>
      <c r="C16" s="4" t="s">
        <v>689</v>
      </c>
      <c r="D16" s="9" t="s">
        <v>690</v>
      </c>
    </row>
    <row r="17" spans="1:4" ht="57.95" customHeight="1">
      <c r="A17" s="8" t="s">
        <v>12</v>
      </c>
      <c r="B17" s="4" t="s">
        <v>691</v>
      </c>
      <c r="C17" s="4" t="s">
        <v>689</v>
      </c>
      <c r="D17" s="9" t="s">
        <v>692</v>
      </c>
    </row>
    <row r="18" spans="1:4" ht="57.95" customHeight="1">
      <c r="A18" s="10" t="s">
        <v>693</v>
      </c>
      <c r="B18" s="11" t="s">
        <v>694</v>
      </c>
      <c r="C18" s="11" t="s">
        <v>695</v>
      </c>
      <c r="D18" s="12" t="s">
        <v>696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3"/>
  <sheetViews>
    <sheetView workbookViewId="0">
      <selection sqref="A1:J1"/>
    </sheetView>
  </sheetViews>
  <sheetFormatPr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33" t="s">
        <v>697</v>
      </c>
      <c r="B1" s="33"/>
      <c r="C1" s="33"/>
      <c r="D1" s="33"/>
      <c r="E1" s="33"/>
      <c r="F1" s="33"/>
      <c r="G1" s="33"/>
      <c r="H1" s="33"/>
      <c r="I1" s="33"/>
      <c r="J1" s="33"/>
    </row>
    <row r="3" spans="1:10" ht="32.1" customHeight="1">
      <c r="A3" s="13" t="s">
        <v>698</v>
      </c>
      <c r="B3" s="14">
        <v>119</v>
      </c>
      <c r="C3" s="14" t="s">
        <v>699</v>
      </c>
      <c r="D3" s="16">
        <f>AVERAGE('밸런스 문서'!C5:C123)</f>
        <v>2.9075630252100839</v>
      </c>
      <c r="E3" s="16" t="s">
        <v>700</v>
      </c>
      <c r="F3" s="16">
        <f>AVERAGE('밸런스 문서'!D5:D123)</f>
        <v>7.2773109243697478</v>
      </c>
      <c r="G3" s="14" t="s">
        <v>701</v>
      </c>
      <c r="H3" s="14">
        <f>MAX('밸런스 문서'!C5:C123)</f>
        <v>10</v>
      </c>
      <c r="I3" s="14" t="s">
        <v>702</v>
      </c>
      <c r="J3" s="15">
        <f>MAX('밸런스 문서'!D5:D123)</f>
        <v>10</v>
      </c>
    </row>
    <row r="5" spans="1:10">
      <c r="A5" s="1" t="s">
        <v>703</v>
      </c>
      <c r="B5" s="2" t="s">
        <v>704</v>
      </c>
      <c r="C5" s="2" t="s">
        <v>699</v>
      </c>
      <c r="D5" s="2" t="s">
        <v>700</v>
      </c>
      <c r="E5" s="3" t="s">
        <v>705</v>
      </c>
    </row>
    <row r="6" spans="1:10" ht="24.95" customHeight="1">
      <c r="A6" s="17" t="s">
        <v>706</v>
      </c>
      <c r="B6" s="18">
        <v>25</v>
      </c>
      <c r="C6" s="26">
        <f>AVERAGE('밸런스 문서'!C5:C29)</f>
        <v>1.76</v>
      </c>
      <c r="D6" s="26">
        <f>AVERAGE('밸런스 문서'!D5:D29)</f>
        <v>5.44</v>
      </c>
      <c r="E6" s="19">
        <v>6</v>
      </c>
    </row>
    <row r="7" spans="1:10" ht="24.95" customHeight="1">
      <c r="A7" s="20" t="s">
        <v>707</v>
      </c>
      <c r="B7" s="21">
        <v>23</v>
      </c>
      <c r="C7" s="27">
        <f>AVERAGE('밸런스 문서'!C30:C52)</f>
        <v>1.7826086956521738</v>
      </c>
      <c r="D7" s="27">
        <f>AVERAGE('밸런스 문서'!D30:D52)</f>
        <v>6.1304347826086953</v>
      </c>
      <c r="E7" s="22">
        <v>7</v>
      </c>
    </row>
    <row r="8" spans="1:10" ht="24.95" customHeight="1">
      <c r="A8" s="20" t="s">
        <v>708</v>
      </c>
      <c r="B8" s="21">
        <v>26</v>
      </c>
      <c r="C8" s="27">
        <f>AVERAGE('밸런스 문서'!C53:C78)</f>
        <v>3.1538461538461537</v>
      </c>
      <c r="D8" s="27">
        <f>AVERAGE('밸런스 문서'!D53:D78)</f>
        <v>7.7307692307692308</v>
      </c>
      <c r="E8" s="22">
        <v>7</v>
      </c>
    </row>
    <row r="9" spans="1:10" ht="24.95" customHeight="1">
      <c r="A9" s="20" t="s">
        <v>709</v>
      </c>
      <c r="B9" s="21">
        <v>26</v>
      </c>
      <c r="C9" s="27">
        <f>AVERAGE('밸런스 문서'!C79:C104)</f>
        <v>4.3461538461538458</v>
      </c>
      <c r="D9" s="27">
        <f>AVERAGE('밸런스 문서'!D79:D104)</f>
        <v>7.884615384615385</v>
      </c>
      <c r="E9" s="22">
        <v>10</v>
      </c>
    </row>
    <row r="10" spans="1:10" ht="24.95" customHeight="1">
      <c r="A10" s="23" t="s">
        <v>710</v>
      </c>
      <c r="B10" s="24">
        <v>19</v>
      </c>
      <c r="C10" s="28">
        <f>AVERAGE('밸런스 문서'!C105:C123)</f>
        <v>3.4736842105263159</v>
      </c>
      <c r="D10" s="28">
        <f>AVERAGE('밸런스 문서'!D105:D123)</f>
        <v>9.6315789473684212</v>
      </c>
      <c r="E10" s="25">
        <v>10</v>
      </c>
    </row>
    <row r="14" spans="1:10">
      <c r="A14" s="1" t="s">
        <v>2</v>
      </c>
      <c r="B14" s="2" t="s">
        <v>0</v>
      </c>
      <c r="C14" s="3" t="s">
        <v>1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2026-07-22T06:51:49Z</dcterms:modified>
</cp:coreProperties>
</file>
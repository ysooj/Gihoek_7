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45" windowHeight="8640"/>
  </bookViews>
  <sheets>
    <sheet name="밸런스 문서" sheetId="1" r:id="rId1"/>
    <sheet name="밸런스 팩터" sheetId="2" r:id="rId2"/>
    <sheet name="작성 기준" sheetId="3" r:id="rId3"/>
    <sheet name="밸런스 곡선" sheetId="4" r:id="rId4"/>
  </sheets>
  <calcPr calcId="162913"/>
</workbook>
</file>

<file path=xl/calcChain.xml><?xml version="1.0" encoding="utf-8"?>
<calcChain xmlns="http://schemas.openxmlformats.org/spreadsheetml/2006/main">
  <c r="Y122" i="1" l="1"/>
  <c r="Z122" i="1"/>
  <c r="AA122" i="1"/>
  <c r="AB122" i="1"/>
  <c r="AD122" i="1"/>
  <c r="AC122" i="1" s="1"/>
  <c r="AD113" i="1"/>
  <c r="AB113" i="1" s="1"/>
  <c r="AB114" i="1"/>
  <c r="AD114" i="1"/>
  <c r="AC114" i="1" s="1"/>
  <c r="Y114" i="1"/>
  <c r="Z114" i="1"/>
  <c r="AA114" i="1"/>
  <c r="Y113" i="1"/>
  <c r="Z113" i="1"/>
  <c r="AA113" i="1"/>
  <c r="Y107" i="1"/>
  <c r="Z107" i="1"/>
  <c r="AA107" i="1"/>
  <c r="AD107" i="1"/>
  <c r="AB107" i="1" s="1"/>
  <c r="Y108" i="1"/>
  <c r="Z108" i="1"/>
  <c r="AA108" i="1"/>
  <c r="AB108" i="1"/>
  <c r="AC108" i="1"/>
  <c r="AD108" i="1"/>
  <c r="Y81" i="1"/>
  <c r="Z81" i="1"/>
  <c r="AA81" i="1"/>
  <c r="AB81" i="1"/>
  <c r="AD81" i="1"/>
  <c r="AC81" i="1" s="1"/>
  <c r="Y82" i="1"/>
  <c r="Z82" i="1"/>
  <c r="AA82" i="1"/>
  <c r="AD82" i="1"/>
  <c r="AB82" i="1" s="1"/>
  <c r="Y79" i="1"/>
  <c r="Z79" i="1"/>
  <c r="AA79" i="1"/>
  <c r="AD79" i="1"/>
  <c r="AC79" i="1" s="1"/>
  <c r="Y80" i="1"/>
  <c r="Z80" i="1"/>
  <c r="AA80" i="1"/>
  <c r="AD80" i="1"/>
  <c r="AB80" i="1" s="1"/>
  <c r="Y69" i="1"/>
  <c r="Z69" i="1"/>
  <c r="AA69" i="1"/>
  <c r="AD69" i="1"/>
  <c r="AB69" i="1" s="1"/>
  <c r="Y50" i="1"/>
  <c r="Z50" i="1"/>
  <c r="AA50" i="1"/>
  <c r="AD50" i="1"/>
  <c r="AB50" i="1" s="1"/>
  <c r="Y40" i="1"/>
  <c r="Z40" i="1"/>
  <c r="AA40" i="1"/>
  <c r="AB40" i="1"/>
  <c r="AD40" i="1"/>
  <c r="AC40" i="1" s="1"/>
  <c r="Y41" i="1"/>
  <c r="Z41" i="1"/>
  <c r="AA41" i="1"/>
  <c r="AD41" i="1"/>
  <c r="AB41" i="1" s="1"/>
  <c r="AB28" i="1"/>
  <c r="AB36" i="1"/>
  <c r="AB45" i="1"/>
  <c r="AB52" i="1"/>
  <c r="AB58" i="1"/>
  <c r="AB71" i="1"/>
  <c r="AB75" i="1"/>
  <c r="AB85" i="1"/>
  <c r="AB90" i="1"/>
  <c r="AB96" i="1"/>
  <c r="AB100" i="1"/>
  <c r="AB109" i="1"/>
  <c r="AB118" i="1"/>
  <c r="AC23" i="1"/>
  <c r="AC35" i="1"/>
  <c r="AC43" i="1"/>
  <c r="AC48" i="1"/>
  <c r="AC56" i="1"/>
  <c r="AC63" i="1"/>
  <c r="AC74" i="1"/>
  <c r="AC84" i="1"/>
  <c r="AC89" i="1"/>
  <c r="AC94" i="1"/>
  <c r="AC99" i="1"/>
  <c r="AC103" i="1"/>
  <c r="AC112" i="1"/>
  <c r="AD19" i="1"/>
  <c r="AB19" i="1" s="1"/>
  <c r="AD23" i="1"/>
  <c r="AB23" i="1" s="1"/>
  <c r="AD28" i="1"/>
  <c r="AC28" i="1" s="1"/>
  <c r="AD33" i="1"/>
  <c r="AB33" i="1" s="1"/>
  <c r="AD34" i="1"/>
  <c r="AB34" i="1" s="1"/>
  <c r="AD35" i="1"/>
  <c r="AB35" i="1" s="1"/>
  <c r="AD36" i="1"/>
  <c r="AC36" i="1" s="1"/>
  <c r="AD37" i="1"/>
  <c r="AB37" i="1" s="1"/>
  <c r="AD42" i="1"/>
  <c r="AB42" i="1" s="1"/>
  <c r="AD43" i="1"/>
  <c r="AB43" i="1" s="1"/>
  <c r="AD45" i="1"/>
  <c r="AC45" i="1" s="1"/>
  <c r="AD46" i="1"/>
  <c r="AB46" i="1" s="1"/>
  <c r="AD47" i="1"/>
  <c r="AB47" i="1" s="1"/>
  <c r="AD48" i="1"/>
  <c r="AB48" i="1" s="1"/>
  <c r="AD52" i="1"/>
  <c r="AC52" i="1" s="1"/>
  <c r="AD54" i="1"/>
  <c r="AB54" i="1" s="1"/>
  <c r="AD55" i="1"/>
  <c r="AB55" i="1" s="1"/>
  <c r="AD56" i="1"/>
  <c r="AB56" i="1" s="1"/>
  <c r="AD58" i="1"/>
  <c r="AC58" i="1" s="1"/>
  <c r="AD61" i="1"/>
  <c r="AB61" i="1" s="1"/>
  <c r="AD62" i="1"/>
  <c r="AB62" i="1" s="1"/>
  <c r="AD63" i="1"/>
  <c r="AB63" i="1" s="1"/>
  <c r="AD71" i="1"/>
  <c r="AC71" i="1" s="1"/>
  <c r="AD72" i="1"/>
  <c r="AB72" i="1" s="1"/>
  <c r="AD73" i="1"/>
  <c r="AB73" i="1" s="1"/>
  <c r="AD74" i="1"/>
  <c r="AB74" i="1" s="1"/>
  <c r="AD75" i="1"/>
  <c r="AC75" i="1" s="1"/>
  <c r="AD76" i="1"/>
  <c r="AB76" i="1" s="1"/>
  <c r="AD83" i="1"/>
  <c r="AB83" i="1" s="1"/>
  <c r="AD84" i="1"/>
  <c r="AB84" i="1" s="1"/>
  <c r="AD85" i="1"/>
  <c r="AC85" i="1" s="1"/>
  <c r="AD86" i="1"/>
  <c r="AB86" i="1" s="1"/>
  <c r="AD87" i="1"/>
  <c r="AB87" i="1" s="1"/>
  <c r="AD89" i="1"/>
  <c r="AB89" i="1" s="1"/>
  <c r="AD90" i="1"/>
  <c r="AC90" i="1" s="1"/>
  <c r="AD91" i="1"/>
  <c r="AB91" i="1" s="1"/>
  <c r="AD93" i="1"/>
  <c r="AB93" i="1" s="1"/>
  <c r="AD94" i="1"/>
  <c r="AB94" i="1" s="1"/>
  <c r="AD96" i="1"/>
  <c r="AC96" i="1" s="1"/>
  <c r="AD97" i="1"/>
  <c r="AB97" i="1" s="1"/>
  <c r="AD98" i="1"/>
  <c r="AB98" i="1" s="1"/>
  <c r="AD99" i="1"/>
  <c r="AB99" i="1" s="1"/>
  <c r="AD100" i="1"/>
  <c r="AC100" i="1" s="1"/>
  <c r="AD101" i="1"/>
  <c r="AB101" i="1" s="1"/>
  <c r="AD102" i="1"/>
  <c r="AB102" i="1" s="1"/>
  <c r="AD103" i="1"/>
  <c r="AB103" i="1" s="1"/>
  <c r="AD109" i="1"/>
  <c r="AC109" i="1" s="1"/>
  <c r="AD110" i="1"/>
  <c r="AB110" i="1" s="1"/>
  <c r="AD111" i="1"/>
  <c r="AB111" i="1" s="1"/>
  <c r="AD112" i="1"/>
  <c r="AB112" i="1" s="1"/>
  <c r="AD118" i="1"/>
  <c r="AC118" i="1" s="1"/>
  <c r="AD119" i="1"/>
  <c r="AB119" i="1" s="1"/>
  <c r="AD17" i="1"/>
  <c r="AB17" i="1" s="1"/>
  <c r="Y19" i="1"/>
  <c r="Z19" i="1"/>
  <c r="AA19" i="1"/>
  <c r="Y28" i="1"/>
  <c r="Z28" i="1"/>
  <c r="AA28" i="1"/>
  <c r="Y33" i="1"/>
  <c r="Z33" i="1"/>
  <c r="AA33" i="1"/>
  <c r="Y34" i="1"/>
  <c r="Z34" i="1"/>
  <c r="AA34" i="1"/>
  <c r="Y45" i="1"/>
  <c r="Z45" i="1"/>
  <c r="AA45" i="1"/>
  <c r="Y46" i="1"/>
  <c r="Z46" i="1"/>
  <c r="AA46" i="1"/>
  <c r="Y36" i="1"/>
  <c r="Z36" i="1"/>
  <c r="AA36" i="1"/>
  <c r="Y37" i="1"/>
  <c r="Z37" i="1"/>
  <c r="AA37" i="1"/>
  <c r="Y42" i="1"/>
  <c r="Z42" i="1"/>
  <c r="AA42" i="1"/>
  <c r="Y43" i="1"/>
  <c r="Z43" i="1"/>
  <c r="AA43" i="1"/>
  <c r="Y55" i="1"/>
  <c r="Z55" i="1"/>
  <c r="AA55" i="1"/>
  <c r="Y48" i="1"/>
  <c r="Z48" i="1"/>
  <c r="AA48" i="1"/>
  <c r="Y52" i="1"/>
  <c r="Z52" i="1"/>
  <c r="AA52" i="1"/>
  <c r="Y54" i="1"/>
  <c r="Z54" i="1"/>
  <c r="AA54" i="1"/>
  <c r="Y58" i="1"/>
  <c r="Z58" i="1"/>
  <c r="AA58" i="1"/>
  <c r="Y61" i="1"/>
  <c r="Z61" i="1"/>
  <c r="AA61" i="1"/>
  <c r="Y62" i="1"/>
  <c r="Z62" i="1"/>
  <c r="AA62" i="1"/>
  <c r="Y63" i="1"/>
  <c r="Z63" i="1"/>
  <c r="AA63" i="1"/>
  <c r="Y72" i="1"/>
  <c r="Z72" i="1"/>
  <c r="AA72" i="1"/>
  <c r="Y73" i="1"/>
  <c r="Z73" i="1"/>
  <c r="AA73" i="1"/>
  <c r="Y74" i="1"/>
  <c r="Z74" i="1"/>
  <c r="AA74" i="1"/>
  <c r="Y75" i="1"/>
  <c r="Z75" i="1"/>
  <c r="AA75" i="1"/>
  <c r="Y76" i="1"/>
  <c r="Z76" i="1"/>
  <c r="AA76" i="1"/>
  <c r="Y84" i="1"/>
  <c r="Z84" i="1"/>
  <c r="AA84" i="1"/>
  <c r="Y85" i="1"/>
  <c r="Z85" i="1"/>
  <c r="AA85" i="1"/>
  <c r="Y87" i="1"/>
  <c r="Z87" i="1"/>
  <c r="AA87" i="1"/>
  <c r="Y90" i="1"/>
  <c r="Z90" i="1"/>
  <c r="AA90" i="1"/>
  <c r="Z91" i="1"/>
  <c r="AA91" i="1"/>
  <c r="Z93" i="1"/>
  <c r="AA93" i="1"/>
  <c r="Z94" i="1"/>
  <c r="AA94" i="1"/>
  <c r="Z96" i="1"/>
  <c r="AA96" i="1"/>
  <c r="Z97" i="1"/>
  <c r="AA97" i="1"/>
  <c r="Y93" i="1"/>
  <c r="Y94" i="1"/>
  <c r="Y96" i="1"/>
  <c r="Y97" i="1"/>
  <c r="Y91" i="1"/>
  <c r="Y99" i="1"/>
  <c r="Z99" i="1"/>
  <c r="AA99" i="1"/>
  <c r="Y100" i="1"/>
  <c r="Z100" i="1"/>
  <c r="AA100" i="1"/>
  <c r="Y102" i="1"/>
  <c r="Z102" i="1"/>
  <c r="AA102" i="1"/>
  <c r="Y103" i="1"/>
  <c r="Z103" i="1"/>
  <c r="AA103" i="1"/>
  <c r="AA109" i="1"/>
  <c r="Z109" i="1"/>
  <c r="Y111" i="1"/>
  <c r="Z111" i="1"/>
  <c r="AA111" i="1"/>
  <c r="Z110" i="1"/>
  <c r="AA110" i="1"/>
  <c r="Z112" i="1"/>
  <c r="AA112" i="1"/>
  <c r="AA118" i="1"/>
  <c r="Z118" i="1"/>
  <c r="Y23" i="1"/>
  <c r="Z23" i="1"/>
  <c r="AA23" i="1"/>
  <c r="Y35" i="1"/>
  <c r="Z35" i="1"/>
  <c r="AA35" i="1"/>
  <c r="Y47" i="1"/>
  <c r="Z47" i="1"/>
  <c r="AA47" i="1"/>
  <c r="Y56" i="1"/>
  <c r="Z56" i="1"/>
  <c r="AA56" i="1"/>
  <c r="Y71" i="1"/>
  <c r="Z71" i="1"/>
  <c r="AA71" i="1"/>
  <c r="Y83" i="1"/>
  <c r="Z83" i="1"/>
  <c r="AA83" i="1"/>
  <c r="Y86" i="1"/>
  <c r="Z86" i="1"/>
  <c r="AA86" i="1"/>
  <c r="Y89" i="1"/>
  <c r="Z89" i="1"/>
  <c r="AA89" i="1"/>
  <c r="Y98" i="1"/>
  <c r="Z98" i="1"/>
  <c r="AA98" i="1"/>
  <c r="Y101" i="1"/>
  <c r="Z101" i="1"/>
  <c r="AA101" i="1"/>
  <c r="Y109" i="1"/>
  <c r="Y110" i="1"/>
  <c r="Y112" i="1"/>
  <c r="Y118" i="1"/>
  <c r="Y119" i="1"/>
  <c r="Z119" i="1"/>
  <c r="AA119" i="1"/>
  <c r="AA17" i="1"/>
  <c r="Z17" i="1"/>
  <c r="Y17" i="1"/>
  <c r="AC17" i="1" l="1"/>
  <c r="AC111" i="1"/>
  <c r="AC102" i="1"/>
  <c r="AC98" i="1"/>
  <c r="AC93" i="1"/>
  <c r="AC87" i="1"/>
  <c r="AC83" i="1"/>
  <c r="AC73" i="1"/>
  <c r="AC62" i="1"/>
  <c r="AC55" i="1"/>
  <c r="AC47" i="1"/>
  <c r="AC42" i="1"/>
  <c r="AC34" i="1"/>
  <c r="AC19" i="1"/>
  <c r="AB79" i="1"/>
  <c r="AC113" i="1"/>
  <c r="AC119" i="1"/>
  <c r="AC110" i="1"/>
  <c r="AC101" i="1"/>
  <c r="AC97" i="1"/>
  <c r="AC91" i="1"/>
  <c r="AC86" i="1"/>
  <c r="AC76" i="1"/>
  <c r="AC72" i="1"/>
  <c r="AC61" i="1"/>
  <c r="AC54" i="1"/>
  <c r="AC46" i="1"/>
  <c r="AC37" i="1"/>
  <c r="AC33" i="1"/>
  <c r="AC107" i="1"/>
  <c r="AC82" i="1"/>
  <c r="AC80" i="1"/>
  <c r="AC69" i="1"/>
  <c r="AC50" i="1"/>
  <c r="AC41" i="1"/>
  <c r="D10" i="4"/>
  <c r="C10" i="4"/>
  <c r="D9" i="4"/>
  <c r="C9" i="4"/>
  <c r="D8" i="4"/>
  <c r="C8" i="4"/>
  <c r="D7" i="4"/>
  <c r="C7" i="4"/>
  <c r="D6" i="4"/>
  <c r="C6" i="4"/>
  <c r="J3" i="4"/>
  <c r="H3" i="4"/>
  <c r="F3" i="4"/>
  <c r="D3" i="4"/>
  <c r="U112" i="1"/>
  <c r="U111" i="1"/>
  <c r="U99" i="1"/>
  <c r="U98" i="1"/>
  <c r="U97" i="1"/>
  <c r="U96" i="1"/>
  <c r="U94" i="1"/>
  <c r="U91" i="1"/>
  <c r="U74" i="1"/>
  <c r="U61" i="1"/>
  <c r="P6" i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R3" i="1"/>
  <c r="Q3" i="1"/>
  <c r="R7" i="1" l="1"/>
  <c r="R11" i="1"/>
  <c r="R15" i="1"/>
  <c r="R19" i="1"/>
  <c r="R23" i="1"/>
  <c r="R27" i="1"/>
  <c r="R31" i="1"/>
  <c r="R35" i="1"/>
  <c r="R39" i="1"/>
  <c r="R43" i="1"/>
  <c r="R47" i="1"/>
  <c r="R51" i="1"/>
  <c r="R55" i="1"/>
  <c r="R59" i="1"/>
  <c r="R63" i="1"/>
  <c r="R67" i="1"/>
  <c r="R71" i="1"/>
  <c r="R75" i="1"/>
  <c r="R79" i="1"/>
  <c r="R83" i="1"/>
  <c r="R87" i="1"/>
  <c r="R91" i="1"/>
  <c r="R95" i="1"/>
  <c r="R99" i="1"/>
  <c r="R103" i="1"/>
  <c r="R107" i="1"/>
  <c r="R111" i="1"/>
  <c r="R115" i="1"/>
  <c r="R119" i="1"/>
  <c r="R123" i="1"/>
  <c r="R10" i="1"/>
  <c r="R26" i="1"/>
  <c r="R38" i="1"/>
  <c r="R50" i="1"/>
  <c r="R62" i="1"/>
  <c r="R74" i="1"/>
  <c r="R86" i="1"/>
  <c r="R98" i="1"/>
  <c r="R110" i="1"/>
  <c r="R122" i="1"/>
  <c r="R8" i="1"/>
  <c r="R12" i="1"/>
  <c r="R16" i="1"/>
  <c r="R20" i="1"/>
  <c r="R24" i="1"/>
  <c r="R28" i="1"/>
  <c r="R32" i="1"/>
  <c r="R36" i="1"/>
  <c r="R40" i="1"/>
  <c r="R44" i="1"/>
  <c r="R48" i="1"/>
  <c r="R52" i="1"/>
  <c r="R56" i="1"/>
  <c r="R60" i="1"/>
  <c r="R64" i="1"/>
  <c r="R68" i="1"/>
  <c r="R72" i="1"/>
  <c r="R76" i="1"/>
  <c r="R80" i="1"/>
  <c r="R84" i="1"/>
  <c r="R88" i="1"/>
  <c r="R92" i="1"/>
  <c r="R96" i="1"/>
  <c r="R100" i="1"/>
  <c r="R104" i="1"/>
  <c r="R108" i="1"/>
  <c r="R112" i="1"/>
  <c r="R116" i="1"/>
  <c r="R120" i="1"/>
  <c r="R5" i="1"/>
  <c r="R6" i="1"/>
  <c r="R14" i="1"/>
  <c r="R22" i="1"/>
  <c r="R34" i="1"/>
  <c r="R42" i="1"/>
  <c r="R54" i="1"/>
  <c r="R66" i="1"/>
  <c r="R78" i="1"/>
  <c r="R94" i="1"/>
  <c r="S94" i="1" s="1"/>
  <c r="R106" i="1"/>
  <c r="R118" i="1"/>
  <c r="R9" i="1"/>
  <c r="R13" i="1"/>
  <c r="R17" i="1"/>
  <c r="R21" i="1"/>
  <c r="R25" i="1"/>
  <c r="R29" i="1"/>
  <c r="R33" i="1"/>
  <c r="R37" i="1"/>
  <c r="R41" i="1"/>
  <c r="R45" i="1"/>
  <c r="R49" i="1"/>
  <c r="R53" i="1"/>
  <c r="R57" i="1"/>
  <c r="R61" i="1"/>
  <c r="R65" i="1"/>
  <c r="R69" i="1"/>
  <c r="R73" i="1"/>
  <c r="R77" i="1"/>
  <c r="R81" i="1"/>
  <c r="R85" i="1"/>
  <c r="R89" i="1"/>
  <c r="R93" i="1"/>
  <c r="R97" i="1"/>
  <c r="S97" i="1" s="1"/>
  <c r="R101" i="1"/>
  <c r="R105" i="1"/>
  <c r="R109" i="1"/>
  <c r="R113" i="1"/>
  <c r="R117" i="1"/>
  <c r="R121" i="1"/>
  <c r="R18" i="1"/>
  <c r="R30" i="1"/>
  <c r="R46" i="1"/>
  <c r="R58" i="1"/>
  <c r="R70" i="1"/>
  <c r="R82" i="1"/>
  <c r="R90" i="1"/>
  <c r="R102" i="1"/>
  <c r="R114" i="1"/>
  <c r="S99" i="1"/>
  <c r="S74" i="1"/>
  <c r="S111" i="1"/>
  <c r="S96" i="1"/>
  <c r="S61" i="1"/>
  <c r="S112" i="1"/>
  <c r="S98" i="1"/>
  <c r="S91" i="1"/>
</calcChain>
</file>

<file path=xl/sharedStrings.xml><?xml version="1.0" encoding="utf-8"?>
<sst xmlns="http://schemas.openxmlformats.org/spreadsheetml/2006/main" count="1311" uniqueCount="827">
  <si>
    <t>공격·회피·회복 조작을 처음 전투에서 동시에 익혀야 함</t>
  </si>
  <si>
    <t>작은 목표가 연속으로 추가되어 피로와 동선 낭비가 누적됨</t>
  </si>
  <si>
    <t>오답 후보 선택 시 경계 대사가 출력되고 다시 선택</t>
  </si>
  <si>
    <t>여러 장치와 열쇠 조건을 올바른 순서로 충족해야 함</t>
  </si>
  <si>
    <t>제한시간 종료 시 가장 가까운 체크포인트에서 재시작</t>
  </si>
  <si>
    <t>실패 2회 후 대상 속도 감소 및 경로 화살표 표시</t>
  </si>
  <si>
    <t>상호작용 직전 공격 버튼 안내를 숨기고 선택 문구 강조</t>
  </si>
  <si>
    <t>위험 잔해를 먼저 제거하면 체력 감소 및 진행 지연</t>
  </si>
  <si>
    <t>연속 발각 3회 또는 체력 0 시 체크포인트 재시작</t>
  </si>
  <si>
    <t>브리핑 종료 후 공식 목표와 개인 목표를 분리 표시</t>
  </si>
  <si>
    <t>손전등과 안전한 발판을 확인하며 붕괴된 계단를 통과함</t>
  </si>
  <si>
    <t>주인공 주변의 상호작용 표시를 확인하고 조사 키를 누름</t>
  </si>
  <si>
    <t>30초 이상 미발견 시 목표 구역에 약한 반짝임 표시</t>
  </si>
  <si>
    <t>수거 대상과 배경 장식의 차이를 처음에는 구별하기 어려움</t>
  </si>
  <si>
    <t>보스가 공격을 멈추더라도 잔류 패턴과 화면 왜곡이 계속됨</t>
  </si>
  <si>
    <t>여러 단서를 조합해 입력 순서나 의미를 추론해야 함</t>
  </si>
  <si>
    <t>제한시간 동안 생존하고 죄책감 수치 기준 이하 유지</t>
  </si>
  <si>
    <t>내용물이 남거나 오염된 쓰레기 6개 전부 올바르게 분류</t>
  </si>
  <si>
    <t>다음 날로 넘어가는 상호작용임을 알아차리지 못할 수 있음</t>
  </si>
  <si>
    <t>관리실·음악실·방송실의 열쇠 후보 발견 및 조사 완료</t>
  </si>
  <si>
    <t>90초 이상 미발견 시 탐색 범위를 단계적으로 축소</t>
  </si>
  <si>
    <t>체력 0 또는 연속 피격 4회 시 체크포인트 재시작</t>
  </si>
  <si>
    <t>좁은 통로·어두운 조명·장애물로 이동 경로가 제한됨</t>
  </si>
  <si>
    <t>상하좌우 이동과 조사 키를 안내 순서대로 모두 수행</t>
  </si>
  <si>
    <t>관리국의 공식 목표와 주인공이 느끼는 개인적 목적이 다름</t>
  </si>
  <si>
    <t>대화 속에 다음 목적지와 필요한 물품 정보가 섞여 있음</t>
  </si>
  <si>
    <t>2/10 – 대상 가시성·입력 단계 수가 난이도를 결정함</t>
  </si>
  <si>
    <t>의뢰 대사와 위치를 확인한 뒤 반지의 주인에게 전달함</t>
  </si>
  <si>
    <t>1/10 – 상호작용 대상의 명확성이 난이도를 결정함</t>
  </si>
  <si>
    <t>동행 NPC가 위험 구역에 8초 이상 고립되면 재시작</t>
  </si>
  <si>
    <t>손전등과 안전한 발판을 확인하며 정전된 계단를 통과함</t>
  </si>
  <si>
    <t>새로 열린 우회로를 따라가며 붕괴하는 폐교에서 파티원을 기다림</t>
  </si>
  <si>
    <t>여러 지역과 인물의 변화를 짧은 장면 안에서 연결해 이해해야 함</t>
  </si>
  <si>
    <t>6/10 – 탐색 범위·가짜 신호 수·제한시간이 난이도를 결정함</t>
  </si>
  <si>
    <t>붕괴로 기존 길이 막히고 동료와 함께 제한시간 안에 탈출해야 함</t>
  </si>
  <si>
    <t>5/10 – 잡음 강도·대사 길이·감정적 부담이 난이도를 결정함</t>
  </si>
  <si>
    <t>핵의 충격파가 일정 주기로 넓어져 접근 가능한 시간이 짧음</t>
  </si>
  <si>
    <t>반사음과 가짜 목소리 때문에 실제 방향을 잘못 판단할 수 있음</t>
  </si>
  <si>
    <t>선의 측정과 등급제 설명에 관한 대화를 마지막 문장까지 진행</t>
  </si>
  <si>
    <t>통신이 끊기고 잡음이 섞여 상대의 의도를 정확히 듣기 어려움</t>
  </si>
  <si>
    <t>기존에 알고 있던 세계 규칙과 반대되는 정보가 연속으로 제시됨</t>
  </si>
  <si>
    <t>두 게이지가 서로 반대로 움직여 하나만 맞추면 다른 값이 벗어남</t>
  </si>
  <si>
    <t>잔해와 효과음 때문에 구조 신호의 방향을 정확히 판단하기 어려움</t>
  </si>
  <si>
    <t>소리 크기와 탐지기 반응을 비교하며 잔해 속 구조 신호를 탐색함</t>
  </si>
  <si>
    <t>6/10 – 통로 폭·시야 범위·장애물 간격이 난이도를 결정함</t>
  </si>
  <si>
    <t>중요한 단서가 여러 인물과 배경 오브젝트 사이에 분산되어 있음</t>
  </si>
  <si>
    <t>대화와 자료를 확인해 폐교 균열 조사와 실종자 수색의 공식 목표와 숨은 위험을 구분함</t>
  </si>
  <si>
    <t>장애물 뒤로 이동하고 공격 예고를 확인하며 새벽에 출현한 균열 괴물의 공격을 피함</t>
  </si>
  <si>
    <t>7/10 – 동행 인원·속도 편차·위험 구간 수·명령 재사용 시간이 난이도를 결정함</t>
  </si>
  <si>
    <t>표지판·미니맵·NPC 이동 방향을 확인하며 지하철역에서 축제 종료 공원까지 이동함</t>
  </si>
  <si>
    <t>표지판·미니맵·NPC 이동 방향을 확인하며 편의점에서 지하철역 개찰구까지 이동함</t>
  </si>
  <si>
    <t>지금까지 수집한 정보와 관계 변화를 확인해 자신의 소멸과 균열 소멸의 관계를 결정함</t>
  </si>
  <si>
    <t>장비·회복품·동료 상태를 동시에 확인해야 하며 준비 누락이 다음 임무에 영향을 줌</t>
  </si>
  <si>
    <t>표지판·미니맵·NPC 이동 방향을 확인하며 아파트에서 임시 안전 구역까지 이동함</t>
  </si>
  <si>
    <t>임무 결과·인원·특이사항을 확인하고 친구 복원 사실과 균열 정보를 순서대로 보고함</t>
  </si>
  <si>
    <t>구역을 일정한 방향으로 순회하고 반짝임·잔여 개수 UI를 확인하며 벤치와 가려진 틈의 쓰레기 6개를 수거함</t>
  </si>
  <si>
    <t>충격파 예고를 보고 안전 지점에서 대기한 뒤 주기적으로 충격파를 내보내는 균열 핵에 단계적으로 접근함</t>
  </si>
  <si>
    <t>시선·행동·복장·주변 오브젝트를 순서대로 확인해 회색 후드 특징이 겹치는 세 명의 후보의 특징을 파악함</t>
  </si>
  <si>
    <t>입양 이후 가족 안에서 희생을 요구받아 온 과거를 보여주는 연출이 길게 이어져 플레이어가 핵심 정보를 놓칠 수 있음</t>
  </si>
  <si>
    <t>7/10 – 가짜 신호 수·방향 변화 빈도·이동 거리의 차이가 난이도를 결정함</t>
  </si>
  <si>
    <t>적 이동 소리와 순찰 경로를 확인해 소리에 반응하는 환영체를 피하며 이동함</t>
  </si>
  <si>
    <t>체력과 보유 자원을 확인해 회복 아이템·장비·동료 상태를 기준 이상으로 맞춤</t>
  </si>
  <si>
    <t>고정된 빛 표식과 바닥 파동을 기준으로 왜곡된 진입 통로의 통로를 통과함</t>
  </si>
  <si>
    <t>안내되는 타이밍에 상호작용해 선의가 고갈된 친구의 변이 수치를 단계적으로 낮춤</t>
  </si>
  <si>
    <t>8/10 – 단서 수·추론 단계·오답 페널티·초기화 범위가 난이도를 결정함</t>
  </si>
  <si>
    <t>9/10 – 환영 수·가짜 단서의 설득력·자아 마모도 누적량이 난이도를 결정함</t>
  </si>
  <si>
    <t>6/10 – 요구 인물 수·대사 강도·선택지의 감정적 부담이 난이도를 결정함</t>
  </si>
  <si>
    <t>표지판·미니맵·NPC 이동 방향을 확인하며 대피소에서 붕괴 지역까지 이동함</t>
  </si>
  <si>
    <t>9/10 – 누적 속도·감소 수단·제한시간·체력 회복량이 난이도를 결정함</t>
  </si>
  <si>
    <t>6 – 플레이어와 대상의 속도 차이·허용 거리·시야 차단물이 난이도를 결정함</t>
  </si>
  <si>
    <t>자료와 대화를 확인해 주인공만 진입 가능한 대형 균열의 목적과 위험을 이해함</t>
  </si>
  <si>
    <t>7/10 – 단서 수·추론 단계·오답 페널티·초기화 범위가 난이도를 결정함</t>
  </si>
  <si>
    <t>짧은 시간 동안 화면을 지나가는 대상이라 시선을 다른 곳에 두면 놓칠 수 있음</t>
  </si>
  <si>
    <t>UI 미션뿐 아니라 이동·조사·대화·전투·업적성 행동·연출 확인까지 포함</t>
  </si>
  <si>
    <t>7/10 – 위험 주기·대상 체력·이동 거리·구조 단계 수가 난이도를 결정함</t>
  </si>
  <si>
    <t>4/10 – 목표 수량·배치 밀도·가림 오브젝트·탐색 범위가 난이도를 결정함</t>
  </si>
  <si>
    <t>제한된 가방 칸 때문에 모든 물품을 챙길 수 없고 우선순위 판단이 필요함</t>
  </si>
  <si>
    <t>균열이 적은 잔해부터 선택하고 반복 입력으로 통로를 막는 잔해 6개를 제거함</t>
  </si>
  <si>
    <t>위험 주기를 피하며 가까운 순서로 균열 내부에 흩어진 선의 조각 8개를 수집함</t>
  </si>
  <si>
    <t>예상 위험에 맞춰 손전등·회복품·탐지기·전투 장비 중 필수 장비를 선택함</t>
  </si>
  <si>
    <t>7/10 – 적 속도·공격 범위·예고 시간·안전 지점 수가 난이도를 결정함</t>
  </si>
  <si>
    <t>3/10 – 정보의 불완전성·결과 예측 가능성·감정적 부담이 난이도를 결정함</t>
  </si>
  <si>
    <t>임무 결과·인원·특이사항을 확인하고 구조 인원과 현장 상태를 순서대로 보고함</t>
  </si>
  <si>
    <t>7/10 – 제한시간·우회로 길이·동행 인원·붕괴 주기가 난이도를 결정함</t>
  </si>
  <si>
    <t>주인공의 기억과 친구의 상태를 확인하고 처치 대신 포옹하는 선택를 선택함</t>
  </si>
  <si>
    <t>위험이 지속되는 동안 대상 상태를 확인하고 구조 행동을 여러 번 수행해야 함</t>
  </si>
  <si>
    <t>3/10 – 등장 인물 수·장면 전환 속도·결과 연결성이 난이도를 결정함</t>
  </si>
  <si>
    <t>5/10 – 후보 물품 수·인벤토리 제한·필수 조합 수가 난이도를 결정함</t>
  </si>
  <si>
    <t>구역별 표지와 상품 외형을 비교하며 관리실·음악실·방송실의 열쇠 후보를 조사함</t>
  </si>
  <si>
    <t>장면 순서와 반복되는 상징을 보며 도시 곳곳의 균열과 괴물의 결과를 확인함</t>
  </si>
  <si>
    <t>표지판·미니맵·NPC 이동 방향을 확인하며 도시에서 대형 균열 중심까지 이동함</t>
  </si>
  <si>
    <t>7/10 – 목표 수량·배치 거리·위험 주기·이동 지형이 난이도를 결정함</t>
  </si>
  <si>
    <t>공식 명령과 주인공의 생존 가능성이 충돌해 목표를 단순히 받아들이기 어려움</t>
  </si>
  <si>
    <t>9/10 – 패턴 수·공격 범위·소환체 수·안전 구역 크기가 난이도를 결정함</t>
  </si>
  <si>
    <t>8/10 – 잔류 패턴 수·안전 구간 길이·필요 접근 횟수가 난이도를 결정함</t>
  </si>
  <si>
    <t>4/10 – 입력 타이밍·유지 시간·실패 시 초기화 범위가 난이도를 결정함</t>
  </si>
  <si>
    <t>6/10 – 동행 인원·속도 차이·장애물 수·허용 거리가 난이도를 결정함</t>
  </si>
  <si>
    <t>위험 패턴이 멈춘 순간에 접근해 계단에 쓰러진 이웃 주민를 안전 지점으로 옮김</t>
  </si>
  <si>
    <t>2/10 – 등장 인물 수·장면 전환 속도·결과 연결성이 난이도를 결정함</t>
  </si>
  <si>
    <t>중학생이 잃어버린 반지의 흔적의 형태와 주변 대사를 확인하고 별도 조사함</t>
  </si>
  <si>
    <t>6/10 – 분류 종류 수·외형 유사도·오답 허용 횟수가 난이도를 결정함</t>
  </si>
  <si>
    <t>7/10 – 분류 종류 수·외형 유사도·오답 허용 횟수가 난이도를 결정함</t>
  </si>
  <si>
    <t>9/10 – 충격파 주기·안전 지점 거리·필요 접근 횟수가 난이도를 결정함</t>
  </si>
  <si>
    <t>붕괴 예고와 고정 표식을 보며 붕괴하는 균열 통로까지 짧은 구간 단위로 이동함</t>
  </si>
  <si>
    <t>반복되는 핵심 문구를 확인하며 귀환을 요청하는 한도윤의 마지막 대화를 진행함</t>
  </si>
  <si>
    <t>구역별 표지와 상품 외형을 비교하며 편의점 안 신상 과자 진열대를 조사함</t>
  </si>
  <si>
    <t>4/10 – 구역 수·동료 행동 예측 가능성·이동 동선이 난이도를 결정함</t>
  </si>
  <si>
    <t>7/10 – 붕괴 속도·통로 폭·왜곡 강도·체크포인트 간격이 난이도를 결정함</t>
  </si>
  <si>
    <t>마지막 목격 위치와 반짝임 주기를 이용해 쓰레기 사이에 섞인 작은 반지를 찾음</t>
  </si>
  <si>
    <t>2 – 대상 노출 시간·화면 내 이동속도·시선 유도 강도가 난이도를 결정함</t>
  </si>
  <si>
    <t>5/10 – 목표 수량·배치 밀도·가림 오브젝트·탐색 범위가 난이도를 결정함</t>
  </si>
  <si>
    <t>안전 구역을 확보하고 약점 노출 때 집중 공격해 균열 심층부 수호체를 처치함</t>
  </si>
  <si>
    <t>6/10 – 후보 수·공통 특징 수·추가 단서의 명확성이 난이도를 결정함</t>
  </si>
  <si>
    <t>기획자가 해당 구간이 이 정도로 재미있기를 기대하며 정하는 정성적 목표값</t>
  </si>
  <si>
    <t>6 – 경쟁 NPC 수·충돌 범위·재고 수량·접근 가능 시간이 난이도를 결정함</t>
  </si>
  <si>
    <t>대화에서 정한 담당 구역을 확인하고 서로 다른 공원 구역를 순서대로 처리함</t>
  </si>
  <si>
    <t>4/10 – 분류 종류 수·외형 유사도·오답 허용 횟수가 난이도를 결정함</t>
  </si>
  <si>
    <t>가장 안전한 경로를 정하고 주인공이 지키고 싶었던 사람들의 기억 5개를 회수함</t>
  </si>
  <si>
    <t>반복되는 사물과 대사를 기준으로 주인공의 탄생과 가족의 기억의 순서를 맞춤</t>
  </si>
  <si>
    <t>표지판·미니맵·NPC 이동 방향을 확인하며 공원에서 분리수거장까지 이동함</t>
  </si>
  <si>
    <t>재질·오염 여부·남은 내용물을 확인하고 일반쓰레기 8개를 올바른 수거함에 넣음</t>
  </si>
  <si>
    <t>요청받은 품목을 확인하고 상품 선택→계산대 상호작용→결제를 순서대로 진행함</t>
  </si>
  <si>
    <t>확인 문구와 지금까지의 결과를 검토한 뒤 균열과 함께 소멸하는 선택를 실행함</t>
  </si>
  <si>
    <t>10/10 – 패턴 수·동시 관리 자원·안전 구역 크기·체크포인트 간격이 난이도를 결정함</t>
  </si>
  <si>
    <t>주요 보도 문구와 주변 인물 반응을 순서대로 확인해 생방송과 주변 시민의 반응을 확인함</t>
  </si>
  <si>
    <t>카메라 이동과 NPC 시선을 따라 영화관 출구 앞을 지나가는 편의점 물류 트럭을 확인함</t>
  </si>
  <si>
    <t>잔여 수량과 각 구역 상태를 확인해 공원 미수거 구역과 남은 수량의 미완료 항목을 점검함</t>
  </si>
  <si>
    <t>카메라가 강조하는 인물과 오브젝트를 보며 분리수거장 바닥에서 열리는 도덕 균열를 확인함</t>
  </si>
  <si>
    <t>비어 있는 진열칸과 손글씨 품절 안내 가까이 이동한 뒤 상호작용 아이콘이 나타날 때 조사함</t>
  </si>
  <si>
    <t>10/10 – 공격 속도·연속 패턴 수·회복 가능 시간·선택 제한시간이 난이도를 결정함</t>
  </si>
  <si>
    <t>요청 위치를 묶어 처리하고 우선순위를 정해 작은 부탁이 끊임없이 추가되는 상황를 완료함</t>
  </si>
  <si>
    <t>기록·기억·균열 반응을 비교해 차한해가 균열에서 태어난 존재라는 기록의 사실 관계를 확인함</t>
  </si>
  <si>
    <t>각 인물의 요구와 주인공의 상태를 비교하며 가족·관리국·시민의 희생 요구의 의미를 판단함</t>
  </si>
  <si>
    <t>재질·오염 여부·남은 내용물을 확인하고 플라스틱·캔·종이 10개를 올바른 수거함에 넣음</t>
  </si>
  <si>
    <t>시선·행동·복장·주변 오브젝트를 순서대로 확인해 균열의 빛·소리·주변 반응의 특징을 파악함</t>
  </si>
  <si>
    <t>안전 행동을 유지하고 올바른 기억 선택으로 피격보다 선택 실패로 쌓이는 죄책감의 누적을 낮춤</t>
  </si>
  <si>
    <t>복장·소지품·대화 반응을 함께 비교해 대화 단서와 복장 단서가 일치하는 거래자를 선택함</t>
  </si>
  <si>
    <t>공격 예고를 보고 안전 구역으로 이동한 뒤 소환체부터 제거하며 친구의 괴물형 보스를 공략함</t>
  </si>
  <si>
    <t>수집한 기록을 비교하고 서로 다른 기억 문을 선택하는 퍼즐의 규칙에 맞게 단계별로 입력함</t>
  </si>
  <si>
    <t>일반쓰레기 8개 전부 올바르게 분류</t>
  </si>
  <si>
    <t>큰 원은 플레이 전반에 미치는 영향이 큰 핵심 팩터이며, 작은 원은 장면·미션 단위에서 조정하는 세부 팩터임</t>
  </si>
  <si>
    <t>필수 방송 및 NPC 반응 확인</t>
  </si>
  <si>
    <t>수락 후 목표를 세 줄로 요약 표시</t>
  </si>
  <si>
    <t>제한시간 안에 탈출 지점 도착</t>
  </si>
  <si>
    <t>모든 동행 NPC가 대피 지점 도착</t>
  </si>
  <si>
    <t>보스 체력 0 및 주인공 생존</t>
  </si>
  <si>
    <t>오답 2회 후 분류 기준 그림 표시</t>
  </si>
  <si>
    <t>두 선택 모두 이후 상황에 영향을 주므로 감정적 판단 부담이 발생함</t>
  </si>
  <si>
    <t>5/10 – 맵 크기·갈림길 수·목적지 표식의 가시성이 난이도를 결정함</t>
  </si>
  <si>
    <t>5/10 – 관찰 대상 수·단서의 명확성·외형 유사도가 난이도를 결정함</t>
  </si>
  <si>
    <t>후보들이 공통 특징을 가지고 있어 한 가지 단서만으로는 구별할 수 없음</t>
  </si>
  <si>
    <t>표지판·미니맵·NPC 이동 방향을 확인하며 임시 대피소까지 이동함</t>
  </si>
  <si>
    <t>4/10 – 관찰 대상 수·단서의 명확성·외형 유사도가 난이도를 결정함</t>
  </si>
  <si>
    <t>외형이 비슷하거나 내용물이 남은 쓰레기는 분류 기준을 혼동하기 쉬움</t>
  </si>
  <si>
    <t>6/10 – 목표물 크기·탐색 범위·가짜 후보 수가 난이도를 결정함</t>
  </si>
  <si>
    <t>수집한 기록을 비교하고 교실 단서를 순서대로 입력하는 잠금 장치의 규칙에 맞게 단계별로 입력함</t>
  </si>
  <si>
    <t>구역을 일정한 방향으로 순회하고 반짝임·잔여 개수 UI를 확인하며 잔디 구역 쓰레기 8개를 수거함</t>
  </si>
  <si>
    <t>시선·행동·복장·주변 오브젝트를 순서대로 확인해 낙서·찢어진 공책·잠긴 사물함의 특징을 파악함</t>
  </si>
  <si>
    <t>시선·행동·복장·주변 오브젝트를 순서대로 확인해 떠나는 시민과 공원에 남은 쓰레기의 특징을 파악함</t>
  </si>
  <si>
    <t>기억 속 모순 단서를 찾아 가짜 기억을 강제로 재생하는 패턴를 끊고 실제 공격 타이밍에 회피함</t>
  </si>
  <si>
    <t>입력 강도와 타이밍을 조절해 선의와 자아 마모도를 맞추는 입력의 두 수치를 목표 범위에 유지함</t>
  </si>
  <si>
    <t>구역을 일정한 방향으로 순회하고 반짝임·잔여 개수 UI를 확인하며 산책로 쓰레기 7개를 수거함</t>
  </si>
  <si>
    <t>말의 내용보다 행동과 기억의 모순을 확인해 칭찬과 비난을 반복하는 가족 환영을 무시하고 진행함</t>
  </si>
  <si>
    <t>거리 유지와 방어를 우선하고 선택 패턴이 끝난 직후 빠른 근접 공격과 선택 강요 패턴를 공격함</t>
  </si>
  <si>
    <t>재질·오염 여부·남은 내용물을 확인하고 내용물이 남거나 오염된 쓰레기 6개를 올바른 수거함에 넣음</t>
  </si>
  <si>
    <t>현재 상황과 주인공의 독백을 확인한 뒤 공원을 지나갈지 쓰레기를 치울지 판단에 대한 행동을 결정함</t>
  </si>
  <si>
    <t>필수 장비 누락 시 출발 불가</t>
  </si>
  <si>
    <t>안전 발판 테두리와 체크포인트 제공</t>
  </si>
  <si>
    <t>미보고 항목을 체크리스트로 표시</t>
  </si>
  <si>
    <t>이탈 시민 방향과 안전 경로를 표시</t>
  </si>
  <si>
    <t>누락 항목이 있으면 보고 완료 불가</t>
  </si>
  <si>
    <t>실패 후 고정 표식의 밝기 증가</t>
  </si>
  <si>
    <t>모든 적 처치 및 주인공 생존</t>
  </si>
  <si>
    <t>제안 조건의 핵심 문구를 강조</t>
  </si>
  <si>
    <t>실패 후 제한시간 10초 증가</t>
  </si>
  <si>
    <t>대상 체력 경고와 안전 경로 표시</t>
  </si>
  <si>
    <t>오답 입력 5회 시 장치 초기화</t>
  </si>
  <si>
    <t>필수 확인 대상을 목록으로 표시</t>
  </si>
  <si>
    <t>모든 파티원 소개 및 역할 확인</t>
  </si>
  <si>
    <t>안전 진입로에 탐지기 반응 강화</t>
  </si>
  <si>
    <t>전투 UI에 역할 아이콘 고정 표시</t>
  </si>
  <si>
    <t>현재 측정 단계와 남은 시간을 표시</t>
  </si>
  <si>
    <t>누락 항목 경고와 추천 장비 표시</t>
  </si>
  <si>
    <t>필수 장비 장착 및 회복품 보유</t>
  </si>
  <si>
    <t>필수 장비 미장착 시 출동 불가</t>
  </si>
  <si>
    <t>전체 밸런스 곡선 요약</t>
  </si>
  <si>
    <t>필수 관찰 대상 모두 조사</t>
  </si>
  <si>
    <t>올바른 거래자와 대화 시작</t>
  </si>
  <si>
    <t>과거 기억 재생하기</t>
  </si>
  <si>
    <t>선의 조각 수집하기</t>
  </si>
  <si>
    <t>균열 내부에 진입하기</t>
  </si>
  <si>
    <t>최종 선택 실행하기</t>
  </si>
  <si>
    <t>엔딩 크레딧 감상하기</t>
  </si>
  <si>
    <t>출생의 진실 확인하기</t>
  </si>
  <si>
    <t>마지막 기억 회수하기</t>
  </si>
  <si>
    <t>균열 핵에 접근하기</t>
  </si>
  <si>
    <t>소멸 선택지 확인하기</t>
  </si>
  <si>
    <t>균열 핵과 동기화하기</t>
  </si>
  <si>
    <t>5/10 – 측정 단계 수·대기 시간·비정상 결과의 설명 명확성이 난이도를 결정함</t>
  </si>
  <si>
    <t>방문 기록과 단서 목록을 확인하며 친구의 과거를 보여주는 기억 단서 5개를 수집함</t>
  </si>
  <si>
    <t>7/10 – 목표 수·동선 길이·위험 구역 밀도·자아 마모도 증가량이 난이도를 결정함</t>
  </si>
  <si>
    <t>2/10 – NPC 후보 수·위치 이동 여부·의뢰 단서 명확성이 난이도를 결정함</t>
  </si>
  <si>
    <t>요청 지역·구조 대상·예상 위험을 확인한 뒤 도심 잔해 구역 구조 요청를 수락함</t>
  </si>
  <si>
    <t>군중의 이동 방향을 예측하고 빈 공간으로 우회해 편의점 진열대 앞 군중에 접근함</t>
  </si>
  <si>
    <t>4/10 – 측정 단계 수·대기 시간·비정상 결과의 설명 명확성이 난이도를 결정함</t>
  </si>
  <si>
    <t>소리 크기 변화와 파티원의 반응을 비교하며 복도마다 방향이 달라지는 목소리를 추적함</t>
  </si>
  <si>
    <t>제안 내용과 조건을 확인해 영웅 대우를 전제로 한 관리국의 제안의 의미를 파악함</t>
  </si>
  <si>
    <t>잔여 수량과 각 구역 상태를 확인해 모든 분류함과 오분류 여부의 미완료 항목을 점검함</t>
  </si>
  <si>
    <t>안내에 따라 손을 올리고 재측정 절차를 완료해 오류로 의심받는 무한대 수치를 확인함</t>
  </si>
  <si>
    <t>장면 순서와 반복되는 상징을 보며 가족·한도윤·친구·시민의 변화의 결과를 확인함</t>
  </si>
  <si>
    <t>대피 상황에 필요한 물품을 비교해 가방·물·손전등·구급품 중 필수 물품를 선택함</t>
  </si>
  <si>
    <t>게임 「넌 착해!」의 플레이 경험에 영향을 주는 주요 조정 요소를 원형으로 정리</t>
  </si>
  <si>
    <t>9/10 – 게이지 이동속도·목표 범위·동시 입력 수·초기화 범위가 난이도를 결정함</t>
  </si>
  <si>
    <t>방해요소를 해결하기 위해 플레이어가 관찰·판단·조작해야 하는 내용</t>
  </si>
  <si>
    <t>구역별 표지와 상품 외형을 비교하며 생활용품 코너의 헤어롤을 조사함</t>
  </si>
  <si>
    <t>목표 아이콘과 도로 방향을 보며 허용 거리 안에서 물류 트럭을 따라감</t>
  </si>
  <si>
    <t>카메라가 강조하는 인물과 오브젝트를 보며 아이와 가족의 행동을 확인함</t>
  </si>
  <si>
    <t>반짝임 표시가 있는 산책로의 첫 쓰레기에 접근해 줍기 입력을 수행함</t>
  </si>
  <si>
    <t>최종 선택을 실행하면 되돌릴 수 없다는 사실이 강한 심리적 부담을 줌</t>
  </si>
  <si>
    <t>잔류 공격 사이의 빈틈을 이용해 공격을 멈춘 친구에게 단계적으로 접근함</t>
  </si>
  <si>
    <t>2 – 조사 대상의 크기·배경과의 대비·상호작용 범위가 난이도를 결정함</t>
  </si>
  <si>
    <t>어떤 선택도 완전한 보상이 없고 플레이어가 결말을 직접 확정해야 함</t>
  </si>
  <si>
    <t>1 매우 느림, 3 보통, 5 빠름. 이동이 핵심이 아닐 때는 공란</t>
  </si>
  <si>
    <t>1 – 맵 크기·갈림길 수·목적지 표식의 가시성이 난이도를 결정함</t>
  </si>
  <si>
    <t>2 – 맵 크기·갈림길 수·목적지 표식의 가시성이 난이도를 결정함</t>
  </si>
  <si>
    <t>이전 대화와 행동 습관을 비교해 동료와 똑같이 행동하는 환영을 판별함</t>
  </si>
  <si>
    <t>1 – 조사 대상의 크기·배경과의 대비·상호작용 범위가 난이도를 결정함</t>
  </si>
  <si>
    <t>3 – 후보 오브젝트 수·외형 유사도·탐색 범위가 난이도를 결정함</t>
  </si>
  <si>
    <t>8/10 – 결과의 비가역성·정보량·감정적 부담이 난이도를 결정함</t>
  </si>
  <si>
    <t>2 – 대사 길이·핵심 정보의 명확성·선택지 수가 난이도를 결정함</t>
  </si>
  <si>
    <t>초회 플레이어가 해당 콘텐츠를 완료하는 데 걸릴 것으로 예상하는 시간</t>
  </si>
  <si>
    <t>실패가 존재하는 경우 재시작·페널티가 발생하는 조건</t>
  </si>
  <si>
    <t>공간 왜곡으로 이동 방향과 상호작용 위치가 계속 바뀜</t>
  </si>
  <si>
    <t>다단계 패턴·환경 공격·자아 마모도 관리가 동시에 요구됨</t>
  </si>
  <si>
    <t>이동거리·미션개수·대사량·재시도 가능성을 함께 고려</t>
  </si>
  <si>
    <t>수거 8개, 단서 5개, 대화 1회, 보스 패턴 6회 등</t>
  </si>
  <si>
    <t>추격 대상·동행 NPC·위협체 등 상대 캐릭터의 이동속도</t>
  </si>
  <si>
    <t>긴 크레딧 중 추가 장면과 기록이 삽입되어 놓칠 수 있음</t>
  </si>
  <si>
    <t>플레이어 또는 해당 행에서 주체가 되는 캐릭터의 이동속도</t>
  </si>
  <si>
    <t>후보 수, 맵 크기, 속도 차이, 제한시간, 패턴 수 등</t>
  </si>
  <si>
    <t>A와 B의 속도 차이가 추격·호위·회피 난이도를 결정</t>
  </si>
  <si>
    <t>아파트 계단으로 이동하기</t>
  </si>
  <si>
    <t>4-D | 폐교 본관 2층</t>
  </si>
  <si>
    <t>5-A | 대형 균열 외부</t>
  </si>
  <si>
    <t>5-C | 균열 심층부</t>
  </si>
  <si>
    <t>4-E | 폐교 본관 3층</t>
  </si>
  <si>
    <t>5-D | 최종 선택·후일담</t>
  </si>
  <si>
    <t>한도윤과 구역 분담하기</t>
  </si>
  <si>
    <t>산책로 쓰레기 수거하기</t>
  </si>
  <si>
    <t>중학생에게 반지 전달하기</t>
  </si>
  <si>
    <t>4-G | 폐교 탈출·귀환</t>
  </si>
  <si>
    <t>아파트 밖으로 탈출하기</t>
  </si>
  <si>
    <t>1-E | 편의점 재입고</t>
  </si>
  <si>
    <t>4-F | 폐교 강당·보스전</t>
  </si>
  <si>
    <t>2-A | 공원 축제·청소</t>
  </si>
  <si>
    <t>3-D | 도심 구조 임무</t>
  </si>
  <si>
    <t>4-C | 폐교 본관 1층</t>
  </si>
  <si>
    <t>축제 종료 현장 관찰하기</t>
  </si>
  <si>
    <t>괴물의 첫 습격 회피하기</t>
  </si>
  <si>
    <t>잔디 구역 쓰레기 수거하기</t>
  </si>
  <si>
    <t>1-A | 집·튜토리얼</t>
  </si>
  <si>
    <t>안전 구역으로 이동하기</t>
  </si>
  <si>
    <t>새벽 재난 문자 확인하기</t>
  </si>
  <si>
    <t>무한대 수치 재측정하기</t>
  </si>
  <si>
    <t>분리수거장으로 이동하기</t>
  </si>
  <si>
    <t>첫 구조 임무 수락하기</t>
  </si>
  <si>
    <t>벤치 주변 쓰레기 수거하기</t>
  </si>
  <si>
    <t>우정 반지 단서 발견하기</t>
  </si>
  <si>
    <t>오염된 쓰레기 분류하기</t>
  </si>
  <si>
    <t>3-C | 대피소·선의관리국</t>
  </si>
  <si>
    <t>3-A | 아파트 재난</t>
  </si>
  <si>
    <t>쓰레기를 치우기로 결정하기</t>
  </si>
  <si>
    <t>균열 수호체 전투 치르기</t>
  </si>
  <si>
    <t>시민들의 연속 부탁 처리하기</t>
  </si>
  <si>
    <t>고등급자 파티에 합류하기</t>
  </si>
  <si>
    <t>본관 2층으로 이동하기</t>
  </si>
  <si>
    <t>친구의 목소리 추적하기</t>
  </si>
  <si>
    <t>선택의 분기 퍼즐 해결하기</t>
  </si>
  <si>
    <t>한도윤과 마지막 통신하기</t>
  </si>
  <si>
    <t>균열 괴물과 첫 전투 치르기</t>
  </si>
  <si>
    <t>친구를 인간으로 복원하기</t>
  </si>
  <si>
    <t>기억 개입 패턴 공략하기</t>
  </si>
  <si>
    <t>죄책감 축적 패턴 버티기</t>
  </si>
  <si>
    <t>균열 중심부로 이동하기</t>
  </si>
  <si>
    <t>가짜 가족 환영 돌파하기</t>
  </si>
  <si>
    <t>균열과 몬스터 소멸 확인하기</t>
  </si>
  <si>
    <t>생존자들의 후일담 확인하기</t>
  </si>
  <si>
    <t>본관 3층으로 이동하기</t>
  </si>
  <si>
    <t>강제 출동 압박 견디기</t>
  </si>
  <si>
    <t>균열 심층부로 이동하기</t>
  </si>
  <si>
    <t>구조 임무 완료 보고하기</t>
  </si>
  <si>
    <t>교실 기억 단서 수집하기</t>
  </si>
  <si>
    <t>도심 잔해 구역으로 이동하기</t>
  </si>
  <si>
    <t>컴퓨터 잠금 퍼즐 해결하기</t>
  </si>
  <si>
    <t>학교폭력 흔적 조사하기</t>
  </si>
  <si>
    <t>관리국에 귀환 보고하기</t>
  </si>
  <si>
    <t>자아 마모도 변화 확인하기</t>
  </si>
  <si>
    <t>한마리 몬스터와 전투시간</t>
  </si>
  <si>
    <t>X
콘텐츠 진행 포인트</t>
  </si>
  <si>
    <t>레벨 업을 위한 전투시간</t>
  </si>
  <si>
    <t>한마리 몬스터가 주는 경험치</t>
  </si>
  <si>
    <t>보스 앞 상호작용 지점 도착</t>
  </si>
  <si>
    <t>통로를 막는 잔해 전부 제거</t>
  </si>
  <si>
    <t>올바른 강당 방향 도착</t>
  </si>
  <si>
    <t>필수 기억 장면 모두 확인</t>
  </si>
  <si>
    <t>최종 행동 확인 입력 완료</t>
  </si>
  <si>
    <t>장비 역할과 추천 조합 표시</t>
  </si>
  <si>
    <t>상태 안내와 독백 확인</t>
  </si>
  <si>
    <t>후일담 장면 전부 재생</t>
  </si>
  <si>
    <t>침대에 임무 아이콘 표시</t>
  </si>
  <si>
    <t>복원 게이지 100% 달성</t>
  </si>
  <si>
    <t>이중 확인과 자동 저장 제공</t>
  </si>
  <si>
    <t>회피 구간 종료 지점 도착</t>
  </si>
  <si>
    <t>재난 문자 핵심 항목 확인</t>
  </si>
  <si>
    <t>보스 체력 50% 이하 도달</t>
  </si>
  <si>
    <t>모든 구조 대상 위치 확인</t>
  </si>
  <si>
    <t>균열 핵 상호작용 지점 도착</t>
  </si>
  <si>
    <t>동기화 게이지 100% 달성</t>
  </si>
  <si>
    <t>환영 구역 종료 지점 도착</t>
  </si>
  <si>
    <t>동생에게 심부름 지시 받기</t>
  </si>
  <si>
    <t>실패 후 적 청각 범위 감소</t>
  </si>
  <si>
    <t>기억 개입 패턴 전부 해제</t>
  </si>
  <si>
    <t>필수 기억 단서 전부 수집</t>
  </si>
  <si>
    <t>구조 대상이 안전 지점 도착</t>
  </si>
  <si>
    <t>다음 층 도착 트리거 진입</t>
  </si>
  <si>
    <t>균열 내부 첫 구역 도착</t>
  </si>
  <si>
    <t>필수 보고 항목 모두 선택</t>
  </si>
  <si>
    <t>안내된 수거 행동 3회 완료</t>
  </si>
  <si>
    <t>필수 진실 기록 전부 확인</t>
  </si>
  <si>
    <t>오답 후 잘못된 단계만 표시</t>
  </si>
  <si>
    <t>올바른 NPC에게 물품 전달</t>
  </si>
  <si>
    <t>스킵·다시 보기 기능 제공</t>
  </si>
  <si>
    <t>신상 과자 진열대 찾기</t>
  </si>
  <si>
    <t>거래자 후보 3명 관찰하기</t>
  </si>
  <si>
    <t>차한해의 과거 오프닝 감상</t>
  </si>
  <si>
    <t>편의점 물류 트럭 발견하기</t>
  </si>
  <si>
    <t>신상 과자 오픈런 참가하기</t>
  </si>
  <si>
    <t>알바생 NPC와 대화하기</t>
  </si>
  <si>
    <t>콘텐츠 진행 포인트 누적</t>
  </si>
  <si>
    <t>밸런스 문서 작성 기준</t>
  </si>
  <si>
    <t>편의점 물류 트럭 따라가기</t>
  </si>
  <si>
    <t>공격 회피만으로 해결되지 않고 이전 선택에 따라 누적 수치가 달라짐</t>
  </si>
  <si>
    <t>복원 과정 중 친구의 상태와 주인공의 선의 수치를 동시에 유지해야 함</t>
  </si>
  <si>
    <t>4/10 – 장비 후보 수·슬롯 제한·역할 중복이 난이도를 결정함</t>
  </si>
  <si>
    <t>4/10 – 파티원 수·역할 차이·지원 조건 수가 난이도를 결정함</t>
  </si>
  <si>
    <t>6/10 – 맵 크기·갈림길 수·목적지 표식의 가시성이 난이도를 결정함</t>
  </si>
  <si>
    <t>5/10 – 기존 조작 습관과 선택의 감정적 부담이 난이도를 결정함</t>
  </si>
  <si>
    <t>통로가 붕괴하고 화면 왜곡이 심해져 이동 경로를 오래 유지할 수 없음</t>
  </si>
  <si>
    <t>완료 정보와 새로 발견한 사실 중 무엇을 보고해야 하는지 구분해야 함</t>
  </si>
  <si>
    <t>지도에 방문 구역을 표시하며 교실·교무실·복도를 한 방향으로 탐색함</t>
  </si>
  <si>
    <t>게임 시작부터 엔딩까지 해금되는 모든 플레이 내용을 순서대로 기록</t>
  </si>
  <si>
    <t>여러 인물이 서로 다른 이유로 같은 희생을 요구해 감정적 압박이 커짐</t>
  </si>
  <si>
    <t>5/10 – 단계 수·단서 위치·오답 초기화 범위가 난이도를 결정함</t>
  </si>
  <si>
    <t>1/10 – 추가 장면의 노출 시간과 배치 간격이 난이도를 결정함</t>
  </si>
  <si>
    <t>1 – 동시에 제시되는 조작 수와 입력 허용 시간이 난이도를 결정함</t>
  </si>
  <si>
    <t>주변 단서와 장치 반응을 확인해 봉인된 강당 출입문를 순서대로 해제함</t>
  </si>
  <si>
    <t>4/10 – 새 정보량·기존 정보와의 충돌 정도가 난이도를 결정함</t>
  </si>
  <si>
    <t>칭찬과 비난이 번갈아 제시되어 올바른 길보다 감정적 반응을 유도함</t>
  </si>
  <si>
    <t>가짜 기억과 실제 전투 화면이 겹쳐 입력 대상과 회피 방향을 혼동함</t>
  </si>
  <si>
    <t>빠른 공격과 선택 강요 패턴이 연속으로 이어져 회복할 시간이 부족함</t>
  </si>
  <si>
    <t>조사 가능한 가구가 많아 조작 가능한 대상을 바로 알아보기 어려움</t>
  </si>
  <si>
    <t>2 – 상품 후보 수·품목 유사도·구매 단계 수가 난이도를 결정함</t>
  </si>
  <si>
    <t>7/10 – 화면 왜곡 강도·안전 표식 수·통로 폭이 난이도를 결정함</t>
  </si>
  <si>
    <t>공격 예고를 보고 회피한 뒤 빈틈에 공격하며 하급 균열 괴물를 처치함</t>
  </si>
  <si>
    <t>5/10 – 장면 수·시간 순서의 복잡도·인물 수가 난이도를 결정함</t>
  </si>
  <si>
    <t>9/10 – 동시 정보량·모순 단서 수·입력 제한시간이 난이도를 결정함</t>
  </si>
  <si>
    <t>1 – 대사 길이·핵심 정보의 명확성·선택지 수가 난이도를 결정함</t>
  </si>
  <si>
    <t>주변 단서와 장치 반응을 확인해 균열 문양 4개를 순서대로 해제함</t>
  </si>
  <si>
    <t>5/10 – 확인 항목 수·인벤토리 복잡도·추천 정보가 난이도를 결정함</t>
  </si>
  <si>
    <t>목표를 바로 달성하지 못하게 만드는 맵·NPC·시간·정보·전투 요소</t>
  </si>
  <si>
    <t>비슷한 후보, 넓은 탐색 범위, 제한시간, 시야 차단, 감정적 압박 등</t>
  </si>
  <si>
    <t>적이 소리에 반응하고 시야 밖에서도 이동해 안전 구간을 예측하기 어려움</t>
  </si>
  <si>
    <t>임무 목표와 위험 요소가 한 번에 제시되어 우선순위를 놓칠 수 있음</t>
  </si>
  <si>
    <t>방송 화면·시민 반응·관리국 설명이 동시에 제시되어 의미가 분산됨</t>
  </si>
  <si>
    <t>환영이 동료의 외형과 목소리를 복제해 단순 외형만으로 구분할 수 없음</t>
  </si>
  <si>
    <t>3/10 – 조건 문구의 간접성·선택지의 감정적 부담이 난이도를 결정함</t>
  </si>
  <si>
    <t>6/10 – 관찰 대상 수·단서의 명확성·외형 유사도가 난이도를 결정함</t>
  </si>
  <si>
    <t>8/10 – 후보 수·복제 정확도·행동 단서의 명확성이 난이도를 결정함</t>
  </si>
  <si>
    <t>대화를 통해 역할이 다른 고등급자 3명의 역할과 지원 조건을 확인함</t>
  </si>
  <si>
    <t>4/10 – 진입로 수·위험 구역 범위·탐지기 명확성이 난이도를 결정함</t>
  </si>
  <si>
    <t>7/10 – 잔해 수·입력 횟수·위험 순서·피격 빈도가 난이도를 결정함</t>
  </si>
  <si>
    <t>7/10 – 적 수·공격 빈도·회피 타이밍·회복 수단이 난이도를 결정함</t>
  </si>
  <si>
    <t>7/10 – 후보 오브젝트 수·외형 유사도·탐색 범위가 난이도를 결정함</t>
  </si>
  <si>
    <t>필수 단서가 여러 방에 흩어져 있고 일부는 환영 연출 뒤에 숨겨짐</t>
  </si>
  <si>
    <t>6/10 – 단서 수·방 분산 정도·환영 연출 길이가 난이도를 결정함</t>
  </si>
  <si>
    <t>7/10 – 요청 수·이동 거리·동시 활성 목표 수가 난이도를 결정함</t>
  </si>
  <si>
    <t>6/10 – 단계 수·단서 위치·오답 초기화 범위가 난이도를 결정함</t>
  </si>
  <si>
    <t>3/10 – 목표 간 충돌 정도·브리핑 정보량이 난이도를 결정함</t>
  </si>
  <si>
    <t>전투에서 사용하던 공격 입력과 반대되는 행동을 선택해야 함</t>
  </si>
  <si>
    <t>현관문 가까이 이동한 뒤 상호작용 아이콘이 나타날 때 조사함</t>
  </si>
  <si>
    <t>3/10 – 보고 항목 수·정보 분산 정도가 난이도를 결정함</t>
  </si>
  <si>
    <t>동료마다 역할과 행동 우선순위가 달라 협력 방식을 이해해야 함</t>
  </si>
  <si>
    <t>제목만 읽어도 플레이어가 무엇을 해야 하는지 보이도록 작성</t>
  </si>
  <si>
    <t>7/10 – 선택의 비가역성과 감정적 부담이 난이도를 결정함</t>
  </si>
  <si>
    <t>예: 신상 과자 진열대 찾기, 균열 괴물과 첫 전투 치르기</t>
  </si>
  <si>
    <t>현재와 과거 장면이 교차해 사건의 시간 순서를 혼동할 수 있음</t>
  </si>
  <si>
    <t>기억 조각이 위험 구역과 멀리 떨어져 있어 수집 순서가 중요함</t>
  </si>
  <si>
    <t>해당 행의 목표를 완료하기 위해 필요한 행동·대상·단계의 수</t>
  </si>
  <si>
    <t>막힌 플레이어가 목표를 다시 파악하도록 돕는 힌트와 보정 장치</t>
  </si>
  <si>
    <t>1 – 상호작용 표시의 가시성과 조사 범위가 난이도를 결정함</t>
  </si>
  <si>
    <t>탐색·긴장·감정·반전·성취를 모두 포함하며 실제 테스트값이 아님</t>
  </si>
  <si>
    <t>넓은 공격 범위와 소환 패턴이 겹쳐 이동 공간이 빠르게 줄어듦</t>
  </si>
  <si>
    <t>1은 단순 확인·대화, 10은 빠른 보스 패턴과 복합 입력</t>
  </si>
  <si>
    <t>3/10 – 목표 수·위험 정보량·선택지 수가 난이도를 결정함</t>
  </si>
  <si>
    <t>추격 거리 초과, 체력 0, 제한시간 종료, 오답 누적 등</t>
  </si>
  <si>
    <t>방향 표시, 반짝임, 속도 감소, 체크포인트, 오답 힌트 등</t>
  </si>
  <si>
    <t>플레이어가 실제 입력을 수행할 때 느끼는 손 조작의 어려움</t>
  </si>
  <si>
    <t>중고 거래 물품 수령 요청에 관한 대화를 마지막 문장까지 진행</t>
  </si>
  <si>
    <t>4/10 – 단서 크기·배경 대비·오인 가능성이 난이도를 결정함</t>
  </si>
  <si>
    <t>자원이 움직이는 지형과 위험 구역에 분산되어 수집 동선이 길어짐</t>
  </si>
  <si>
    <t>3/10 – 정보 비대칭·목표 충돌 정도가 난이도를 결정함</t>
  </si>
  <si>
    <t>관찰·판단·공략의 어려움과 그 난이도를 만드는 요인을 함께 기록</t>
  </si>
  <si>
    <t>숫자/10 + 원인 설명</t>
  </si>
  <si>
    <t>Q3 재난 대응과 영웅화</t>
  </si>
  <si>
    <t>Q5 균열 탐색과 결말</t>
  </si>
  <si>
    <t>2/10 – 동시 정보량·경고 문구의 명확성이 난이도를 결정함</t>
  </si>
  <si>
    <t>5/10 – 통로 폭·시야 범위·장애물 간격이 난이도를 결정함</t>
  </si>
  <si>
    <t>방 구조가 반복되고 일부 길이 연결되어 현재 위치를 잃기 쉬움</t>
  </si>
  <si>
    <t>장비 칸이 제한되어 탐색과 전투 장비를 모두 챙길 수 없음</t>
  </si>
  <si>
    <t>목적지 주변에 잘못된 진입로와 위험 오브젝트가 배치되어 있음</t>
  </si>
  <si>
    <t>화면에 표시되는 키를 순서대로 입력하고 각 동작의 결과를 확인함</t>
  </si>
  <si>
    <t>1/10 – 연출 속도·동시에 제시되는 정보량이 난이도를 결정함</t>
  </si>
  <si>
    <t>균열 인근 대피 안내의 대피 위치와 위험 지역을 먼저 확인함</t>
  </si>
  <si>
    <t>탐지기와 표지물을 확인하며 폐교 정문의 안전한 진입로로 이동함</t>
  </si>
  <si>
    <t>3/10 – 동시 정보량·필수 관찰 대상 수가 난이도를 결정함</t>
  </si>
  <si>
    <t>여러 조작을 한 번에 제시하면 입력 방법을 혼동할 수 있음</t>
  </si>
  <si>
    <t>시민들이 서로 다른 속도로 이동하고 공포 상태에서 경로를 이탈함</t>
  </si>
  <si>
    <t>플레이 흥미도</t>
  </si>
  <si>
    <t>밸런스 팩터</t>
  </si>
  <si>
    <t>3분 30초</t>
  </si>
  <si>
    <t>3분 10초</t>
  </si>
  <si>
    <t>1분 25초</t>
  </si>
  <si>
    <t>1분 50초</t>
  </si>
  <si>
    <t>1~10 숫자</t>
  </si>
  <si>
    <t>팝콘 구매하기</t>
  </si>
  <si>
    <t>2분 10초</t>
  </si>
  <si>
    <t>1분 30초</t>
  </si>
  <si>
    <t>3분 50초</t>
  </si>
  <si>
    <t>조작난이도</t>
  </si>
  <si>
    <t>성공 미션조건</t>
  </si>
  <si>
    <t>작성 방식</t>
  </si>
  <si>
    <t>방해요소</t>
  </si>
  <si>
    <t>1분 15초</t>
  </si>
  <si>
    <t>행동형 제목</t>
  </si>
  <si>
    <t>방해요소 공략</t>
  </si>
  <si>
    <t>이동속도 A</t>
  </si>
  <si>
    <t>4분 20초</t>
  </si>
  <si>
    <t>1분 20초</t>
  </si>
  <si>
    <t>플레이 난관</t>
  </si>
  <si>
    <t>크레딧 종료</t>
  </si>
  <si>
    <t>2분 50초</t>
  </si>
  <si>
    <t>통신 종료</t>
  </si>
  <si>
    <t>실패 미션조건</t>
  </si>
  <si>
    <t>미션개수</t>
  </si>
  <si>
    <t>2분 30초</t>
  </si>
  <si>
    <t>값/형식</t>
  </si>
  <si>
    <t>균열의 진실</t>
  </si>
  <si>
    <t>플레이 난이도</t>
  </si>
  <si>
    <t>가족 찾기</t>
  </si>
  <si>
    <t>균열 구경하기</t>
  </si>
  <si>
    <t>이동속도 B</t>
  </si>
  <si>
    <t>스테이지</t>
  </si>
  <si>
    <t>잔해 제거하기</t>
  </si>
  <si>
    <t>6/10 – 방 수·연결 구조·지도 정보량이 난이도를 결정함</t>
  </si>
  <si>
    <t>비슷한 복장의 NPC가 있어 물건의 주인을 잘못 선택할 수 있음</t>
  </si>
  <si>
    <t>60초 이상 미발견 시 가장 가까운 미수거 대상 방향 표시</t>
  </si>
  <si>
    <t>가장 느린 시민 속도에 맞추고 위험 앞에서 집결 명령을 사용함</t>
  </si>
  <si>
    <t>UI 변화가 서서히 나타나 원인과 의미를 알아차리기 어려움</t>
  </si>
  <si>
    <t>영화관 출구 앞을 지나가는 편의점 물류 트럭을 화면 안에서 확인</t>
  </si>
  <si>
    <t>적의 시야와 공격 범위가 넓어 직선 이동만으로는 회피하기 어려움</t>
  </si>
  <si>
    <t>2/10 – 보고 항목 수·정보 분산 정도가 난이도를 결정함</t>
  </si>
  <si>
    <t>손전등과 안전한 발판을 확인하며 환영이 반복되는 계단를 통과함</t>
  </si>
  <si>
    <t>쓰레기가 넓은 구역과 가려진 틈에 흩어져 있어 남은 대상을 찾기 어려움</t>
  </si>
  <si>
    <t>4/10 – 맵 크기·갈림길 수·목적지 표식의 가시성이 난이도를 결정함</t>
  </si>
  <si>
    <t>동행 NPC가 장애물에 걸리거나 플레이어와 멀어지면 대피가 중단됨</t>
  </si>
  <si>
    <t>표지판·미니맵·NPC 이동 방향을 확인하며 편의점에서 다이소까지 이동함</t>
  </si>
  <si>
    <t>재난 문자와 주변 효과음이 동시에 출력되어 핵심 행동을 놓칠 수 있음</t>
  </si>
  <si>
    <t>4/10 – 검사 항목 수·오류 위치의 분산 정도가 난이도를 결정함</t>
  </si>
  <si>
    <t>안내에 따라 손을 올리고 재측정 절차를 완료해 선의 측정 장치를 확인함</t>
  </si>
  <si>
    <t>2/10 – 상품 후보 수·품목 유사도·구매 단계 수가 난이도를 결정함</t>
  </si>
  <si>
    <t>비슷한 오브젝트와 진열대가 많아 목표 대상을 한 번에 찾기 어려움</t>
  </si>
  <si>
    <t>갈림길과 주변 상호작용 오브젝트 때문에 목적지 방향을 놓칠 수 있음</t>
  </si>
  <si>
    <t>목표물이 작고 수거 가능한 쓰레기 사이에 섞여 있어 탐색 부담이 큼</t>
  </si>
  <si>
    <t>핵심 장면의 시선 유도와 짧은 자막을 통해 관계와 감정 변화를 이해함</t>
  </si>
  <si>
    <t>3/10 – 상품 후보 수·품목 유사도·구매 단계 수가 난이도를 결정함</t>
  </si>
  <si>
    <t>작은 단서가 쓰레기와 배경에 섞여 있어 일반 수거물로 오인할 수 있음</t>
  </si>
  <si>
    <t>동료가 담당하는 구역과 플레이어 구역이 겹치면 불필요한 이동이 발생함</t>
  </si>
  <si>
    <t>7/10 – 제한시간·안전 경로 폭·장애물 발생 주기가 난이도를 결정함</t>
  </si>
  <si>
    <t>표지판·미니맵·NPC 이동 방향을 확인하며 아파트에서 편의점까지 이동함</t>
  </si>
  <si>
    <t>짧은 연출 안에서 사건의 원인과 인물의 태도를 동시에 이해해야 함</t>
  </si>
  <si>
    <t>장치 반응과 안내 문구가 평소와 달라 오류인지 결과인지 판단하기 어려움</t>
  </si>
  <si>
    <t>표지판·미니맵·NPC 이동 방향을 확인하며 공원에서 집까지 이동함</t>
  </si>
  <si>
    <t>대상이 빠르게 이동하고 시민과 건물이 시야를 가려 추적이 끊길 수 있음</t>
  </si>
  <si>
    <t>2/10 – 대사 길이·핵심 정보의 명확성·선택지 수가 난이도를 결정함</t>
  </si>
  <si>
    <t>붕괴 경고 표시를 보고 붕괴되는 출입구의 열린 통로로 빠르게 이동함</t>
  </si>
  <si>
    <t>크레딧 사이의 주요 장면과 엔딩 크레딧를 확인하며 마지막까지 감상함</t>
  </si>
  <si>
    <t>구역별 표지와 상품 외형을 비교하며 공원 관리함의 집게와 봉투를 조사함</t>
  </si>
  <si>
    <t>혼란 속에서 신호를 보내는 한도윤에 관한 대화를 마지막 문장까지 진행</t>
  </si>
  <si>
    <t>7/10 – 적 감지 범위·순찰 주기·은폐물 간격이 난이도를 결정함</t>
  </si>
  <si>
    <t>3/10 – 대사 길이·핵심 정보의 명확성·선택지 수가 난이도를 결정함</t>
  </si>
  <si>
    <t>동행자 속도에 맞춰 이동하고 위험 구역 앞에서 부모와 동생를 기다림</t>
  </si>
  <si>
    <t>완료한 것처럼 보여도 남은 대상이나 오분류 항목이 존재할 수 있음</t>
  </si>
  <si>
    <t>3/10 – 관찰 대상 수·단서의 명확성·외형 유사도가 난이도를 결정함</t>
  </si>
  <si>
    <t>혼자 청소하는 이유와 도움 제안에 관한 대화를 마지막 문장까지 진행</t>
  </si>
  <si>
    <t>3/10 – 후보 오브젝트 수·외형 유사도·탐색 범위가 난이도를 결정함</t>
  </si>
  <si>
    <t>강조되는 핵심 단어와 NPC의 요구를 확인하며 대화를 끝까지 진행함</t>
  </si>
  <si>
    <t>호의처럼 보이는 제안 안에 이후 행동을 제한하는 조건이 포함되어 있음</t>
  </si>
  <si>
    <t>이전 상태와 비교하며 표정·UI 색상·독백 변화의 변화 단계를 확인함</t>
  </si>
  <si>
    <t>재입고 시간과 물류 트럭 정보에 관한 대화를 마지막 문장까지 진행</t>
  </si>
  <si>
    <t>표지판·미니맵·NPC 이동 방향을 확인하며 다이소에서 영화관까지 이동함</t>
  </si>
  <si>
    <t>여러 NPC가 동시에 진열대로 이동해 접근 경로와 상호작용 위치가 막힘</t>
  </si>
  <si>
    <t>신상 과자·헤어롤·팝콘 심부름에 관한 대화를 마지막 문장까지 진행</t>
  </si>
  <si>
    <t>2/10 – 맵 크기·갈림길 수·목적지 표식의 가시성이 난이도를 결정함</t>
  </si>
  <si>
    <t>조사 대상이 배경 오브젝트와 비슷해 상호작용 가능 여부를 놓칠 수 있음</t>
  </si>
  <si>
    <t>4/10 – 변화의 시각적 차이·설명 문구의 명확성이 난이도를 결정함</t>
  </si>
  <si>
    <t>표지판·미니맵·NPC 이동 방향을 확인하며 거실에서 현관문까지 이동함</t>
  </si>
  <si>
    <t>6분</t>
  </si>
  <si>
    <t>재미율</t>
  </si>
  <si>
    <t>3분</t>
  </si>
  <si>
    <t>1분</t>
  </si>
  <si>
    <t>a</t>
  </si>
  <si>
    <t>50초</t>
  </si>
  <si>
    <t>2분</t>
  </si>
  <si>
    <t>25초</t>
  </si>
  <si>
    <t>b</t>
  </si>
  <si>
    <t>30초</t>
  </si>
  <si>
    <t>-</t>
  </si>
  <si>
    <t>45초</t>
  </si>
  <si>
    <t>4분</t>
  </si>
  <si>
    <t>잠자기</t>
  </si>
  <si>
    <t>40초</t>
  </si>
  <si>
    <t>항목</t>
  </si>
  <si>
    <t>20초</t>
  </si>
  <si>
    <t>정수</t>
  </si>
  <si>
    <t>미션</t>
  </si>
  <si>
    <t>55초</t>
  </si>
  <si>
    <t>5분</t>
  </si>
  <si>
    <t>초/분</t>
  </si>
  <si>
    <t>35초</t>
  </si>
  <si>
    <t>챕터</t>
  </si>
  <si>
    <t>구간</t>
  </si>
  <si>
    <t>1분 40초</t>
  </si>
  <si>
    <t>빨래 개기</t>
  </si>
  <si>
    <t>1분 35초</t>
  </si>
  <si>
    <t>2분 20초</t>
  </si>
  <si>
    <t>5분 40초</t>
  </si>
  <si>
    <t>콘텐츠 수</t>
  </si>
  <si>
    <t>1분 10초</t>
  </si>
  <si>
    <t>최고 재미율</t>
  </si>
  <si>
    <t>실패 결과</t>
  </si>
  <si>
    <t>3분 40초</t>
  </si>
  <si>
    <t>플레이 목표</t>
  </si>
  <si>
    <t>1분 5초</t>
  </si>
  <si>
    <t>체감 난이도</t>
  </si>
  <si>
    <t>1~5 상대값</t>
  </si>
  <si>
    <t>심층부 도착</t>
  </si>
  <si>
    <t>공략 방법</t>
  </si>
  <si>
    <t>수행 과제 수</t>
  </si>
  <si>
    <t>평균 재미율</t>
  </si>
  <si>
    <t>총 콘텐츠 수</t>
  </si>
  <si>
    <t>구체적 서술</t>
  </si>
  <si>
    <t>2분 40초</t>
  </si>
  <si>
    <t>3분 20초</t>
  </si>
  <si>
    <t>문서 범위</t>
  </si>
  <si>
    <t>목적지 도착</t>
  </si>
  <si>
    <t>핵심 대사 자막을 화면에 오래 유지</t>
  </si>
  <si>
    <t>집으로 돌아가는 길에 공원 진입하기</t>
  </si>
  <si>
    <t>모든 생존 파티원이 출구 도착</t>
  </si>
  <si>
    <t>괴물형 보스 1페이즈 공략하기</t>
  </si>
  <si>
    <t>접근 실패 후 안전 지점 표시</t>
  </si>
  <si>
    <t>잠자기 확인 후 다음 장면 전환</t>
  </si>
  <si>
    <t>임시 대피소의 도착 트리거에 진입</t>
  </si>
  <si>
    <t>미수집 단서가 있는 방에 지도 표시</t>
  </si>
  <si>
    <t>잔여 수량 0 및 오류 항목 0</t>
  </si>
  <si>
    <t>인간형 보스 2페이즈 공략하기</t>
  </si>
  <si>
    <t>실패 후 모순되는 대사의 일부 강조</t>
  </si>
  <si>
    <t>오프닝 재생이 끝나면 자동 완료</t>
  </si>
  <si>
    <t>구체적 판정 조건 또는 실패 없음</t>
  </si>
  <si>
    <t>필수 물품 누락 시 용도 힌트 표시</t>
  </si>
  <si>
    <t>공원에서 집의 도착 트리거에 진입</t>
  </si>
  <si>
    <t>실패 후 충격파 예고 시간 증가</t>
  </si>
  <si>
    <t>잔디 구역 쓰레기 8개 전부 수거</t>
  </si>
  <si>
    <t>입력하지 않은 키 안내를 계속 유지</t>
  </si>
  <si>
    <t>구간별 체크포인트와 안전 발판 강조</t>
  </si>
  <si>
    <t>첫 상호작용 대상에 반짝임 표시</t>
  </si>
  <si>
    <t>호화 숙소와 전용 지원 제안 받기</t>
  </si>
  <si>
    <t>Y
레벨업을 위한 필요 경험치</t>
  </si>
  <si>
    <t>일시정지·배속·다시 보기 기능 제공</t>
  </si>
  <si>
    <t>요청 품목에 작은 임무 아이콘 표시</t>
  </si>
  <si>
    <t>3회 실패 후 공격 예고 시간 증가</t>
  </si>
  <si>
    <t>산책로 쓰레기 7개 전부 수거</t>
  </si>
  <si>
    <t>가족들 대피시키기</t>
  </si>
  <si>
    <t>재활용품 분류하기</t>
  </si>
  <si>
    <t>분리수거 완료하기</t>
  </si>
  <si>
    <t>집으로 귀가하기</t>
  </si>
  <si>
    <t>일반쓰레기 분류하기</t>
  </si>
  <si>
    <t>남은 쓰레기 확인하기</t>
  </si>
  <si>
    <t>이웃 주민 구조하기</t>
  </si>
  <si>
    <t>비상 물품 챙기기</t>
  </si>
  <si>
    <t>우정 반지 찾기</t>
  </si>
  <si>
    <t>균열 발생을 목격하기</t>
  </si>
  <si>
    <t>시민 대피 유도하기</t>
  </si>
  <si>
    <t>다음 출동 준비하기</t>
  </si>
  <si>
    <t>폐교 정문에 도착하기</t>
  </si>
  <si>
    <t>폐교 조사 명령 받기</t>
  </si>
  <si>
    <t>영웅화 보도 확인하기</t>
  </si>
  <si>
    <t>임시 대피소 도착하기</t>
  </si>
  <si>
    <t>한도윤과 합류하기</t>
  </si>
  <si>
    <t>선의 측정 받기</t>
  </si>
  <si>
    <t>선의관리국 안내 듣기</t>
  </si>
  <si>
    <t>조사 장비 수령하기</t>
  </si>
  <si>
    <t>고립 시민 찾기</t>
  </si>
  <si>
    <t>강당에 진입하기</t>
  </si>
  <si>
    <t>친구에게 다가가기</t>
  </si>
  <si>
    <t>강당 열쇠 찾기</t>
  </si>
  <si>
    <t>정문 봉인 해제하기</t>
  </si>
  <si>
    <t>친구를 포옹하기</t>
  </si>
  <si>
    <t>환영체 회피하기</t>
  </si>
  <si>
    <t>폐교에서 탈출하기</t>
  </si>
  <si>
    <t>본관 1층 탐색하기</t>
  </si>
  <si>
    <t>아군 환영 구분하기</t>
  </si>
  <si>
    <t>구체적 플레이 절차</t>
  </si>
  <si>
    <t>1부터 연속 넘버링</t>
  </si>
  <si>
    <t>최고 방해요인 난이도</t>
  </si>
  <si>
    <t>Q4 폐교 보스</t>
  </si>
  <si>
    <t>헤어롤 구매하기</t>
  </si>
  <si>
    <t>우리 게임 적용 기준</t>
  </si>
  <si>
    <t>평균 조작난이도</t>
  </si>
  <si>
    <t>필수 기억 전부 회수</t>
  </si>
  <si>
    <t>필요한 경우 작성</t>
  </si>
  <si>
    <t>최종 선택지 확정</t>
  </si>
  <si>
    <t>구체적 판정 조건</t>
  </si>
  <si>
    <t>Q2 공원 청소</t>
  </si>
  <si>
    <t>Q1 동생 심부름</t>
  </si>
  <si>
    <t>영화관으로 이동하기</t>
  </si>
  <si>
    <t>집 밖으로 나가기</t>
  </si>
  <si>
    <t>난이도 조절 요소</t>
  </si>
  <si>
    <t>목표 달성 조건</t>
  </si>
  <si>
    <t>최소 50개 이상</t>
  </si>
  <si>
    <t>현관으로 이동하기</t>
  </si>
  <si>
    <t>콘텐츠 진행 순서</t>
  </si>
  <si>
    <t>이동 조작 안내 확인</t>
  </si>
  <si>
    <t>다이소로 이동하기</t>
  </si>
  <si>
    <t>헤어롤 진열대 찾기</t>
  </si>
  <si>
    <t>5 | 균열의 진실</t>
  </si>
  <si>
    <t>최고 조작난이도</t>
  </si>
  <si>
    <t>누적 플레이 시간</t>
  </si>
  <si>
    <t>편의점으로 이동하기</t>
  </si>
  <si>
    <t>품절 안내 조사하기</t>
  </si>
  <si>
    <t>1 | 동생 심부름</t>
  </si>
  <si>
    <t>예상 소요 시간</t>
  </si>
  <si>
    <t>지하철역으로 이동하기</t>
  </si>
  <si>
    <t>1-C | 다이소</t>
  </si>
  <si>
    <t>중고 거래 완료하기</t>
  </si>
  <si>
    <t>1-F | 지하철역</t>
  </si>
  <si>
    <t>1-B | 편의점</t>
  </si>
  <si>
    <t>2-B | 분리수거장</t>
  </si>
  <si>
    <t>신상 과자 구매하기</t>
  </si>
  <si>
    <t>필수 부탁 전부 완료</t>
  </si>
  <si>
    <t>중고 거래자 찾기</t>
  </si>
  <si>
    <t>3 | 재난 대응</t>
  </si>
  <si>
    <t>동생 연락 받기</t>
  </si>
  <si>
    <t>2 | 공원 청소</t>
  </si>
  <si>
    <t>4 | 폐교 탐색</t>
  </si>
  <si>
    <t>1-D | 영화관</t>
  </si>
  <si>
    <t>임무 수락 선택 완료</t>
  </si>
  <si>
    <t>측정 절차 모두 완료</t>
  </si>
  <si>
    <t>선택지 1개 확정</t>
  </si>
  <si>
    <t>사건 연출 종료</t>
  </si>
  <si>
    <t>모든 봉인 조건 해제</t>
  </si>
  <si>
    <t>제안 대화 종료</t>
  </si>
  <si>
    <t>필수 단서 모두 조사</t>
  </si>
  <si>
    <t>난이도 보정 컨텐츠</t>
  </si>
  <si>
    <t>포옹 상호작용 완료</t>
  </si>
  <si>
    <t>최종 브리핑 종료</t>
  </si>
  <si>
    <t>방해요인의 난이도</t>
  </si>
  <si>
    <t>진짜 동료 전원 선택</t>
  </si>
  <si>
    <t>명령 브리핑 종료</t>
  </si>
  <si>
    <t>현관문 조사 완료</t>
  </si>
  <si>
    <t>예상 플레이타임</t>
  </si>
  <si>
    <t>컨텐츠 제시순서</t>
  </si>
  <si>
    <t>필수 자원 전부 수집</t>
  </si>
  <si>
    <t>압박 대화 전부 확인</t>
  </si>
  <si>
    <t>정답 순서 완성</t>
  </si>
  <si>
    <t>2-C | 균열 발생</t>
  </si>
  <si>
    <t>1-G | 공원 진입</t>
  </si>
  <si>
    <t>2-D | 귀가·밤</t>
  </si>
  <si>
    <t>3-B | 대피 경로</t>
  </si>
  <si>
    <t>4-A | 출동 준비</t>
  </si>
  <si>
    <t>4-B | 폐교 정문</t>
  </si>
  <si>
    <t>첫 쓰레기 줍기</t>
  </si>
  <si>
    <t>청소 도구 찾기</t>
  </si>
  <si>
    <t>한도윤과 대화하기</t>
  </si>
  <si>
    <t>5-B | 균열 내부</t>
  </si>
  <si>
    <t>조건 미달 시 완료 상호작용이 비활성화됨</t>
  </si>
  <si>
    <t>방문한 문과 미방문 문을 아이콘으로 구분</t>
  </si>
  <si>
    <t>필수 부탁을 포기하면 해당 구간 보상 감소</t>
  </si>
  <si>
    <t>단서를 버리려 하면 경고 후 행동 취소</t>
  </si>
  <si>
    <t>상호작용 가능 범위를 넓히고 아이콘 표시</t>
  </si>
  <si>
    <t>다이소에서 영화관의 도착 트리거에 진입</t>
  </si>
  <si>
    <t>소파 옆 주인공에서 조사 입력 1회 완료</t>
  </si>
  <si>
    <t>공원에서 분리수거장의 도착 트리거에 진입</t>
  </si>
  <si>
    <t>거실에서 현관문의 도착 트리거에 진입</t>
  </si>
  <si>
    <t>허용 거리 안에서 추적 종료 지점 도착</t>
  </si>
  <si>
    <t>헤어롤 1개 구매 후 인벤토리에 등록</t>
  </si>
  <si>
    <t>편의점에서 다이소의 도착 트리거에 진입</t>
  </si>
  <si>
    <t>고립 시민 5명 전원이 안전 지점 도착</t>
  </si>
  <si>
    <t>오답 누적 시 퍼즐 단계 일부 초기화</t>
  </si>
  <si>
    <t>신상 과자 1봉 구매 후 인벤토리에 등록</t>
  </si>
  <si>
    <t>재시도 시 경쟁 NPC 수 1명 감소</t>
  </si>
  <si>
    <t>잘못된 품목 구매 시 다시 선택해야 함</t>
  </si>
  <si>
    <t>플레이어 담당 구역의 목표 수량 달성</t>
  </si>
  <si>
    <t>벤치와 가려진 틈의 쓰레기 6개 전부 수거</t>
  </si>
  <si>
    <t>필수 구역과 상호작용 대상 모두 확인</t>
  </si>
  <si>
    <t>대피소에서 붕괴 지역의 도착 트리거에 진입</t>
  </si>
  <si>
    <t>아파트에서 편의점의 도착 트리거에 진입</t>
  </si>
  <si>
    <t>탐지기 반응 범위를 넓히고 방향 표시 제공</t>
  </si>
  <si>
    <t>대상을 놓치면 짧은 연출이 다시 재생됨</t>
  </si>
  <si>
    <t>생활용품 코너의 헤어롤 발견 및 조사 완료</t>
  </si>
  <si>
    <t>단서 부족 시 다음 퍼즐 활성화 불가</t>
  </si>
  <si>
    <t>중단 게이지 최대 시 복원 단계 재시작</t>
  </si>
  <si>
    <t>핵심 오브젝트에 카메라 줌과 효과음 적용</t>
  </si>
  <si>
    <t>파티 전멸 시 2페이즈 시작 지점 재시작</t>
  </si>
  <si>
    <t>제한시간 종료 또는 3회 피격 시 재시작</t>
  </si>
  <si>
    <t>중간 이탈 시 측정 단계 처음부터 재진행</t>
  </si>
  <si>
    <t>실패 후 모순 단서 노출 시간을 늘림</t>
  </si>
  <si>
    <t>이 표에서 가장 핵심적인 항목으로 작성</t>
  </si>
  <si>
    <t>죄책감 최대치 또는 체력 0 시 재시작</t>
  </si>
  <si>
    <t>환영 선택 시 전투 또는 체력 감소 발생</t>
  </si>
  <si>
    <t>불안정 수치 최대 시 동기화 단계 재시작</t>
  </si>
  <si>
    <t>충격파 5회 피격 또는 체력 0 시 재시작</t>
  </si>
  <si>
    <t>공격 예고 시간을 늘리고 안전 지점 표시</t>
  </si>
  <si>
    <t>반복 실패 시 회복 아이템 1개 추가</t>
  </si>
  <si>
    <t>현재 문서에는 총 119개 콘텐츠를 기록</t>
  </si>
  <si>
    <t>제한시간 종료 또는 파티원 전멸 시 재시작</t>
  </si>
  <si>
    <t>인물별 이름과 이전 선택 결과를 함께 표시</t>
  </si>
  <si>
    <t>게임 시작부터 엔딩까지 모든 콘텐츠를 작성</t>
  </si>
  <si>
    <t>침대를 조사하고 휴식 확인 선택지를 선택함</t>
  </si>
  <si>
    <t>필수 장비가 포함된 상태로 준비 완료</t>
  </si>
  <si>
    <t>잔류 공격에 4회 피격 시 구간 재시작</t>
  </si>
  <si>
    <t>필수 물품이 포함된 상태로 준비 완료</t>
  </si>
  <si>
    <t>대화 사이에 독백과 상태 확인 시간을 제공</t>
  </si>
  <si>
    <t>보스 체력 0 또는 인간형 상태 해제</t>
  </si>
  <si>
    <t>주인공 체력 0 시 전투 시작 지점 재시작</t>
  </si>
  <si>
    <t>오답 3회 후 사용하지 않은 단서 강조</t>
  </si>
  <si>
    <t>정체 45초 후 실제 방향의 음량을 강화</t>
  </si>
  <si>
    <t>공격 선택 시 다른 결말 분기로 전환</t>
  </si>
  <si>
    <t>왜곡 구역 낙하 3회 시 체크포인트 재시작</t>
  </si>
  <si>
    <t>오답 후 구분 가능한 행동 단서 1개 표시</t>
  </si>
  <si>
    <t>선택 전 저장 및 주요 결과 요약 제공</t>
  </si>
  <si>
    <t>실패 후 붕괴 주기 완화 및 우회로 표시</t>
  </si>
  <si>
    <t>남은 자원의 대략적 방향과 거리 표시</t>
  </si>
  <si>
    <t>레벨 업을 위해 잡아야하는 몬스터 수</t>
  </si>
  <si>
    <t>의뢰 NPC 머리 위에 약한 대화 아이콘 표시</t>
  </si>
  <si>
    <t>편의점에서 지하철역 개찰구의 도착 트리거에 진입</t>
  </si>
  <si>
    <t>미니맵에 담당 구역을 서로 다른 테두리로 표시</t>
  </si>
  <si>
    <t>동생이 부탁한 중고 물품 구매 후 인벤토리에 등록</t>
  </si>
  <si>
    <t>필수 수량을 채우지 못하면 다음 구역 진행 불가</t>
  </si>
  <si>
    <t>오답 NPC 선택 시 전달이 취소되고 다시 선택</t>
  </si>
  <si>
    <t>재고가 남아 있을 때 목표 상품 상호작용 성공</t>
  </si>
  <si>
    <t>반복 실패 시 체크포인트 세분화와 회복 자원 추가</t>
  </si>
  <si>
    <t>대상과 6초 이상 거리 초과 시 추격 구간 재시작</t>
  </si>
  <si>
    <t>부모와 동생에 관한 대화를 마지막 문장까지 진행</t>
  </si>
  <si>
    <t>공원 관리함의 집게와 봉투 발견 및 조사 완료</t>
  </si>
  <si>
    <t>지하철역에서 축제 종료 공원의 도착 트리거에 진입</t>
  </si>
  <si>
    <t>선택 직전 핵심 상황을 한 문장으로 다시 표시</t>
  </si>
  <si>
    <t>비어 있는 진열칸과 손글씨 품절 안내 조사 완료</t>
  </si>
  <si>
    <t>일정 시간 정체 시 목적지 방향 화살표 표시</t>
  </si>
  <si>
    <t>미완료 구역과 오류 수량을 별도 UI로 표시</t>
  </si>
  <si>
    <t>쓰레기 사이에 섞인 작은 반지 발견 후 획득</t>
  </si>
  <si>
    <t>단서에 일반 쓰레기와 다른 약한 빛 효과 적용</t>
  </si>
  <si>
    <t>대상 등장 직전 효과음과 화면 가장자리 표시</t>
  </si>
  <si>
    <t>오분류 5회 누적 시 해당 분류 단계 재시작</t>
  </si>
  <si>
    <t>재고가 모두 소진되면 직전 체크포인트에서 재시도</t>
  </si>
  <si>
    <t>동생이 지정한 팝콘 구매 후 인벤토리에 등록</t>
  </si>
  <si>
    <t>동행 NPC가 멀어지면 화면 가장자리에 방향 표시</t>
  </si>
  <si>
    <t>구매 대상·수량·결제 순서를 잘못 선택할 수 있음</t>
  </si>
  <si>
    <t>편의점 안 신상 과자 진열대 발견 및 조사 완료</t>
  </si>
  <si>
    <t>필수 대상 위에 짧은 시선 유도 아이콘 표시</t>
  </si>
  <si>
    <t>문자를 닫은 뒤 화면에 대피 목표를 고정 표시</t>
  </si>
  <si>
    <t>플라스틱·캔·종이 10개 전부 올바르게 분류</t>
  </si>
  <si>
    <t>도시에서 대형 균열 중심의 도착 트리거에 진입</t>
  </si>
  <si>
    <t>수거 대상 반짝임과 상호작용 범위를 크게 설정</t>
  </si>
  <si>
    <t>오답 선택 누적 시 죄책감 수치와 피격 위험 증가</t>
  </si>
  <si>
    <t>발각되지 않거나 추적을 끊고 종료 지점 도착</t>
  </si>
  <si>
    <t>낙하 또는 장애물 피격 3회 시 구간 재시작</t>
  </si>
  <si>
    <t>위험 지역 진입 후 체력 0 시 체크포인트 재시작</t>
  </si>
  <si>
    <t>기억 장면마다 시간 표식과 인물 관계 아이콘 표시</t>
  </si>
  <si>
    <t>첫 변화 발생 시 이전·현재 상태 비교 창 제공</t>
  </si>
  <si>
    <t>주인공 또는 필수 동료 전멸 시 페이즈 재시작</t>
  </si>
  <si>
    <t>체력 0 또는 자아 마모도 최대 시 전투 재시작</t>
  </si>
  <si>
    <t>잘못된 환영 선택 누적 시 자아 마모도 증가</t>
  </si>
  <si>
    <t>아파트에서 임시 안전 구역의 도착 트리거에 진입</t>
  </si>
  <si>
    <t>핵심 사실을 단계별로 요약해 기록 메뉴에 저장</t>
  </si>
  <si>
    <t>비슷한 위치의 부탁을 한 묶음으로 지도에 표시</t>
  </si>
  <si>
    <t>첫 패턴은 느리게 재생하고 회복 아이템 자동 지급</t>
  </si>
  <si>
    <t>오답 2회 후 확인하지 않은 단서 목록 표시</t>
  </si>
  <si>
    <t>실패 후 목표 범위 확대와 중간 체크포인트 제공</t>
  </si>
  <si>
    <t>필수 물품이 없으면 확인 단계에서 진행 불가</t>
  </si>
  <si>
    <t>낙하 또는 제한시간 종료 시 직전 지점 재시작</t>
  </si>
  <si>
    <t>입력 타이밍 범위를 넓히고 단계 체크포인트 제공</t>
  </si>
  <si>
    <t>필수 수량 미달 시 심층부 통로 활성화 불가</t>
  </si>
  <si>
    <t>시스템이 완료를 판정할 수 있는 명확한 조건</t>
  </si>
  <si>
    <t>남은 기억 방향과 안전 경로를 단계적으로 표시</t>
  </si>
  <si>
    <t>구조 대상 체력이 0이 되면 체크포인트 재시작</t>
  </si>
  <si>
    <t>목표 수량 달성, 트리거 진입, 보스 체력 0 등</t>
  </si>
  <si>
    <t>안전한 제거 순서를 색이 아닌 아이콘으로 표시</t>
  </si>
  <si>
    <t>출구가 무너지고 안전 경로가 짧은 시간마다 바뀜</t>
  </si>
  <si>
    <t>대화 종료 후 핵심 내용을 화면 한쪽에 요약 표시</t>
  </si>
  <si>
    <t>누적 수치가 높을 때 감소 가능한 선택을 강조</t>
  </si>
  <si>
    <t>명령의 공개 정보와 숨겨진 조건을 구분해 표시</t>
  </si>
  <si>
    <t>시민 1명이라도 체력 0이 되면 체크포인트 재시작</t>
  </si>
  <si>
    <t>잔해마다 필요한 조작과 안전한 제거 순서가 다름</t>
  </si>
  <si>
    <t>아이가 쓰레기에 걸려 넘어질 뻔한 장면 목격하기</t>
  </si>
  <si>
    <t>자아 마모도 최대 시 직전 체크포인트 재시작</t>
  </si>
  <si>
    <t>1 – 연출 길이와 정보량이 난이도를 결정함</t>
  </si>
  <si>
    <t>가짜 경로 끝에 도달하면 추가 환영 전투 발생</t>
  </si>
  <si>
    <t>스테이지 점수 산정 기준</t>
    <phoneticPr fontId="11" type="noConversion"/>
  </si>
  <si>
    <t>S (100%)</t>
    <phoneticPr fontId="11" type="noConversion"/>
  </si>
  <si>
    <t>A (80%)</t>
    <phoneticPr fontId="11" type="noConversion"/>
  </si>
  <si>
    <t>B (60%)</t>
    <phoneticPr fontId="11" type="noConversion"/>
  </si>
  <si>
    <t>C (50%)</t>
    <phoneticPr fontId="11" type="noConversion"/>
  </si>
  <si>
    <t>스테이지 1회 클리어 시간</t>
    <phoneticPr fontId="11" type="noConversion"/>
  </si>
  <si>
    <t>라이트 유저</t>
    <phoneticPr fontId="11" type="noConversion"/>
  </si>
  <si>
    <t>미들 유저</t>
    <phoneticPr fontId="11" type="noConversion"/>
  </si>
  <si>
    <t>헤비 유저</t>
    <phoneticPr fontId="11" type="noConversion"/>
  </si>
  <si>
    <t>경험치 그래프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</si>
</sst>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"/>
    <numFmt numFmtId="177" formatCode="[h]&quot;시간 &quot;m&quot;분 &quot;s&quot;초&quot;"/>
    <numFmt numFmtId="178" formatCode="[m]&quot;분 &quot;s&quot;초&quot;"/>
  </numFmts>
  <fonts count="17">
    <font>
      <sz val="11"/>
      <color rgb="FF000000"/>
      <name val="Carlito"/>
    </font>
    <font>
      <sz val="11"/>
      <color rgb="FF000000"/>
      <name val="Carlito"/>
    </font>
    <font>
      <b/>
      <sz val="10"/>
      <color rgb="FFFFFFFF"/>
      <name val="Carlito"/>
    </font>
    <font>
      <b/>
      <sz val="11"/>
      <color rgb="FF172B4D"/>
      <name val="Carlito"/>
    </font>
    <font>
      <b/>
      <sz val="16"/>
      <color rgb="FF000000"/>
      <name val="Carlito"/>
    </font>
    <font>
      <sz val="10"/>
      <color rgb="FF000000"/>
      <name val="Carlito"/>
    </font>
    <font>
      <b/>
      <sz val="11"/>
      <color rgb="FF000000"/>
      <name val="Carlito"/>
    </font>
    <font>
      <b/>
      <sz val="20"/>
      <color rgb="FF1F1F1F"/>
      <name val="Carlito"/>
    </font>
    <font>
      <sz val="10"/>
      <color rgb="FF666666"/>
      <name val="Carlito"/>
    </font>
    <font>
      <sz val="10"/>
      <color rgb="FF404040"/>
      <name val="Carlito"/>
    </font>
    <font>
      <b/>
      <sz val="15"/>
      <color rgb="FFFFFFFF"/>
      <name val="Carlito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172B4D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DE5FF"/>
        <bgColor indexed="64"/>
      </patternFill>
    </fill>
    <fill>
      <patternFill patternType="solid">
        <fgColor rgb="FFD7FFCD"/>
        <bgColor indexed="64"/>
      </patternFill>
    </fill>
    <fill>
      <patternFill patternType="solid">
        <fgColor rgb="FFFFFBCD"/>
        <bgColor indexed="64"/>
      </patternFill>
    </fill>
    <fill>
      <patternFill patternType="solid">
        <fgColor rgb="FFFFDBD5"/>
        <bgColor indexed="64"/>
      </patternFill>
    </fill>
    <fill>
      <patternFill patternType="solid">
        <fgColor rgb="FFF8DDFF"/>
        <bgColor indexed="64"/>
      </patternFill>
    </fill>
    <fill>
      <patternFill patternType="solid">
        <fgColor rgb="FF24324A"/>
        <bgColor indexed="64"/>
      </patternFill>
    </fill>
  </fills>
  <borders count="29">
    <border>
      <left/>
      <right/>
      <top/>
      <bottom/>
      <diagonal/>
    </border>
    <border>
      <left style="thin">
        <color rgb="FF172B4D"/>
      </left>
      <right/>
      <top style="thin">
        <color rgb="FF172B4D"/>
      </top>
      <bottom style="thin">
        <color rgb="FF172B4D"/>
      </bottom>
      <diagonal/>
    </border>
    <border>
      <left/>
      <right/>
      <top style="thin">
        <color rgb="FF172B4D"/>
      </top>
      <bottom style="thin">
        <color rgb="FF172B4D"/>
      </bottom>
      <diagonal/>
    </border>
    <border>
      <left/>
      <right style="thin">
        <color rgb="FF172B4D"/>
      </right>
      <top style="thin">
        <color rgb="FF172B4D"/>
      </top>
      <bottom style="thin">
        <color rgb="FF172B4D"/>
      </bottom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 style="thin">
        <color rgb="FF7F8FA6"/>
      </left>
      <right/>
      <top style="thin">
        <color rgb="FF7F8FA6"/>
      </top>
      <bottom style="thin">
        <color rgb="FF7F8FA6"/>
      </bottom>
      <diagonal/>
    </border>
    <border>
      <left/>
      <right/>
      <top style="thin">
        <color rgb="FF7F8FA6"/>
      </top>
      <bottom style="thin">
        <color rgb="FF7F8FA6"/>
      </bottom>
      <diagonal/>
    </border>
    <border>
      <left/>
      <right style="thin">
        <color rgb="FF7F8FA6"/>
      </right>
      <top style="thin">
        <color rgb="FF7F8FA6"/>
      </top>
      <bottom style="thin">
        <color rgb="FF7F8FA6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172B4D"/>
      </top>
      <bottom/>
      <diagonal/>
    </border>
    <border>
      <left/>
      <right/>
      <top style="thin">
        <color rgb="FF172B4D"/>
      </top>
      <bottom/>
      <diagonal/>
    </border>
    <border>
      <left style="thin">
        <color rgb="FF172B4D"/>
      </left>
      <right/>
      <top style="thin">
        <color rgb="FF172B4D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>
      <alignment vertical="center"/>
    </xf>
  </cellStyleXfs>
  <cellXfs count="80">
    <xf numFmtId="0" fontId="0" fillId="0" borderId="0" xfId="0" applyNumberFormat="1" applyAlignment="1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vertical="top" wrapText="1"/>
    </xf>
    <xf numFmtId="0" fontId="0" fillId="0" borderId="4" xfId="1" applyNumberFormat="1" applyFont="1" applyFill="1" applyBorder="1" applyAlignment="1">
      <alignment vertical="top" wrapText="1"/>
    </xf>
    <xf numFmtId="0" fontId="0" fillId="0" borderId="5" xfId="1" applyNumberFormat="1" applyFont="1" applyFill="1" applyBorder="1" applyAlignment="1">
      <alignment vertical="top" wrapText="1"/>
    </xf>
    <xf numFmtId="0" fontId="0" fillId="0" borderId="6" xfId="1" applyNumberFormat="1" applyFont="1" applyFill="1" applyBorder="1" applyAlignment="1">
      <alignment vertical="top" wrapText="1"/>
    </xf>
    <xf numFmtId="0" fontId="0" fillId="0" borderId="7" xfId="1" applyNumberFormat="1" applyFont="1" applyFill="1" applyBorder="1" applyAlignment="1">
      <alignment vertical="top" wrapText="1"/>
    </xf>
    <xf numFmtId="0" fontId="0" fillId="0" borderId="8" xfId="1" applyNumberFormat="1" applyFont="1" applyFill="1" applyBorder="1" applyAlignment="1">
      <alignment vertical="top" wrapText="1"/>
    </xf>
    <xf numFmtId="0" fontId="0" fillId="0" borderId="9" xfId="1" applyNumberFormat="1" applyFont="1" applyFill="1" applyBorder="1" applyAlignment="1">
      <alignment vertical="top" wrapText="1"/>
    </xf>
    <xf numFmtId="0" fontId="0" fillId="0" borderId="10" xfId="1" applyNumberFormat="1" applyFont="1" applyFill="1" applyBorder="1" applyAlignment="1">
      <alignment vertical="top" wrapText="1"/>
    </xf>
    <xf numFmtId="0" fontId="0" fillId="0" borderId="11" xfId="1" applyNumberFormat="1" applyFont="1" applyFill="1" applyBorder="1" applyAlignment="1">
      <alignment vertical="top" wrapText="1"/>
    </xf>
    <xf numFmtId="0" fontId="3" fillId="3" borderId="12" xfId="1" applyNumberFormat="1" applyFont="1" applyFill="1" applyBorder="1" applyAlignment="1">
      <alignment horizontal="center" vertical="center"/>
    </xf>
    <xf numFmtId="0" fontId="3" fillId="3" borderId="13" xfId="1" applyNumberFormat="1" applyFont="1" applyFill="1" applyBorder="1" applyAlignment="1">
      <alignment horizontal="center" vertical="center"/>
    </xf>
    <xf numFmtId="0" fontId="3" fillId="3" borderId="14" xfId="1" applyNumberFormat="1" applyFont="1" applyFill="1" applyBorder="1" applyAlignment="1">
      <alignment horizontal="center" vertical="center"/>
    </xf>
    <xf numFmtId="176" fontId="3" fillId="3" borderId="13" xfId="1" applyNumberFormat="1" applyFont="1" applyFill="1" applyBorder="1" applyAlignment="1">
      <alignment horizontal="center" vertical="center"/>
    </xf>
    <xf numFmtId="0" fontId="0" fillId="0" borderId="4" xfId="1" applyNumberFormat="1" applyFont="1" applyFill="1" applyBorder="1"/>
    <xf numFmtId="0" fontId="0" fillId="0" borderId="5" xfId="1" applyNumberFormat="1" applyFont="1" applyFill="1" applyBorder="1"/>
    <xf numFmtId="0" fontId="0" fillId="0" borderId="6" xfId="1" applyNumberFormat="1" applyFont="1" applyFill="1" applyBorder="1"/>
    <xf numFmtId="0" fontId="0" fillId="0" borderId="7" xfId="1" applyNumberFormat="1" applyFont="1" applyFill="1" applyBorder="1"/>
    <xf numFmtId="0" fontId="0" fillId="0" borderId="0" xfId="1" applyNumberFormat="1" applyFont="1" applyFill="1" applyBorder="1"/>
    <xf numFmtId="0" fontId="0" fillId="0" borderId="8" xfId="1" applyNumberFormat="1" applyFont="1" applyFill="1" applyBorder="1"/>
    <xf numFmtId="0" fontId="0" fillId="0" borderId="9" xfId="1" applyNumberFormat="1" applyFont="1" applyFill="1" applyBorder="1"/>
    <xf numFmtId="0" fontId="0" fillId="0" borderId="10" xfId="1" applyNumberFormat="1" applyFont="1" applyFill="1" applyBorder="1"/>
    <xf numFmtId="0" fontId="0" fillId="0" borderId="11" xfId="1" applyNumberFormat="1" applyFont="1" applyFill="1" applyBorder="1"/>
    <xf numFmtId="176" fontId="0" fillId="0" borderId="5" xfId="1" applyNumberFormat="1" applyFont="1" applyFill="1" applyBorder="1"/>
    <xf numFmtId="176" fontId="0" fillId="0" borderId="0" xfId="1" applyNumberFormat="1" applyFont="1" applyFill="1" applyBorder="1"/>
    <xf numFmtId="176" fontId="0" fillId="0" borderId="10" xfId="1" applyNumberFormat="1" applyFont="1" applyFill="1" applyBorder="1"/>
    <xf numFmtId="0" fontId="4" fillId="4" borderId="0" xfId="2" applyNumberFormat="1" applyFont="1" applyFill="1" applyAlignment="1"/>
    <xf numFmtId="0" fontId="1" fillId="0" borderId="0" xfId="2" applyNumberFormat="1" applyAlignment="1"/>
    <xf numFmtId="0" fontId="5" fillId="4" borderId="0" xfId="2" applyNumberFormat="1" applyFont="1" applyFill="1" applyAlignment="1">
      <alignment wrapText="1"/>
    </xf>
    <xf numFmtId="0" fontId="6" fillId="0" borderId="0" xfId="2" applyNumberFormat="1" applyFont="1" applyAlignment="1"/>
    <xf numFmtId="0" fontId="12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left" vertical="center"/>
    </xf>
    <xf numFmtId="0" fontId="13" fillId="2" borderId="19" xfId="1" applyNumberFormat="1" applyFont="1" applyFill="1" applyBorder="1" applyAlignment="1">
      <alignment horizontal="center" vertical="center" wrapText="1"/>
    </xf>
    <xf numFmtId="0" fontId="13" fillId="2" borderId="20" xfId="1" applyNumberFormat="1" applyFont="1" applyFill="1" applyBorder="1" applyAlignment="1">
      <alignment horizontal="center" vertical="center" wrapText="1"/>
    </xf>
    <xf numFmtId="0" fontId="13" fillId="2" borderId="21" xfId="1" applyNumberFormat="1" applyFont="1" applyFill="1" applyBorder="1" applyAlignment="1">
      <alignment horizontal="center" vertical="center" wrapText="1"/>
    </xf>
    <xf numFmtId="33" fontId="13" fillId="2" borderId="15" xfId="1" applyNumberFormat="1" applyFont="1" applyFill="1" applyBorder="1" applyAlignment="1">
      <alignment horizontal="center" vertical="center" wrapText="1"/>
    </xf>
    <xf numFmtId="0" fontId="13" fillId="2" borderId="15" xfId="1" applyNumberFormat="1" applyFont="1" applyFill="1" applyBorder="1" applyAlignment="1">
      <alignment horizontal="center" vertical="center" wrapText="1"/>
    </xf>
    <xf numFmtId="0" fontId="13" fillId="2" borderId="0" xfId="1" applyNumberFormat="1" applyFont="1" applyFill="1" applyBorder="1" applyAlignment="1">
      <alignment horizontal="center" vertical="center" wrapText="1"/>
    </xf>
    <xf numFmtId="0" fontId="13" fillId="2" borderId="26" xfId="1" applyNumberFormat="1" applyFont="1" applyFill="1" applyBorder="1" applyAlignment="1">
      <alignment horizontal="center" vertical="center" wrapText="1"/>
    </xf>
    <xf numFmtId="0" fontId="13" fillId="2" borderId="22" xfId="1" applyNumberFormat="1" applyFont="1" applyFill="1" applyBorder="1" applyAlignment="1">
      <alignment horizontal="center" vertical="center" wrapText="1"/>
    </xf>
    <xf numFmtId="0" fontId="12" fillId="5" borderId="17" xfId="1" applyNumberFormat="1" applyFont="1" applyFill="1" applyBorder="1" applyAlignment="1">
      <alignment horizontal="center" vertical="center" wrapText="1"/>
    </xf>
    <xf numFmtId="0" fontId="12" fillId="0" borderId="15" xfId="1" applyNumberFormat="1" applyFont="1" applyBorder="1" applyAlignment="1">
      <alignment horizontal="center" vertical="center" wrapText="1"/>
    </xf>
    <xf numFmtId="0" fontId="14" fillId="0" borderId="15" xfId="1" applyNumberFormat="1" applyFont="1" applyBorder="1" applyAlignment="1">
      <alignment vertical="center" wrapText="1"/>
    </xf>
    <xf numFmtId="0" fontId="12" fillId="0" borderId="15" xfId="1" applyNumberFormat="1" applyFont="1" applyBorder="1" applyAlignment="1">
      <alignment vertical="center" wrapText="1"/>
    </xf>
    <xf numFmtId="177" fontId="12" fillId="0" borderId="15" xfId="0" applyNumberFormat="1" applyFont="1" applyBorder="1" applyAlignment="1">
      <alignment horizontal="center" vertical="center"/>
    </xf>
    <xf numFmtId="0" fontId="12" fillId="0" borderId="15" xfId="0" applyNumberFormat="1" applyFont="1" applyBorder="1" applyAlignment="1">
      <alignment horizontal="left" vertical="center" wrapText="1"/>
    </xf>
    <xf numFmtId="1" fontId="12" fillId="0" borderId="15" xfId="0" applyNumberFormat="1" applyFont="1" applyBorder="1" applyAlignment="1">
      <alignment horizontal="center" vertical="center"/>
    </xf>
    <xf numFmtId="1" fontId="12" fillId="0" borderId="25" xfId="0" applyNumberFormat="1" applyFont="1" applyFill="1" applyBorder="1" applyAlignment="1">
      <alignment horizontal="center" vertical="center"/>
    </xf>
    <xf numFmtId="0" fontId="12" fillId="0" borderId="15" xfId="0" applyNumberFormat="1" applyFont="1" applyBorder="1" applyAlignment="1">
      <alignment horizontal="center" vertical="center"/>
    </xf>
    <xf numFmtId="0" fontId="12" fillId="0" borderId="23" xfId="0" applyNumberFormat="1" applyFont="1" applyBorder="1" applyAlignment="1">
      <alignment horizontal="center" vertical="center"/>
    </xf>
    <xf numFmtId="0" fontId="12" fillId="6" borderId="17" xfId="1" applyNumberFormat="1" applyFont="1" applyFill="1" applyBorder="1" applyAlignment="1">
      <alignment horizontal="center" vertical="center" wrapText="1"/>
    </xf>
    <xf numFmtId="0" fontId="12" fillId="7" borderId="17" xfId="1" applyNumberFormat="1" applyFont="1" applyFill="1" applyBorder="1" applyAlignment="1">
      <alignment horizontal="center" vertical="center" wrapText="1"/>
    </xf>
    <xf numFmtId="0" fontId="12" fillId="8" borderId="17" xfId="1" applyNumberFormat="1" applyFont="1" applyFill="1" applyBorder="1" applyAlignment="1">
      <alignment horizontal="center" vertical="center" wrapText="1"/>
    </xf>
    <xf numFmtId="0" fontId="12" fillId="9" borderId="17" xfId="1" applyNumberFormat="1" applyFont="1" applyFill="1" applyBorder="1" applyAlignment="1">
      <alignment horizontal="center" vertical="center" wrapText="1"/>
    </xf>
    <xf numFmtId="0" fontId="12" fillId="9" borderId="18" xfId="1" applyNumberFormat="1" applyFont="1" applyFill="1" applyBorder="1" applyAlignment="1">
      <alignment horizontal="center" vertical="center" wrapText="1"/>
    </xf>
    <xf numFmtId="0" fontId="12" fillId="0" borderId="16" xfId="1" applyNumberFormat="1" applyFont="1" applyBorder="1" applyAlignment="1">
      <alignment horizontal="center" vertical="center" wrapText="1"/>
    </xf>
    <xf numFmtId="0" fontId="12" fillId="0" borderId="16" xfId="1" applyNumberFormat="1" applyFont="1" applyBorder="1" applyAlignment="1">
      <alignment vertical="center" wrapText="1"/>
    </xf>
    <xf numFmtId="177" fontId="12" fillId="0" borderId="16" xfId="0" applyNumberFormat="1" applyFont="1" applyBorder="1" applyAlignment="1">
      <alignment horizontal="center" vertical="center"/>
    </xf>
    <xf numFmtId="0" fontId="12" fillId="0" borderId="16" xfId="0" applyNumberFormat="1" applyFont="1" applyBorder="1" applyAlignment="1">
      <alignment horizontal="left" vertical="center" wrapText="1"/>
    </xf>
    <xf numFmtId="1" fontId="12" fillId="0" borderId="16" xfId="0" applyNumberFormat="1" applyFont="1" applyBorder="1" applyAlignment="1">
      <alignment horizontal="center" vertical="center"/>
    </xf>
    <xf numFmtId="0" fontId="12" fillId="0" borderId="27" xfId="0" applyNumberFormat="1" applyFont="1" applyBorder="1" applyAlignment="1">
      <alignment horizontal="center" vertical="center"/>
    </xf>
    <xf numFmtId="1" fontId="12" fillId="0" borderId="27" xfId="0" applyNumberFormat="1" applyFont="1" applyBorder="1" applyAlignment="1">
      <alignment horizontal="center" vertical="center"/>
    </xf>
    <xf numFmtId="0" fontId="12" fillId="0" borderId="24" xfId="0" applyNumberFormat="1" applyFont="1" applyBorder="1" applyAlignment="1">
      <alignment horizontal="center" vertical="center"/>
    </xf>
    <xf numFmtId="0" fontId="12" fillId="0" borderId="0" xfId="0" applyNumberFormat="1" applyFont="1" applyBorder="1" applyAlignment="1">
      <alignment vertical="center"/>
    </xf>
    <xf numFmtId="0" fontId="12" fillId="0" borderId="0" xfId="0" applyNumberFormat="1" applyFont="1" applyBorder="1" applyAlignment="1">
      <alignment horizontal="center" vertical="center"/>
    </xf>
    <xf numFmtId="0" fontId="7" fillId="0" borderId="0" xfId="2" applyNumberFormat="1" applyFont="1" applyFill="1" applyBorder="1" applyAlignment="1">
      <alignment horizontal="left" vertical="center"/>
    </xf>
    <xf numFmtId="0" fontId="1" fillId="0" borderId="0" xfId="2" applyNumberFormat="1" applyAlignment="1"/>
    <xf numFmtId="0" fontId="8" fillId="0" borderId="0" xfId="2" applyNumberFormat="1" applyFont="1" applyFill="1" applyBorder="1" applyAlignment="1">
      <alignment horizontal="left" vertical="center" wrapText="1"/>
    </xf>
    <xf numFmtId="0" fontId="9" fillId="4" borderId="0" xfId="2" applyNumberFormat="1" applyFont="1" applyFill="1" applyBorder="1" applyAlignment="1">
      <alignment horizontal="left" vertical="center" wrapText="1"/>
    </xf>
    <xf numFmtId="0" fontId="10" fillId="10" borderId="0" xfId="1" applyNumberFormat="1" applyFont="1" applyFill="1" applyBorder="1" applyAlignment="1">
      <alignment horizontal="center" vertical="center"/>
    </xf>
    <xf numFmtId="0" fontId="12" fillId="0" borderId="15" xfId="0" applyNumberFormat="1" applyFont="1" applyBorder="1" applyAlignment="1">
      <alignment horizontal="center" vertical="center" wrapText="1"/>
    </xf>
    <xf numFmtId="178" fontId="12" fillId="0" borderId="15" xfId="0" applyNumberFormat="1" applyFont="1" applyBorder="1" applyAlignment="1">
      <alignment horizontal="center" vertical="center" wrapText="1"/>
    </xf>
    <xf numFmtId="0" fontId="12" fillId="0" borderId="16" xfId="0" applyNumberFormat="1" applyFont="1" applyBorder="1" applyAlignment="1">
      <alignment horizontal="center" vertical="center" wrapText="1"/>
    </xf>
    <xf numFmtId="0" fontId="12" fillId="0" borderId="27" xfId="0" applyNumberFormat="1" applyFont="1" applyBorder="1" applyAlignment="1">
      <alignment horizontal="center" vertical="center" wrapText="1"/>
    </xf>
    <xf numFmtId="177" fontId="12" fillId="0" borderId="27" xfId="0" applyNumberFormat="1" applyFont="1" applyBorder="1" applyAlignment="1">
      <alignment horizontal="center" vertical="center" wrapText="1"/>
    </xf>
    <xf numFmtId="0" fontId="16" fillId="0" borderId="28" xfId="0" applyNumberFormat="1" applyFont="1" applyBorder="1" applyAlignment="1">
      <alignment horizontal="center" vertical="center"/>
    </xf>
    <xf numFmtId="0" fontId="15" fillId="0" borderId="0" xfId="0" applyNumberFormat="1" applyFont="1" applyAlignment="1">
      <alignment horizontal="center" vertical="center"/>
    </xf>
  </cellXfs>
  <cellStyles count="3">
    <cellStyle name="Normal" xfId="1"/>
    <cellStyle name="표준" xfId="0" builtinId="0"/>
    <cellStyle name="표준 2" xfId="2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'밸런스 문서'!$R$5:$R$123</c:f>
              <c:numCache>
                <c:formatCode>General</c:formatCode>
                <c:ptCount val="119"/>
                <c:pt idx="0">
                  <c:v>1.98</c:v>
                </c:pt>
                <c:pt idx="1">
                  <c:v>3.12</c:v>
                </c:pt>
                <c:pt idx="2">
                  <c:v>6.12</c:v>
                </c:pt>
                <c:pt idx="3">
                  <c:v>9</c:v>
                </c:pt>
                <c:pt idx="4">
                  <c:v>12.42</c:v>
                </c:pt>
                <c:pt idx="5">
                  <c:v>16.38</c:v>
                </c:pt>
                <c:pt idx="6">
                  <c:v>24.18</c:v>
                </c:pt>
                <c:pt idx="7">
                  <c:v>35.519999999999996</c:v>
                </c:pt>
                <c:pt idx="8">
                  <c:v>44.28</c:v>
                </c:pt>
                <c:pt idx="9">
                  <c:v>56.58</c:v>
                </c:pt>
                <c:pt idx="10">
                  <c:v>73.319999999999993</c:v>
                </c:pt>
                <c:pt idx="11">
                  <c:v>95.579999999999984</c:v>
                </c:pt>
                <c:pt idx="12">
                  <c:v>109.62</c:v>
                </c:pt>
                <c:pt idx="13">
                  <c:v>136.5</c:v>
                </c:pt>
                <c:pt idx="14">
                  <c:v>161.88</c:v>
                </c:pt>
                <c:pt idx="15">
                  <c:v>180</c:v>
                </c:pt>
                <c:pt idx="16">
                  <c:v>224.28</c:v>
                </c:pt>
                <c:pt idx="17">
                  <c:v>267.71999999999997</c:v>
                </c:pt>
                <c:pt idx="18">
                  <c:v>296.82</c:v>
                </c:pt>
                <c:pt idx="19">
                  <c:v>327.42</c:v>
                </c:pt>
                <c:pt idx="20">
                  <c:v>372.78000000000003</c:v>
                </c:pt>
                <c:pt idx="21">
                  <c:v>421.08</c:v>
                </c:pt>
                <c:pt idx="22">
                  <c:v>487.5</c:v>
                </c:pt>
                <c:pt idx="23">
                  <c:v>526.5</c:v>
                </c:pt>
                <c:pt idx="24">
                  <c:v>575.28</c:v>
                </c:pt>
                <c:pt idx="25">
                  <c:v>617.57999999999993</c:v>
                </c:pt>
                <c:pt idx="26">
                  <c:v>652.5</c:v>
                </c:pt>
                <c:pt idx="27">
                  <c:v>688.38</c:v>
                </c:pt>
                <c:pt idx="28">
                  <c:v>743.99999999999989</c:v>
                </c:pt>
                <c:pt idx="29">
                  <c:v>782.28</c:v>
                </c:pt>
                <c:pt idx="30">
                  <c:v>871.92000000000007</c:v>
                </c:pt>
                <c:pt idx="31">
                  <c:v>966.41999999999985</c:v>
                </c:pt>
                <c:pt idx="32">
                  <c:v>1065.7800000000002</c:v>
                </c:pt>
                <c:pt idx="33">
                  <c:v>1123.08</c:v>
                </c:pt>
                <c:pt idx="34">
                  <c:v>1217.8799999999999</c:v>
                </c:pt>
                <c:pt idx="35">
                  <c:v>1291.5</c:v>
                </c:pt>
                <c:pt idx="36">
                  <c:v>1419</c:v>
                </c:pt>
                <c:pt idx="37">
                  <c:v>1498.38</c:v>
                </c:pt>
                <c:pt idx="38">
                  <c:v>1579.9199999999998</c:v>
                </c:pt>
                <c:pt idx="39">
                  <c:v>1663.62</c:v>
                </c:pt>
                <c:pt idx="40">
                  <c:v>1778.58</c:v>
                </c:pt>
                <c:pt idx="41">
                  <c:v>1927.6799999999998</c:v>
                </c:pt>
                <c:pt idx="42">
                  <c:v>2082.7800000000002</c:v>
                </c:pt>
                <c:pt idx="43">
                  <c:v>2178.7200000000003</c:v>
                </c:pt>
                <c:pt idx="44">
                  <c:v>2276.8199999999997</c:v>
                </c:pt>
                <c:pt idx="45">
                  <c:v>2410.98</c:v>
                </c:pt>
                <c:pt idx="46">
                  <c:v>2531.52</c:v>
                </c:pt>
                <c:pt idx="47">
                  <c:v>2601.7200000000003</c:v>
                </c:pt>
                <c:pt idx="48">
                  <c:v>2672.8799999999997</c:v>
                </c:pt>
                <c:pt idx="49">
                  <c:v>2799.72</c:v>
                </c:pt>
                <c:pt idx="50">
                  <c:v>2948.28</c:v>
                </c:pt>
                <c:pt idx="51">
                  <c:v>3139.3799999999997</c:v>
                </c:pt>
                <c:pt idx="52">
                  <c:v>3296.5799999999995</c:v>
                </c:pt>
                <c:pt idx="53">
                  <c:v>3518.9999999999995</c:v>
                </c:pt>
                <c:pt idx="54">
                  <c:v>3727.5</c:v>
                </c:pt>
                <c:pt idx="55">
                  <c:v>3920.2799999999997</c:v>
                </c:pt>
                <c:pt idx="56">
                  <c:v>4162.5</c:v>
                </c:pt>
                <c:pt idx="57">
                  <c:v>4320.42</c:v>
                </c:pt>
                <c:pt idx="58">
                  <c:v>4504.5</c:v>
                </c:pt>
                <c:pt idx="59">
                  <c:v>4668.72</c:v>
                </c:pt>
                <c:pt idx="60">
                  <c:v>4835.88</c:v>
                </c:pt>
                <c:pt idx="61">
                  <c:v>5055.12</c:v>
                </c:pt>
                <c:pt idx="62">
                  <c:v>5254.08</c:v>
                </c:pt>
                <c:pt idx="63">
                  <c:v>5431.32</c:v>
                </c:pt>
                <c:pt idx="64">
                  <c:v>5585.58</c:v>
                </c:pt>
                <c:pt idx="65">
                  <c:v>5821.0199999999995</c:v>
                </c:pt>
                <c:pt idx="66">
                  <c:v>6088.32</c:v>
                </c:pt>
                <c:pt idx="67">
                  <c:v>6389.28</c:v>
                </c:pt>
                <c:pt idx="68">
                  <c:v>6697.5</c:v>
                </c:pt>
                <c:pt idx="69">
                  <c:v>7071.12</c:v>
                </c:pt>
                <c:pt idx="70">
                  <c:v>7246.9800000000005</c:v>
                </c:pt>
                <c:pt idx="71">
                  <c:v>7605.1799999999994</c:v>
                </c:pt>
                <c:pt idx="72">
                  <c:v>7787.5199999999995</c:v>
                </c:pt>
                <c:pt idx="73">
                  <c:v>8002.9800000000005</c:v>
                </c:pt>
                <c:pt idx="74">
                  <c:v>8221.3799999999992</c:v>
                </c:pt>
                <c:pt idx="75">
                  <c:v>8410.9199999999983</c:v>
                </c:pt>
                <c:pt idx="76">
                  <c:v>8634.7800000000007</c:v>
                </c:pt>
                <c:pt idx="77">
                  <c:v>8894.2199999999975</c:v>
                </c:pt>
                <c:pt idx="78">
                  <c:v>9190.68</c:v>
                </c:pt>
                <c:pt idx="79">
                  <c:v>9559.619999999999</c:v>
                </c:pt>
                <c:pt idx="80">
                  <c:v>9970.3799999999992</c:v>
                </c:pt>
                <c:pt idx="81">
                  <c:v>10354.5</c:v>
                </c:pt>
                <c:pt idx="82">
                  <c:v>10745.88</c:v>
                </c:pt>
                <c:pt idx="83">
                  <c:v>10998.720000000001</c:v>
                </c:pt>
                <c:pt idx="84">
                  <c:v>11401.98</c:v>
                </c:pt>
                <c:pt idx="85">
                  <c:v>11887.919999999998</c:v>
                </c:pt>
                <c:pt idx="86">
                  <c:v>12307.02</c:v>
                </c:pt>
                <c:pt idx="87">
                  <c:v>12616.38</c:v>
                </c:pt>
                <c:pt idx="88">
                  <c:v>13048.02</c:v>
                </c:pt>
                <c:pt idx="89">
                  <c:v>13486.92</c:v>
                </c:pt>
                <c:pt idx="90">
                  <c:v>13770</c:v>
                </c:pt>
                <c:pt idx="91">
                  <c:v>14469.719999999998</c:v>
                </c:pt>
                <c:pt idx="92">
                  <c:v>15101.52</c:v>
                </c:pt>
                <c:pt idx="93">
                  <c:v>15877.5</c:v>
                </c:pt>
                <c:pt idx="94">
                  <c:v>16539</c:v>
                </c:pt>
                <c:pt idx="95">
                  <c:v>17032.68</c:v>
                </c:pt>
                <c:pt idx="96">
                  <c:v>17350.62</c:v>
                </c:pt>
                <c:pt idx="97">
                  <c:v>17763.719999999998</c:v>
                </c:pt>
                <c:pt idx="98">
                  <c:v>18275.22</c:v>
                </c:pt>
                <c:pt idx="99">
                  <c:v>18604.5</c:v>
                </c:pt>
                <c:pt idx="100">
                  <c:v>18936.719999999998</c:v>
                </c:pt>
                <c:pt idx="101">
                  <c:v>19368.18</c:v>
                </c:pt>
                <c:pt idx="102">
                  <c:v>19902.12</c:v>
                </c:pt>
                <c:pt idx="103">
                  <c:v>20393.82</c:v>
                </c:pt>
                <c:pt idx="104">
                  <c:v>21042</c:v>
                </c:pt>
                <c:pt idx="105">
                  <c:v>21649.32</c:v>
                </c:pt>
                <c:pt idx="106">
                  <c:v>22420.62</c:v>
                </c:pt>
                <c:pt idx="107">
                  <c:v>23416.98</c:v>
                </c:pt>
                <c:pt idx="108">
                  <c:v>24003.719999999998</c:v>
                </c:pt>
                <c:pt idx="109">
                  <c:v>24597.72</c:v>
                </c:pt>
                <c:pt idx="110">
                  <c:v>25144.02</c:v>
                </c:pt>
                <c:pt idx="111">
                  <c:v>25640.82</c:v>
                </c:pt>
                <c:pt idx="112">
                  <c:v>26310.78</c:v>
                </c:pt>
                <c:pt idx="113">
                  <c:v>26989.38</c:v>
                </c:pt>
                <c:pt idx="114">
                  <c:v>27791.999999999996</c:v>
                </c:pt>
                <c:pt idx="115">
                  <c:v>28255.919999999998</c:v>
                </c:pt>
                <c:pt idx="116">
                  <c:v>28841.22</c:v>
                </c:pt>
                <c:pt idx="117">
                  <c:v>29551.5</c:v>
                </c:pt>
                <c:pt idx="118">
                  <c:v>30150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3E-45AF-88A9-1E1328449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8924160"/>
        <c:axId val="1280682000"/>
      </c:lineChart>
      <c:catAx>
        <c:axId val="158892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80682000"/>
        <c:crosses val="autoZero"/>
        <c:auto val="1"/>
        <c:lblAlgn val="ctr"/>
        <c:lblOffset val="100"/>
        <c:noMultiLvlLbl val="0"/>
      </c:catAx>
      <c:valAx>
        <c:axId val="128068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892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b="0" i="0" u="none"/>
            </a:pPr>
            <a:r>
              <a:rPr b="0" i="0" u="none"/>
              <a:t>게임 시작부터 엔딩까지의 조작난이도·재미율</a:t>
            </a:r>
            <a:endParaRPr/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General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8C-4B78-9F6E-ABABD3A50301}"/>
            </c:ext>
          </c:extLst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General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8C-4B78-9F6E-ABABD3A50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overlay val="0"/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6" fmlaLink="'밸런스 문서'!$Q$2" max="30000" min="1" page="10" val="3"/>
</file>

<file path=xl/ctrlProps/ctrlProp2.xml><?xml version="1.0" encoding="utf-8"?>
<formControlPr xmlns="http://schemas.microsoft.com/office/spreadsheetml/2009/9/main" objectType="Spin" dx="16" fmlaLink="'밸런스 문서'!$R$2" max="30000" min="1" page="10" val="15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523875</xdr:colOff>
          <xdr:row>0</xdr:row>
          <xdr:rowOff>19050</xdr:rowOff>
        </xdr:from>
        <xdr:to>
          <xdr:col>17</xdr:col>
          <xdr:colOff>0</xdr:colOff>
          <xdr:row>2</xdr:row>
          <xdr:rowOff>19050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0</xdr:row>
          <xdr:rowOff>19050</xdr:rowOff>
        </xdr:from>
        <xdr:to>
          <xdr:col>18</xdr:col>
          <xdr:colOff>0</xdr:colOff>
          <xdr:row>2</xdr:row>
          <xdr:rowOff>19050</xdr:rowOff>
        </xdr:to>
        <xdr:sp macro="" textlink="">
          <xdr:nvSpPr>
            <xdr:cNvPr id="3076" name="Spinner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294409</xdr:colOff>
      <xdr:row>0</xdr:row>
      <xdr:rowOff>57150</xdr:rowOff>
    </xdr:from>
    <xdr:to>
      <xdr:col>14</xdr:col>
      <xdr:colOff>900546</xdr:colOff>
      <xdr:row>2</xdr:row>
      <xdr:rowOff>348096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 noRot="1"/>
        </xdr:cNvSpPr>
      </xdr:nvSpPr>
      <xdr:spPr>
        <a:xfrm>
          <a:off x="13854545" y="9455727"/>
          <a:ext cx="5385954" cy="52647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 noRot="1"/>
        </xdr:cNvSpPr>
      </xdr:nvSpPr>
      <xdr:spPr>
        <a:xfrm>
          <a:off x="10079181" y="13092545"/>
          <a:ext cx="4416136" cy="43295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 noRot="1"/>
        </xdr:cNvSpPr>
      </xdr:nvSpPr>
      <xdr:spPr>
        <a:xfrm>
          <a:off x="19742728" y="10027227"/>
          <a:ext cx="4416136" cy="43122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 noRot="1"/>
        </xdr:cNvSpPr>
      </xdr:nvSpPr>
      <xdr:spPr>
        <a:xfrm>
          <a:off x="18980726" y="5559136"/>
          <a:ext cx="4139045" cy="40351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 noRot="1"/>
        </xdr:cNvSpPr>
      </xdr:nvSpPr>
      <xdr:spPr>
        <a:xfrm>
          <a:off x="9040091" y="8918863"/>
          <a:ext cx="3948545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 noRot="1"/>
        </xdr:cNvSpPr>
      </xdr:nvSpPr>
      <xdr:spPr>
        <a:xfrm>
          <a:off x="15932728" y="3602182"/>
          <a:ext cx="2892136" cy="2822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 noRot="1"/>
        </xdr:cNvSpPr>
      </xdr:nvSpPr>
      <xdr:spPr>
        <a:xfrm>
          <a:off x="21197454" y="2892136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 noRot="1"/>
        </xdr:cNvSpPr>
      </xdr:nvSpPr>
      <xdr:spPr>
        <a:xfrm>
          <a:off x="24972818" y="3013363"/>
          <a:ext cx="2788227" cy="2736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 noRot="1"/>
        </xdr:cNvSpPr>
      </xdr:nvSpPr>
      <xdr:spPr>
        <a:xfrm>
          <a:off x="8035636" y="1662545"/>
          <a:ext cx="2701636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 noRot="1"/>
        </xdr:cNvSpPr>
      </xdr:nvSpPr>
      <xdr:spPr>
        <a:xfrm>
          <a:off x="6234545" y="8174182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 noRot="1"/>
        </xdr:cNvSpPr>
      </xdr:nvSpPr>
      <xdr:spPr>
        <a:xfrm>
          <a:off x="6927272" y="12001500"/>
          <a:ext cx="2684318" cy="26150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 noRot="1"/>
        </xdr:cNvSpPr>
      </xdr:nvSpPr>
      <xdr:spPr>
        <a:xfrm>
          <a:off x="11083636" y="2701636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 noRot="1"/>
        </xdr:cNvSpPr>
      </xdr:nvSpPr>
      <xdr:spPr>
        <a:xfrm>
          <a:off x="8763000" y="6147954"/>
          <a:ext cx="2407227" cy="2337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 noRot="1"/>
        </xdr:cNvSpPr>
      </xdr:nvSpPr>
      <xdr:spPr>
        <a:xfrm>
          <a:off x="7810500" y="15915409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 noRot="1"/>
        </xdr:cNvSpPr>
      </xdr:nvSpPr>
      <xdr:spPr>
        <a:xfrm>
          <a:off x="14789728" y="1501486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 noRot="1"/>
        </xdr:cNvSpPr>
      </xdr:nvSpPr>
      <xdr:spPr>
        <a:xfrm>
          <a:off x="16140545" y="690995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 noRot="1"/>
        </xdr:cNvSpPr>
      </xdr:nvSpPr>
      <xdr:spPr>
        <a:xfrm>
          <a:off x="14010409" y="1801091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 noRot="1"/>
        </xdr:cNvSpPr>
      </xdr:nvSpPr>
      <xdr:spPr>
        <a:xfrm>
          <a:off x="18010910" y="18166772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 noRot="1"/>
        </xdr:cNvSpPr>
      </xdr:nvSpPr>
      <xdr:spPr>
        <a:xfrm>
          <a:off x="23587362" y="6061364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 noRot="1"/>
        </xdr:cNvSpPr>
      </xdr:nvSpPr>
      <xdr:spPr>
        <a:xfrm>
          <a:off x="10061864" y="17526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 noRot="1"/>
        </xdr:cNvSpPr>
      </xdr:nvSpPr>
      <xdr:spPr>
        <a:xfrm>
          <a:off x="24089590" y="8970818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 noRot="1"/>
        </xdr:cNvSpPr>
      </xdr:nvSpPr>
      <xdr:spPr>
        <a:xfrm>
          <a:off x="3671454" y="4364181"/>
          <a:ext cx="2407227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 noRot="1"/>
        </xdr:cNvSpPr>
      </xdr:nvSpPr>
      <xdr:spPr>
        <a:xfrm>
          <a:off x="3827318" y="9975273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 noRot="1"/>
        </xdr:cNvSpPr>
      </xdr:nvSpPr>
      <xdr:spPr>
        <a:xfrm>
          <a:off x="3498272" y="7239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 noRot="1"/>
        </xdr:cNvSpPr>
      </xdr:nvSpPr>
      <xdr:spPr>
        <a:xfrm>
          <a:off x="6684818" y="4416136"/>
          <a:ext cx="2320636" cy="2251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 noRot="1"/>
        </xdr:cNvSpPr>
      </xdr:nvSpPr>
      <xdr:spPr>
        <a:xfrm>
          <a:off x="16746681" y="969818"/>
          <a:ext cx="2389909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 noRot="1"/>
        </xdr:cNvSpPr>
      </xdr:nvSpPr>
      <xdr:spPr>
        <a:xfrm>
          <a:off x="17595272" y="14010409"/>
          <a:ext cx="3948545" cy="3861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 noRot="1"/>
        </xdr:cNvSpPr>
      </xdr:nvSpPr>
      <xdr:spPr>
        <a:xfrm>
          <a:off x="11966864" y="5541818"/>
          <a:ext cx="3931227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AI127"/>
  <sheetViews>
    <sheetView tabSelected="1" topLeftCell="I1" zoomScale="55" zoomScaleNormal="55" zoomScaleSheetLayoutView="55" workbookViewId="0">
      <selection activeCell="T7" sqref="T7"/>
    </sheetView>
  </sheetViews>
  <sheetFormatPr defaultColWidth="9" defaultRowHeight="13.5"/>
  <cols>
    <col min="1" max="1" width="13.875" style="33" customWidth="1"/>
    <col min="2" max="3" width="13.125" style="33" customWidth="1"/>
    <col min="4" max="4" width="13.375" style="33" customWidth="1"/>
    <col min="5" max="5" width="42" style="33" customWidth="1"/>
    <col min="6" max="6" width="40.5" style="33" customWidth="1"/>
    <col min="7" max="7" width="40.125" style="33" customWidth="1"/>
    <col min="8" max="8" width="33.75" style="33" customWidth="1"/>
    <col min="9" max="9" width="11.875" style="33" customWidth="1"/>
    <col min="10" max="10" width="33.5" style="33" customWidth="1"/>
    <col min="11" max="11" width="39.625" style="33" customWidth="1"/>
    <col min="12" max="12" width="18.625" style="33" customWidth="1"/>
    <col min="13" max="13" width="20.875" style="33" customWidth="1"/>
    <col min="14" max="14" width="18.75" style="33" customWidth="1"/>
    <col min="15" max="17" width="18.875" style="33" customWidth="1"/>
    <col min="18" max="18" width="19.5" style="33" customWidth="1"/>
    <col min="19" max="19" width="21.75" style="33" customWidth="1"/>
    <col min="20" max="20" width="19.5" style="33" customWidth="1"/>
    <col min="21" max="27" width="18.875" style="33" customWidth="1"/>
    <col min="28" max="28" width="19.75" style="33" customWidth="1"/>
    <col min="29" max="35" width="18.875" style="33" customWidth="1"/>
    <col min="36" max="16384" width="9" style="33"/>
  </cols>
  <sheetData>
    <row r="1" spans="1:35" ht="36.75" customHeight="1">
      <c r="Q1" s="33" t="s">
        <v>520</v>
      </c>
      <c r="R1" s="33" t="s">
        <v>524</v>
      </c>
    </row>
    <row r="2" spans="1:35" ht="36.75" customHeight="1">
      <c r="M2" s="79" t="s">
        <v>826</v>
      </c>
      <c r="Q2" s="34">
        <v>3</v>
      </c>
      <c r="R2" s="34">
        <v>15</v>
      </c>
    </row>
    <row r="3" spans="1:35" ht="35.25" customHeight="1">
      <c r="Q3" s="34">
        <f>Q2*0.01</f>
        <v>0.03</v>
      </c>
      <c r="R3" s="34">
        <f>R2*0.01</f>
        <v>0.15</v>
      </c>
      <c r="AB3" s="78" t="s">
        <v>822</v>
      </c>
      <c r="AC3" s="78"/>
      <c r="AD3" s="78"/>
    </row>
    <row r="4" spans="1:35" ht="42" customHeight="1">
      <c r="A4" s="35" t="s">
        <v>539</v>
      </c>
      <c r="B4" s="36" t="s">
        <v>640</v>
      </c>
      <c r="C4" s="37" t="s">
        <v>457</v>
      </c>
      <c r="D4" s="36" t="s">
        <v>427</v>
      </c>
      <c r="E4" s="36" t="s">
        <v>551</v>
      </c>
      <c r="F4" s="36" t="s">
        <v>448</v>
      </c>
      <c r="G4" s="36" t="s">
        <v>556</v>
      </c>
      <c r="H4" s="36" t="s">
        <v>553</v>
      </c>
      <c r="I4" s="36" t="s">
        <v>557</v>
      </c>
      <c r="J4" s="36" t="s">
        <v>637</v>
      </c>
      <c r="K4" s="36" t="s">
        <v>549</v>
      </c>
      <c r="L4" s="36" t="s">
        <v>650</v>
      </c>
      <c r="M4" s="36" t="s">
        <v>636</v>
      </c>
      <c r="N4" s="38" t="s">
        <v>646</v>
      </c>
      <c r="O4" s="39" t="s">
        <v>461</v>
      </c>
      <c r="P4" s="39" t="s">
        <v>338</v>
      </c>
      <c r="Q4" s="40" t="s">
        <v>298</v>
      </c>
      <c r="R4" s="41" t="s">
        <v>586</v>
      </c>
      <c r="S4" s="39" t="s">
        <v>300</v>
      </c>
      <c r="T4" s="39" t="s">
        <v>297</v>
      </c>
      <c r="U4" s="39" t="s">
        <v>299</v>
      </c>
      <c r="V4" s="39" t="s">
        <v>752</v>
      </c>
      <c r="W4" s="39" t="s">
        <v>817</v>
      </c>
      <c r="X4" s="39" t="s">
        <v>818</v>
      </c>
      <c r="Y4" s="39" t="s">
        <v>819</v>
      </c>
      <c r="Z4" s="39" t="s">
        <v>820</v>
      </c>
      <c r="AA4" s="39" t="s">
        <v>821</v>
      </c>
      <c r="AB4" s="39" t="s">
        <v>823</v>
      </c>
      <c r="AC4" s="39" t="s">
        <v>824</v>
      </c>
      <c r="AD4" s="39" t="s">
        <v>825</v>
      </c>
      <c r="AE4" s="39"/>
      <c r="AF4" s="39"/>
      <c r="AG4" s="39"/>
      <c r="AH4" s="39"/>
      <c r="AI4" s="42"/>
    </row>
    <row r="5" spans="1:35" ht="81.95" customHeight="1">
      <c r="A5" s="43" t="s">
        <v>649</v>
      </c>
      <c r="B5" s="44">
        <v>1</v>
      </c>
      <c r="C5" s="44">
        <v>1</v>
      </c>
      <c r="D5" s="44">
        <v>8</v>
      </c>
      <c r="E5" s="45" t="s">
        <v>334</v>
      </c>
      <c r="F5" s="46" t="s">
        <v>58</v>
      </c>
      <c r="G5" s="46" t="s">
        <v>483</v>
      </c>
      <c r="H5" s="44" t="s">
        <v>815</v>
      </c>
      <c r="I5" s="44">
        <v>1</v>
      </c>
      <c r="J5" s="46" t="s">
        <v>576</v>
      </c>
      <c r="K5" s="46" t="s">
        <v>526</v>
      </c>
      <c r="L5" s="44" t="s">
        <v>436</v>
      </c>
      <c r="M5" s="44" t="s">
        <v>331</v>
      </c>
      <c r="N5" s="47">
        <f>(IFERROR(VALUE(LEFT(L5,FIND("분",L5)-1))*60,0)+IFERROR(VALUE(TRIM(MID(L5,IFERROR(FIND("분",L5),0)+1,FIND("초",L5)-IFERROR(FIND("분",L5),0)-1))),0))/86400</f>
        <v>1.0416666666666667E-3</v>
      </c>
      <c r="O5" s="48" t="s">
        <v>260</v>
      </c>
      <c r="P5" s="49">
        <v>6</v>
      </c>
      <c r="Q5" s="50">
        <v>3</v>
      </c>
      <c r="R5" s="51">
        <f>$Q$3*P5*P5+$R$3*P5</f>
        <v>1.98</v>
      </c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49"/>
      <c r="AE5" s="49"/>
      <c r="AF5" s="49"/>
      <c r="AG5" s="49"/>
      <c r="AH5" s="49"/>
      <c r="AI5" s="52"/>
    </row>
    <row r="6" spans="1:35" ht="81.95" customHeight="1">
      <c r="A6" s="43" t="s">
        <v>649</v>
      </c>
      <c r="B6" s="44">
        <v>2</v>
      </c>
      <c r="C6" s="44">
        <v>1</v>
      </c>
      <c r="D6" s="44">
        <v>3</v>
      </c>
      <c r="E6" s="46" t="s">
        <v>542</v>
      </c>
      <c r="F6" s="46" t="s">
        <v>360</v>
      </c>
      <c r="G6" s="46" t="s">
        <v>11</v>
      </c>
      <c r="H6" s="44" t="s">
        <v>399</v>
      </c>
      <c r="I6" s="44">
        <v>1</v>
      </c>
      <c r="J6" s="46" t="s">
        <v>700</v>
      </c>
      <c r="K6" s="46" t="s">
        <v>526</v>
      </c>
      <c r="L6" s="44" t="s">
        <v>532</v>
      </c>
      <c r="M6" s="44" t="s">
        <v>584</v>
      </c>
      <c r="N6" s="47">
        <f>N5+(IFERROR(VALUE(LEFT(L6,FIND("분",L6)-1))*60,0)+IFERROR(VALUE(TRIM(MID(L6,IFERROR(FIND("분",L6),0)+1,FIND("초",L6)-IFERROR(FIND("분",L6),0)-1))),0))/86400</f>
        <v>1.2731481481481483E-3</v>
      </c>
      <c r="O6" s="48" t="s">
        <v>260</v>
      </c>
      <c r="P6" s="49">
        <f>P5+2</f>
        <v>8</v>
      </c>
      <c r="Q6" s="50">
        <v>2</v>
      </c>
      <c r="R6" s="51">
        <f>$Q$3*P6*P6+$R$3*P6</f>
        <v>3.12</v>
      </c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49"/>
      <c r="AE6" s="49"/>
      <c r="AF6" s="49"/>
      <c r="AG6" s="49"/>
      <c r="AH6" s="49"/>
      <c r="AI6" s="52"/>
    </row>
    <row r="7" spans="1:35" ht="81.95" customHeight="1">
      <c r="A7" s="43" t="s">
        <v>649</v>
      </c>
      <c r="B7" s="44">
        <v>3</v>
      </c>
      <c r="C7" s="44">
        <v>1</v>
      </c>
      <c r="D7" s="44">
        <v>5</v>
      </c>
      <c r="E7" s="46" t="s">
        <v>319</v>
      </c>
      <c r="F7" s="46" t="s">
        <v>25</v>
      </c>
      <c r="G7" s="46" t="s">
        <v>505</v>
      </c>
      <c r="H7" s="44" t="s">
        <v>366</v>
      </c>
      <c r="I7" s="44">
        <v>1</v>
      </c>
      <c r="J7" s="46" t="s">
        <v>511</v>
      </c>
      <c r="K7" s="46" t="s">
        <v>526</v>
      </c>
      <c r="L7" s="44" t="s">
        <v>519</v>
      </c>
      <c r="M7" s="44" t="s">
        <v>808</v>
      </c>
      <c r="N7" s="47">
        <f t="shared" ref="N7:N37" si="0">N6+(IFERROR(VALUE(LEFT(L7,FIND("분",L7)-1))*60,0)+IFERROR(VALUE(TRIM(MID(L7,IFERROR(FIND("분",L7),0)+1,FIND("초",L7)-IFERROR(FIND("분",L7),0)-1))),0))/86400</f>
        <v>1.9675925925925928E-3</v>
      </c>
      <c r="O7" s="48" t="s">
        <v>260</v>
      </c>
      <c r="P7" s="49">
        <f>P6+4</f>
        <v>12</v>
      </c>
      <c r="Q7" s="50">
        <v>4</v>
      </c>
      <c r="R7" s="51">
        <f>$Q$3*P7*P7+$R$3*P7</f>
        <v>6.12</v>
      </c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49"/>
      <c r="AE7" s="49"/>
      <c r="AF7" s="49"/>
      <c r="AG7" s="49"/>
      <c r="AH7" s="49"/>
      <c r="AI7" s="52"/>
    </row>
    <row r="8" spans="1:35" ht="81.95" customHeight="1">
      <c r="A8" s="43" t="s">
        <v>649</v>
      </c>
      <c r="B8" s="44">
        <v>4</v>
      </c>
      <c r="C8" s="44">
        <v>1</v>
      </c>
      <c r="D8" s="44">
        <v>3</v>
      </c>
      <c r="E8" s="46" t="s">
        <v>641</v>
      </c>
      <c r="F8" s="46" t="s">
        <v>425</v>
      </c>
      <c r="G8" s="46" t="s">
        <v>420</v>
      </c>
      <c r="H8" s="44" t="s">
        <v>354</v>
      </c>
      <c r="I8" s="44">
        <v>4</v>
      </c>
      <c r="J8" s="46" t="s">
        <v>23</v>
      </c>
      <c r="K8" s="46" t="s">
        <v>526</v>
      </c>
      <c r="L8" s="44" t="s">
        <v>530</v>
      </c>
      <c r="M8" s="44" t="s">
        <v>582</v>
      </c>
      <c r="N8" s="47">
        <f t="shared" si="0"/>
        <v>2.4305555555555556E-3</v>
      </c>
      <c r="O8" s="48" t="s">
        <v>260</v>
      </c>
      <c r="P8" s="49">
        <f>P7+3</f>
        <v>15</v>
      </c>
      <c r="Q8" s="50">
        <v>3</v>
      </c>
      <c r="R8" s="51">
        <f>$Q$3*P8*P8+$R$3*P8</f>
        <v>9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49"/>
      <c r="AE8" s="49"/>
      <c r="AF8" s="49"/>
      <c r="AG8" s="49"/>
      <c r="AH8" s="49"/>
      <c r="AI8" s="52"/>
    </row>
    <row r="9" spans="1:35" ht="81.95" customHeight="1">
      <c r="A9" s="43" t="s">
        <v>649</v>
      </c>
      <c r="B9" s="44">
        <v>5</v>
      </c>
      <c r="C9" s="44">
        <v>1</v>
      </c>
      <c r="D9" s="44">
        <v>3</v>
      </c>
      <c r="E9" s="46" t="s">
        <v>639</v>
      </c>
      <c r="F9" s="46" t="s">
        <v>481</v>
      </c>
      <c r="G9" s="46" t="s">
        <v>515</v>
      </c>
      <c r="H9" s="44" t="s">
        <v>223</v>
      </c>
      <c r="I9" s="44">
        <v>1</v>
      </c>
      <c r="J9" s="46" t="s">
        <v>702</v>
      </c>
      <c r="K9" s="46" t="s">
        <v>526</v>
      </c>
      <c r="L9" s="44" t="s">
        <v>525</v>
      </c>
      <c r="M9" s="44" t="s">
        <v>767</v>
      </c>
      <c r="N9" s="47">
        <f t="shared" si="0"/>
        <v>2.7777777777777779E-3</v>
      </c>
      <c r="O9" s="48" t="s">
        <v>260</v>
      </c>
      <c r="P9" s="49">
        <f>P8+3</f>
        <v>18</v>
      </c>
      <c r="Q9" s="50">
        <v>3</v>
      </c>
      <c r="R9" s="51">
        <f>$Q$3*P9*P9+$R$3*P9</f>
        <v>12.42</v>
      </c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49"/>
      <c r="AE9" s="49"/>
      <c r="AF9" s="49"/>
      <c r="AG9" s="49"/>
      <c r="AH9" s="49"/>
      <c r="AI9" s="52"/>
    </row>
    <row r="10" spans="1:35" ht="81.95" customHeight="1">
      <c r="A10" s="43" t="s">
        <v>649</v>
      </c>
      <c r="B10" s="44">
        <v>6</v>
      </c>
      <c r="C10" s="44">
        <v>1</v>
      </c>
      <c r="D10" s="44">
        <v>5</v>
      </c>
      <c r="E10" s="46" t="s">
        <v>635</v>
      </c>
      <c r="F10" s="46" t="s">
        <v>513</v>
      </c>
      <c r="G10" s="46" t="s">
        <v>389</v>
      </c>
      <c r="H10" s="44" t="s">
        <v>226</v>
      </c>
      <c r="I10" s="44">
        <v>1</v>
      </c>
      <c r="J10" s="46" t="s">
        <v>678</v>
      </c>
      <c r="K10" s="46" t="s">
        <v>526</v>
      </c>
      <c r="L10" s="44" t="s">
        <v>532</v>
      </c>
      <c r="M10" s="44" t="s">
        <v>698</v>
      </c>
      <c r="N10" s="47">
        <f t="shared" si="0"/>
        <v>3.0092592592592593E-3</v>
      </c>
      <c r="O10" s="48" t="s">
        <v>260</v>
      </c>
      <c r="P10" s="49">
        <f>P9+3</f>
        <v>21</v>
      </c>
      <c r="Q10" s="50">
        <v>3</v>
      </c>
      <c r="R10" s="51">
        <f>$Q$3*P10*P10+$R$3*P10</f>
        <v>16.38</v>
      </c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49"/>
      <c r="AE10" s="49"/>
      <c r="AF10" s="49"/>
      <c r="AG10" s="49"/>
      <c r="AH10" s="49"/>
      <c r="AI10" s="52"/>
    </row>
    <row r="11" spans="1:35" ht="81.95" customHeight="1">
      <c r="A11" s="43" t="s">
        <v>649</v>
      </c>
      <c r="B11" s="44">
        <v>7</v>
      </c>
      <c r="C11" s="44">
        <v>2</v>
      </c>
      <c r="D11" s="44">
        <v>5</v>
      </c>
      <c r="E11" s="46" t="s">
        <v>647</v>
      </c>
      <c r="F11" s="46" t="s">
        <v>481</v>
      </c>
      <c r="G11" s="46" t="s">
        <v>488</v>
      </c>
      <c r="H11" s="44" t="s">
        <v>224</v>
      </c>
      <c r="I11" s="44">
        <v>1</v>
      </c>
      <c r="J11" s="46" t="s">
        <v>715</v>
      </c>
      <c r="K11" s="46" t="s">
        <v>526</v>
      </c>
      <c r="L11" s="44" t="s">
        <v>442</v>
      </c>
      <c r="M11" s="44" t="s">
        <v>767</v>
      </c>
      <c r="N11" s="47">
        <f t="shared" si="0"/>
        <v>3.8773148148148148E-3</v>
      </c>
      <c r="O11" s="48" t="s">
        <v>655</v>
      </c>
      <c r="P11" s="49">
        <f>P10+5</f>
        <v>26</v>
      </c>
      <c r="Q11" s="50">
        <v>5</v>
      </c>
      <c r="R11" s="51">
        <f>$Q$3*P11*P11+$R$3*P11</f>
        <v>24.18</v>
      </c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49"/>
      <c r="AE11" s="49"/>
      <c r="AF11" s="49"/>
      <c r="AG11" s="49"/>
      <c r="AH11" s="49"/>
      <c r="AI11" s="52"/>
    </row>
    <row r="12" spans="1:35" ht="81.95" customHeight="1">
      <c r="A12" s="43" t="s">
        <v>649</v>
      </c>
      <c r="B12" s="44">
        <v>8</v>
      </c>
      <c r="C12" s="44">
        <v>2</v>
      </c>
      <c r="D12" s="44">
        <v>6</v>
      </c>
      <c r="E12" s="46" t="s">
        <v>332</v>
      </c>
      <c r="F12" s="46" t="s">
        <v>480</v>
      </c>
      <c r="G12" s="46" t="s">
        <v>105</v>
      </c>
      <c r="H12" s="44" t="s">
        <v>227</v>
      </c>
      <c r="I12" s="44">
        <v>4</v>
      </c>
      <c r="J12" s="46" t="s">
        <v>777</v>
      </c>
      <c r="K12" s="46" t="s">
        <v>526</v>
      </c>
      <c r="L12" s="44" t="s">
        <v>436</v>
      </c>
      <c r="M12" s="44" t="s">
        <v>12</v>
      </c>
      <c r="N12" s="47">
        <f t="shared" si="0"/>
        <v>4.9189814814814816E-3</v>
      </c>
      <c r="O12" s="48" t="s">
        <v>655</v>
      </c>
      <c r="P12" s="49">
        <f>P11+6</f>
        <v>32</v>
      </c>
      <c r="Q12" s="50">
        <v>6</v>
      </c>
      <c r="R12" s="51">
        <f>$Q$3*P12*P12+$R$3*P12</f>
        <v>35.519999999999996</v>
      </c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49"/>
      <c r="AE12" s="49"/>
      <c r="AF12" s="49"/>
      <c r="AG12" s="49"/>
      <c r="AH12" s="49"/>
      <c r="AI12" s="52"/>
    </row>
    <row r="13" spans="1:35" ht="81.95" customHeight="1">
      <c r="A13" s="43" t="s">
        <v>649</v>
      </c>
      <c r="B13" s="44">
        <v>9</v>
      </c>
      <c r="C13" s="44">
        <v>1</v>
      </c>
      <c r="D13" s="44">
        <v>5</v>
      </c>
      <c r="E13" s="46" t="s">
        <v>648</v>
      </c>
      <c r="F13" s="46" t="s">
        <v>513</v>
      </c>
      <c r="G13" s="46" t="s">
        <v>128</v>
      </c>
      <c r="H13" s="44" t="s">
        <v>220</v>
      </c>
      <c r="I13" s="44">
        <v>2</v>
      </c>
      <c r="J13" s="46" t="s">
        <v>766</v>
      </c>
      <c r="K13" s="46" t="s">
        <v>526</v>
      </c>
      <c r="L13" s="44" t="s">
        <v>538</v>
      </c>
      <c r="M13" s="44" t="s">
        <v>698</v>
      </c>
      <c r="N13" s="47">
        <f t="shared" si="0"/>
        <v>5.324074074074074E-3</v>
      </c>
      <c r="O13" s="48" t="s">
        <v>655</v>
      </c>
      <c r="P13" s="49">
        <f>P12+4</f>
        <v>36</v>
      </c>
      <c r="Q13" s="50">
        <v>4</v>
      </c>
      <c r="R13" s="51">
        <f>$Q$3*P13*P13+$R$3*P13</f>
        <v>44.28</v>
      </c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49"/>
      <c r="AE13" s="49"/>
      <c r="AF13" s="49"/>
      <c r="AG13" s="49"/>
      <c r="AH13" s="49"/>
      <c r="AI13" s="52"/>
    </row>
    <row r="14" spans="1:35" ht="81.95" customHeight="1">
      <c r="A14" s="43" t="s">
        <v>649</v>
      </c>
      <c r="B14" s="44">
        <v>10</v>
      </c>
      <c r="C14" s="44">
        <v>1</v>
      </c>
      <c r="D14" s="44">
        <v>6</v>
      </c>
      <c r="E14" s="46" t="s">
        <v>337</v>
      </c>
      <c r="F14" s="46" t="s">
        <v>25</v>
      </c>
      <c r="G14" s="46" t="s">
        <v>505</v>
      </c>
      <c r="H14" s="44" t="s">
        <v>229</v>
      </c>
      <c r="I14" s="44">
        <v>1</v>
      </c>
      <c r="J14" s="46" t="s">
        <v>508</v>
      </c>
      <c r="K14" s="46" t="s">
        <v>526</v>
      </c>
      <c r="L14" s="44" t="s">
        <v>442</v>
      </c>
      <c r="M14" s="44" t="s">
        <v>808</v>
      </c>
      <c r="N14" s="47">
        <f t="shared" si="0"/>
        <v>6.192129629629629E-3</v>
      </c>
      <c r="O14" s="48" t="s">
        <v>655</v>
      </c>
      <c r="P14" s="49">
        <f>P13+5</f>
        <v>41</v>
      </c>
      <c r="Q14" s="50">
        <v>5</v>
      </c>
      <c r="R14" s="51">
        <f>$Q$3*P14*P14+$R$3*P14</f>
        <v>56.58</v>
      </c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49"/>
      <c r="AE14" s="49"/>
      <c r="AF14" s="49"/>
      <c r="AG14" s="49"/>
      <c r="AH14" s="49"/>
      <c r="AI14" s="52"/>
    </row>
    <row r="15" spans="1:35" ht="81.95" customHeight="1">
      <c r="A15" s="43" t="s">
        <v>649</v>
      </c>
      <c r="B15" s="44">
        <v>11</v>
      </c>
      <c r="C15" s="44">
        <v>2</v>
      </c>
      <c r="D15" s="44">
        <v>5</v>
      </c>
      <c r="E15" s="46" t="s">
        <v>642</v>
      </c>
      <c r="F15" s="46" t="s">
        <v>481</v>
      </c>
      <c r="G15" s="46" t="s">
        <v>475</v>
      </c>
      <c r="H15" s="44" t="s">
        <v>224</v>
      </c>
      <c r="I15" s="44">
        <v>1</v>
      </c>
      <c r="J15" s="46" t="s">
        <v>705</v>
      </c>
      <c r="K15" s="46" t="s">
        <v>526</v>
      </c>
      <c r="L15" s="44" t="s">
        <v>436</v>
      </c>
      <c r="M15" s="44" t="s">
        <v>767</v>
      </c>
      <c r="N15" s="47">
        <f t="shared" si="0"/>
        <v>7.2337962962962955E-3</v>
      </c>
      <c r="O15" s="48" t="s">
        <v>652</v>
      </c>
      <c r="P15" s="49">
        <f>P14+6</f>
        <v>47</v>
      </c>
      <c r="Q15" s="50">
        <v>6</v>
      </c>
      <c r="R15" s="51">
        <f>$Q$3*P15*P15+$R$3*P15</f>
        <v>73.319999999999993</v>
      </c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49"/>
      <c r="AE15" s="49"/>
      <c r="AF15" s="49"/>
      <c r="AG15" s="49"/>
      <c r="AH15" s="49"/>
      <c r="AI15" s="52"/>
    </row>
    <row r="16" spans="1:35" ht="81.95" customHeight="1">
      <c r="A16" s="43" t="s">
        <v>649</v>
      </c>
      <c r="B16" s="44">
        <v>12</v>
      </c>
      <c r="C16" s="44">
        <v>2</v>
      </c>
      <c r="D16" s="44">
        <v>6</v>
      </c>
      <c r="E16" s="46" t="s">
        <v>643</v>
      </c>
      <c r="F16" s="46" t="s">
        <v>480</v>
      </c>
      <c r="G16" s="46" t="s">
        <v>214</v>
      </c>
      <c r="H16" s="44" t="s">
        <v>227</v>
      </c>
      <c r="I16" s="44">
        <v>5</v>
      </c>
      <c r="J16" s="46" t="s">
        <v>718</v>
      </c>
      <c r="K16" s="46" t="s">
        <v>526</v>
      </c>
      <c r="L16" s="44" t="s">
        <v>432</v>
      </c>
      <c r="M16" s="44" t="s">
        <v>12</v>
      </c>
      <c r="N16" s="47">
        <f t="shared" si="0"/>
        <v>8.5069444444444437E-3</v>
      </c>
      <c r="O16" s="48" t="s">
        <v>652</v>
      </c>
      <c r="P16" s="49">
        <f>P15+7</f>
        <v>54</v>
      </c>
      <c r="Q16" s="50">
        <v>7</v>
      </c>
      <c r="R16" s="51">
        <f>$Q$3*P16*P16+$R$3*P16</f>
        <v>95.579999999999984</v>
      </c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49"/>
      <c r="AE16" s="49"/>
      <c r="AF16" s="49"/>
      <c r="AG16" s="49"/>
      <c r="AH16" s="49"/>
      <c r="AI16" s="52"/>
    </row>
    <row r="17" spans="1:35" ht="81.95" customHeight="1">
      <c r="A17" s="43" t="s">
        <v>649</v>
      </c>
      <c r="B17" s="44">
        <v>13</v>
      </c>
      <c r="C17" s="44">
        <v>1</v>
      </c>
      <c r="D17" s="44">
        <v>5</v>
      </c>
      <c r="E17" s="46" t="s">
        <v>625</v>
      </c>
      <c r="F17" s="46" t="s">
        <v>776</v>
      </c>
      <c r="G17" s="46" t="s">
        <v>121</v>
      </c>
      <c r="H17" s="44" t="s">
        <v>361</v>
      </c>
      <c r="I17" s="44">
        <v>3</v>
      </c>
      <c r="J17" s="46" t="s">
        <v>704</v>
      </c>
      <c r="K17" s="46" t="s">
        <v>710</v>
      </c>
      <c r="L17" s="44" t="s">
        <v>521</v>
      </c>
      <c r="M17" s="44" t="s">
        <v>588</v>
      </c>
      <c r="N17" s="47">
        <f t="shared" si="0"/>
        <v>9.0856481481481483E-3</v>
      </c>
      <c r="O17" s="48" t="s">
        <v>652</v>
      </c>
      <c r="P17" s="49">
        <f>P16+4</f>
        <v>58</v>
      </c>
      <c r="Q17" s="50">
        <v>4</v>
      </c>
      <c r="R17" s="51">
        <f>$Q$3*P17*P17+$R$3*P17</f>
        <v>109.62</v>
      </c>
      <c r="S17" s="73"/>
      <c r="T17" s="73"/>
      <c r="U17" s="73"/>
      <c r="V17" s="73"/>
      <c r="W17" s="73"/>
      <c r="X17" s="73">
        <v>30</v>
      </c>
      <c r="Y17" s="73">
        <f>X17*0.8</f>
        <v>24</v>
      </c>
      <c r="Z17" s="73">
        <f>X17*0.6</f>
        <v>18</v>
      </c>
      <c r="AA17" s="73">
        <f>X17*0.5</f>
        <v>15</v>
      </c>
      <c r="AB17" s="74">
        <f>(IFERROR(VALUE(LEFT(AD17,FIND("분",AD17)-1))*60,0)+IFERROR(VALUE(MID(AD17,IFERROR(FIND("분",AD17),0)+1,FIND("초",AD17)-IFERROR(FIND("분",AD17),0)-1)),0))/86400*2</f>
        <v>1.1574074074074073E-3</v>
      </c>
      <c r="AC17" s="74">
        <f>(IFERROR(VALUE(LEFT(AD17,FIND("분",AD17)-1))*60,0)+IFERROR(VALUE(MID(AD17,IFERROR(FIND("분",AD17),0)+1,FIND("초",AD17)-IFERROR(FIND("분",AD17),0)-1)),0))/86400*1.4</f>
        <v>8.1018518518518505E-4</v>
      </c>
      <c r="AD17" s="49" t="str">
        <f>L17</f>
        <v>50초</v>
      </c>
      <c r="AE17" s="49"/>
      <c r="AF17" s="49"/>
      <c r="AG17" s="49"/>
      <c r="AH17" s="49"/>
      <c r="AI17" s="52"/>
    </row>
    <row r="18" spans="1:35" ht="81.95" customHeight="1">
      <c r="A18" s="43" t="s">
        <v>649</v>
      </c>
      <c r="B18" s="44">
        <v>14</v>
      </c>
      <c r="C18" s="44">
        <v>2</v>
      </c>
      <c r="D18" s="44">
        <v>5</v>
      </c>
      <c r="E18" s="46" t="s">
        <v>634</v>
      </c>
      <c r="F18" s="46" t="s">
        <v>481</v>
      </c>
      <c r="G18" s="46" t="s">
        <v>509</v>
      </c>
      <c r="H18" s="44" t="s">
        <v>224</v>
      </c>
      <c r="I18" s="44">
        <v>1</v>
      </c>
      <c r="J18" s="46" t="s">
        <v>699</v>
      </c>
      <c r="K18" s="46" t="s">
        <v>526</v>
      </c>
      <c r="L18" s="44" t="s">
        <v>522</v>
      </c>
      <c r="M18" s="44" t="s">
        <v>767</v>
      </c>
      <c r="N18" s="47">
        <f t="shared" si="0"/>
        <v>1.0474537037037037E-2</v>
      </c>
      <c r="O18" s="48" t="s">
        <v>664</v>
      </c>
      <c r="P18" s="49">
        <f>P17+7</f>
        <v>65</v>
      </c>
      <c r="Q18" s="50">
        <v>7</v>
      </c>
      <c r="R18" s="51">
        <f>$Q$3*P18*P18+$R$3*P18</f>
        <v>136.5</v>
      </c>
      <c r="S18" s="73"/>
      <c r="T18" s="73"/>
      <c r="U18" s="73"/>
      <c r="V18" s="73"/>
      <c r="W18" s="73"/>
      <c r="X18" s="73"/>
      <c r="Y18" s="73"/>
      <c r="Z18" s="73"/>
      <c r="AA18" s="73"/>
      <c r="AB18" s="74"/>
      <c r="AC18" s="74"/>
      <c r="AD18" s="49"/>
      <c r="AE18" s="49"/>
      <c r="AF18" s="49"/>
      <c r="AG18" s="49"/>
      <c r="AH18" s="49"/>
      <c r="AI18" s="52"/>
    </row>
    <row r="19" spans="1:35" ht="81.95" customHeight="1">
      <c r="A19" s="43" t="s">
        <v>649</v>
      </c>
      <c r="B19" s="44">
        <v>15</v>
      </c>
      <c r="C19" s="44">
        <v>2</v>
      </c>
      <c r="D19" s="44">
        <v>5</v>
      </c>
      <c r="E19" s="46" t="s">
        <v>434</v>
      </c>
      <c r="F19" s="46" t="s">
        <v>776</v>
      </c>
      <c r="G19" s="46" t="s">
        <v>121</v>
      </c>
      <c r="H19" s="44" t="s">
        <v>361</v>
      </c>
      <c r="I19" s="44">
        <v>3</v>
      </c>
      <c r="J19" s="46" t="s">
        <v>774</v>
      </c>
      <c r="K19" s="46" t="s">
        <v>710</v>
      </c>
      <c r="L19" s="44" t="s">
        <v>447</v>
      </c>
      <c r="M19" s="44" t="s">
        <v>588</v>
      </c>
      <c r="N19" s="47">
        <f t="shared" si="0"/>
        <v>1.1400462962962963E-2</v>
      </c>
      <c r="O19" s="48" t="s">
        <v>664</v>
      </c>
      <c r="P19" s="49">
        <f>P18+6</f>
        <v>71</v>
      </c>
      <c r="Q19" s="50">
        <v>6</v>
      </c>
      <c r="R19" s="51">
        <f>$Q$3*P19*P19+$R$3*P19</f>
        <v>161.88</v>
      </c>
      <c r="S19" s="73"/>
      <c r="T19" s="73"/>
      <c r="U19" s="73"/>
      <c r="V19" s="73"/>
      <c r="W19" s="73"/>
      <c r="X19" s="73">
        <v>30</v>
      </c>
      <c r="Y19" s="73">
        <f t="shared" ref="Y19" si="1">X19*0.8</f>
        <v>24</v>
      </c>
      <c r="Z19" s="73">
        <f t="shared" ref="Z19" si="2">X19*0.6</f>
        <v>18</v>
      </c>
      <c r="AA19" s="73">
        <f t="shared" ref="AA19" si="3">X19*0.5</f>
        <v>15</v>
      </c>
      <c r="AB19" s="74">
        <f t="shared" ref="AB19:AB76" si="4">(IFERROR(VALUE(LEFT(AD19,FIND("분",AD19)-1))*60,0)+IFERROR(VALUE(MID(AD19,IFERROR(FIND("분",AD19),0)+1,FIND("초",AD19)-IFERROR(FIND("분",AD19),0)-1)),0))/86400*2</f>
        <v>1.8518518518518519E-3</v>
      </c>
      <c r="AC19" s="74">
        <f t="shared" ref="AC19:AC81" si="5">(IFERROR(VALUE(LEFT(AD19,FIND("분",AD19)-1))*60,0)+IFERROR(VALUE(MID(AD19,IFERROR(FIND("분",AD19),0)+1,FIND("초",AD19)-IFERROR(FIND("분",AD19),0)-1)),0))/86400*1.4</f>
        <v>1.2962962962962963E-3</v>
      </c>
      <c r="AD19" s="49" t="str">
        <f t="shared" ref="AD19:AD76" si="6">L19</f>
        <v>1분 20초</v>
      </c>
      <c r="AE19" s="49"/>
      <c r="AF19" s="49"/>
      <c r="AG19" s="49"/>
      <c r="AH19" s="49"/>
      <c r="AI19" s="52"/>
    </row>
    <row r="20" spans="1:35" ht="81.95" customHeight="1">
      <c r="A20" s="43" t="s">
        <v>649</v>
      </c>
      <c r="B20" s="44">
        <v>16</v>
      </c>
      <c r="C20" s="44">
        <v>1</v>
      </c>
      <c r="D20" s="44">
        <v>7</v>
      </c>
      <c r="E20" s="46" t="s">
        <v>335</v>
      </c>
      <c r="F20" s="46" t="s">
        <v>72</v>
      </c>
      <c r="G20" s="46" t="s">
        <v>125</v>
      </c>
      <c r="H20" s="44" t="s">
        <v>109</v>
      </c>
      <c r="I20" s="44">
        <v>1</v>
      </c>
      <c r="J20" s="46" t="s">
        <v>468</v>
      </c>
      <c r="K20" s="46" t="s">
        <v>717</v>
      </c>
      <c r="L20" s="44" t="s">
        <v>523</v>
      </c>
      <c r="M20" s="44" t="s">
        <v>771</v>
      </c>
      <c r="N20" s="47">
        <f t="shared" si="0"/>
        <v>1.1689814814814814E-2</v>
      </c>
      <c r="O20" s="48" t="s">
        <v>664</v>
      </c>
      <c r="P20" s="49">
        <f>P19+4</f>
        <v>75</v>
      </c>
      <c r="Q20" s="50">
        <v>4</v>
      </c>
      <c r="R20" s="51">
        <f>$Q$3*P20*P20+$R$3*P20</f>
        <v>180</v>
      </c>
      <c r="S20" s="73"/>
      <c r="T20" s="73"/>
      <c r="U20" s="73"/>
      <c r="V20" s="73"/>
      <c r="W20" s="73"/>
      <c r="X20" s="73"/>
      <c r="Y20" s="73"/>
      <c r="Z20" s="73"/>
      <c r="AA20" s="73"/>
      <c r="AB20" s="74"/>
      <c r="AC20" s="74"/>
      <c r="AD20" s="49"/>
      <c r="AE20" s="49"/>
      <c r="AF20" s="49"/>
      <c r="AG20" s="49"/>
      <c r="AH20" s="49"/>
      <c r="AI20" s="52"/>
    </row>
    <row r="21" spans="1:35" ht="81.95" customHeight="1">
      <c r="A21" s="43" t="s">
        <v>649</v>
      </c>
      <c r="B21" s="44">
        <v>17</v>
      </c>
      <c r="C21" s="44">
        <v>5</v>
      </c>
      <c r="D21" s="44">
        <v>8</v>
      </c>
      <c r="E21" s="46" t="s">
        <v>340</v>
      </c>
      <c r="F21" s="46" t="s">
        <v>492</v>
      </c>
      <c r="G21" s="46" t="s">
        <v>215</v>
      </c>
      <c r="H21" s="44" t="s">
        <v>69</v>
      </c>
      <c r="I21" s="44">
        <v>1</v>
      </c>
      <c r="J21" s="46" t="s">
        <v>703</v>
      </c>
      <c r="K21" s="46" t="s">
        <v>761</v>
      </c>
      <c r="L21" s="44" t="s">
        <v>522</v>
      </c>
      <c r="M21" s="44" t="s">
        <v>5</v>
      </c>
      <c r="N21" s="47">
        <f t="shared" si="0"/>
        <v>1.3078703703703703E-2</v>
      </c>
      <c r="O21" s="48" t="s">
        <v>252</v>
      </c>
      <c r="P21" s="49">
        <f>P20+9</f>
        <v>84</v>
      </c>
      <c r="Q21" s="50">
        <v>9</v>
      </c>
      <c r="R21" s="51">
        <f>$Q$3*P21*P21+$R$3*P21</f>
        <v>224.28</v>
      </c>
      <c r="S21" s="73"/>
      <c r="T21" s="73"/>
      <c r="U21" s="73"/>
      <c r="V21" s="73"/>
      <c r="W21" s="73"/>
      <c r="X21" s="73"/>
      <c r="Y21" s="73"/>
      <c r="Z21" s="73"/>
      <c r="AA21" s="73"/>
      <c r="AB21" s="74"/>
      <c r="AC21" s="74"/>
      <c r="AD21" s="49"/>
      <c r="AE21" s="49"/>
      <c r="AF21" s="49"/>
      <c r="AG21" s="49"/>
      <c r="AH21" s="49"/>
      <c r="AI21" s="52"/>
    </row>
    <row r="22" spans="1:35" ht="81.95" customHeight="1">
      <c r="A22" s="43" t="s">
        <v>649</v>
      </c>
      <c r="B22" s="44">
        <v>18</v>
      </c>
      <c r="C22" s="44">
        <v>4</v>
      </c>
      <c r="D22" s="44">
        <v>7</v>
      </c>
      <c r="E22" s="46" t="s">
        <v>336</v>
      </c>
      <c r="F22" s="46" t="s">
        <v>510</v>
      </c>
      <c r="G22" s="46" t="s">
        <v>203</v>
      </c>
      <c r="H22" s="44" t="s">
        <v>114</v>
      </c>
      <c r="I22" s="44">
        <v>4</v>
      </c>
      <c r="J22" s="46" t="s">
        <v>759</v>
      </c>
      <c r="K22" s="46" t="s">
        <v>773</v>
      </c>
      <c r="L22" s="44" t="s">
        <v>541</v>
      </c>
      <c r="M22" s="44" t="s">
        <v>709</v>
      </c>
      <c r="N22" s="47">
        <f t="shared" si="0"/>
        <v>1.4236111111111111E-2</v>
      </c>
      <c r="O22" s="48" t="s">
        <v>252</v>
      </c>
      <c r="P22" s="49">
        <f>P21+8</f>
        <v>92</v>
      </c>
      <c r="Q22" s="50">
        <v>8</v>
      </c>
      <c r="R22" s="51">
        <f>$Q$3*P22*P22+$R$3*P22</f>
        <v>267.71999999999997</v>
      </c>
      <c r="S22" s="73"/>
      <c r="T22" s="73"/>
      <c r="U22" s="73"/>
      <c r="V22" s="73"/>
      <c r="W22" s="73"/>
      <c r="X22" s="73"/>
      <c r="Y22" s="73"/>
      <c r="Z22" s="73"/>
      <c r="AA22" s="73"/>
      <c r="AB22" s="74"/>
      <c r="AC22" s="74"/>
      <c r="AD22" s="49"/>
      <c r="AE22" s="49"/>
      <c r="AF22" s="49"/>
      <c r="AG22" s="49"/>
      <c r="AH22" s="49"/>
      <c r="AI22" s="52"/>
    </row>
    <row r="23" spans="1:35" ht="81.95" customHeight="1">
      <c r="A23" s="43" t="s">
        <v>649</v>
      </c>
      <c r="B23" s="44">
        <v>19</v>
      </c>
      <c r="C23" s="44">
        <v>2</v>
      </c>
      <c r="D23" s="44">
        <v>5</v>
      </c>
      <c r="E23" s="46" t="s">
        <v>657</v>
      </c>
      <c r="F23" s="46" t="s">
        <v>776</v>
      </c>
      <c r="G23" s="46" t="s">
        <v>121</v>
      </c>
      <c r="H23" s="44" t="s">
        <v>484</v>
      </c>
      <c r="I23" s="44">
        <v>3</v>
      </c>
      <c r="J23" s="46" t="s">
        <v>708</v>
      </c>
      <c r="K23" s="46" t="s">
        <v>710</v>
      </c>
      <c r="L23" s="44" t="s">
        <v>535</v>
      </c>
      <c r="M23" s="44" t="s">
        <v>588</v>
      </c>
      <c r="N23" s="47">
        <f t="shared" si="0"/>
        <v>1.4872685185185185E-2</v>
      </c>
      <c r="O23" s="48" t="s">
        <v>252</v>
      </c>
      <c r="P23" s="49">
        <f>P22+5</f>
        <v>97</v>
      </c>
      <c r="Q23" s="50">
        <v>5</v>
      </c>
      <c r="R23" s="51">
        <f>$Q$3*P23*P23+$R$3*P23</f>
        <v>296.82</v>
      </c>
      <c r="S23" s="73"/>
      <c r="T23" s="73"/>
      <c r="U23" s="73"/>
      <c r="V23" s="73"/>
      <c r="W23" s="73"/>
      <c r="X23" s="73">
        <v>30</v>
      </c>
      <c r="Y23" s="73">
        <f t="shared" ref="Y23:Y81" si="7">X23*0.8</f>
        <v>24</v>
      </c>
      <c r="Z23" s="73">
        <f t="shared" ref="Z23" si="8">X23*0.6</f>
        <v>18</v>
      </c>
      <c r="AA23" s="73">
        <f t="shared" ref="AA23" si="9">X23*0.5</f>
        <v>15</v>
      </c>
      <c r="AB23" s="74">
        <f t="shared" si="4"/>
        <v>1.2731481481481483E-3</v>
      </c>
      <c r="AC23" s="74">
        <f t="shared" si="5"/>
        <v>8.9120370370370373E-4</v>
      </c>
      <c r="AD23" s="49" t="str">
        <f t="shared" si="6"/>
        <v>55초</v>
      </c>
      <c r="AE23" s="49"/>
      <c r="AF23" s="49"/>
      <c r="AG23" s="49"/>
      <c r="AH23" s="49"/>
      <c r="AI23" s="52"/>
    </row>
    <row r="24" spans="1:35" ht="81.95" customHeight="1">
      <c r="A24" s="43" t="s">
        <v>649</v>
      </c>
      <c r="B24" s="44">
        <v>20</v>
      </c>
      <c r="C24" s="44">
        <v>1</v>
      </c>
      <c r="D24" s="44">
        <v>5</v>
      </c>
      <c r="E24" s="46" t="s">
        <v>661</v>
      </c>
      <c r="F24" s="46" t="s">
        <v>25</v>
      </c>
      <c r="G24" s="46" t="s">
        <v>505</v>
      </c>
      <c r="H24" s="44" t="s">
        <v>493</v>
      </c>
      <c r="I24" s="44">
        <v>1</v>
      </c>
      <c r="J24" s="46" t="s">
        <v>407</v>
      </c>
      <c r="K24" s="46" t="s">
        <v>526</v>
      </c>
      <c r="L24" s="44" t="s">
        <v>547</v>
      </c>
      <c r="M24" s="44" t="s">
        <v>808</v>
      </c>
      <c r="N24" s="47">
        <f t="shared" si="0"/>
        <v>1.5682870370370371E-2</v>
      </c>
      <c r="O24" s="48" t="s">
        <v>252</v>
      </c>
      <c r="P24" s="49">
        <f>P23+5</f>
        <v>102</v>
      </c>
      <c r="Q24" s="50">
        <v>5</v>
      </c>
      <c r="R24" s="51">
        <f>$Q$3*P24*P24+$R$3*P24</f>
        <v>327.42</v>
      </c>
      <c r="S24" s="73"/>
      <c r="T24" s="73"/>
      <c r="U24" s="73"/>
      <c r="V24" s="73"/>
      <c r="W24" s="73"/>
      <c r="X24" s="73"/>
      <c r="Y24" s="73"/>
      <c r="Z24" s="73"/>
      <c r="AA24" s="73"/>
      <c r="AB24" s="74"/>
      <c r="AC24" s="74"/>
      <c r="AD24" s="49"/>
      <c r="AE24" s="49"/>
      <c r="AF24" s="49"/>
      <c r="AG24" s="49"/>
      <c r="AH24" s="49"/>
      <c r="AI24" s="52"/>
    </row>
    <row r="25" spans="1:35" ht="81.95" customHeight="1">
      <c r="A25" s="43" t="s">
        <v>649</v>
      </c>
      <c r="B25" s="44">
        <v>21</v>
      </c>
      <c r="C25" s="44">
        <v>2</v>
      </c>
      <c r="D25" s="44">
        <v>5</v>
      </c>
      <c r="E25" s="46" t="s">
        <v>651</v>
      </c>
      <c r="F25" s="46" t="s">
        <v>481</v>
      </c>
      <c r="G25" s="46" t="s">
        <v>50</v>
      </c>
      <c r="H25" s="44" t="s">
        <v>512</v>
      </c>
      <c r="I25" s="44">
        <v>1</v>
      </c>
      <c r="J25" s="46" t="s">
        <v>754</v>
      </c>
      <c r="K25" s="46" t="s">
        <v>526</v>
      </c>
      <c r="L25" s="44" t="s">
        <v>454</v>
      </c>
      <c r="M25" s="44" t="s">
        <v>767</v>
      </c>
      <c r="N25" s="47">
        <f t="shared" si="0"/>
        <v>1.7418981481481483E-2</v>
      </c>
      <c r="O25" s="48" t="s">
        <v>654</v>
      </c>
      <c r="P25" s="49">
        <f>P24+7</f>
        <v>109</v>
      </c>
      <c r="Q25" s="50">
        <v>7</v>
      </c>
      <c r="R25" s="51">
        <f>$Q$3*P25*P25+$R$3*P25</f>
        <v>372.78000000000003</v>
      </c>
      <c r="S25" s="73"/>
      <c r="T25" s="73"/>
      <c r="U25" s="73"/>
      <c r="V25" s="73"/>
      <c r="W25" s="73"/>
      <c r="X25" s="73"/>
      <c r="Y25" s="73"/>
      <c r="Z25" s="73"/>
      <c r="AA25" s="73"/>
      <c r="AB25" s="74"/>
      <c r="AC25" s="74"/>
      <c r="AD25" s="49"/>
      <c r="AE25" s="49"/>
      <c r="AF25" s="49"/>
      <c r="AG25" s="49"/>
      <c r="AH25" s="49"/>
      <c r="AI25" s="52"/>
    </row>
    <row r="26" spans="1:35" ht="81.95" customHeight="1">
      <c r="A26" s="43" t="s">
        <v>649</v>
      </c>
      <c r="B26" s="44">
        <v>22</v>
      </c>
      <c r="C26" s="44">
        <v>2</v>
      </c>
      <c r="D26" s="44">
        <v>7</v>
      </c>
      <c r="E26" s="46" t="s">
        <v>333</v>
      </c>
      <c r="F26" s="46" t="s">
        <v>45</v>
      </c>
      <c r="G26" s="46" t="s">
        <v>57</v>
      </c>
      <c r="H26" s="44" t="s">
        <v>149</v>
      </c>
      <c r="I26" s="44">
        <v>3</v>
      </c>
      <c r="J26" s="46" t="s">
        <v>186</v>
      </c>
      <c r="K26" s="46" t="s">
        <v>526</v>
      </c>
      <c r="L26" s="44" t="s">
        <v>436</v>
      </c>
      <c r="M26" s="44" t="s">
        <v>778</v>
      </c>
      <c r="N26" s="47">
        <f t="shared" si="0"/>
        <v>1.846064814814815E-2</v>
      </c>
      <c r="O26" s="48" t="s">
        <v>654</v>
      </c>
      <c r="P26" s="49">
        <f>P25+7</f>
        <v>116</v>
      </c>
      <c r="Q26" s="50">
        <v>7</v>
      </c>
      <c r="R26" s="51">
        <f>$Q$3*P26*P26+$R$3*P26</f>
        <v>421.08</v>
      </c>
      <c r="S26" s="73"/>
      <c r="T26" s="73"/>
      <c r="U26" s="73"/>
      <c r="V26" s="73"/>
      <c r="W26" s="73"/>
      <c r="X26" s="73"/>
      <c r="Y26" s="73"/>
      <c r="Z26" s="73"/>
      <c r="AA26" s="73"/>
      <c r="AB26" s="74"/>
      <c r="AC26" s="74"/>
      <c r="AD26" s="49"/>
      <c r="AE26" s="49"/>
      <c r="AF26" s="49"/>
      <c r="AG26" s="49"/>
      <c r="AH26" s="49"/>
      <c r="AI26" s="52"/>
    </row>
    <row r="27" spans="1:35" ht="81.95" customHeight="1">
      <c r="A27" s="43" t="s">
        <v>649</v>
      </c>
      <c r="B27" s="44">
        <v>23</v>
      </c>
      <c r="C27" s="44">
        <v>3</v>
      </c>
      <c r="D27" s="44">
        <v>8</v>
      </c>
      <c r="E27" s="46" t="s">
        <v>659</v>
      </c>
      <c r="F27" s="46" t="s">
        <v>150</v>
      </c>
      <c r="G27" s="46" t="s">
        <v>136</v>
      </c>
      <c r="H27" s="44" t="s">
        <v>112</v>
      </c>
      <c r="I27" s="44">
        <v>4</v>
      </c>
      <c r="J27" s="46" t="s">
        <v>187</v>
      </c>
      <c r="K27" s="46" t="s">
        <v>2</v>
      </c>
      <c r="L27" s="44" t="s">
        <v>522</v>
      </c>
      <c r="M27" s="44" t="s">
        <v>796</v>
      </c>
      <c r="N27" s="47">
        <f t="shared" si="0"/>
        <v>1.9849537037037037E-2</v>
      </c>
      <c r="O27" s="48" t="s">
        <v>654</v>
      </c>
      <c r="P27" s="49">
        <f>P26+9</f>
        <v>125</v>
      </c>
      <c r="Q27" s="50">
        <v>9</v>
      </c>
      <c r="R27" s="51">
        <f>$Q$3*P27*P27+$R$3*P27</f>
        <v>487.5</v>
      </c>
      <c r="S27" s="73"/>
      <c r="T27" s="73"/>
      <c r="U27" s="73"/>
      <c r="V27" s="73"/>
      <c r="W27" s="73"/>
      <c r="X27" s="73"/>
      <c r="Y27" s="73"/>
      <c r="Z27" s="73"/>
      <c r="AA27" s="73"/>
      <c r="AB27" s="74"/>
      <c r="AC27" s="74"/>
      <c r="AD27" s="49"/>
      <c r="AE27" s="49"/>
      <c r="AF27" s="49"/>
      <c r="AG27" s="49"/>
      <c r="AH27" s="49"/>
      <c r="AI27" s="52"/>
    </row>
    <row r="28" spans="1:35" ht="81.95" customHeight="1">
      <c r="A28" s="43" t="s">
        <v>649</v>
      </c>
      <c r="B28" s="44">
        <v>24</v>
      </c>
      <c r="C28" s="44">
        <v>1</v>
      </c>
      <c r="D28" s="44">
        <v>5</v>
      </c>
      <c r="E28" s="46" t="s">
        <v>653</v>
      </c>
      <c r="F28" s="46" t="s">
        <v>776</v>
      </c>
      <c r="G28" s="46" t="s">
        <v>121</v>
      </c>
      <c r="H28" s="44" t="s">
        <v>479</v>
      </c>
      <c r="I28" s="44">
        <v>3</v>
      </c>
      <c r="J28" s="46" t="s">
        <v>756</v>
      </c>
      <c r="K28" s="46" t="s">
        <v>710</v>
      </c>
      <c r="L28" s="44" t="s">
        <v>552</v>
      </c>
      <c r="M28" s="44" t="s">
        <v>588</v>
      </c>
      <c r="N28" s="47">
        <f t="shared" si="0"/>
        <v>2.060185185185185E-2</v>
      </c>
      <c r="O28" s="48" t="s">
        <v>654</v>
      </c>
      <c r="P28" s="49">
        <f>P27+5</f>
        <v>130</v>
      </c>
      <c r="Q28" s="50">
        <v>5</v>
      </c>
      <c r="R28" s="51">
        <f>$Q$3*P28*P28+$R$3*P28</f>
        <v>526.5</v>
      </c>
      <c r="S28" s="73"/>
      <c r="T28" s="73"/>
      <c r="U28" s="73"/>
      <c r="V28" s="73"/>
      <c r="W28" s="73"/>
      <c r="X28" s="73">
        <v>30</v>
      </c>
      <c r="Y28" s="73">
        <f t="shared" si="7"/>
        <v>24</v>
      </c>
      <c r="Z28" s="73">
        <f t="shared" ref="Z28:Z34" si="10">X28*0.6</f>
        <v>18</v>
      </c>
      <c r="AA28" s="73">
        <f t="shared" ref="AA28:AA34" si="11">X28*0.5</f>
        <v>15</v>
      </c>
      <c r="AB28" s="74">
        <f t="shared" si="4"/>
        <v>1.5046296296296296E-3</v>
      </c>
      <c r="AC28" s="74">
        <f t="shared" si="5"/>
        <v>1.0532407407407407E-3</v>
      </c>
      <c r="AD28" s="49" t="str">
        <f t="shared" si="6"/>
        <v>1분 5초</v>
      </c>
      <c r="AE28" s="49"/>
      <c r="AF28" s="49"/>
      <c r="AG28" s="49"/>
      <c r="AH28" s="49"/>
      <c r="AI28" s="52"/>
    </row>
    <row r="29" spans="1:35" ht="81.95" customHeight="1">
      <c r="A29" s="43" t="s">
        <v>649</v>
      </c>
      <c r="B29" s="44">
        <v>25</v>
      </c>
      <c r="C29" s="44">
        <v>2</v>
      </c>
      <c r="D29" s="44">
        <v>5</v>
      </c>
      <c r="E29" s="46" t="s">
        <v>566</v>
      </c>
      <c r="F29" s="46" t="s">
        <v>481</v>
      </c>
      <c r="G29" s="46" t="s">
        <v>49</v>
      </c>
      <c r="H29" s="44" t="s">
        <v>512</v>
      </c>
      <c r="I29" s="44">
        <v>1</v>
      </c>
      <c r="J29" s="46" t="s">
        <v>764</v>
      </c>
      <c r="K29" s="46" t="s">
        <v>526</v>
      </c>
      <c r="L29" s="44" t="s">
        <v>432</v>
      </c>
      <c r="M29" s="44" t="s">
        <v>767</v>
      </c>
      <c r="N29" s="47">
        <f t="shared" si="0"/>
        <v>2.1874999999999999E-2</v>
      </c>
      <c r="O29" s="48" t="s">
        <v>685</v>
      </c>
      <c r="P29" s="49">
        <f>P28+6</f>
        <v>136</v>
      </c>
      <c r="Q29" s="50">
        <v>6</v>
      </c>
      <c r="R29" s="51">
        <f>$Q$3*P29*P29+$R$3*P29</f>
        <v>575.28</v>
      </c>
      <c r="S29" s="73"/>
      <c r="T29" s="73"/>
      <c r="U29" s="73"/>
      <c r="V29" s="73"/>
      <c r="W29" s="73"/>
      <c r="X29" s="73"/>
      <c r="Y29" s="73"/>
      <c r="Z29" s="73"/>
      <c r="AA29" s="73"/>
      <c r="AB29" s="74"/>
      <c r="AC29" s="74"/>
      <c r="AD29" s="49"/>
      <c r="AE29" s="49"/>
      <c r="AF29" s="49"/>
      <c r="AG29" s="49"/>
      <c r="AH29" s="49"/>
      <c r="AI29" s="52"/>
    </row>
    <row r="30" spans="1:35" ht="81.95" customHeight="1">
      <c r="A30" s="53" t="s">
        <v>662</v>
      </c>
      <c r="B30" s="44">
        <v>26</v>
      </c>
      <c r="C30" s="44">
        <v>1</v>
      </c>
      <c r="D30" s="44">
        <v>5</v>
      </c>
      <c r="E30" s="45" t="s">
        <v>257</v>
      </c>
      <c r="F30" s="46" t="s">
        <v>45</v>
      </c>
      <c r="G30" s="46" t="s">
        <v>158</v>
      </c>
      <c r="H30" s="44" t="s">
        <v>502</v>
      </c>
      <c r="I30" s="44">
        <v>4</v>
      </c>
      <c r="J30" s="46" t="s">
        <v>186</v>
      </c>
      <c r="K30" s="46" t="s">
        <v>526</v>
      </c>
      <c r="L30" s="44" t="s">
        <v>442</v>
      </c>
      <c r="M30" s="44" t="s">
        <v>778</v>
      </c>
      <c r="N30" s="47">
        <f t="shared" si="0"/>
        <v>2.2743055555555555E-2</v>
      </c>
      <c r="O30" s="48" t="s">
        <v>254</v>
      </c>
      <c r="P30" s="49">
        <f>P29+5</f>
        <v>141</v>
      </c>
      <c r="Q30" s="50">
        <v>5</v>
      </c>
      <c r="R30" s="51">
        <f>$Q$3*P30*P30+$R$3*P30</f>
        <v>617.57999999999993</v>
      </c>
      <c r="S30" s="73"/>
      <c r="T30" s="73"/>
      <c r="U30" s="73"/>
      <c r="V30" s="73"/>
      <c r="W30" s="73"/>
      <c r="X30" s="73"/>
      <c r="Y30" s="73"/>
      <c r="Z30" s="73"/>
      <c r="AA30" s="73"/>
      <c r="AB30" s="74"/>
      <c r="AC30" s="74"/>
      <c r="AD30" s="49"/>
      <c r="AE30" s="49"/>
      <c r="AF30" s="49"/>
      <c r="AG30" s="49"/>
      <c r="AH30" s="49"/>
      <c r="AI30" s="52"/>
    </row>
    <row r="31" spans="1:35" ht="81.95" customHeight="1">
      <c r="A31" s="53" t="s">
        <v>662</v>
      </c>
      <c r="B31" s="44">
        <v>27</v>
      </c>
      <c r="C31" s="44">
        <v>1</v>
      </c>
      <c r="D31" s="44">
        <v>6</v>
      </c>
      <c r="E31" s="46" t="s">
        <v>813</v>
      </c>
      <c r="F31" s="46" t="s">
        <v>489</v>
      </c>
      <c r="G31" s="46" t="s">
        <v>216</v>
      </c>
      <c r="H31" s="44" t="s">
        <v>421</v>
      </c>
      <c r="I31" s="44">
        <v>1</v>
      </c>
      <c r="J31" s="46" t="s">
        <v>668</v>
      </c>
      <c r="K31" s="46" t="s">
        <v>526</v>
      </c>
      <c r="L31" s="44" t="s">
        <v>538</v>
      </c>
      <c r="M31" s="44" t="s">
        <v>721</v>
      </c>
      <c r="N31" s="47">
        <f t="shared" si="0"/>
        <v>2.3148148148148147E-2</v>
      </c>
      <c r="O31" s="48" t="s">
        <v>254</v>
      </c>
      <c r="P31" s="49">
        <f>P30+4</f>
        <v>145</v>
      </c>
      <c r="Q31" s="50">
        <v>4</v>
      </c>
      <c r="R31" s="51">
        <f>$Q$3*P31*P31+$R$3*P31</f>
        <v>652.5</v>
      </c>
      <c r="S31" s="73"/>
      <c r="T31" s="73"/>
      <c r="U31" s="73"/>
      <c r="V31" s="73"/>
      <c r="W31" s="73"/>
      <c r="X31" s="73"/>
      <c r="Y31" s="73"/>
      <c r="Z31" s="73"/>
      <c r="AA31" s="73"/>
      <c r="AB31" s="74"/>
      <c r="AC31" s="74"/>
      <c r="AD31" s="49"/>
      <c r="AE31" s="49"/>
      <c r="AF31" s="49"/>
      <c r="AG31" s="49"/>
      <c r="AH31" s="49"/>
      <c r="AI31" s="52"/>
    </row>
    <row r="32" spans="1:35" ht="81.95" customHeight="1">
      <c r="A32" s="53" t="s">
        <v>662</v>
      </c>
      <c r="B32" s="44">
        <v>28</v>
      </c>
      <c r="C32" s="44">
        <v>1</v>
      </c>
      <c r="D32" s="44">
        <v>5</v>
      </c>
      <c r="E32" s="46" t="s">
        <v>271</v>
      </c>
      <c r="F32" s="46" t="s">
        <v>147</v>
      </c>
      <c r="G32" s="46" t="s">
        <v>165</v>
      </c>
      <c r="H32" s="44" t="s">
        <v>81</v>
      </c>
      <c r="I32" s="44">
        <v>1</v>
      </c>
      <c r="J32" s="46" t="s">
        <v>667</v>
      </c>
      <c r="K32" s="46" t="s">
        <v>526</v>
      </c>
      <c r="L32" s="44" t="s">
        <v>527</v>
      </c>
      <c r="M32" s="44" t="s">
        <v>765</v>
      </c>
      <c r="N32" s="47">
        <f t="shared" si="0"/>
        <v>2.3668981481481482E-2</v>
      </c>
      <c r="O32" s="48" t="s">
        <v>254</v>
      </c>
      <c r="P32" s="49">
        <f>P31+4</f>
        <v>149</v>
      </c>
      <c r="Q32" s="50">
        <v>4</v>
      </c>
      <c r="R32" s="51">
        <f>$Q$3*P32*P32+$R$3*P32</f>
        <v>688.38</v>
      </c>
      <c r="S32" s="73"/>
      <c r="T32" s="73"/>
      <c r="U32" s="73"/>
      <c r="V32" s="73"/>
      <c r="W32" s="73"/>
      <c r="X32" s="73"/>
      <c r="Y32" s="73"/>
      <c r="Z32" s="73"/>
      <c r="AA32" s="73"/>
      <c r="AB32" s="74"/>
      <c r="AC32" s="74"/>
      <c r="AD32" s="49"/>
      <c r="AE32" s="49"/>
      <c r="AF32" s="49"/>
      <c r="AG32" s="49"/>
      <c r="AH32" s="49"/>
      <c r="AI32" s="52"/>
    </row>
    <row r="33" spans="1:35" ht="81.95" customHeight="1">
      <c r="A33" s="53" t="s">
        <v>662</v>
      </c>
      <c r="B33" s="44">
        <v>29</v>
      </c>
      <c r="C33" s="44">
        <v>2</v>
      </c>
      <c r="D33" s="44">
        <v>5</v>
      </c>
      <c r="E33" s="46" t="s">
        <v>691</v>
      </c>
      <c r="F33" s="46" t="s">
        <v>480</v>
      </c>
      <c r="G33" s="46" t="s">
        <v>496</v>
      </c>
      <c r="H33" s="44" t="s">
        <v>504</v>
      </c>
      <c r="I33" s="44">
        <v>4</v>
      </c>
      <c r="J33" s="46" t="s">
        <v>763</v>
      </c>
      <c r="K33" s="46" t="s">
        <v>526</v>
      </c>
      <c r="L33" s="44" t="s">
        <v>431</v>
      </c>
      <c r="M33" s="44" t="s">
        <v>12</v>
      </c>
      <c r="N33" s="47">
        <f t="shared" si="0"/>
        <v>2.4652777777777777E-2</v>
      </c>
      <c r="O33" s="48" t="s">
        <v>254</v>
      </c>
      <c r="P33" s="49">
        <f>P32+6</f>
        <v>155</v>
      </c>
      <c r="Q33" s="50">
        <v>6</v>
      </c>
      <c r="R33" s="51">
        <f>$Q$3*P33*P33+$R$3*P33</f>
        <v>743.99999999999989</v>
      </c>
      <c r="S33" s="73"/>
      <c r="T33" s="73"/>
      <c r="U33" s="73"/>
      <c r="V33" s="73"/>
      <c r="W33" s="73"/>
      <c r="X33" s="73">
        <v>5</v>
      </c>
      <c r="Y33" s="73">
        <f t="shared" si="7"/>
        <v>4</v>
      </c>
      <c r="Z33" s="73">
        <f t="shared" si="10"/>
        <v>3</v>
      </c>
      <c r="AA33" s="73">
        <f t="shared" si="11"/>
        <v>2.5</v>
      </c>
      <c r="AB33" s="74">
        <f t="shared" si="4"/>
        <v>1.9675925925925924E-3</v>
      </c>
      <c r="AC33" s="74">
        <f t="shared" si="5"/>
        <v>1.3773148148148145E-3</v>
      </c>
      <c r="AD33" s="49" t="str">
        <f t="shared" si="6"/>
        <v>1분 25초</v>
      </c>
      <c r="AE33" s="49"/>
      <c r="AF33" s="49"/>
      <c r="AG33" s="49"/>
      <c r="AH33" s="49"/>
      <c r="AI33" s="52"/>
    </row>
    <row r="34" spans="1:35" ht="81.95" customHeight="1">
      <c r="A34" s="53" t="s">
        <v>662</v>
      </c>
      <c r="B34" s="44">
        <v>30</v>
      </c>
      <c r="C34" s="44">
        <v>1</v>
      </c>
      <c r="D34" s="44">
        <v>5</v>
      </c>
      <c r="E34" s="46" t="s">
        <v>690</v>
      </c>
      <c r="F34" s="46" t="s">
        <v>13</v>
      </c>
      <c r="G34" s="46" t="s">
        <v>217</v>
      </c>
      <c r="H34" s="44" t="s">
        <v>26</v>
      </c>
      <c r="I34" s="44">
        <v>3</v>
      </c>
      <c r="J34" s="46" t="s">
        <v>327</v>
      </c>
      <c r="K34" s="46" t="s">
        <v>526</v>
      </c>
      <c r="L34" s="44" t="s">
        <v>535</v>
      </c>
      <c r="M34" s="44" t="s">
        <v>782</v>
      </c>
      <c r="N34" s="47">
        <f t="shared" si="0"/>
        <v>2.5289351851851851E-2</v>
      </c>
      <c r="O34" s="48" t="s">
        <v>254</v>
      </c>
      <c r="P34" s="49">
        <f>P33+4</f>
        <v>159</v>
      </c>
      <c r="Q34" s="50">
        <v>4</v>
      </c>
      <c r="R34" s="51">
        <f>$Q$3*P34*P34+$R$3*P34</f>
        <v>782.28</v>
      </c>
      <c r="S34" s="73"/>
      <c r="T34" s="73"/>
      <c r="U34" s="73"/>
      <c r="V34" s="73"/>
      <c r="W34" s="73"/>
      <c r="X34" s="73">
        <v>5</v>
      </c>
      <c r="Y34" s="73">
        <f t="shared" si="7"/>
        <v>4</v>
      </c>
      <c r="Z34" s="73">
        <f t="shared" si="10"/>
        <v>3</v>
      </c>
      <c r="AA34" s="73">
        <f t="shared" si="11"/>
        <v>2.5</v>
      </c>
      <c r="AB34" s="74">
        <f t="shared" si="4"/>
        <v>1.2731481481481483E-3</v>
      </c>
      <c r="AC34" s="74">
        <f t="shared" si="5"/>
        <v>8.9120370370370373E-4</v>
      </c>
      <c r="AD34" s="49" t="str">
        <f t="shared" si="6"/>
        <v>55초</v>
      </c>
      <c r="AE34" s="49"/>
      <c r="AF34" s="49"/>
      <c r="AG34" s="49"/>
      <c r="AH34" s="49"/>
      <c r="AI34" s="52"/>
    </row>
    <row r="35" spans="1:35" ht="81.95" customHeight="1">
      <c r="A35" s="53" t="s">
        <v>662</v>
      </c>
      <c r="B35" s="44">
        <v>31</v>
      </c>
      <c r="C35" s="44">
        <v>2</v>
      </c>
      <c r="D35" s="44">
        <v>6</v>
      </c>
      <c r="E35" s="46" t="s">
        <v>259</v>
      </c>
      <c r="F35" s="46" t="s">
        <v>472</v>
      </c>
      <c r="G35" s="46" t="s">
        <v>156</v>
      </c>
      <c r="H35" s="44" t="s">
        <v>75</v>
      </c>
      <c r="I35" s="44">
        <v>8</v>
      </c>
      <c r="J35" s="46" t="s">
        <v>581</v>
      </c>
      <c r="K35" s="46" t="s">
        <v>757</v>
      </c>
      <c r="L35" s="44" t="s">
        <v>518</v>
      </c>
      <c r="M35" s="44" t="s">
        <v>465</v>
      </c>
      <c r="N35" s="47">
        <f t="shared" si="0"/>
        <v>2.7372685185185184E-2</v>
      </c>
      <c r="O35" s="48" t="s">
        <v>254</v>
      </c>
      <c r="P35" s="49">
        <f>P34+9</f>
        <v>168</v>
      </c>
      <c r="Q35" s="50">
        <v>9</v>
      </c>
      <c r="R35" s="51">
        <f>$Q$3*P35*P35+$R$3*P35</f>
        <v>871.92000000000007</v>
      </c>
      <c r="S35" s="73"/>
      <c r="T35" s="73"/>
      <c r="U35" s="73"/>
      <c r="V35" s="73"/>
      <c r="W35" s="73"/>
      <c r="X35" s="73">
        <v>10</v>
      </c>
      <c r="Y35" s="73">
        <f t="shared" si="7"/>
        <v>8</v>
      </c>
      <c r="Z35" s="73">
        <f t="shared" ref="Z35" si="12">X35*0.6</f>
        <v>6</v>
      </c>
      <c r="AA35" s="73">
        <f t="shared" ref="AA35" si="13">X35*0.5</f>
        <v>5</v>
      </c>
      <c r="AB35" s="74">
        <f t="shared" si="4"/>
        <v>4.1666666666666666E-3</v>
      </c>
      <c r="AC35" s="74">
        <f t="shared" si="5"/>
        <v>2.9166666666666664E-3</v>
      </c>
      <c r="AD35" s="49" t="str">
        <f t="shared" si="6"/>
        <v>3분</v>
      </c>
      <c r="AE35" s="49"/>
      <c r="AF35" s="49"/>
      <c r="AG35" s="49"/>
      <c r="AH35" s="49"/>
      <c r="AI35" s="52"/>
    </row>
    <row r="36" spans="1:35" ht="81.95" customHeight="1">
      <c r="A36" s="53" t="s">
        <v>662</v>
      </c>
      <c r="B36" s="44">
        <v>32</v>
      </c>
      <c r="C36" s="44">
        <v>2</v>
      </c>
      <c r="D36" s="44">
        <v>6</v>
      </c>
      <c r="E36" s="46" t="s">
        <v>248</v>
      </c>
      <c r="F36" s="46" t="s">
        <v>472</v>
      </c>
      <c r="G36" s="46" t="s">
        <v>161</v>
      </c>
      <c r="H36" s="44" t="s">
        <v>75</v>
      </c>
      <c r="I36" s="44">
        <v>7</v>
      </c>
      <c r="J36" s="46" t="s">
        <v>590</v>
      </c>
      <c r="K36" s="46" t="s">
        <v>757</v>
      </c>
      <c r="L36" s="44" t="s">
        <v>561</v>
      </c>
      <c r="M36" s="44" t="s">
        <v>465</v>
      </c>
      <c r="N36" s="47">
        <f t="shared" si="0"/>
        <v>2.9224537037037035E-2</v>
      </c>
      <c r="O36" s="48" t="s">
        <v>254</v>
      </c>
      <c r="P36" s="49">
        <f>P35+9</f>
        <v>177</v>
      </c>
      <c r="Q36" s="50">
        <v>9</v>
      </c>
      <c r="R36" s="51">
        <f>$Q$3*P36*P36+$R$3*P36</f>
        <v>966.41999999999985</v>
      </c>
      <c r="S36" s="73"/>
      <c r="T36" s="73"/>
      <c r="U36" s="73"/>
      <c r="V36" s="73"/>
      <c r="W36" s="73"/>
      <c r="X36" s="73">
        <v>10</v>
      </c>
      <c r="Y36" s="73">
        <f t="shared" si="7"/>
        <v>8</v>
      </c>
      <c r="Z36" s="73">
        <f t="shared" ref="Z36:Z43" si="14">X36*0.6</f>
        <v>6</v>
      </c>
      <c r="AA36" s="73">
        <f t="shared" ref="AA36:AA43" si="15">X36*0.5</f>
        <v>5</v>
      </c>
      <c r="AB36" s="74">
        <f t="shared" si="4"/>
        <v>3.7037037037037038E-3</v>
      </c>
      <c r="AC36" s="74">
        <f t="shared" si="5"/>
        <v>2.5925925925925925E-3</v>
      </c>
      <c r="AD36" s="49" t="str">
        <f t="shared" si="6"/>
        <v>2분 40초</v>
      </c>
      <c r="AE36" s="49"/>
      <c r="AF36" s="49"/>
      <c r="AG36" s="49"/>
      <c r="AH36" s="49"/>
      <c r="AI36" s="52"/>
    </row>
    <row r="37" spans="1:35" ht="81.95" customHeight="1">
      <c r="A37" s="53" t="s">
        <v>662</v>
      </c>
      <c r="B37" s="44">
        <v>33</v>
      </c>
      <c r="C37" s="44">
        <v>3</v>
      </c>
      <c r="D37" s="44">
        <v>6</v>
      </c>
      <c r="E37" s="46" t="s">
        <v>266</v>
      </c>
      <c r="F37" s="46" t="s">
        <v>472</v>
      </c>
      <c r="G37" s="46" t="s">
        <v>55</v>
      </c>
      <c r="H37" s="44" t="s">
        <v>110</v>
      </c>
      <c r="I37" s="44">
        <v>6</v>
      </c>
      <c r="J37" s="46" t="s">
        <v>712</v>
      </c>
      <c r="K37" s="46" t="s">
        <v>757</v>
      </c>
      <c r="L37" s="44" t="s">
        <v>454</v>
      </c>
      <c r="M37" s="44" t="s">
        <v>465</v>
      </c>
      <c r="N37" s="47">
        <f t="shared" si="0"/>
        <v>3.0960648148148147E-2</v>
      </c>
      <c r="O37" s="48" t="s">
        <v>254</v>
      </c>
      <c r="P37" s="49">
        <f>P36+9</f>
        <v>186</v>
      </c>
      <c r="Q37" s="50">
        <v>9</v>
      </c>
      <c r="R37" s="51">
        <f>$Q$3*P37*P37+$R$3*P37</f>
        <v>1065.7800000000002</v>
      </c>
      <c r="S37" s="73"/>
      <c r="T37" s="73"/>
      <c r="U37" s="73"/>
      <c r="V37" s="73"/>
      <c r="W37" s="73"/>
      <c r="X37" s="73">
        <v>10</v>
      </c>
      <c r="Y37" s="73">
        <f t="shared" si="7"/>
        <v>8</v>
      </c>
      <c r="Z37" s="73">
        <f t="shared" si="14"/>
        <v>6</v>
      </c>
      <c r="AA37" s="73">
        <f t="shared" si="15"/>
        <v>5</v>
      </c>
      <c r="AB37" s="74">
        <f t="shared" si="4"/>
        <v>3.472222222222222E-3</v>
      </c>
      <c r="AC37" s="74">
        <f t="shared" si="5"/>
        <v>2.4305555555555552E-3</v>
      </c>
      <c r="AD37" s="49" t="str">
        <f t="shared" si="6"/>
        <v>2분 30초</v>
      </c>
      <c r="AE37" s="49"/>
      <c r="AF37" s="49"/>
      <c r="AG37" s="49"/>
      <c r="AH37" s="49"/>
      <c r="AI37" s="52"/>
    </row>
    <row r="38" spans="1:35" ht="81.95" customHeight="1">
      <c r="A38" s="53" t="s">
        <v>662</v>
      </c>
      <c r="B38" s="44">
        <v>34</v>
      </c>
      <c r="C38" s="44">
        <v>1</v>
      </c>
      <c r="D38" s="44">
        <v>5</v>
      </c>
      <c r="E38" s="46" t="s">
        <v>692</v>
      </c>
      <c r="F38" s="46" t="s">
        <v>25</v>
      </c>
      <c r="G38" s="46" t="s">
        <v>505</v>
      </c>
      <c r="H38" s="44" t="s">
        <v>493</v>
      </c>
      <c r="I38" s="44">
        <v>1</v>
      </c>
      <c r="J38" s="46" t="s">
        <v>503</v>
      </c>
      <c r="K38" s="46" t="s">
        <v>526</v>
      </c>
      <c r="L38" s="44" t="s">
        <v>436</v>
      </c>
      <c r="M38" s="44" t="s">
        <v>808</v>
      </c>
      <c r="N38" s="47">
        <f t="shared" ref="N38:N69" si="16">N37+(IFERROR(VALUE(LEFT(L38,FIND("분",L38)-1))*60,0)+IFERROR(VALUE(TRIM(MID(L38,IFERROR(FIND("분",L38),0)+1,FIND("초",L38)-IFERROR(FIND("분",L38),0)-1))),0))/86400</f>
        <v>3.2002314814814817E-2</v>
      </c>
      <c r="O38" s="48" t="s">
        <v>254</v>
      </c>
      <c r="P38" s="49">
        <f>P37+5</f>
        <v>191</v>
      </c>
      <c r="Q38" s="50">
        <v>5</v>
      </c>
      <c r="R38" s="51">
        <f>$Q$3*P38*P38+$R$3*P38</f>
        <v>1123.08</v>
      </c>
      <c r="S38" s="73"/>
      <c r="T38" s="73"/>
      <c r="U38" s="73"/>
      <c r="V38" s="73"/>
      <c r="W38" s="73"/>
      <c r="X38" s="73"/>
      <c r="Y38" s="73"/>
      <c r="Z38" s="73"/>
      <c r="AA38" s="73"/>
      <c r="AB38" s="74"/>
      <c r="AC38" s="74"/>
      <c r="AD38" s="49"/>
      <c r="AE38" s="49"/>
      <c r="AF38" s="49"/>
      <c r="AG38" s="49"/>
      <c r="AH38" s="49"/>
      <c r="AI38" s="52"/>
    </row>
    <row r="39" spans="1:35" ht="81.95" customHeight="1">
      <c r="A39" s="53" t="s">
        <v>662</v>
      </c>
      <c r="B39" s="44">
        <v>35</v>
      </c>
      <c r="C39" s="44">
        <v>2</v>
      </c>
      <c r="D39" s="44">
        <v>5</v>
      </c>
      <c r="E39" s="46" t="s">
        <v>247</v>
      </c>
      <c r="F39" s="46" t="s">
        <v>486</v>
      </c>
      <c r="G39" s="46" t="s">
        <v>115</v>
      </c>
      <c r="H39" s="44" t="s">
        <v>106</v>
      </c>
      <c r="I39" s="44">
        <v>4</v>
      </c>
      <c r="J39" s="46" t="s">
        <v>711</v>
      </c>
      <c r="K39" s="46" t="s">
        <v>526</v>
      </c>
      <c r="L39" s="44" t="s">
        <v>544</v>
      </c>
      <c r="M39" s="44" t="s">
        <v>755</v>
      </c>
      <c r="N39" s="47">
        <f t="shared" si="16"/>
        <v>3.3622685185185186E-2</v>
      </c>
      <c r="O39" s="48" t="s">
        <v>254</v>
      </c>
      <c r="P39" s="49">
        <f>P38+8</f>
        <v>199</v>
      </c>
      <c r="Q39" s="50">
        <v>8</v>
      </c>
      <c r="R39" s="51">
        <f>$Q$3*P39*P39+$R$3*P39</f>
        <v>1217.8799999999999</v>
      </c>
      <c r="S39" s="73"/>
      <c r="T39" s="73"/>
      <c r="U39" s="73"/>
      <c r="V39" s="73"/>
      <c r="W39" s="73"/>
      <c r="X39" s="73"/>
      <c r="Y39" s="73"/>
      <c r="Z39" s="73"/>
      <c r="AA39" s="73"/>
      <c r="AB39" s="74"/>
      <c r="AC39" s="74"/>
      <c r="AD39" s="49"/>
      <c r="AE39" s="49"/>
      <c r="AF39" s="49"/>
      <c r="AG39" s="49"/>
      <c r="AH39" s="49"/>
      <c r="AI39" s="52"/>
    </row>
    <row r="40" spans="1:35" ht="81.95" customHeight="1">
      <c r="A40" s="53" t="s">
        <v>662</v>
      </c>
      <c r="B40" s="44">
        <v>36</v>
      </c>
      <c r="C40" s="44">
        <v>2</v>
      </c>
      <c r="D40" s="44">
        <v>6</v>
      </c>
      <c r="E40" s="46" t="s">
        <v>267</v>
      </c>
      <c r="F40" s="46" t="s">
        <v>485</v>
      </c>
      <c r="G40" s="46" t="s">
        <v>99</v>
      </c>
      <c r="H40" s="44" t="s">
        <v>408</v>
      </c>
      <c r="I40" s="44">
        <v>3</v>
      </c>
      <c r="J40" s="46" t="s">
        <v>671</v>
      </c>
      <c r="K40" s="46" t="s">
        <v>697</v>
      </c>
      <c r="L40" s="44" t="s">
        <v>442</v>
      </c>
      <c r="M40" s="44" t="s">
        <v>770</v>
      </c>
      <c r="N40" s="47">
        <f t="shared" si="16"/>
        <v>3.4490740740740738E-2</v>
      </c>
      <c r="O40" s="48" t="s">
        <v>254</v>
      </c>
      <c r="P40" s="49">
        <f>P39+6</f>
        <v>205</v>
      </c>
      <c r="Q40" s="50">
        <v>6</v>
      </c>
      <c r="R40" s="51">
        <f>$Q$3*P40*P40+$R$3*P40</f>
        <v>1291.5</v>
      </c>
      <c r="S40" s="73"/>
      <c r="T40" s="73"/>
      <c r="U40" s="73"/>
      <c r="V40" s="73"/>
      <c r="W40" s="73"/>
      <c r="X40" s="73">
        <v>5</v>
      </c>
      <c r="Y40" s="73">
        <f t="shared" si="7"/>
        <v>4</v>
      </c>
      <c r="Z40" s="73">
        <f t="shared" ref="Z40:Z41" si="17">X40*0.6</f>
        <v>3</v>
      </c>
      <c r="AA40" s="73">
        <f t="shared" ref="AA40:AA41" si="18">X40*0.5</f>
        <v>2.5</v>
      </c>
      <c r="AB40" s="74">
        <f t="shared" ref="AB40:AB41" si="19">(IFERROR(VALUE(LEFT(AD40,FIND("분",AD40)-1))*60,0)+IFERROR(VALUE(MID(AD40,IFERROR(FIND("분",AD40),0)+1,FIND("초",AD40)-IFERROR(FIND("분",AD40),0)-1)),0))/86400*2</f>
        <v>1.736111111111111E-3</v>
      </c>
      <c r="AC40" s="74">
        <f t="shared" si="5"/>
        <v>1.2152777777777776E-3</v>
      </c>
      <c r="AD40" s="49" t="str">
        <f t="shared" ref="AD40:AD41" si="20">L40</f>
        <v>1분 15초</v>
      </c>
      <c r="AE40" s="49"/>
      <c r="AF40" s="49"/>
      <c r="AG40" s="49"/>
      <c r="AH40" s="49"/>
      <c r="AI40" s="52"/>
    </row>
    <row r="41" spans="1:35" ht="81.95" customHeight="1">
      <c r="A41" s="53" t="s">
        <v>662</v>
      </c>
      <c r="B41" s="44">
        <v>37</v>
      </c>
      <c r="C41" s="44">
        <v>3</v>
      </c>
      <c r="D41" s="44">
        <v>7</v>
      </c>
      <c r="E41" s="46" t="s">
        <v>599</v>
      </c>
      <c r="F41" s="46" t="s">
        <v>482</v>
      </c>
      <c r="G41" s="46" t="s">
        <v>108</v>
      </c>
      <c r="H41" s="44" t="s">
        <v>154</v>
      </c>
      <c r="I41" s="44">
        <v>5</v>
      </c>
      <c r="J41" s="46" t="s">
        <v>769</v>
      </c>
      <c r="K41" s="46" t="s">
        <v>526</v>
      </c>
      <c r="L41" s="44" t="s">
        <v>450</v>
      </c>
      <c r="M41" s="44" t="s">
        <v>20</v>
      </c>
      <c r="N41" s="47">
        <f t="shared" si="16"/>
        <v>3.6458333333333329E-2</v>
      </c>
      <c r="O41" s="48" t="s">
        <v>254</v>
      </c>
      <c r="P41" s="49">
        <f>P40+10</f>
        <v>215</v>
      </c>
      <c r="Q41" s="50">
        <v>10</v>
      </c>
      <c r="R41" s="51">
        <f>$Q$3*P41*P41+$R$3*P41</f>
        <v>1419</v>
      </c>
      <c r="S41" s="73"/>
      <c r="T41" s="73"/>
      <c r="U41" s="73"/>
      <c r="V41" s="73"/>
      <c r="W41" s="73"/>
      <c r="X41" s="73">
        <v>10</v>
      </c>
      <c r="Y41" s="73">
        <f t="shared" si="7"/>
        <v>8</v>
      </c>
      <c r="Z41" s="73">
        <f t="shared" si="17"/>
        <v>6</v>
      </c>
      <c r="AA41" s="73">
        <f t="shared" si="18"/>
        <v>5</v>
      </c>
      <c r="AB41" s="74">
        <f t="shared" si="19"/>
        <v>3.9351851851851848E-3</v>
      </c>
      <c r="AC41" s="74">
        <f t="shared" si="5"/>
        <v>2.754629629629629E-3</v>
      </c>
      <c r="AD41" s="49" t="str">
        <f t="shared" si="20"/>
        <v>2분 50초</v>
      </c>
      <c r="AE41" s="49"/>
      <c r="AF41" s="49"/>
      <c r="AG41" s="49"/>
      <c r="AH41" s="49"/>
      <c r="AI41" s="52"/>
    </row>
    <row r="42" spans="1:35" ht="81.95" customHeight="1">
      <c r="A42" s="53" t="s">
        <v>662</v>
      </c>
      <c r="B42" s="44">
        <v>38</v>
      </c>
      <c r="C42" s="44">
        <v>1</v>
      </c>
      <c r="D42" s="44">
        <v>8</v>
      </c>
      <c r="E42" s="46" t="s">
        <v>249</v>
      </c>
      <c r="F42" s="46" t="s">
        <v>464</v>
      </c>
      <c r="G42" s="46" t="s">
        <v>27</v>
      </c>
      <c r="H42" s="44" t="s">
        <v>201</v>
      </c>
      <c r="I42" s="44">
        <v>2</v>
      </c>
      <c r="J42" s="46" t="s">
        <v>330</v>
      </c>
      <c r="K42" s="46" t="s">
        <v>758</v>
      </c>
      <c r="L42" s="44" t="s">
        <v>547</v>
      </c>
      <c r="M42" s="44" t="s">
        <v>753</v>
      </c>
      <c r="N42" s="47">
        <f t="shared" si="16"/>
        <v>3.7268518518518513E-2</v>
      </c>
      <c r="O42" s="48" t="s">
        <v>254</v>
      </c>
      <c r="P42" s="49">
        <f>P41+6</f>
        <v>221</v>
      </c>
      <c r="Q42" s="50">
        <v>6</v>
      </c>
      <c r="R42" s="51">
        <f>$Q$3*P42*P42+$R$3*P42</f>
        <v>1498.38</v>
      </c>
      <c r="S42" s="73"/>
      <c r="T42" s="73"/>
      <c r="U42" s="73"/>
      <c r="V42" s="73"/>
      <c r="W42" s="73"/>
      <c r="X42" s="73">
        <v>20</v>
      </c>
      <c r="Y42" s="73">
        <f t="shared" si="7"/>
        <v>16</v>
      </c>
      <c r="Z42" s="73">
        <f t="shared" si="14"/>
        <v>12</v>
      </c>
      <c r="AA42" s="73">
        <f t="shared" si="15"/>
        <v>10</v>
      </c>
      <c r="AB42" s="74">
        <f t="shared" si="4"/>
        <v>1.6203703703703703E-3</v>
      </c>
      <c r="AC42" s="74">
        <f t="shared" si="5"/>
        <v>1.1342592592592591E-3</v>
      </c>
      <c r="AD42" s="49" t="str">
        <f t="shared" si="6"/>
        <v>1분 10초</v>
      </c>
      <c r="AE42" s="49"/>
      <c r="AF42" s="49"/>
      <c r="AG42" s="49"/>
      <c r="AH42" s="49"/>
      <c r="AI42" s="52"/>
    </row>
    <row r="43" spans="1:35" ht="81.95" customHeight="1">
      <c r="A43" s="53" t="s">
        <v>662</v>
      </c>
      <c r="B43" s="44">
        <v>39</v>
      </c>
      <c r="C43" s="44">
        <v>1</v>
      </c>
      <c r="D43" s="44">
        <v>5</v>
      </c>
      <c r="E43" s="46" t="s">
        <v>596</v>
      </c>
      <c r="F43" s="46" t="s">
        <v>501</v>
      </c>
      <c r="G43" s="46" t="s">
        <v>126</v>
      </c>
      <c r="H43" s="44" t="s">
        <v>477</v>
      </c>
      <c r="I43" s="44">
        <v>4</v>
      </c>
      <c r="J43" s="46" t="s">
        <v>573</v>
      </c>
      <c r="K43" s="46" t="s">
        <v>694</v>
      </c>
      <c r="L43" s="44" t="s">
        <v>436</v>
      </c>
      <c r="M43" s="44" t="s">
        <v>768</v>
      </c>
      <c r="N43" s="47">
        <f t="shared" si="16"/>
        <v>3.8310185185185183E-2</v>
      </c>
      <c r="O43" s="48" t="s">
        <v>254</v>
      </c>
      <c r="P43" s="49">
        <f>P42+6</f>
        <v>227</v>
      </c>
      <c r="Q43" s="50">
        <v>6</v>
      </c>
      <c r="R43" s="51">
        <f>$Q$3*P43*P43+$R$3*P43</f>
        <v>1579.9199999999998</v>
      </c>
      <c r="S43" s="73"/>
      <c r="T43" s="73"/>
      <c r="U43" s="73"/>
      <c r="V43" s="73"/>
      <c r="W43" s="73"/>
      <c r="X43" s="73">
        <v>10</v>
      </c>
      <c r="Y43" s="73">
        <f t="shared" si="7"/>
        <v>8</v>
      </c>
      <c r="Z43" s="73">
        <f t="shared" si="14"/>
        <v>6</v>
      </c>
      <c r="AA43" s="73">
        <f t="shared" si="15"/>
        <v>5</v>
      </c>
      <c r="AB43" s="74">
        <f t="shared" si="4"/>
        <v>2.0833333333333333E-3</v>
      </c>
      <c r="AC43" s="74">
        <f t="shared" si="5"/>
        <v>1.4583333333333332E-3</v>
      </c>
      <c r="AD43" s="49" t="str">
        <f t="shared" si="6"/>
        <v>1분 30초</v>
      </c>
      <c r="AE43" s="49"/>
      <c r="AF43" s="49"/>
      <c r="AG43" s="49"/>
      <c r="AH43" s="49"/>
      <c r="AI43" s="52"/>
    </row>
    <row r="44" spans="1:35" ht="81.95" customHeight="1">
      <c r="A44" s="53" t="s">
        <v>662</v>
      </c>
      <c r="B44" s="44">
        <v>40</v>
      </c>
      <c r="C44" s="44">
        <v>2</v>
      </c>
      <c r="D44" s="44">
        <v>6</v>
      </c>
      <c r="E44" s="46" t="s">
        <v>264</v>
      </c>
      <c r="F44" s="46" t="s">
        <v>481</v>
      </c>
      <c r="G44" s="46" t="s">
        <v>119</v>
      </c>
      <c r="H44" s="44" t="s">
        <v>512</v>
      </c>
      <c r="I44" s="44">
        <v>1</v>
      </c>
      <c r="J44" s="46" t="s">
        <v>701</v>
      </c>
      <c r="K44" s="46" t="s">
        <v>526</v>
      </c>
      <c r="L44" s="44" t="s">
        <v>442</v>
      </c>
      <c r="M44" s="44" t="s">
        <v>767</v>
      </c>
      <c r="N44" s="47">
        <f t="shared" si="16"/>
        <v>3.9178240740740736E-2</v>
      </c>
      <c r="O44" s="48" t="s">
        <v>656</v>
      </c>
      <c r="P44" s="49">
        <f>P43+6</f>
        <v>233</v>
      </c>
      <c r="Q44" s="50">
        <v>6</v>
      </c>
      <c r="R44" s="51">
        <f>$Q$3*P44*P44+$R$3*P44</f>
        <v>1663.62</v>
      </c>
      <c r="S44" s="73"/>
      <c r="T44" s="73"/>
      <c r="U44" s="73"/>
      <c r="V44" s="73"/>
      <c r="W44" s="73"/>
      <c r="X44" s="73"/>
      <c r="Y44" s="73"/>
      <c r="Z44" s="73"/>
      <c r="AA44" s="73"/>
      <c r="AB44" s="74"/>
      <c r="AC44" s="74"/>
      <c r="AD44" s="49"/>
      <c r="AE44" s="49"/>
      <c r="AF44" s="49"/>
      <c r="AG44" s="49"/>
      <c r="AH44" s="49"/>
      <c r="AI44" s="52"/>
    </row>
    <row r="45" spans="1:35" ht="81.95" customHeight="1">
      <c r="A45" s="53" t="s">
        <v>662</v>
      </c>
      <c r="B45" s="44">
        <v>41</v>
      </c>
      <c r="C45" s="44">
        <v>2</v>
      </c>
      <c r="D45" s="44">
        <v>6</v>
      </c>
      <c r="E45" s="46" t="s">
        <v>595</v>
      </c>
      <c r="F45" s="46" t="s">
        <v>153</v>
      </c>
      <c r="G45" s="46" t="s">
        <v>120</v>
      </c>
      <c r="H45" s="44" t="s">
        <v>116</v>
      </c>
      <c r="I45" s="44">
        <v>8</v>
      </c>
      <c r="J45" s="46" t="s">
        <v>139</v>
      </c>
      <c r="K45" s="46" t="s">
        <v>772</v>
      </c>
      <c r="L45" s="44" t="s">
        <v>544</v>
      </c>
      <c r="M45" s="44" t="s">
        <v>146</v>
      </c>
      <c r="N45" s="47">
        <f t="shared" si="16"/>
        <v>4.0798611111111105E-2</v>
      </c>
      <c r="O45" s="48" t="s">
        <v>656</v>
      </c>
      <c r="P45" s="49">
        <f>P44+8</f>
        <v>241</v>
      </c>
      <c r="Q45" s="50">
        <v>8</v>
      </c>
      <c r="R45" s="51">
        <f>$Q$3*P45*P45+$R$3*P45</f>
        <v>1778.58</v>
      </c>
      <c r="S45" s="73"/>
      <c r="T45" s="73"/>
      <c r="U45" s="73"/>
      <c r="V45" s="73"/>
      <c r="W45" s="73"/>
      <c r="X45" s="73">
        <v>5</v>
      </c>
      <c r="Y45" s="73">
        <f t="shared" si="7"/>
        <v>4</v>
      </c>
      <c r="Z45" s="73">
        <f t="shared" ref="Z45:Z46" si="21">X45*0.6</f>
        <v>3</v>
      </c>
      <c r="AA45" s="73">
        <f t="shared" ref="AA45:AA46" si="22">X45*0.5</f>
        <v>2.5</v>
      </c>
      <c r="AB45" s="74">
        <f t="shared" si="4"/>
        <v>3.2407407407407406E-3</v>
      </c>
      <c r="AC45" s="74">
        <f t="shared" si="5"/>
        <v>2.2685185185185182E-3</v>
      </c>
      <c r="AD45" s="49" t="str">
        <f t="shared" si="6"/>
        <v>2분 20초</v>
      </c>
      <c r="AE45" s="49"/>
      <c r="AF45" s="49"/>
      <c r="AG45" s="49"/>
      <c r="AH45" s="49"/>
      <c r="AI45" s="52"/>
    </row>
    <row r="46" spans="1:35" ht="81.95" customHeight="1">
      <c r="A46" s="53" t="s">
        <v>662</v>
      </c>
      <c r="B46" s="44">
        <v>42</v>
      </c>
      <c r="C46" s="44">
        <v>3</v>
      </c>
      <c r="D46" s="44">
        <v>7</v>
      </c>
      <c r="E46" s="46" t="s">
        <v>592</v>
      </c>
      <c r="F46" s="46" t="s">
        <v>153</v>
      </c>
      <c r="G46" s="46" t="s">
        <v>133</v>
      </c>
      <c r="H46" s="44" t="s">
        <v>100</v>
      </c>
      <c r="I46" s="44">
        <v>10</v>
      </c>
      <c r="J46" s="46" t="s">
        <v>780</v>
      </c>
      <c r="K46" s="46" t="s">
        <v>772</v>
      </c>
      <c r="L46" s="44" t="s">
        <v>518</v>
      </c>
      <c r="M46" s="44" t="s">
        <v>146</v>
      </c>
      <c r="N46" s="47">
        <f t="shared" si="16"/>
        <v>4.2881944444444438E-2</v>
      </c>
      <c r="O46" s="48" t="s">
        <v>656</v>
      </c>
      <c r="P46" s="49">
        <f>P45+10</f>
        <v>251</v>
      </c>
      <c r="Q46" s="50">
        <v>10</v>
      </c>
      <c r="R46" s="51">
        <f>$Q$3*P46*P46+$R$3*P46</f>
        <v>1927.6799999999998</v>
      </c>
      <c r="S46" s="73"/>
      <c r="T46" s="73"/>
      <c r="U46" s="73"/>
      <c r="V46" s="73"/>
      <c r="W46" s="73"/>
      <c r="X46" s="73">
        <v>5</v>
      </c>
      <c r="Y46" s="73">
        <f t="shared" si="7"/>
        <v>4</v>
      </c>
      <c r="Z46" s="73">
        <f t="shared" si="21"/>
        <v>3</v>
      </c>
      <c r="AA46" s="73">
        <f t="shared" si="22"/>
        <v>2.5</v>
      </c>
      <c r="AB46" s="74">
        <f t="shared" si="4"/>
        <v>4.1666666666666666E-3</v>
      </c>
      <c r="AC46" s="74">
        <f t="shared" si="5"/>
        <v>2.9166666666666664E-3</v>
      </c>
      <c r="AD46" s="49" t="str">
        <f t="shared" si="6"/>
        <v>3분</v>
      </c>
      <c r="AE46" s="49"/>
      <c r="AF46" s="49"/>
      <c r="AG46" s="49"/>
      <c r="AH46" s="49"/>
      <c r="AI46" s="52"/>
    </row>
    <row r="47" spans="1:35" ht="81.95" customHeight="1">
      <c r="A47" s="53" t="s">
        <v>662</v>
      </c>
      <c r="B47" s="44">
        <v>43</v>
      </c>
      <c r="C47" s="44">
        <v>3</v>
      </c>
      <c r="D47" s="44">
        <v>7</v>
      </c>
      <c r="E47" s="46" t="s">
        <v>268</v>
      </c>
      <c r="F47" s="46" t="s">
        <v>153</v>
      </c>
      <c r="G47" s="46" t="s">
        <v>164</v>
      </c>
      <c r="H47" s="44" t="s">
        <v>101</v>
      </c>
      <c r="I47" s="44">
        <v>6</v>
      </c>
      <c r="J47" s="46" t="s">
        <v>17</v>
      </c>
      <c r="K47" s="46" t="s">
        <v>772</v>
      </c>
      <c r="L47" s="44" t="s">
        <v>561</v>
      </c>
      <c r="M47" s="44" t="s">
        <v>146</v>
      </c>
      <c r="N47" s="47">
        <f t="shared" si="16"/>
        <v>4.4733796296296292E-2</v>
      </c>
      <c r="O47" s="48" t="s">
        <v>656</v>
      </c>
      <c r="P47" s="49">
        <f>P46+10</f>
        <v>261</v>
      </c>
      <c r="Q47" s="50">
        <v>10</v>
      </c>
      <c r="R47" s="51">
        <f>$Q$3*P47*P47+$R$3*P47</f>
        <v>2082.7800000000002</v>
      </c>
      <c r="S47" s="73"/>
      <c r="T47" s="73"/>
      <c r="U47" s="73"/>
      <c r="V47" s="73"/>
      <c r="W47" s="73"/>
      <c r="X47" s="73">
        <v>5</v>
      </c>
      <c r="Y47" s="73">
        <f t="shared" si="7"/>
        <v>4</v>
      </c>
      <c r="Z47" s="73">
        <f t="shared" ref="Z47" si="23">X47*0.6</f>
        <v>3</v>
      </c>
      <c r="AA47" s="73">
        <f t="shared" ref="AA47" si="24">X47*0.5</f>
        <v>2.5</v>
      </c>
      <c r="AB47" s="74">
        <f t="shared" si="4"/>
        <v>3.7037037037037038E-3</v>
      </c>
      <c r="AC47" s="74">
        <f t="shared" si="5"/>
        <v>2.5925925925925925E-3</v>
      </c>
      <c r="AD47" s="49" t="str">
        <f t="shared" si="6"/>
        <v>2분 40초</v>
      </c>
      <c r="AE47" s="49"/>
      <c r="AF47" s="49"/>
      <c r="AG47" s="49"/>
      <c r="AH47" s="49"/>
      <c r="AI47" s="52"/>
    </row>
    <row r="48" spans="1:35" ht="81.95" customHeight="1">
      <c r="A48" s="53" t="s">
        <v>662</v>
      </c>
      <c r="B48" s="44">
        <v>44</v>
      </c>
      <c r="C48" s="44">
        <v>2</v>
      </c>
      <c r="D48" s="44">
        <v>7</v>
      </c>
      <c r="E48" s="46" t="s">
        <v>593</v>
      </c>
      <c r="F48" s="46" t="s">
        <v>501</v>
      </c>
      <c r="G48" s="46" t="s">
        <v>207</v>
      </c>
      <c r="H48" s="44" t="s">
        <v>477</v>
      </c>
      <c r="I48" s="44">
        <v>3</v>
      </c>
      <c r="J48" s="46" t="s">
        <v>573</v>
      </c>
      <c r="K48" s="46" t="s">
        <v>694</v>
      </c>
      <c r="L48" s="44" t="s">
        <v>547</v>
      </c>
      <c r="M48" s="44" t="s">
        <v>768</v>
      </c>
      <c r="N48" s="47">
        <f t="shared" si="16"/>
        <v>4.5543981481481477E-2</v>
      </c>
      <c r="O48" s="48" t="s">
        <v>656</v>
      </c>
      <c r="P48" s="49">
        <f>P47+6</f>
        <v>267</v>
      </c>
      <c r="Q48" s="50">
        <v>6</v>
      </c>
      <c r="R48" s="51">
        <f>$Q$3*P48*P48+$R$3*P48</f>
        <v>2178.7200000000003</v>
      </c>
      <c r="S48" s="73"/>
      <c r="T48" s="73"/>
      <c r="U48" s="73"/>
      <c r="V48" s="73"/>
      <c r="W48" s="73"/>
      <c r="X48" s="73">
        <v>5</v>
      </c>
      <c r="Y48" s="73">
        <f t="shared" si="7"/>
        <v>4</v>
      </c>
      <c r="Z48" s="73">
        <f t="shared" ref="Z48:Z55" si="25">X48*0.6</f>
        <v>3</v>
      </c>
      <c r="AA48" s="73">
        <f t="shared" ref="AA48:AA55" si="26">X48*0.5</f>
        <v>2.5</v>
      </c>
      <c r="AB48" s="74">
        <f t="shared" si="4"/>
        <v>1.6203703703703703E-3</v>
      </c>
      <c r="AC48" s="74">
        <f t="shared" si="5"/>
        <v>1.1342592592592591E-3</v>
      </c>
      <c r="AD48" s="49" t="str">
        <f t="shared" si="6"/>
        <v>1분 10초</v>
      </c>
      <c r="AE48" s="49"/>
      <c r="AF48" s="49"/>
      <c r="AG48" s="49"/>
      <c r="AH48" s="49"/>
      <c r="AI48" s="52"/>
    </row>
    <row r="49" spans="1:35" ht="81.95" customHeight="1">
      <c r="A49" s="53" t="s">
        <v>662</v>
      </c>
      <c r="B49" s="44">
        <v>45</v>
      </c>
      <c r="C49" s="44">
        <v>1</v>
      </c>
      <c r="D49" s="44">
        <v>9</v>
      </c>
      <c r="E49" s="46" t="s">
        <v>600</v>
      </c>
      <c r="F49" s="46" t="s">
        <v>489</v>
      </c>
      <c r="G49" s="46" t="s">
        <v>127</v>
      </c>
      <c r="H49" s="44" t="s">
        <v>421</v>
      </c>
      <c r="I49" s="44">
        <v>1</v>
      </c>
      <c r="J49" s="46" t="s">
        <v>668</v>
      </c>
      <c r="K49" s="46" t="s">
        <v>526</v>
      </c>
      <c r="L49" s="44" t="s">
        <v>521</v>
      </c>
      <c r="M49" s="44" t="s">
        <v>721</v>
      </c>
      <c r="N49" s="47">
        <f t="shared" si="16"/>
        <v>4.6122685185185183E-2</v>
      </c>
      <c r="O49" s="48" t="s">
        <v>684</v>
      </c>
      <c r="P49" s="49">
        <f>P48+6</f>
        <v>273</v>
      </c>
      <c r="Q49" s="50">
        <v>6</v>
      </c>
      <c r="R49" s="51">
        <f>$Q$3*P49*P49+$R$3*P49</f>
        <v>2276.8199999999997</v>
      </c>
      <c r="S49" s="73"/>
      <c r="T49" s="73"/>
      <c r="U49" s="73"/>
      <c r="V49" s="73"/>
      <c r="W49" s="73"/>
      <c r="X49" s="73"/>
      <c r="Y49" s="73"/>
      <c r="Z49" s="73"/>
      <c r="AA49" s="73"/>
      <c r="AB49" s="74"/>
      <c r="AC49" s="74"/>
      <c r="AD49" s="49"/>
      <c r="AE49" s="49"/>
      <c r="AF49" s="49"/>
      <c r="AG49" s="49"/>
      <c r="AH49" s="49"/>
      <c r="AI49" s="52"/>
    </row>
    <row r="50" spans="1:35" ht="81.95" customHeight="1">
      <c r="A50" s="53" t="s">
        <v>662</v>
      </c>
      <c r="B50" s="44">
        <v>46</v>
      </c>
      <c r="C50" s="44">
        <v>2</v>
      </c>
      <c r="D50" s="44">
        <v>9</v>
      </c>
      <c r="E50" s="46" t="s">
        <v>459</v>
      </c>
      <c r="F50" s="46" t="s">
        <v>45</v>
      </c>
      <c r="G50" s="46" t="s">
        <v>134</v>
      </c>
      <c r="H50" s="44" t="s">
        <v>152</v>
      </c>
      <c r="I50" s="44">
        <v>3</v>
      </c>
      <c r="J50" s="46" t="s">
        <v>186</v>
      </c>
      <c r="K50" s="46" t="s">
        <v>526</v>
      </c>
      <c r="L50" s="44" t="s">
        <v>543</v>
      </c>
      <c r="M50" s="44" t="s">
        <v>778</v>
      </c>
      <c r="N50" s="47">
        <f t="shared" si="16"/>
        <v>4.7222222222222221E-2</v>
      </c>
      <c r="O50" s="48" t="s">
        <v>684</v>
      </c>
      <c r="P50" s="49">
        <f>P49+8</f>
        <v>281</v>
      </c>
      <c r="Q50" s="50">
        <v>8</v>
      </c>
      <c r="R50" s="51">
        <f>$Q$3*P50*P50+$R$3*P50</f>
        <v>2410.98</v>
      </c>
      <c r="S50" s="73"/>
      <c r="T50" s="73"/>
      <c r="U50" s="73"/>
      <c r="V50" s="73"/>
      <c r="W50" s="73"/>
      <c r="X50" s="73">
        <v>5</v>
      </c>
      <c r="Y50" s="73">
        <f t="shared" si="7"/>
        <v>4</v>
      </c>
      <c r="Z50" s="73">
        <f t="shared" ref="Z50" si="27">X50*0.6</f>
        <v>3</v>
      </c>
      <c r="AA50" s="73">
        <f t="shared" ref="AA50" si="28">X50*0.5</f>
        <v>2.5</v>
      </c>
      <c r="AB50" s="74">
        <f t="shared" ref="AB50" si="29">(IFERROR(VALUE(LEFT(AD50,FIND("분",AD50)-1))*60,0)+IFERROR(VALUE(MID(AD50,IFERROR(FIND("분",AD50),0)+1,FIND("초",AD50)-IFERROR(FIND("분",AD50),0)-1)),0))/86400*2</f>
        <v>2.1990740740740742E-3</v>
      </c>
      <c r="AC50" s="74">
        <f t="shared" si="5"/>
        <v>1.5393518518518519E-3</v>
      </c>
      <c r="AD50" s="49" t="str">
        <f t="shared" ref="AD50" si="30">L50</f>
        <v>1분 35초</v>
      </c>
      <c r="AE50" s="49"/>
      <c r="AF50" s="49"/>
      <c r="AG50" s="49"/>
      <c r="AH50" s="49"/>
      <c r="AI50" s="52"/>
    </row>
    <row r="51" spans="1:35" ht="81.95" customHeight="1">
      <c r="A51" s="53" t="s">
        <v>662</v>
      </c>
      <c r="B51" s="44">
        <v>47</v>
      </c>
      <c r="C51" s="44">
        <v>2</v>
      </c>
      <c r="D51" s="44">
        <v>5</v>
      </c>
      <c r="E51" s="46" t="s">
        <v>594</v>
      </c>
      <c r="F51" s="46" t="s">
        <v>481</v>
      </c>
      <c r="G51" s="46" t="s">
        <v>491</v>
      </c>
      <c r="H51" s="44" t="s">
        <v>512</v>
      </c>
      <c r="I51" s="44">
        <v>1</v>
      </c>
      <c r="J51" s="46" t="s">
        <v>579</v>
      </c>
      <c r="K51" s="46" t="s">
        <v>526</v>
      </c>
      <c r="L51" s="44" t="s">
        <v>522</v>
      </c>
      <c r="M51" s="44" t="s">
        <v>767</v>
      </c>
      <c r="N51" s="47">
        <f t="shared" si="16"/>
        <v>4.8611111111111112E-2</v>
      </c>
      <c r="O51" s="48" t="s">
        <v>686</v>
      </c>
      <c r="P51" s="49">
        <f>P50+7</f>
        <v>288</v>
      </c>
      <c r="Q51" s="50">
        <v>7</v>
      </c>
      <c r="R51" s="51">
        <f>$Q$3*P51*P51+$R$3*P51</f>
        <v>2531.52</v>
      </c>
      <c r="S51" s="73"/>
      <c r="T51" s="73"/>
      <c r="U51" s="73"/>
      <c r="V51" s="73"/>
      <c r="W51" s="73"/>
      <c r="X51" s="73"/>
      <c r="Y51" s="73"/>
      <c r="Z51" s="73"/>
      <c r="AA51" s="73"/>
      <c r="AB51" s="74"/>
      <c r="AC51" s="74"/>
      <c r="AD51" s="49"/>
      <c r="AE51" s="49"/>
      <c r="AF51" s="49"/>
      <c r="AG51" s="49"/>
      <c r="AH51" s="49"/>
      <c r="AI51" s="52"/>
    </row>
    <row r="52" spans="1:35" ht="81.95" customHeight="1">
      <c r="A52" s="53" t="s">
        <v>662</v>
      </c>
      <c r="B52" s="44">
        <v>48</v>
      </c>
      <c r="C52" s="44">
        <v>1</v>
      </c>
      <c r="D52" s="44">
        <v>5</v>
      </c>
      <c r="E52" s="46" t="s">
        <v>529</v>
      </c>
      <c r="F52" s="46" t="s">
        <v>18</v>
      </c>
      <c r="G52" s="46" t="s">
        <v>737</v>
      </c>
      <c r="H52" s="44" t="s">
        <v>28</v>
      </c>
      <c r="I52" s="44">
        <v>1</v>
      </c>
      <c r="J52" s="46" t="s">
        <v>570</v>
      </c>
      <c r="K52" s="46" t="s">
        <v>526</v>
      </c>
      <c r="L52" s="44" t="s">
        <v>538</v>
      </c>
      <c r="M52" s="44" t="s">
        <v>309</v>
      </c>
      <c r="N52" s="47">
        <f t="shared" si="16"/>
        <v>4.9016203703703708E-2</v>
      </c>
      <c r="O52" s="48" t="s">
        <v>686</v>
      </c>
      <c r="P52" s="49">
        <f>P51+4</f>
        <v>292</v>
      </c>
      <c r="Q52" s="50">
        <v>4</v>
      </c>
      <c r="R52" s="51">
        <f>$Q$3*P52*P52+$R$3*P52</f>
        <v>2601.7200000000003</v>
      </c>
      <c r="S52" s="73"/>
      <c r="T52" s="73"/>
      <c r="U52" s="73"/>
      <c r="V52" s="73"/>
      <c r="W52" s="73"/>
      <c r="X52" s="73">
        <v>5</v>
      </c>
      <c r="Y52" s="73">
        <f t="shared" si="7"/>
        <v>4</v>
      </c>
      <c r="Z52" s="73">
        <f t="shared" si="25"/>
        <v>3</v>
      </c>
      <c r="AA52" s="73">
        <f t="shared" si="26"/>
        <v>2.5</v>
      </c>
      <c r="AB52" s="74">
        <f t="shared" si="4"/>
        <v>8.1018518518518516E-4</v>
      </c>
      <c r="AC52" s="74">
        <f t="shared" si="5"/>
        <v>5.6712962962962956E-4</v>
      </c>
      <c r="AD52" s="49" t="str">
        <f t="shared" si="6"/>
        <v>35초</v>
      </c>
      <c r="AE52" s="49"/>
      <c r="AF52" s="49"/>
      <c r="AG52" s="49"/>
      <c r="AH52" s="49"/>
      <c r="AI52" s="52"/>
    </row>
    <row r="53" spans="1:35" ht="81.95" customHeight="1">
      <c r="A53" s="54" t="s">
        <v>660</v>
      </c>
      <c r="B53" s="44">
        <v>49</v>
      </c>
      <c r="C53" s="44">
        <v>1</v>
      </c>
      <c r="D53" s="44">
        <v>6</v>
      </c>
      <c r="E53" s="45" t="s">
        <v>262</v>
      </c>
      <c r="F53" s="46" t="s">
        <v>476</v>
      </c>
      <c r="G53" s="46" t="s">
        <v>422</v>
      </c>
      <c r="H53" s="44" t="s">
        <v>415</v>
      </c>
      <c r="I53" s="44">
        <v>2</v>
      </c>
      <c r="J53" s="46" t="s">
        <v>313</v>
      </c>
      <c r="K53" s="46" t="s">
        <v>526</v>
      </c>
      <c r="L53" s="44" t="s">
        <v>530</v>
      </c>
      <c r="M53" s="44" t="s">
        <v>779</v>
      </c>
      <c r="N53" s="47">
        <f t="shared" si="16"/>
        <v>4.9479166666666671E-2</v>
      </c>
      <c r="O53" s="48" t="s">
        <v>270</v>
      </c>
      <c r="P53" s="49">
        <f>P52+4</f>
        <v>296</v>
      </c>
      <c r="Q53" s="50">
        <v>4</v>
      </c>
      <c r="R53" s="51">
        <f>$Q$3*P53*P53+$R$3*P53</f>
        <v>2672.8799999999997</v>
      </c>
      <c r="S53" s="73"/>
      <c r="T53" s="73"/>
      <c r="U53" s="73"/>
      <c r="V53" s="73"/>
      <c r="W53" s="73"/>
      <c r="X53" s="73"/>
      <c r="Y53" s="73"/>
      <c r="Z53" s="73"/>
      <c r="AA53" s="73"/>
      <c r="AB53" s="74"/>
      <c r="AC53" s="74"/>
      <c r="AD53" s="49"/>
      <c r="AE53" s="49"/>
      <c r="AF53" s="49"/>
      <c r="AG53" s="49"/>
      <c r="AH53" s="49"/>
      <c r="AI53" s="52"/>
    </row>
    <row r="54" spans="1:35" ht="81.95" customHeight="1">
      <c r="A54" s="54" t="s">
        <v>660</v>
      </c>
      <c r="B54" s="44">
        <v>50</v>
      </c>
      <c r="C54" s="44">
        <v>2</v>
      </c>
      <c r="D54" s="44">
        <v>8</v>
      </c>
      <c r="E54" s="46" t="s">
        <v>458</v>
      </c>
      <c r="F54" s="46" t="s">
        <v>25</v>
      </c>
      <c r="G54" s="46" t="s">
        <v>505</v>
      </c>
      <c r="H54" s="44" t="s">
        <v>499</v>
      </c>
      <c r="I54" s="44">
        <v>3</v>
      </c>
      <c r="J54" s="46" t="s">
        <v>762</v>
      </c>
      <c r="K54" s="46" t="s">
        <v>526</v>
      </c>
      <c r="L54" s="44" t="s">
        <v>547</v>
      </c>
      <c r="M54" s="44" t="s">
        <v>808</v>
      </c>
      <c r="N54" s="47">
        <f t="shared" si="16"/>
        <v>5.0289351851851856E-2</v>
      </c>
      <c r="O54" s="48" t="s">
        <v>270</v>
      </c>
      <c r="P54" s="49">
        <f>P53+7</f>
        <v>303</v>
      </c>
      <c r="Q54" s="50">
        <v>7</v>
      </c>
      <c r="R54" s="51">
        <f>$Q$3*P54*P54+$R$3*P54</f>
        <v>2799.72</v>
      </c>
      <c r="S54" s="73"/>
      <c r="T54" s="73"/>
      <c r="U54" s="73"/>
      <c r="V54" s="73"/>
      <c r="W54" s="73"/>
      <c r="X54" s="73">
        <v>5</v>
      </c>
      <c r="Y54" s="73">
        <f t="shared" si="7"/>
        <v>4</v>
      </c>
      <c r="Z54" s="73">
        <f t="shared" si="25"/>
        <v>3</v>
      </c>
      <c r="AA54" s="73">
        <f t="shared" si="26"/>
        <v>2.5</v>
      </c>
      <c r="AB54" s="74">
        <f t="shared" si="4"/>
        <v>1.6203703703703703E-3</v>
      </c>
      <c r="AC54" s="74">
        <f t="shared" si="5"/>
        <v>1.1342592592592591E-3</v>
      </c>
      <c r="AD54" s="49" t="str">
        <f t="shared" si="6"/>
        <v>1분 10초</v>
      </c>
      <c r="AE54" s="49"/>
      <c r="AF54" s="49"/>
      <c r="AG54" s="49"/>
      <c r="AH54" s="49"/>
      <c r="AI54" s="52"/>
    </row>
    <row r="55" spans="1:35" ht="81.95" customHeight="1">
      <c r="A55" s="54" t="s">
        <v>660</v>
      </c>
      <c r="B55" s="44">
        <v>51</v>
      </c>
      <c r="C55" s="44">
        <v>3</v>
      </c>
      <c r="D55" s="44">
        <v>7</v>
      </c>
      <c r="E55" s="46" t="s">
        <v>598</v>
      </c>
      <c r="F55" s="46" t="s">
        <v>76</v>
      </c>
      <c r="G55" s="46" t="s">
        <v>210</v>
      </c>
      <c r="H55" s="44" t="s">
        <v>87</v>
      </c>
      <c r="I55" s="44">
        <v>5</v>
      </c>
      <c r="J55" s="46" t="s">
        <v>740</v>
      </c>
      <c r="K55" s="46" t="s">
        <v>798</v>
      </c>
      <c r="L55" s="44" t="s">
        <v>522</v>
      </c>
      <c r="M55" s="44" t="s">
        <v>578</v>
      </c>
      <c r="N55" s="47">
        <f t="shared" si="16"/>
        <v>5.1678240740740747E-2</v>
      </c>
      <c r="O55" s="48" t="s">
        <v>270</v>
      </c>
      <c r="P55" s="49">
        <f>P54+8</f>
        <v>311</v>
      </c>
      <c r="Q55" s="50">
        <v>8</v>
      </c>
      <c r="R55" s="51">
        <f>$Q$3*P55*P55+$R$3*P55</f>
        <v>2948.28</v>
      </c>
      <c r="S55" s="73"/>
      <c r="T55" s="73"/>
      <c r="U55" s="73"/>
      <c r="V55" s="73"/>
      <c r="W55" s="73"/>
      <c r="X55" s="73">
        <v>5</v>
      </c>
      <c r="Y55" s="73">
        <f t="shared" si="7"/>
        <v>4</v>
      </c>
      <c r="Z55" s="73">
        <f t="shared" si="25"/>
        <v>3</v>
      </c>
      <c r="AA55" s="73">
        <f t="shared" si="26"/>
        <v>2.5</v>
      </c>
      <c r="AB55" s="74">
        <f t="shared" si="4"/>
        <v>2.7777777777777779E-3</v>
      </c>
      <c r="AC55" s="74">
        <f t="shared" si="5"/>
        <v>1.9444444444444444E-3</v>
      </c>
      <c r="AD55" s="49" t="str">
        <f t="shared" si="6"/>
        <v>2분</v>
      </c>
      <c r="AE55" s="49"/>
      <c r="AF55" s="49"/>
      <c r="AG55" s="49"/>
      <c r="AH55" s="49"/>
      <c r="AI55" s="52"/>
    </row>
    <row r="56" spans="1:35" ht="81.95" customHeight="1">
      <c r="A56" s="54" t="s">
        <v>660</v>
      </c>
      <c r="B56" s="44">
        <v>52</v>
      </c>
      <c r="C56" s="44">
        <v>4</v>
      </c>
      <c r="D56" s="44">
        <v>9</v>
      </c>
      <c r="E56" s="46" t="s">
        <v>591</v>
      </c>
      <c r="F56" s="46" t="s">
        <v>474</v>
      </c>
      <c r="G56" s="46" t="s">
        <v>500</v>
      </c>
      <c r="H56" s="44" t="s">
        <v>96</v>
      </c>
      <c r="I56" s="44">
        <v>3</v>
      </c>
      <c r="J56" s="46" t="s">
        <v>144</v>
      </c>
      <c r="K56" s="46" t="s">
        <v>29</v>
      </c>
      <c r="L56" s="44" t="s">
        <v>561</v>
      </c>
      <c r="M56" s="44" t="s">
        <v>775</v>
      </c>
      <c r="N56" s="47">
        <f t="shared" si="16"/>
        <v>5.3530092592592601E-2</v>
      </c>
      <c r="O56" s="48" t="s">
        <v>270</v>
      </c>
      <c r="P56" s="49">
        <f>P55+10</f>
        <v>321</v>
      </c>
      <c r="Q56" s="50">
        <v>10</v>
      </c>
      <c r="R56" s="51">
        <f>$Q$3*P56*P56+$R$3*P56</f>
        <v>3139.3799999999997</v>
      </c>
      <c r="S56" s="73"/>
      <c r="T56" s="73"/>
      <c r="U56" s="73"/>
      <c r="V56" s="73"/>
      <c r="W56" s="73"/>
      <c r="X56" s="73">
        <v>5</v>
      </c>
      <c r="Y56" s="73">
        <f t="shared" si="7"/>
        <v>4</v>
      </c>
      <c r="Z56" s="73">
        <f t="shared" ref="Z56" si="31">X56*0.6</f>
        <v>3</v>
      </c>
      <c r="AA56" s="73">
        <f t="shared" ref="AA56" si="32">X56*0.5</f>
        <v>2.5</v>
      </c>
      <c r="AB56" s="74">
        <f t="shared" si="4"/>
        <v>3.7037037037037038E-3</v>
      </c>
      <c r="AC56" s="74">
        <f t="shared" si="5"/>
        <v>2.5925925925925925E-3</v>
      </c>
      <c r="AD56" s="49" t="str">
        <f t="shared" si="6"/>
        <v>2분 40초</v>
      </c>
      <c r="AE56" s="49"/>
      <c r="AF56" s="49"/>
      <c r="AG56" s="49"/>
      <c r="AH56" s="49"/>
      <c r="AI56" s="52"/>
    </row>
    <row r="57" spans="1:35" ht="81.95" customHeight="1">
      <c r="A57" s="54" t="s">
        <v>660</v>
      </c>
      <c r="B57" s="44">
        <v>53</v>
      </c>
      <c r="C57" s="44">
        <v>4</v>
      </c>
      <c r="D57" s="44">
        <v>8</v>
      </c>
      <c r="E57" s="46" t="s">
        <v>241</v>
      </c>
      <c r="F57" s="46" t="s">
        <v>22</v>
      </c>
      <c r="G57" s="46" t="s">
        <v>30</v>
      </c>
      <c r="H57" s="44" t="s">
        <v>416</v>
      </c>
      <c r="I57" s="44">
        <v>1</v>
      </c>
      <c r="J57" s="46" t="s">
        <v>324</v>
      </c>
      <c r="K57" s="46" t="s">
        <v>785</v>
      </c>
      <c r="L57" s="44" t="s">
        <v>543</v>
      </c>
      <c r="M57" s="44" t="s">
        <v>167</v>
      </c>
      <c r="N57" s="47">
        <f t="shared" si="16"/>
        <v>5.4629629629629639E-2</v>
      </c>
      <c r="O57" s="48" t="s">
        <v>687</v>
      </c>
      <c r="P57" s="49">
        <f>P56+8</f>
        <v>329</v>
      </c>
      <c r="Q57" s="50">
        <v>8</v>
      </c>
      <c r="R57" s="51">
        <f>$Q$3*P57*P57+$R$3*P57</f>
        <v>3296.5799999999995</v>
      </c>
      <c r="S57" s="73"/>
      <c r="T57" s="73"/>
      <c r="U57" s="73"/>
      <c r="V57" s="73"/>
      <c r="W57" s="73"/>
      <c r="X57" s="73"/>
      <c r="Y57" s="73"/>
      <c r="Z57" s="73"/>
      <c r="AA57" s="73"/>
      <c r="AB57" s="74"/>
      <c r="AC57" s="74"/>
      <c r="AD57" s="49"/>
      <c r="AE57" s="49"/>
      <c r="AF57" s="49"/>
      <c r="AG57" s="49"/>
      <c r="AH57" s="49"/>
      <c r="AI57" s="52"/>
    </row>
    <row r="58" spans="1:35" ht="81.95" customHeight="1">
      <c r="A58" s="54" t="s">
        <v>660</v>
      </c>
      <c r="B58" s="44">
        <v>54</v>
      </c>
      <c r="C58" s="44">
        <v>5</v>
      </c>
      <c r="D58" s="44">
        <v>9</v>
      </c>
      <c r="E58" s="46" t="s">
        <v>597</v>
      </c>
      <c r="F58" s="46" t="s">
        <v>85</v>
      </c>
      <c r="G58" s="46" t="s">
        <v>97</v>
      </c>
      <c r="H58" s="44" t="s">
        <v>74</v>
      </c>
      <c r="I58" s="44">
        <v>3</v>
      </c>
      <c r="J58" s="46" t="s">
        <v>323</v>
      </c>
      <c r="K58" s="46" t="s">
        <v>804</v>
      </c>
      <c r="L58" s="44" t="s">
        <v>518</v>
      </c>
      <c r="M58" s="44" t="s">
        <v>175</v>
      </c>
      <c r="N58" s="47">
        <f t="shared" si="16"/>
        <v>5.6712962962962972E-2</v>
      </c>
      <c r="O58" s="48" t="s">
        <v>687</v>
      </c>
      <c r="P58" s="49">
        <f>P57+11</f>
        <v>340</v>
      </c>
      <c r="Q58" s="50">
        <v>11</v>
      </c>
      <c r="R58" s="51">
        <f>$Q$3*P58*P58+$R$3*P58</f>
        <v>3518.9999999999995</v>
      </c>
      <c r="S58" s="73"/>
      <c r="T58" s="73"/>
      <c r="U58" s="73"/>
      <c r="V58" s="73"/>
      <c r="W58" s="73"/>
      <c r="X58" s="73">
        <v>5</v>
      </c>
      <c r="Y58" s="73">
        <f t="shared" si="7"/>
        <v>4</v>
      </c>
      <c r="Z58" s="73">
        <f t="shared" ref="Z58:Z63" si="33">X58*0.6</f>
        <v>3</v>
      </c>
      <c r="AA58" s="73">
        <f t="shared" ref="AA58:AA63" si="34">X58*0.5</f>
        <v>2.5</v>
      </c>
      <c r="AB58" s="74">
        <f t="shared" si="4"/>
        <v>4.1666666666666666E-3</v>
      </c>
      <c r="AC58" s="74">
        <f t="shared" si="5"/>
        <v>2.9166666666666664E-3</v>
      </c>
      <c r="AD58" s="49" t="str">
        <f t="shared" si="6"/>
        <v>3분</v>
      </c>
      <c r="AE58" s="49"/>
      <c r="AF58" s="49"/>
      <c r="AG58" s="49"/>
      <c r="AH58" s="49"/>
      <c r="AI58" s="52"/>
    </row>
    <row r="59" spans="1:35" ht="81.95" customHeight="1">
      <c r="A59" s="54" t="s">
        <v>660</v>
      </c>
      <c r="B59" s="44">
        <v>55</v>
      </c>
      <c r="C59" s="44">
        <v>5</v>
      </c>
      <c r="D59" s="44">
        <v>9</v>
      </c>
      <c r="E59" s="46" t="s">
        <v>251</v>
      </c>
      <c r="F59" s="46" t="s">
        <v>807</v>
      </c>
      <c r="G59" s="46" t="s">
        <v>494</v>
      </c>
      <c r="H59" s="44" t="s">
        <v>487</v>
      </c>
      <c r="I59" s="44">
        <v>1</v>
      </c>
      <c r="J59" s="46" t="s">
        <v>143</v>
      </c>
      <c r="K59" s="46" t="s">
        <v>723</v>
      </c>
      <c r="L59" s="44" t="s">
        <v>544</v>
      </c>
      <c r="M59" s="44" t="s">
        <v>174</v>
      </c>
      <c r="N59" s="47">
        <f t="shared" si="16"/>
        <v>5.8333333333333341E-2</v>
      </c>
      <c r="O59" s="48" t="s">
        <v>687</v>
      </c>
      <c r="P59" s="49">
        <f>P58+10</f>
        <v>350</v>
      </c>
      <c r="Q59" s="50">
        <v>10</v>
      </c>
      <c r="R59" s="51">
        <f>$Q$3*P59*P59+$R$3*P59</f>
        <v>3727.5</v>
      </c>
      <c r="S59" s="73"/>
      <c r="T59" s="73"/>
      <c r="U59" s="73"/>
      <c r="V59" s="73"/>
      <c r="W59" s="73"/>
      <c r="X59" s="73"/>
      <c r="Y59" s="73"/>
      <c r="Z59" s="73"/>
      <c r="AA59" s="73"/>
      <c r="AB59" s="74"/>
      <c r="AC59" s="74"/>
      <c r="AD59" s="49"/>
      <c r="AE59" s="49"/>
      <c r="AF59" s="49"/>
      <c r="AG59" s="49"/>
      <c r="AH59" s="49"/>
      <c r="AI59" s="52"/>
    </row>
    <row r="60" spans="1:35" ht="81.95" customHeight="1">
      <c r="A60" s="54" t="s">
        <v>660</v>
      </c>
      <c r="B60" s="44">
        <v>56</v>
      </c>
      <c r="C60" s="44">
        <v>4</v>
      </c>
      <c r="D60" s="44">
        <v>8</v>
      </c>
      <c r="E60" s="46" t="s">
        <v>261</v>
      </c>
      <c r="F60" s="46" t="s">
        <v>481</v>
      </c>
      <c r="G60" s="46" t="s">
        <v>53</v>
      </c>
      <c r="H60" s="44" t="s">
        <v>148</v>
      </c>
      <c r="I60" s="44">
        <v>1</v>
      </c>
      <c r="J60" s="46" t="s">
        <v>792</v>
      </c>
      <c r="K60" s="46" t="s">
        <v>526</v>
      </c>
      <c r="L60" s="44" t="s">
        <v>454</v>
      </c>
      <c r="M60" s="44" t="s">
        <v>767</v>
      </c>
      <c r="N60" s="47">
        <f t="shared" si="16"/>
        <v>6.0069444444444453E-2</v>
      </c>
      <c r="O60" s="48" t="s">
        <v>687</v>
      </c>
      <c r="P60" s="49">
        <f>P59+9</f>
        <v>359</v>
      </c>
      <c r="Q60" s="50">
        <v>9</v>
      </c>
      <c r="R60" s="51">
        <f>$Q$3*P60*P60+$R$3*P60</f>
        <v>3920.2799999999997</v>
      </c>
      <c r="S60" s="73"/>
      <c r="T60" s="73"/>
      <c r="U60" s="73"/>
      <c r="V60" s="73"/>
      <c r="W60" s="73"/>
      <c r="X60" s="73"/>
      <c r="Y60" s="73"/>
      <c r="Z60" s="73"/>
      <c r="AA60" s="73"/>
      <c r="AB60" s="74"/>
      <c r="AC60" s="74"/>
      <c r="AD60" s="49"/>
      <c r="AE60" s="49"/>
      <c r="AF60" s="49"/>
      <c r="AG60" s="49"/>
      <c r="AH60" s="49"/>
      <c r="AI60" s="52"/>
    </row>
    <row r="61" spans="1:35" ht="81.95" customHeight="1">
      <c r="A61" s="54" t="s">
        <v>660</v>
      </c>
      <c r="B61" s="44">
        <v>57</v>
      </c>
      <c r="C61" s="44">
        <v>6</v>
      </c>
      <c r="D61" s="44">
        <v>9</v>
      </c>
      <c r="E61" s="46" t="s">
        <v>258</v>
      </c>
      <c r="F61" s="46" t="s">
        <v>469</v>
      </c>
      <c r="G61" s="46" t="s">
        <v>47</v>
      </c>
      <c r="H61" s="44" t="s">
        <v>80</v>
      </c>
      <c r="I61" s="44">
        <v>4</v>
      </c>
      <c r="J61" s="46" t="s">
        <v>312</v>
      </c>
      <c r="K61" s="46" t="s">
        <v>21</v>
      </c>
      <c r="L61" s="44" t="s">
        <v>454</v>
      </c>
      <c r="M61" s="44" t="s">
        <v>731</v>
      </c>
      <c r="N61" s="47">
        <f t="shared" si="16"/>
        <v>6.1805555555555565E-2</v>
      </c>
      <c r="O61" s="48" t="s">
        <v>687</v>
      </c>
      <c r="P61" s="49">
        <f>P60+11</f>
        <v>370</v>
      </c>
      <c r="Q61" s="50">
        <v>11</v>
      </c>
      <c r="R61" s="51">
        <f>$Q$3*P61*P61+$R$3*P61</f>
        <v>4162.5</v>
      </c>
      <c r="S61" s="73">
        <f>R61/V61</f>
        <v>4162.5</v>
      </c>
      <c r="T61" s="73">
        <v>1</v>
      </c>
      <c r="U61" s="73">
        <f>T61*V61</f>
        <v>1</v>
      </c>
      <c r="V61" s="73">
        <v>1</v>
      </c>
      <c r="W61" s="73"/>
      <c r="X61" s="73">
        <v>5</v>
      </c>
      <c r="Y61" s="73">
        <f t="shared" si="7"/>
        <v>4</v>
      </c>
      <c r="Z61" s="73">
        <f t="shared" si="33"/>
        <v>3</v>
      </c>
      <c r="AA61" s="73">
        <f t="shared" si="34"/>
        <v>2.5</v>
      </c>
      <c r="AB61" s="74">
        <f t="shared" si="4"/>
        <v>3.472222222222222E-3</v>
      </c>
      <c r="AC61" s="74">
        <f t="shared" si="5"/>
        <v>2.4305555555555552E-3</v>
      </c>
      <c r="AD61" s="49" t="str">
        <f t="shared" si="6"/>
        <v>2분 30초</v>
      </c>
      <c r="AE61" s="49"/>
      <c r="AF61" s="49"/>
      <c r="AG61" s="49"/>
      <c r="AH61" s="49"/>
      <c r="AI61" s="52"/>
    </row>
    <row r="62" spans="1:35" ht="81.95" customHeight="1">
      <c r="A62" s="54" t="s">
        <v>660</v>
      </c>
      <c r="B62" s="44">
        <v>58</v>
      </c>
      <c r="C62" s="44">
        <v>2</v>
      </c>
      <c r="D62" s="44">
        <v>8</v>
      </c>
      <c r="E62" s="46" t="s">
        <v>607</v>
      </c>
      <c r="F62" s="46" t="s">
        <v>25</v>
      </c>
      <c r="G62" s="46" t="s">
        <v>505</v>
      </c>
      <c r="H62" s="44" t="s">
        <v>499</v>
      </c>
      <c r="I62" s="44">
        <v>2</v>
      </c>
      <c r="J62" s="46" t="s">
        <v>497</v>
      </c>
      <c r="K62" s="46" t="s">
        <v>526</v>
      </c>
      <c r="L62" s="44" t="s">
        <v>447</v>
      </c>
      <c r="M62" s="44" t="s">
        <v>808</v>
      </c>
      <c r="N62" s="47">
        <f t="shared" si="16"/>
        <v>6.2731481481481485E-2</v>
      </c>
      <c r="O62" s="48" t="s">
        <v>687</v>
      </c>
      <c r="P62" s="49">
        <f>P61+7</f>
        <v>377</v>
      </c>
      <c r="Q62" s="50">
        <v>7</v>
      </c>
      <c r="R62" s="51">
        <f>$Q$3*P62*P62+$R$3*P62</f>
        <v>4320.42</v>
      </c>
      <c r="S62" s="73"/>
      <c r="T62" s="73"/>
      <c r="U62" s="73"/>
      <c r="V62" s="73"/>
      <c r="W62" s="73"/>
      <c r="X62" s="73">
        <v>5</v>
      </c>
      <c r="Y62" s="73">
        <f t="shared" si="7"/>
        <v>4</v>
      </c>
      <c r="Z62" s="73">
        <f t="shared" si="33"/>
        <v>3</v>
      </c>
      <c r="AA62" s="73">
        <f t="shared" si="34"/>
        <v>2.5</v>
      </c>
      <c r="AB62" s="74">
        <f t="shared" si="4"/>
        <v>1.8518518518518519E-3</v>
      </c>
      <c r="AC62" s="74">
        <f t="shared" si="5"/>
        <v>1.2962962962962963E-3</v>
      </c>
      <c r="AD62" s="49" t="str">
        <f t="shared" si="6"/>
        <v>1분 20초</v>
      </c>
      <c r="AE62" s="49"/>
      <c r="AF62" s="49"/>
      <c r="AG62" s="49"/>
      <c r="AH62" s="49"/>
      <c r="AI62" s="52"/>
    </row>
    <row r="63" spans="1:35" ht="81.95" customHeight="1">
      <c r="A63" s="54" t="s">
        <v>660</v>
      </c>
      <c r="B63" s="44">
        <v>59</v>
      </c>
      <c r="C63" s="44">
        <v>3</v>
      </c>
      <c r="D63" s="44">
        <v>8</v>
      </c>
      <c r="E63" s="46" t="s">
        <v>606</v>
      </c>
      <c r="F63" s="46" t="s">
        <v>481</v>
      </c>
      <c r="G63" s="46" t="s">
        <v>151</v>
      </c>
      <c r="H63" s="44" t="s">
        <v>473</v>
      </c>
      <c r="I63" s="44">
        <v>1</v>
      </c>
      <c r="J63" s="46" t="s">
        <v>571</v>
      </c>
      <c r="K63" s="46" t="s">
        <v>526</v>
      </c>
      <c r="L63" s="44" t="s">
        <v>522</v>
      </c>
      <c r="M63" s="44" t="s">
        <v>767</v>
      </c>
      <c r="N63" s="47">
        <f t="shared" si="16"/>
        <v>6.4120370370370369E-2</v>
      </c>
      <c r="O63" s="48" t="s">
        <v>269</v>
      </c>
      <c r="P63" s="49">
        <f>P62+8</f>
        <v>385</v>
      </c>
      <c r="Q63" s="50">
        <v>8</v>
      </c>
      <c r="R63" s="51">
        <f>$Q$3*P63*P63+$R$3*P63</f>
        <v>4504.5</v>
      </c>
      <c r="S63" s="73"/>
      <c r="T63" s="73"/>
      <c r="U63" s="73"/>
      <c r="V63" s="73"/>
      <c r="W63" s="73"/>
      <c r="X63" s="73">
        <v>5</v>
      </c>
      <c r="Y63" s="73">
        <f t="shared" si="7"/>
        <v>4</v>
      </c>
      <c r="Z63" s="73">
        <f t="shared" si="33"/>
        <v>3</v>
      </c>
      <c r="AA63" s="73">
        <f t="shared" si="34"/>
        <v>2.5</v>
      </c>
      <c r="AB63" s="74">
        <f t="shared" si="4"/>
        <v>2.7777777777777779E-3</v>
      </c>
      <c r="AC63" s="74">
        <f t="shared" si="5"/>
        <v>1.9444444444444444E-3</v>
      </c>
      <c r="AD63" s="49" t="str">
        <f t="shared" si="6"/>
        <v>2분</v>
      </c>
      <c r="AE63" s="49"/>
      <c r="AF63" s="49"/>
      <c r="AG63" s="49"/>
      <c r="AH63" s="49"/>
      <c r="AI63" s="52"/>
    </row>
    <row r="64" spans="1:35" ht="81.95" customHeight="1">
      <c r="A64" s="54" t="s">
        <v>660</v>
      </c>
      <c r="B64" s="44">
        <v>60</v>
      </c>
      <c r="C64" s="44">
        <v>1</v>
      </c>
      <c r="D64" s="44">
        <v>8</v>
      </c>
      <c r="E64" s="46" t="s">
        <v>609</v>
      </c>
      <c r="F64" s="46" t="s">
        <v>25</v>
      </c>
      <c r="G64" s="46" t="s">
        <v>505</v>
      </c>
      <c r="H64" s="44" t="s">
        <v>493</v>
      </c>
      <c r="I64" s="44">
        <v>2</v>
      </c>
      <c r="J64" s="46" t="s">
        <v>38</v>
      </c>
      <c r="K64" s="46" t="s">
        <v>526</v>
      </c>
      <c r="L64" s="44" t="s">
        <v>432</v>
      </c>
      <c r="M64" s="44" t="s">
        <v>808</v>
      </c>
      <c r="N64" s="47">
        <f t="shared" si="16"/>
        <v>6.5393518518518517E-2</v>
      </c>
      <c r="O64" s="48" t="s">
        <v>269</v>
      </c>
      <c r="P64" s="49">
        <f>P63+7</f>
        <v>392</v>
      </c>
      <c r="Q64" s="50">
        <v>7</v>
      </c>
      <c r="R64" s="51">
        <f>$Q$3*P64*P64+$R$3*P64</f>
        <v>4668.72</v>
      </c>
      <c r="S64" s="73"/>
      <c r="T64" s="73"/>
      <c r="U64" s="73"/>
      <c r="V64" s="73"/>
      <c r="W64" s="73"/>
      <c r="X64" s="73"/>
      <c r="Y64" s="73"/>
      <c r="Z64" s="73"/>
      <c r="AA64" s="73"/>
      <c r="AB64" s="74"/>
      <c r="AC64" s="74"/>
      <c r="AD64" s="49"/>
      <c r="AE64" s="49"/>
      <c r="AF64" s="49"/>
      <c r="AG64" s="49"/>
      <c r="AH64" s="49"/>
      <c r="AI64" s="52"/>
    </row>
    <row r="65" spans="1:35" ht="81.95" customHeight="1">
      <c r="A65" s="54" t="s">
        <v>660</v>
      </c>
      <c r="B65" s="44">
        <v>61</v>
      </c>
      <c r="C65" s="44">
        <v>2</v>
      </c>
      <c r="D65" s="44">
        <v>8</v>
      </c>
      <c r="E65" s="46" t="s">
        <v>608</v>
      </c>
      <c r="F65" s="46" t="s">
        <v>490</v>
      </c>
      <c r="G65" s="46" t="s">
        <v>478</v>
      </c>
      <c r="H65" s="44" t="s">
        <v>204</v>
      </c>
      <c r="I65" s="44">
        <v>3</v>
      </c>
      <c r="J65" s="46" t="s">
        <v>666</v>
      </c>
      <c r="K65" s="46" t="s">
        <v>724</v>
      </c>
      <c r="L65" s="44" t="s">
        <v>541</v>
      </c>
      <c r="M65" s="44" t="s">
        <v>181</v>
      </c>
      <c r="N65" s="47">
        <f t="shared" si="16"/>
        <v>6.655092592592593E-2</v>
      </c>
      <c r="O65" s="48" t="s">
        <v>269</v>
      </c>
      <c r="P65" s="49">
        <f>P64+7</f>
        <v>399</v>
      </c>
      <c r="Q65" s="50">
        <v>7</v>
      </c>
      <c r="R65" s="51">
        <f>$Q$3*P65*P65+$R$3*P65</f>
        <v>4835.88</v>
      </c>
      <c r="S65" s="73"/>
      <c r="T65" s="73"/>
      <c r="U65" s="73"/>
      <c r="V65" s="73"/>
      <c r="W65" s="73"/>
      <c r="X65" s="73"/>
      <c r="Y65" s="73"/>
      <c r="Z65" s="73"/>
      <c r="AA65" s="73"/>
      <c r="AB65" s="74"/>
      <c r="AC65" s="74"/>
      <c r="AD65" s="49"/>
      <c r="AE65" s="49"/>
      <c r="AF65" s="49"/>
      <c r="AG65" s="49"/>
      <c r="AH65" s="49"/>
      <c r="AI65" s="52"/>
    </row>
    <row r="66" spans="1:35" ht="81.95" customHeight="1">
      <c r="A66" s="54" t="s">
        <v>660</v>
      </c>
      <c r="B66" s="44">
        <v>62</v>
      </c>
      <c r="C66" s="44">
        <v>2</v>
      </c>
      <c r="D66" s="44">
        <v>9</v>
      </c>
      <c r="E66" s="46" t="s">
        <v>263</v>
      </c>
      <c r="F66" s="46" t="s">
        <v>490</v>
      </c>
      <c r="G66" s="46" t="s">
        <v>208</v>
      </c>
      <c r="H66" s="44" t="s">
        <v>198</v>
      </c>
      <c r="I66" s="44">
        <v>4</v>
      </c>
      <c r="J66" s="46" t="s">
        <v>666</v>
      </c>
      <c r="K66" s="46" t="s">
        <v>724</v>
      </c>
      <c r="L66" s="44" t="s">
        <v>435</v>
      </c>
      <c r="M66" s="44" t="s">
        <v>181</v>
      </c>
      <c r="N66" s="47">
        <f t="shared" si="16"/>
        <v>6.8055555555555564E-2</v>
      </c>
      <c r="O66" s="48" t="s">
        <v>269</v>
      </c>
      <c r="P66" s="49">
        <f>P65+9</f>
        <v>408</v>
      </c>
      <c r="Q66" s="50">
        <v>9</v>
      </c>
      <c r="R66" s="51">
        <f>$Q$3*P66*P66+$R$3*P66</f>
        <v>5055.12</v>
      </c>
      <c r="S66" s="73"/>
      <c r="T66" s="73"/>
      <c r="U66" s="73"/>
      <c r="V66" s="73"/>
      <c r="W66" s="73"/>
      <c r="X66" s="73"/>
      <c r="Y66" s="73"/>
      <c r="Z66" s="73"/>
      <c r="AA66" s="73"/>
      <c r="AB66" s="74"/>
      <c r="AC66" s="74"/>
      <c r="AD66" s="49"/>
      <c r="AE66" s="49"/>
      <c r="AF66" s="49"/>
      <c r="AG66" s="49"/>
      <c r="AH66" s="49"/>
      <c r="AI66" s="52"/>
    </row>
    <row r="67" spans="1:35" ht="81.95" customHeight="1">
      <c r="A67" s="54" t="s">
        <v>660</v>
      </c>
      <c r="B67" s="44">
        <v>63</v>
      </c>
      <c r="C67" s="44">
        <v>1</v>
      </c>
      <c r="D67" s="44">
        <v>9</v>
      </c>
      <c r="E67" s="46" t="s">
        <v>605</v>
      </c>
      <c r="F67" s="46" t="s">
        <v>373</v>
      </c>
      <c r="G67" s="46" t="s">
        <v>124</v>
      </c>
      <c r="H67" s="44" t="s">
        <v>424</v>
      </c>
      <c r="I67" s="44">
        <v>3</v>
      </c>
      <c r="J67" s="46" t="s">
        <v>141</v>
      </c>
      <c r="K67" s="46" t="s">
        <v>526</v>
      </c>
      <c r="L67" s="44" t="s">
        <v>522</v>
      </c>
      <c r="M67" s="44" t="s">
        <v>177</v>
      </c>
      <c r="N67" s="47">
        <f t="shared" si="16"/>
        <v>6.9444444444444448E-2</v>
      </c>
      <c r="O67" s="48" t="s">
        <v>269</v>
      </c>
      <c r="P67" s="49">
        <f>P66+8</f>
        <v>416</v>
      </c>
      <c r="Q67" s="50">
        <v>8</v>
      </c>
      <c r="R67" s="51">
        <f>$Q$3*P67*P67+$R$3*P67</f>
        <v>5254.08</v>
      </c>
      <c r="S67" s="73"/>
      <c r="T67" s="73"/>
      <c r="U67" s="73"/>
      <c r="V67" s="73"/>
      <c r="W67" s="73"/>
      <c r="X67" s="73"/>
      <c r="Y67" s="73"/>
      <c r="Z67" s="73"/>
      <c r="AA67" s="73"/>
      <c r="AB67" s="74"/>
      <c r="AC67" s="74"/>
      <c r="AD67" s="49"/>
      <c r="AE67" s="49"/>
      <c r="AF67" s="49"/>
      <c r="AG67" s="49"/>
      <c r="AH67" s="49"/>
      <c r="AI67" s="52"/>
    </row>
    <row r="68" spans="1:35" ht="81.95" customHeight="1">
      <c r="A68" s="54" t="s">
        <v>660</v>
      </c>
      <c r="B68" s="44">
        <v>64</v>
      </c>
      <c r="C68" s="44">
        <v>1</v>
      </c>
      <c r="D68" s="44">
        <v>8</v>
      </c>
      <c r="E68" s="46" t="s">
        <v>585</v>
      </c>
      <c r="F68" s="46" t="s">
        <v>506</v>
      </c>
      <c r="G68" s="46" t="s">
        <v>206</v>
      </c>
      <c r="H68" s="44" t="s">
        <v>375</v>
      </c>
      <c r="I68" s="44">
        <v>2</v>
      </c>
      <c r="J68" s="46" t="s">
        <v>670</v>
      </c>
      <c r="K68" s="46" t="s">
        <v>526</v>
      </c>
      <c r="L68" s="44" t="s">
        <v>541</v>
      </c>
      <c r="M68" s="44" t="s">
        <v>173</v>
      </c>
      <c r="N68" s="47">
        <f t="shared" si="16"/>
        <v>7.060185185185186E-2</v>
      </c>
      <c r="O68" s="48" t="s">
        <v>269</v>
      </c>
      <c r="P68" s="49">
        <f>P67+7</f>
        <v>423</v>
      </c>
      <c r="Q68" s="50">
        <v>7</v>
      </c>
      <c r="R68" s="51">
        <f>$Q$3*P68*P68+$R$3*P68</f>
        <v>5431.32</v>
      </c>
      <c r="S68" s="73"/>
      <c r="T68" s="73"/>
      <c r="U68" s="73"/>
      <c r="V68" s="73"/>
      <c r="W68" s="73"/>
      <c r="X68" s="73"/>
      <c r="Y68" s="73"/>
      <c r="Z68" s="73"/>
      <c r="AA68" s="73"/>
      <c r="AB68" s="74"/>
      <c r="AC68" s="74"/>
      <c r="AD68" s="49"/>
      <c r="AE68" s="49"/>
      <c r="AF68" s="49"/>
      <c r="AG68" s="49"/>
      <c r="AH68" s="49"/>
      <c r="AI68" s="52"/>
    </row>
    <row r="69" spans="1:35" ht="81.95" customHeight="1">
      <c r="A69" s="54" t="s">
        <v>660</v>
      </c>
      <c r="B69" s="44">
        <v>65</v>
      </c>
      <c r="C69" s="44">
        <v>1</v>
      </c>
      <c r="D69" s="44">
        <v>8</v>
      </c>
      <c r="E69" s="46" t="s">
        <v>265</v>
      </c>
      <c r="F69" s="46" t="s">
        <v>372</v>
      </c>
      <c r="G69" s="46" t="s">
        <v>202</v>
      </c>
      <c r="H69" s="44" t="s">
        <v>403</v>
      </c>
      <c r="I69" s="44">
        <v>2</v>
      </c>
      <c r="J69" s="46" t="s">
        <v>665</v>
      </c>
      <c r="K69" s="46" t="s">
        <v>526</v>
      </c>
      <c r="L69" s="44" t="s">
        <v>447</v>
      </c>
      <c r="M69" s="44" t="s">
        <v>142</v>
      </c>
      <c r="N69" s="47">
        <f t="shared" si="16"/>
        <v>7.1527777777777787E-2</v>
      </c>
      <c r="O69" s="48" t="s">
        <v>255</v>
      </c>
      <c r="P69" s="49">
        <f>P68+6</f>
        <v>429</v>
      </c>
      <c r="Q69" s="50">
        <v>6</v>
      </c>
      <c r="R69" s="51">
        <f>$Q$3*P69*P69+$R$3*P69</f>
        <v>5585.58</v>
      </c>
      <c r="S69" s="73"/>
      <c r="T69" s="73"/>
      <c r="U69" s="73"/>
      <c r="V69" s="73"/>
      <c r="W69" s="73"/>
      <c r="X69" s="73">
        <v>5</v>
      </c>
      <c r="Y69" s="73">
        <f t="shared" si="7"/>
        <v>4</v>
      </c>
      <c r="Z69" s="73">
        <f t="shared" ref="Z69" si="35">X69*0.6</f>
        <v>3</v>
      </c>
      <c r="AA69" s="73">
        <f t="shared" ref="AA69" si="36">X69*0.5</f>
        <v>2.5</v>
      </c>
      <c r="AB69" s="74">
        <f t="shared" ref="AB69" si="37">(IFERROR(VALUE(LEFT(AD69,FIND("분",AD69)-1))*60,0)+IFERROR(VALUE(MID(AD69,IFERROR(FIND("분",AD69),0)+1,FIND("초",AD69)-IFERROR(FIND("분",AD69),0)-1)),0))/86400*2</f>
        <v>1.8518518518518519E-3</v>
      </c>
      <c r="AC69" s="74">
        <f t="shared" si="5"/>
        <v>1.2962962962962963E-3</v>
      </c>
      <c r="AD69" s="49" t="str">
        <f t="shared" ref="AD69" si="38">L69</f>
        <v>1분 20초</v>
      </c>
      <c r="AE69" s="49"/>
      <c r="AF69" s="49"/>
      <c r="AG69" s="49"/>
      <c r="AH69" s="49"/>
      <c r="AI69" s="52"/>
    </row>
    <row r="70" spans="1:35" ht="81.95" customHeight="1">
      <c r="A70" s="54" t="s">
        <v>660</v>
      </c>
      <c r="B70" s="44">
        <v>66</v>
      </c>
      <c r="C70" s="44">
        <v>4</v>
      </c>
      <c r="D70" s="44">
        <v>7</v>
      </c>
      <c r="E70" s="46" t="s">
        <v>292</v>
      </c>
      <c r="F70" s="46" t="s">
        <v>481</v>
      </c>
      <c r="G70" s="46" t="s">
        <v>67</v>
      </c>
      <c r="H70" s="44" t="s">
        <v>148</v>
      </c>
      <c r="I70" s="44">
        <v>1</v>
      </c>
      <c r="J70" s="46" t="s">
        <v>714</v>
      </c>
      <c r="K70" s="46" t="s">
        <v>526</v>
      </c>
      <c r="L70" s="44" t="s">
        <v>544</v>
      </c>
      <c r="M70" s="44" t="s">
        <v>767</v>
      </c>
      <c r="N70" s="47">
        <f t="shared" ref="N70:N101" si="39">N69+(IFERROR(VALUE(LEFT(L70,FIND("분",L70)-1))*60,0)+IFERROR(VALUE(TRIM(MID(L70,IFERROR(FIND("분",L70),0)+1,FIND("초",L70)-IFERROR(FIND("분",L70),0)-1))),0))/86400</f>
        <v>7.3148148148148157E-2</v>
      </c>
      <c r="O70" s="48" t="s">
        <v>255</v>
      </c>
      <c r="P70" s="49">
        <f>P69+9</f>
        <v>438</v>
      </c>
      <c r="Q70" s="50">
        <v>9</v>
      </c>
      <c r="R70" s="51">
        <f>$Q$3*P70*P70+$R$3*P70</f>
        <v>5821.0199999999995</v>
      </c>
      <c r="S70" s="73"/>
      <c r="T70" s="73"/>
      <c r="U70" s="73"/>
      <c r="V70" s="73"/>
      <c r="W70" s="73"/>
      <c r="X70" s="73"/>
      <c r="Y70" s="73"/>
      <c r="Z70" s="73"/>
      <c r="AA70" s="73"/>
      <c r="AB70" s="74"/>
      <c r="AC70" s="74"/>
      <c r="AD70" s="49"/>
      <c r="AE70" s="49"/>
      <c r="AF70" s="49"/>
      <c r="AG70" s="49"/>
      <c r="AH70" s="49"/>
      <c r="AI70" s="52"/>
    </row>
    <row r="71" spans="1:35" ht="81.95" customHeight="1">
      <c r="A71" s="54" t="s">
        <v>660</v>
      </c>
      <c r="B71" s="44">
        <v>67</v>
      </c>
      <c r="C71" s="44">
        <v>4</v>
      </c>
      <c r="D71" s="44">
        <v>7</v>
      </c>
      <c r="E71" s="46" t="s">
        <v>611</v>
      </c>
      <c r="F71" s="46" t="s">
        <v>42</v>
      </c>
      <c r="G71" s="46" t="s">
        <v>43</v>
      </c>
      <c r="H71" s="44" t="s">
        <v>33</v>
      </c>
      <c r="I71" s="44">
        <v>4</v>
      </c>
      <c r="J71" s="46" t="s">
        <v>315</v>
      </c>
      <c r="K71" s="46" t="s">
        <v>4</v>
      </c>
      <c r="L71" s="44" t="s">
        <v>518</v>
      </c>
      <c r="M71" s="44" t="s">
        <v>716</v>
      </c>
      <c r="N71" s="47">
        <f t="shared" si="39"/>
        <v>7.5231481481481496E-2</v>
      </c>
      <c r="O71" s="48" t="s">
        <v>255</v>
      </c>
      <c r="P71" s="49">
        <f>P70+10</f>
        <v>448</v>
      </c>
      <c r="Q71" s="50">
        <v>10</v>
      </c>
      <c r="R71" s="51">
        <f>$Q$3*P71*P71+$R$3*P71</f>
        <v>6088.32</v>
      </c>
      <c r="S71" s="73"/>
      <c r="T71" s="73"/>
      <c r="U71" s="73"/>
      <c r="V71" s="73"/>
      <c r="W71" s="73"/>
      <c r="X71" s="73">
        <v>5</v>
      </c>
      <c r="Y71" s="73">
        <f t="shared" si="7"/>
        <v>4</v>
      </c>
      <c r="Z71" s="73">
        <f t="shared" ref="Z71" si="40">X71*0.6</f>
        <v>3</v>
      </c>
      <c r="AA71" s="73">
        <f t="shared" ref="AA71" si="41">X71*0.5</f>
        <v>2.5</v>
      </c>
      <c r="AB71" s="74">
        <f t="shared" si="4"/>
        <v>4.1666666666666666E-3</v>
      </c>
      <c r="AC71" s="74">
        <f t="shared" si="5"/>
        <v>2.9166666666666664E-3</v>
      </c>
      <c r="AD71" s="49" t="str">
        <f t="shared" si="6"/>
        <v>3분</v>
      </c>
      <c r="AE71" s="49"/>
      <c r="AF71" s="49"/>
      <c r="AG71" s="49"/>
      <c r="AH71" s="49"/>
      <c r="AI71" s="52"/>
    </row>
    <row r="72" spans="1:35" ht="81.95" customHeight="1">
      <c r="A72" s="54" t="s">
        <v>660</v>
      </c>
      <c r="B72" s="44">
        <v>68</v>
      </c>
      <c r="C72" s="44">
        <v>5</v>
      </c>
      <c r="D72" s="44">
        <v>7</v>
      </c>
      <c r="E72" s="46" t="s">
        <v>462</v>
      </c>
      <c r="F72" s="46" t="s">
        <v>812</v>
      </c>
      <c r="G72" s="46" t="s">
        <v>77</v>
      </c>
      <c r="H72" s="44" t="s">
        <v>380</v>
      </c>
      <c r="I72" s="44">
        <v>6</v>
      </c>
      <c r="J72" s="46" t="s">
        <v>302</v>
      </c>
      <c r="K72" s="46" t="s">
        <v>7</v>
      </c>
      <c r="L72" s="44" t="s">
        <v>562</v>
      </c>
      <c r="M72" s="44" t="s">
        <v>806</v>
      </c>
      <c r="N72" s="47">
        <f t="shared" si="39"/>
        <v>7.7546296296296308E-2</v>
      </c>
      <c r="O72" s="48" t="s">
        <v>255</v>
      </c>
      <c r="P72" s="49">
        <f>P71+11</f>
        <v>459</v>
      </c>
      <c r="Q72" s="50">
        <v>11</v>
      </c>
      <c r="R72" s="51">
        <f>$Q$3*P72*P72+$R$3*P72</f>
        <v>6389.28</v>
      </c>
      <c r="S72" s="73"/>
      <c r="T72" s="73"/>
      <c r="U72" s="73"/>
      <c r="V72" s="73"/>
      <c r="W72" s="73"/>
      <c r="X72" s="73">
        <v>5</v>
      </c>
      <c r="Y72" s="73">
        <f t="shared" si="7"/>
        <v>4</v>
      </c>
      <c r="Z72" s="73">
        <f t="shared" ref="Z72:Z76" si="42">X72*0.6</f>
        <v>3</v>
      </c>
      <c r="AA72" s="73">
        <f t="shared" ref="AA72:AA76" si="43">X72*0.5</f>
        <v>2.5</v>
      </c>
      <c r="AB72" s="74">
        <f t="shared" si="4"/>
        <v>4.6296296296296294E-3</v>
      </c>
      <c r="AC72" s="74">
        <f t="shared" si="5"/>
        <v>3.2407407407407402E-3</v>
      </c>
      <c r="AD72" s="49" t="str">
        <f t="shared" si="6"/>
        <v>3분 20초</v>
      </c>
      <c r="AE72" s="49"/>
      <c r="AF72" s="49"/>
      <c r="AG72" s="49"/>
      <c r="AH72" s="49"/>
      <c r="AI72" s="52"/>
    </row>
    <row r="73" spans="1:35" ht="81.95" customHeight="1">
      <c r="A73" s="54" t="s">
        <v>660</v>
      </c>
      <c r="B73" s="44">
        <v>69</v>
      </c>
      <c r="C73" s="44">
        <v>6</v>
      </c>
      <c r="D73" s="44">
        <v>7</v>
      </c>
      <c r="E73" s="46" t="s">
        <v>601</v>
      </c>
      <c r="F73" s="46" t="s">
        <v>426</v>
      </c>
      <c r="G73" s="46" t="s">
        <v>466</v>
      </c>
      <c r="H73" s="44" t="s">
        <v>48</v>
      </c>
      <c r="I73" s="44">
        <v>5</v>
      </c>
      <c r="J73" s="46" t="s">
        <v>706</v>
      </c>
      <c r="K73" s="46" t="s">
        <v>811</v>
      </c>
      <c r="L73" s="44" t="s">
        <v>430</v>
      </c>
      <c r="M73" s="44" t="s">
        <v>169</v>
      </c>
      <c r="N73" s="47">
        <f t="shared" si="39"/>
        <v>7.9745370370370383E-2</v>
      </c>
      <c r="O73" s="48" t="s">
        <v>255</v>
      </c>
      <c r="P73" s="49">
        <f>P72+11</f>
        <v>470</v>
      </c>
      <c r="Q73" s="50">
        <v>11</v>
      </c>
      <c r="R73" s="51">
        <f>$Q$3*P73*P73+$R$3*P73</f>
        <v>6697.5</v>
      </c>
      <c r="S73" s="73"/>
      <c r="T73" s="73"/>
      <c r="U73" s="73"/>
      <c r="V73" s="73"/>
      <c r="W73" s="73"/>
      <c r="X73" s="73">
        <v>5</v>
      </c>
      <c r="Y73" s="73">
        <f t="shared" si="7"/>
        <v>4</v>
      </c>
      <c r="Z73" s="73">
        <f t="shared" si="42"/>
        <v>3</v>
      </c>
      <c r="AA73" s="73">
        <f t="shared" si="43"/>
        <v>2.5</v>
      </c>
      <c r="AB73" s="74">
        <f t="shared" si="4"/>
        <v>4.3981481481481484E-3</v>
      </c>
      <c r="AC73" s="74">
        <f t="shared" si="5"/>
        <v>3.0787037037037037E-3</v>
      </c>
      <c r="AD73" s="49" t="str">
        <f t="shared" si="6"/>
        <v>3분 10초</v>
      </c>
      <c r="AE73" s="49"/>
      <c r="AF73" s="49"/>
      <c r="AG73" s="49"/>
      <c r="AH73" s="49"/>
      <c r="AI73" s="52"/>
    </row>
    <row r="74" spans="1:35" ht="81.95" customHeight="1">
      <c r="A74" s="54" t="s">
        <v>660</v>
      </c>
      <c r="B74" s="44">
        <v>70</v>
      </c>
      <c r="C74" s="44">
        <v>7</v>
      </c>
      <c r="D74" s="44">
        <v>9</v>
      </c>
      <c r="E74" s="46" t="s">
        <v>279</v>
      </c>
      <c r="F74" s="46" t="s">
        <v>0</v>
      </c>
      <c r="G74" s="46" t="s">
        <v>363</v>
      </c>
      <c r="H74" s="44" t="s">
        <v>381</v>
      </c>
      <c r="I74" s="44">
        <v>5</v>
      </c>
      <c r="J74" s="46" t="s">
        <v>172</v>
      </c>
      <c r="K74" s="46" t="s">
        <v>743</v>
      </c>
      <c r="L74" s="44" t="s">
        <v>550</v>
      </c>
      <c r="M74" s="44" t="s">
        <v>795</v>
      </c>
      <c r="N74" s="47">
        <f t="shared" si="39"/>
        <v>8.229166666666668E-2</v>
      </c>
      <c r="O74" s="48" t="s">
        <v>255</v>
      </c>
      <c r="P74" s="49">
        <f>P73+13</f>
        <v>483</v>
      </c>
      <c r="Q74" s="50">
        <v>13</v>
      </c>
      <c r="R74" s="51">
        <f>$Q$3*P74*P74+$R$3*P74</f>
        <v>7071.12</v>
      </c>
      <c r="S74" s="73">
        <f t="shared" ref="S74:S112" si="44">R74/V74</f>
        <v>7071.12</v>
      </c>
      <c r="T74" s="73">
        <v>5</v>
      </c>
      <c r="U74" s="73">
        <f t="shared" ref="U74:U112" si="45">T74*V74</f>
        <v>5</v>
      </c>
      <c r="V74" s="73">
        <v>1</v>
      </c>
      <c r="W74" s="73"/>
      <c r="X74" s="73">
        <v>5</v>
      </c>
      <c r="Y74" s="73">
        <f t="shared" si="7"/>
        <v>4</v>
      </c>
      <c r="Z74" s="73">
        <f t="shared" si="42"/>
        <v>3</v>
      </c>
      <c r="AA74" s="73">
        <f t="shared" si="43"/>
        <v>2.5</v>
      </c>
      <c r="AB74" s="74">
        <f t="shared" si="4"/>
        <v>5.092592592592593E-3</v>
      </c>
      <c r="AC74" s="74">
        <f t="shared" si="5"/>
        <v>3.5648148148148149E-3</v>
      </c>
      <c r="AD74" s="49" t="str">
        <f t="shared" si="6"/>
        <v>3분 40초</v>
      </c>
      <c r="AE74" s="49"/>
      <c r="AF74" s="49"/>
      <c r="AG74" s="49"/>
      <c r="AH74" s="49"/>
      <c r="AI74" s="52"/>
    </row>
    <row r="75" spans="1:35" ht="81.95" customHeight="1">
      <c r="A75" s="54" t="s">
        <v>660</v>
      </c>
      <c r="B75" s="44">
        <v>71</v>
      </c>
      <c r="C75" s="44">
        <v>1</v>
      </c>
      <c r="D75" s="44">
        <v>7</v>
      </c>
      <c r="E75" s="46" t="s">
        <v>290</v>
      </c>
      <c r="F75" s="46" t="s">
        <v>348</v>
      </c>
      <c r="G75" s="46" t="s">
        <v>82</v>
      </c>
      <c r="H75" s="44" t="s">
        <v>470</v>
      </c>
      <c r="I75" s="44">
        <v>2</v>
      </c>
      <c r="J75" s="46" t="s">
        <v>326</v>
      </c>
      <c r="K75" s="46" t="s">
        <v>170</v>
      </c>
      <c r="L75" s="44" t="s">
        <v>447</v>
      </c>
      <c r="M75" s="44" t="s">
        <v>168</v>
      </c>
      <c r="N75" s="47">
        <f t="shared" si="39"/>
        <v>8.3217592592592607E-2</v>
      </c>
      <c r="O75" s="48" t="s">
        <v>255</v>
      </c>
      <c r="P75" s="49">
        <f>P74+6</f>
        <v>489</v>
      </c>
      <c r="Q75" s="50">
        <v>6</v>
      </c>
      <c r="R75" s="51">
        <f>$Q$3*P75*P75+$R$3*P75</f>
        <v>7246.9800000000005</v>
      </c>
      <c r="S75" s="73"/>
      <c r="T75" s="73"/>
      <c r="U75" s="73"/>
      <c r="V75" s="73"/>
      <c r="W75" s="73"/>
      <c r="X75" s="73">
        <v>10</v>
      </c>
      <c r="Y75" s="73">
        <f t="shared" si="7"/>
        <v>8</v>
      </c>
      <c r="Z75" s="73">
        <f t="shared" si="42"/>
        <v>6</v>
      </c>
      <c r="AA75" s="73">
        <f t="shared" si="43"/>
        <v>5</v>
      </c>
      <c r="AB75" s="74">
        <f t="shared" si="4"/>
        <v>1.8518518518518519E-3</v>
      </c>
      <c r="AC75" s="74">
        <f t="shared" si="5"/>
        <v>1.2962962962962963E-3</v>
      </c>
      <c r="AD75" s="49" t="str">
        <f t="shared" si="6"/>
        <v>1분 20초</v>
      </c>
      <c r="AE75" s="49"/>
      <c r="AF75" s="49"/>
      <c r="AG75" s="49"/>
      <c r="AH75" s="49"/>
      <c r="AI75" s="52"/>
    </row>
    <row r="76" spans="1:35" ht="81.95" customHeight="1">
      <c r="A76" s="54" t="s">
        <v>660</v>
      </c>
      <c r="B76" s="44">
        <v>72</v>
      </c>
      <c r="C76" s="44">
        <v>4</v>
      </c>
      <c r="D76" s="44">
        <v>6</v>
      </c>
      <c r="E76" s="46" t="s">
        <v>273</v>
      </c>
      <c r="F76" s="46" t="s">
        <v>1</v>
      </c>
      <c r="G76" s="46" t="s">
        <v>130</v>
      </c>
      <c r="H76" s="44" t="s">
        <v>385</v>
      </c>
      <c r="I76" s="44">
        <v>7</v>
      </c>
      <c r="J76" s="46" t="s">
        <v>658</v>
      </c>
      <c r="K76" s="46" t="s">
        <v>696</v>
      </c>
      <c r="L76" s="44" t="s">
        <v>528</v>
      </c>
      <c r="M76" s="44" t="s">
        <v>794</v>
      </c>
      <c r="N76" s="47">
        <f t="shared" si="39"/>
        <v>8.5995370370370389E-2</v>
      </c>
      <c r="O76" s="48" t="s">
        <v>255</v>
      </c>
      <c r="P76" s="49">
        <f>P75+12</f>
        <v>501</v>
      </c>
      <c r="Q76" s="50">
        <v>12</v>
      </c>
      <c r="R76" s="51">
        <f>$Q$3*P76*P76+$R$3*P76</f>
        <v>7605.1799999999994</v>
      </c>
      <c r="S76" s="73"/>
      <c r="T76" s="73"/>
      <c r="U76" s="73"/>
      <c r="V76" s="73"/>
      <c r="W76" s="73"/>
      <c r="X76" s="73">
        <v>10</v>
      </c>
      <c r="Y76" s="73">
        <f t="shared" si="7"/>
        <v>8</v>
      </c>
      <c r="Z76" s="73">
        <f t="shared" si="42"/>
        <v>6</v>
      </c>
      <c r="AA76" s="73">
        <f t="shared" si="43"/>
        <v>5</v>
      </c>
      <c r="AB76" s="74">
        <f t="shared" si="4"/>
        <v>5.5555555555555558E-3</v>
      </c>
      <c r="AC76" s="74">
        <f t="shared" si="5"/>
        <v>3.8888888888888888E-3</v>
      </c>
      <c r="AD76" s="49" t="str">
        <f t="shared" si="6"/>
        <v>4분</v>
      </c>
      <c r="AE76" s="49"/>
      <c r="AF76" s="49"/>
      <c r="AG76" s="49"/>
      <c r="AH76" s="49"/>
      <c r="AI76" s="52"/>
    </row>
    <row r="77" spans="1:35" ht="81.95" customHeight="1">
      <c r="A77" s="54" t="s">
        <v>660</v>
      </c>
      <c r="B77" s="44">
        <v>73</v>
      </c>
      <c r="C77" s="44">
        <v>1</v>
      </c>
      <c r="D77" s="44">
        <v>7</v>
      </c>
      <c r="E77" s="46" t="s">
        <v>296</v>
      </c>
      <c r="F77" s="46" t="s">
        <v>467</v>
      </c>
      <c r="G77" s="46" t="s">
        <v>507</v>
      </c>
      <c r="H77" s="44" t="s">
        <v>514</v>
      </c>
      <c r="I77" s="44">
        <v>3</v>
      </c>
      <c r="J77" s="46" t="s">
        <v>307</v>
      </c>
      <c r="K77" s="46" t="s">
        <v>526</v>
      </c>
      <c r="L77" s="44" t="s">
        <v>447</v>
      </c>
      <c r="M77" s="44" t="s">
        <v>788</v>
      </c>
      <c r="N77" s="47">
        <f t="shared" si="39"/>
        <v>8.6921296296296316E-2</v>
      </c>
      <c r="O77" s="48" t="s">
        <v>255</v>
      </c>
      <c r="P77" s="49">
        <f>P76+6</f>
        <v>507</v>
      </c>
      <c r="Q77" s="50">
        <v>6</v>
      </c>
      <c r="R77" s="51">
        <f>$Q$3*P77*P77+$R$3*P77</f>
        <v>7787.5199999999995</v>
      </c>
      <c r="S77" s="73"/>
      <c r="T77" s="73"/>
      <c r="U77" s="73"/>
      <c r="V77" s="73"/>
      <c r="W77" s="73"/>
      <c r="X77" s="73"/>
      <c r="Y77" s="73"/>
      <c r="Z77" s="73"/>
      <c r="AA77" s="73"/>
      <c r="AB77" s="74"/>
      <c r="AC77" s="74"/>
      <c r="AD77" s="49"/>
      <c r="AE77" s="49"/>
      <c r="AF77" s="49"/>
      <c r="AG77" s="49"/>
      <c r="AH77" s="49"/>
      <c r="AI77" s="52"/>
    </row>
    <row r="78" spans="1:35" ht="81.95" customHeight="1">
      <c r="A78" s="54" t="s">
        <v>660</v>
      </c>
      <c r="B78" s="44">
        <v>74</v>
      </c>
      <c r="C78" s="44">
        <v>3</v>
      </c>
      <c r="D78" s="44">
        <v>5</v>
      </c>
      <c r="E78" s="46" t="s">
        <v>602</v>
      </c>
      <c r="F78" s="46" t="s">
        <v>52</v>
      </c>
      <c r="G78" s="46" t="s">
        <v>61</v>
      </c>
      <c r="H78" s="44" t="s">
        <v>368</v>
      </c>
      <c r="I78" s="44">
        <v>5</v>
      </c>
      <c r="J78" s="46" t="s">
        <v>183</v>
      </c>
      <c r="K78" s="46" t="s">
        <v>184</v>
      </c>
      <c r="L78" s="44" t="s">
        <v>522</v>
      </c>
      <c r="M78" s="44" t="s">
        <v>182</v>
      </c>
      <c r="N78" s="47">
        <f t="shared" si="39"/>
        <v>8.83101851851852E-2</v>
      </c>
      <c r="O78" s="48" t="s">
        <v>255</v>
      </c>
      <c r="P78" s="49">
        <f>P77+7</f>
        <v>514</v>
      </c>
      <c r="Q78" s="50">
        <v>7</v>
      </c>
      <c r="R78" s="51">
        <f>$Q$3*P78*P78+$R$3*P78</f>
        <v>8002.9800000000005</v>
      </c>
      <c r="S78" s="73"/>
      <c r="T78" s="73"/>
      <c r="U78" s="73"/>
      <c r="V78" s="73"/>
      <c r="W78" s="73"/>
      <c r="X78" s="73"/>
      <c r="Y78" s="73"/>
      <c r="Z78" s="73"/>
      <c r="AA78" s="73"/>
      <c r="AB78" s="74"/>
      <c r="AC78" s="74"/>
      <c r="AD78" s="49"/>
      <c r="AE78" s="49"/>
      <c r="AF78" s="49"/>
      <c r="AG78" s="49"/>
      <c r="AH78" s="49"/>
      <c r="AI78" s="52"/>
    </row>
    <row r="79" spans="1:35" ht="81.95" customHeight="1">
      <c r="A79" s="55" t="s">
        <v>663</v>
      </c>
      <c r="B79" s="44">
        <v>75</v>
      </c>
      <c r="C79" s="44">
        <v>1</v>
      </c>
      <c r="D79" s="44">
        <v>7</v>
      </c>
      <c r="E79" s="45" t="s">
        <v>604</v>
      </c>
      <c r="F79" s="46" t="s">
        <v>24</v>
      </c>
      <c r="G79" s="46" t="s">
        <v>46</v>
      </c>
      <c r="H79" s="44" t="s">
        <v>387</v>
      </c>
      <c r="I79" s="44">
        <v>2</v>
      </c>
      <c r="J79" s="46" t="s">
        <v>677</v>
      </c>
      <c r="K79" s="46" t="s">
        <v>526</v>
      </c>
      <c r="L79" s="44" t="s">
        <v>541</v>
      </c>
      <c r="M79" s="44" t="s">
        <v>9</v>
      </c>
      <c r="N79" s="47">
        <f t="shared" si="39"/>
        <v>8.9467592592592612E-2</v>
      </c>
      <c r="O79" s="48" t="s">
        <v>688</v>
      </c>
      <c r="P79" s="49">
        <f>P78+7</f>
        <v>521</v>
      </c>
      <c r="Q79" s="50">
        <v>7</v>
      </c>
      <c r="R79" s="51">
        <f>$Q$3*P79*P79+$R$3*P79</f>
        <v>8221.3799999999992</v>
      </c>
      <c r="S79" s="73"/>
      <c r="T79" s="73"/>
      <c r="U79" s="73"/>
      <c r="V79" s="73"/>
      <c r="W79" s="73"/>
      <c r="X79" s="73">
        <v>5</v>
      </c>
      <c r="Y79" s="73">
        <f t="shared" si="7"/>
        <v>4</v>
      </c>
      <c r="Z79" s="73">
        <f t="shared" ref="Z79:Z80" si="46">X79*0.6</f>
        <v>3</v>
      </c>
      <c r="AA79" s="73">
        <f t="shared" ref="AA79:AA80" si="47">X79*0.5</f>
        <v>2.5</v>
      </c>
      <c r="AB79" s="74">
        <f t="shared" ref="AB79:AB80" si="48">(IFERROR(VALUE(LEFT(AD79,FIND("분",AD79)-1))*60,0)+IFERROR(VALUE(MID(AD79,IFERROR(FIND("분",AD79),0)+1,FIND("초",AD79)-IFERROR(FIND("분",AD79),0)-1)),0))/86400*2</f>
        <v>2.3148148148148147E-3</v>
      </c>
      <c r="AC79" s="74">
        <f t="shared" si="5"/>
        <v>1.6203703703703701E-3</v>
      </c>
      <c r="AD79" s="49" t="str">
        <f t="shared" ref="AD79:AD80" si="49">L79</f>
        <v>1분 40초</v>
      </c>
      <c r="AE79" s="49"/>
      <c r="AF79" s="49"/>
      <c r="AG79" s="49"/>
      <c r="AH79" s="49"/>
      <c r="AI79" s="52"/>
    </row>
    <row r="80" spans="1:35" ht="81.95" customHeight="1">
      <c r="A80" s="55" t="s">
        <v>663</v>
      </c>
      <c r="B80" s="44">
        <v>76</v>
      </c>
      <c r="C80" s="44">
        <v>2</v>
      </c>
      <c r="D80" s="44">
        <v>5</v>
      </c>
      <c r="E80" s="46" t="s">
        <v>610</v>
      </c>
      <c r="F80" s="46" t="s">
        <v>418</v>
      </c>
      <c r="G80" s="46" t="s">
        <v>79</v>
      </c>
      <c r="H80" s="44" t="s">
        <v>343</v>
      </c>
      <c r="I80" s="44">
        <v>5</v>
      </c>
      <c r="J80" s="46" t="s">
        <v>738</v>
      </c>
      <c r="K80" s="46" t="s">
        <v>166</v>
      </c>
      <c r="L80" s="44" t="s">
        <v>541</v>
      </c>
      <c r="M80" s="44" t="s">
        <v>306</v>
      </c>
      <c r="N80" s="47">
        <f t="shared" si="39"/>
        <v>9.0625000000000025E-2</v>
      </c>
      <c r="O80" s="48" t="s">
        <v>688</v>
      </c>
      <c r="P80" s="49">
        <f>P79+6</f>
        <v>527</v>
      </c>
      <c r="Q80" s="50">
        <v>6</v>
      </c>
      <c r="R80" s="51">
        <f>$Q$3*P80*P80+$R$3*P80</f>
        <v>8410.9199999999983</v>
      </c>
      <c r="S80" s="73"/>
      <c r="T80" s="73"/>
      <c r="U80" s="73"/>
      <c r="V80" s="73"/>
      <c r="W80" s="73"/>
      <c r="X80" s="73">
        <v>5</v>
      </c>
      <c r="Y80" s="73">
        <f t="shared" si="7"/>
        <v>4</v>
      </c>
      <c r="Z80" s="73">
        <f t="shared" si="46"/>
        <v>3</v>
      </c>
      <c r="AA80" s="73">
        <f t="shared" si="47"/>
        <v>2.5</v>
      </c>
      <c r="AB80" s="74">
        <f t="shared" si="48"/>
        <v>2.3148148148148147E-3</v>
      </c>
      <c r="AC80" s="74">
        <f t="shared" si="5"/>
        <v>1.6203703703703701E-3</v>
      </c>
      <c r="AD80" s="49" t="str">
        <f t="shared" si="49"/>
        <v>1분 40초</v>
      </c>
      <c r="AE80" s="49"/>
      <c r="AF80" s="49"/>
      <c r="AG80" s="49"/>
      <c r="AH80" s="49"/>
      <c r="AI80" s="52"/>
    </row>
    <row r="81" spans="1:35" ht="81.95" customHeight="1">
      <c r="A81" s="55" t="s">
        <v>663</v>
      </c>
      <c r="B81" s="44">
        <v>77</v>
      </c>
      <c r="C81" s="44">
        <v>2</v>
      </c>
      <c r="D81" s="44">
        <v>5</v>
      </c>
      <c r="E81" s="46" t="s">
        <v>274</v>
      </c>
      <c r="F81" s="46" t="s">
        <v>391</v>
      </c>
      <c r="G81" s="46" t="s">
        <v>378</v>
      </c>
      <c r="H81" s="44" t="s">
        <v>344</v>
      </c>
      <c r="I81" s="44">
        <v>4</v>
      </c>
      <c r="J81" s="46" t="s">
        <v>178</v>
      </c>
      <c r="K81" s="46" t="s">
        <v>526</v>
      </c>
      <c r="L81" s="44" t="s">
        <v>522</v>
      </c>
      <c r="M81" s="44" t="s">
        <v>180</v>
      </c>
      <c r="N81" s="47">
        <f t="shared" si="39"/>
        <v>9.2013888888888909E-2</v>
      </c>
      <c r="O81" s="48" t="s">
        <v>688</v>
      </c>
      <c r="P81" s="49">
        <f>P80+7</f>
        <v>534</v>
      </c>
      <c r="Q81" s="50">
        <v>7</v>
      </c>
      <c r="R81" s="51">
        <f>$Q$3*P81*P81+$R$3*P81</f>
        <v>8634.7800000000007</v>
      </c>
      <c r="S81" s="73"/>
      <c r="T81" s="73"/>
      <c r="U81" s="73"/>
      <c r="V81" s="73"/>
      <c r="W81" s="73"/>
      <c r="X81" s="73">
        <v>5</v>
      </c>
      <c r="Y81" s="73">
        <f t="shared" si="7"/>
        <v>4</v>
      </c>
      <c r="Z81" s="73">
        <f t="shared" ref="Z81:Z82" si="50">X81*0.6</f>
        <v>3</v>
      </c>
      <c r="AA81" s="73">
        <f t="shared" ref="AA81:AA82" si="51">X81*0.5</f>
        <v>2.5</v>
      </c>
      <c r="AB81" s="74">
        <f t="shared" ref="AB81:AB82" si="52">(IFERROR(VALUE(LEFT(AD81,FIND("분",AD81)-1))*60,0)+IFERROR(VALUE(MID(AD81,IFERROR(FIND("분",AD81),0)+1,FIND("초",AD81)-IFERROR(FIND("분",AD81),0)-1)),0))/86400*2</f>
        <v>2.7777777777777779E-3</v>
      </c>
      <c r="AC81" s="74">
        <f t="shared" si="5"/>
        <v>1.9444444444444444E-3</v>
      </c>
      <c r="AD81" s="49" t="str">
        <f t="shared" ref="AD81:AD82" si="53">L81</f>
        <v>2분</v>
      </c>
      <c r="AE81" s="49"/>
      <c r="AF81" s="49"/>
      <c r="AG81" s="49"/>
      <c r="AH81" s="49"/>
      <c r="AI81" s="52"/>
    </row>
    <row r="82" spans="1:35" ht="81.95" customHeight="1">
      <c r="A82" s="55" t="s">
        <v>663</v>
      </c>
      <c r="B82" s="44">
        <v>78</v>
      </c>
      <c r="C82" s="44">
        <v>3</v>
      </c>
      <c r="D82" s="44">
        <v>6</v>
      </c>
      <c r="E82" s="46" t="s">
        <v>603</v>
      </c>
      <c r="F82" s="46" t="s">
        <v>419</v>
      </c>
      <c r="G82" s="46" t="s">
        <v>423</v>
      </c>
      <c r="H82" s="44" t="s">
        <v>379</v>
      </c>
      <c r="I82" s="44">
        <v>1</v>
      </c>
      <c r="J82" s="46" t="s">
        <v>564</v>
      </c>
      <c r="K82" s="46" t="s">
        <v>786</v>
      </c>
      <c r="L82" s="44" t="s">
        <v>435</v>
      </c>
      <c r="M82" s="44" t="s">
        <v>179</v>
      </c>
      <c r="N82" s="47">
        <f t="shared" si="39"/>
        <v>9.3518518518518542E-2</v>
      </c>
      <c r="O82" s="48" t="s">
        <v>689</v>
      </c>
      <c r="P82" s="49">
        <f>P81+8</f>
        <v>542</v>
      </c>
      <c r="Q82" s="50">
        <v>8</v>
      </c>
      <c r="R82" s="51">
        <f>$Q$3*P82*P82+$R$3*P82</f>
        <v>8894.2199999999975</v>
      </c>
      <c r="S82" s="73"/>
      <c r="T82" s="73"/>
      <c r="U82" s="73"/>
      <c r="V82" s="73"/>
      <c r="W82" s="73"/>
      <c r="X82" s="73">
        <v>5</v>
      </c>
      <c r="Y82" s="73">
        <f t="shared" ref="Y82" si="54">X82*0.8</f>
        <v>4</v>
      </c>
      <c r="Z82" s="73">
        <f t="shared" si="50"/>
        <v>3</v>
      </c>
      <c r="AA82" s="73">
        <f t="shared" si="51"/>
        <v>2.5</v>
      </c>
      <c r="AB82" s="74">
        <f t="shared" si="52"/>
        <v>3.0092592592592593E-3</v>
      </c>
      <c r="AC82" s="74">
        <f t="shared" ref="AC82" si="55">(IFERROR(VALUE(LEFT(AD82,FIND("분",AD82)-1))*60,0)+IFERROR(VALUE(MID(AD82,IFERROR(FIND("분",AD82),0)+1,FIND("초",AD82)-IFERROR(FIND("분",AD82),0)-1)),0))/86400*1.4</f>
        <v>2.1064814814814813E-3</v>
      </c>
      <c r="AD82" s="49" t="str">
        <f t="shared" si="53"/>
        <v>2분 10초</v>
      </c>
      <c r="AE82" s="49"/>
      <c r="AF82" s="49"/>
      <c r="AG82" s="49"/>
      <c r="AH82" s="49"/>
      <c r="AI82" s="52"/>
    </row>
    <row r="83" spans="1:35" ht="81.95" customHeight="1">
      <c r="A83" s="55" t="s">
        <v>663</v>
      </c>
      <c r="B83" s="44">
        <v>79</v>
      </c>
      <c r="C83" s="44">
        <v>3</v>
      </c>
      <c r="D83" s="44">
        <v>6</v>
      </c>
      <c r="E83" s="46" t="s">
        <v>615</v>
      </c>
      <c r="F83" s="46" t="s">
        <v>3</v>
      </c>
      <c r="G83" s="46" t="s">
        <v>367</v>
      </c>
      <c r="H83" s="44" t="s">
        <v>386</v>
      </c>
      <c r="I83" s="44">
        <v>4</v>
      </c>
      <c r="J83" s="46" t="s">
        <v>669</v>
      </c>
      <c r="K83" s="46" t="s">
        <v>176</v>
      </c>
      <c r="L83" s="44" t="s">
        <v>454</v>
      </c>
      <c r="M83" s="44" t="s">
        <v>329</v>
      </c>
      <c r="N83" s="47">
        <f t="shared" si="39"/>
        <v>9.5254629629629647E-2</v>
      </c>
      <c r="O83" s="48" t="s">
        <v>689</v>
      </c>
      <c r="P83" s="49">
        <f>P82+9</f>
        <v>551</v>
      </c>
      <c r="Q83" s="50">
        <v>9</v>
      </c>
      <c r="R83" s="51">
        <f>$Q$3*P83*P83+$R$3*P83</f>
        <v>9190.68</v>
      </c>
      <c r="S83" s="73"/>
      <c r="T83" s="73"/>
      <c r="U83" s="73"/>
      <c r="V83" s="73"/>
      <c r="W83" s="73"/>
      <c r="X83" s="73">
        <v>5</v>
      </c>
      <c r="Y83" s="73">
        <f t="shared" ref="Y83:Y119" si="56">X83*0.8</f>
        <v>4</v>
      </c>
      <c r="Z83" s="73">
        <f t="shared" ref="Z83" si="57">X83*0.6</f>
        <v>3</v>
      </c>
      <c r="AA83" s="73">
        <f t="shared" ref="AA83" si="58">X83*0.5</f>
        <v>2.5</v>
      </c>
      <c r="AB83" s="74">
        <f t="shared" ref="AB83:AB119" si="59">(IFERROR(VALUE(LEFT(AD83,FIND("분",AD83)-1))*60,0)+IFERROR(VALUE(MID(AD83,IFERROR(FIND("분",AD83),0)+1,FIND("초",AD83)-IFERROR(FIND("분",AD83),0)-1)),0))/86400*2</f>
        <v>3.472222222222222E-3</v>
      </c>
      <c r="AC83" s="74">
        <f t="shared" ref="AC83:AC122" si="60">(IFERROR(VALUE(LEFT(AD83,FIND("분",AD83)-1))*60,0)+IFERROR(VALUE(MID(AD83,IFERROR(FIND("분",AD83),0)+1,FIND("초",AD83)-IFERROR(FIND("분",AD83),0)-1)),0))/86400*1.4</f>
        <v>2.4305555555555552E-3</v>
      </c>
      <c r="AD83" s="49" t="str">
        <f t="shared" ref="AD83:AD119" si="61">L83</f>
        <v>2분 30초</v>
      </c>
      <c r="AE83" s="49"/>
      <c r="AF83" s="49"/>
      <c r="AG83" s="49"/>
      <c r="AH83" s="49"/>
      <c r="AI83" s="52"/>
    </row>
    <row r="84" spans="1:35" ht="81.95" customHeight="1">
      <c r="A84" s="55" t="s">
        <v>663</v>
      </c>
      <c r="B84" s="44">
        <v>80</v>
      </c>
      <c r="C84" s="44">
        <v>4</v>
      </c>
      <c r="D84" s="44">
        <v>7</v>
      </c>
      <c r="E84" s="46" t="s">
        <v>619</v>
      </c>
      <c r="F84" s="46" t="s">
        <v>417</v>
      </c>
      <c r="G84" s="46" t="s">
        <v>349</v>
      </c>
      <c r="H84" s="44" t="s">
        <v>463</v>
      </c>
      <c r="I84" s="44">
        <v>6</v>
      </c>
      <c r="J84" s="46" t="s">
        <v>713</v>
      </c>
      <c r="K84" s="46" t="s">
        <v>526</v>
      </c>
      <c r="L84" s="44" t="s">
        <v>429</v>
      </c>
      <c r="M84" s="44" t="s">
        <v>695</v>
      </c>
      <c r="N84" s="47">
        <f t="shared" si="39"/>
        <v>9.7685185185185208E-2</v>
      </c>
      <c r="O84" s="48" t="s">
        <v>256</v>
      </c>
      <c r="P84" s="49">
        <f>P83+11</f>
        <v>562</v>
      </c>
      <c r="Q84" s="50">
        <v>11</v>
      </c>
      <c r="R84" s="51">
        <f>$Q$3*P84*P84+$R$3*P84</f>
        <v>9559.619999999999</v>
      </c>
      <c r="S84" s="73"/>
      <c r="T84" s="73"/>
      <c r="U84" s="73"/>
      <c r="V84" s="73"/>
      <c r="W84" s="73"/>
      <c r="X84" s="73">
        <v>5</v>
      </c>
      <c r="Y84" s="73">
        <f t="shared" ref="Y84" si="62">X84*0.8</f>
        <v>4</v>
      </c>
      <c r="Z84" s="73">
        <f t="shared" ref="Z84:Z85" si="63">X84*0.6</f>
        <v>3</v>
      </c>
      <c r="AA84" s="73">
        <f t="shared" ref="AA84:AA85" si="64">X84*0.5</f>
        <v>2.5</v>
      </c>
      <c r="AB84" s="74">
        <f t="shared" si="59"/>
        <v>4.8611111111111112E-3</v>
      </c>
      <c r="AC84" s="74">
        <f t="shared" si="60"/>
        <v>3.4027777777777776E-3</v>
      </c>
      <c r="AD84" s="49" t="str">
        <f t="shared" si="61"/>
        <v>3분 30초</v>
      </c>
      <c r="AE84" s="49"/>
      <c r="AF84" s="49"/>
      <c r="AG84" s="49"/>
      <c r="AH84" s="49"/>
      <c r="AI84" s="52"/>
    </row>
    <row r="85" spans="1:35" ht="81.95" customHeight="1">
      <c r="A85" s="55" t="s">
        <v>663</v>
      </c>
      <c r="B85" s="44">
        <v>81</v>
      </c>
      <c r="C85" s="44">
        <v>6</v>
      </c>
      <c r="D85" s="44">
        <v>9</v>
      </c>
      <c r="E85" s="46" t="s">
        <v>617</v>
      </c>
      <c r="F85" s="46" t="s">
        <v>371</v>
      </c>
      <c r="G85" s="46" t="s">
        <v>60</v>
      </c>
      <c r="H85" s="44" t="s">
        <v>498</v>
      </c>
      <c r="I85" s="44">
        <v>5</v>
      </c>
      <c r="J85" s="46" t="s">
        <v>784</v>
      </c>
      <c r="K85" s="46" t="s">
        <v>8</v>
      </c>
      <c r="L85" s="44" t="s">
        <v>518</v>
      </c>
      <c r="M85" s="44" t="s">
        <v>320</v>
      </c>
      <c r="N85" s="47">
        <f t="shared" si="39"/>
        <v>9.9768518518518548E-2</v>
      </c>
      <c r="O85" s="48" t="s">
        <v>256</v>
      </c>
      <c r="P85" s="49">
        <f>P84+12</f>
        <v>574</v>
      </c>
      <c r="Q85" s="50">
        <v>12</v>
      </c>
      <c r="R85" s="51">
        <f>$Q$3*P85*P85+$R$3*P85</f>
        <v>9970.3799999999992</v>
      </c>
      <c r="S85" s="73"/>
      <c r="T85" s="73"/>
      <c r="U85" s="73"/>
      <c r="V85" s="73"/>
      <c r="W85" s="73"/>
      <c r="X85" s="73">
        <v>5</v>
      </c>
      <c r="Y85" s="73">
        <f t="shared" ref="Y85" si="65">X85*0.8</f>
        <v>4</v>
      </c>
      <c r="Z85" s="73">
        <f t="shared" si="63"/>
        <v>3</v>
      </c>
      <c r="AA85" s="73">
        <f t="shared" si="64"/>
        <v>2.5</v>
      </c>
      <c r="AB85" s="74">
        <f t="shared" si="59"/>
        <v>4.1666666666666666E-3</v>
      </c>
      <c r="AC85" s="74">
        <f t="shared" si="60"/>
        <v>2.9166666666666664E-3</v>
      </c>
      <c r="AD85" s="49" t="str">
        <f t="shared" si="61"/>
        <v>3분</v>
      </c>
      <c r="AE85" s="49"/>
      <c r="AF85" s="49"/>
      <c r="AG85" s="49"/>
      <c r="AH85" s="49"/>
      <c r="AI85" s="52"/>
    </row>
    <row r="86" spans="1:35" ht="81.95" customHeight="1">
      <c r="A86" s="55" t="s">
        <v>663</v>
      </c>
      <c r="B86" s="44">
        <v>82</v>
      </c>
      <c r="C86" s="44">
        <v>3</v>
      </c>
      <c r="D86" s="44">
        <v>8</v>
      </c>
      <c r="E86" s="46" t="s">
        <v>291</v>
      </c>
      <c r="F86" s="46" t="s">
        <v>383</v>
      </c>
      <c r="G86" s="46" t="s">
        <v>199</v>
      </c>
      <c r="H86" s="44" t="s">
        <v>384</v>
      </c>
      <c r="I86" s="44">
        <v>5</v>
      </c>
      <c r="J86" s="46" t="s">
        <v>322</v>
      </c>
      <c r="K86" s="46" t="s">
        <v>719</v>
      </c>
      <c r="L86" s="44" t="s">
        <v>562</v>
      </c>
      <c r="M86" s="44" t="s">
        <v>572</v>
      </c>
      <c r="N86" s="47">
        <f t="shared" si="39"/>
        <v>0.10208333333333336</v>
      </c>
      <c r="O86" s="48" t="s">
        <v>256</v>
      </c>
      <c r="P86" s="49">
        <f>P85+11</f>
        <v>585</v>
      </c>
      <c r="Q86" s="50">
        <v>11</v>
      </c>
      <c r="R86" s="51">
        <f>$Q$3*P86*P86+$R$3*P86</f>
        <v>10354.5</v>
      </c>
      <c r="S86" s="73"/>
      <c r="T86" s="73"/>
      <c r="U86" s="73"/>
      <c r="V86" s="73"/>
      <c r="W86" s="73"/>
      <c r="X86" s="73">
        <v>5</v>
      </c>
      <c r="Y86" s="73">
        <f t="shared" si="56"/>
        <v>4</v>
      </c>
      <c r="Z86" s="73">
        <f t="shared" ref="Z86" si="66">X86*0.6</f>
        <v>3</v>
      </c>
      <c r="AA86" s="73">
        <f t="shared" ref="AA86" si="67">X86*0.5</f>
        <v>2.5</v>
      </c>
      <c r="AB86" s="74">
        <f t="shared" si="59"/>
        <v>4.6296296296296294E-3</v>
      </c>
      <c r="AC86" s="74">
        <f t="shared" si="60"/>
        <v>3.2407407407407402E-3</v>
      </c>
      <c r="AD86" s="49" t="str">
        <f t="shared" si="61"/>
        <v>3분 20초</v>
      </c>
      <c r="AE86" s="49"/>
      <c r="AF86" s="49"/>
      <c r="AG86" s="49"/>
      <c r="AH86" s="49"/>
      <c r="AI86" s="52"/>
    </row>
    <row r="87" spans="1:35" ht="81.95" customHeight="1">
      <c r="A87" s="55" t="s">
        <v>663</v>
      </c>
      <c r="B87" s="44">
        <v>83</v>
      </c>
      <c r="C87" s="44">
        <v>5</v>
      </c>
      <c r="D87" s="44">
        <v>7</v>
      </c>
      <c r="E87" s="46" t="s">
        <v>293</v>
      </c>
      <c r="F87" s="46" t="s">
        <v>15</v>
      </c>
      <c r="G87" s="46" t="s">
        <v>155</v>
      </c>
      <c r="H87" s="44" t="s">
        <v>71</v>
      </c>
      <c r="I87" s="44">
        <v>4</v>
      </c>
      <c r="J87" s="46" t="s">
        <v>683</v>
      </c>
      <c r="K87" s="46" t="s">
        <v>707</v>
      </c>
      <c r="L87" s="44" t="s">
        <v>562</v>
      </c>
      <c r="M87" s="44" t="s">
        <v>744</v>
      </c>
      <c r="N87" s="47">
        <f t="shared" si="39"/>
        <v>0.10439814814814817</v>
      </c>
      <c r="O87" s="48" t="s">
        <v>256</v>
      </c>
      <c r="P87" s="49">
        <f>P86+11</f>
        <v>596</v>
      </c>
      <c r="Q87" s="50">
        <v>11</v>
      </c>
      <c r="R87" s="51">
        <f>$Q$3*P87*P87+$R$3*P87</f>
        <v>10745.88</v>
      </c>
      <c r="S87" s="73"/>
      <c r="T87" s="73"/>
      <c r="U87" s="73"/>
      <c r="V87" s="73"/>
      <c r="W87" s="73"/>
      <c r="X87" s="73">
        <v>5</v>
      </c>
      <c r="Y87" s="73">
        <f t="shared" si="56"/>
        <v>4</v>
      </c>
      <c r="Z87" s="73">
        <f t="shared" ref="Z87" si="68">X87*0.6</f>
        <v>3</v>
      </c>
      <c r="AA87" s="73">
        <f t="shared" ref="AA87" si="69">X87*0.5</f>
        <v>2.5</v>
      </c>
      <c r="AB87" s="74">
        <f t="shared" si="59"/>
        <v>4.6296296296296294E-3</v>
      </c>
      <c r="AC87" s="74">
        <f t="shared" si="60"/>
        <v>3.2407407407407402E-3</v>
      </c>
      <c r="AD87" s="49" t="str">
        <f t="shared" si="61"/>
        <v>3분 20초</v>
      </c>
      <c r="AE87" s="49"/>
      <c r="AF87" s="49"/>
      <c r="AG87" s="49"/>
      <c r="AH87" s="49"/>
      <c r="AI87" s="52"/>
    </row>
    <row r="88" spans="1:35" ht="81.95" customHeight="1">
      <c r="A88" s="55" t="s">
        <v>663</v>
      </c>
      <c r="B88" s="44">
        <v>84</v>
      </c>
      <c r="C88" s="44">
        <v>4</v>
      </c>
      <c r="D88" s="44">
        <v>7</v>
      </c>
      <c r="E88" s="46" t="s">
        <v>275</v>
      </c>
      <c r="F88" s="46" t="s">
        <v>22</v>
      </c>
      <c r="G88" s="46" t="s">
        <v>10</v>
      </c>
      <c r="H88" s="44" t="s">
        <v>416</v>
      </c>
      <c r="I88" s="44">
        <v>1</v>
      </c>
      <c r="J88" s="46" t="s">
        <v>324</v>
      </c>
      <c r="K88" s="46" t="s">
        <v>785</v>
      </c>
      <c r="L88" s="44" t="s">
        <v>541</v>
      </c>
      <c r="M88" s="44" t="s">
        <v>167</v>
      </c>
      <c r="N88" s="47">
        <f t="shared" si="39"/>
        <v>0.10555555555555558</v>
      </c>
      <c r="O88" s="48" t="s">
        <v>242</v>
      </c>
      <c r="P88" s="49">
        <f>P87+7</f>
        <v>603</v>
      </c>
      <c r="Q88" s="50">
        <v>7</v>
      </c>
      <c r="R88" s="51">
        <f>$Q$3*P88*P88+$R$3*P88</f>
        <v>10998.720000000001</v>
      </c>
      <c r="S88" s="73"/>
      <c r="T88" s="73"/>
      <c r="U88" s="73"/>
      <c r="V88" s="73"/>
      <c r="W88" s="73"/>
      <c r="X88" s="73"/>
      <c r="Y88" s="73"/>
      <c r="Z88" s="73"/>
      <c r="AA88" s="73"/>
      <c r="AB88" s="74"/>
      <c r="AC88" s="74"/>
      <c r="AD88" s="49"/>
      <c r="AE88" s="49"/>
      <c r="AF88" s="49"/>
      <c r="AG88" s="49"/>
      <c r="AH88" s="49"/>
      <c r="AI88" s="52"/>
    </row>
    <row r="89" spans="1:35" ht="81.95" customHeight="1">
      <c r="A89" s="55" t="s">
        <v>663</v>
      </c>
      <c r="B89" s="44">
        <v>85</v>
      </c>
      <c r="C89" s="44">
        <v>3</v>
      </c>
      <c r="D89" s="44">
        <v>8</v>
      </c>
      <c r="E89" s="46" t="s">
        <v>294</v>
      </c>
      <c r="F89" s="46" t="s">
        <v>45</v>
      </c>
      <c r="G89" s="46" t="s">
        <v>157</v>
      </c>
      <c r="H89" s="44" t="s">
        <v>376</v>
      </c>
      <c r="I89" s="44">
        <v>6</v>
      </c>
      <c r="J89" s="46" t="s">
        <v>186</v>
      </c>
      <c r="K89" s="46" t="s">
        <v>526</v>
      </c>
      <c r="L89" s="44" t="s">
        <v>430</v>
      </c>
      <c r="M89" s="44" t="s">
        <v>778</v>
      </c>
      <c r="N89" s="47">
        <f t="shared" si="39"/>
        <v>0.10775462962962966</v>
      </c>
      <c r="O89" s="48" t="s">
        <v>242</v>
      </c>
      <c r="P89" s="49">
        <f>P88+11</f>
        <v>614</v>
      </c>
      <c r="Q89" s="50">
        <v>11</v>
      </c>
      <c r="R89" s="51">
        <f>$Q$3*P89*P89+$R$3*P89</f>
        <v>11401.98</v>
      </c>
      <c r="S89" s="73"/>
      <c r="T89" s="73"/>
      <c r="U89" s="73"/>
      <c r="V89" s="73"/>
      <c r="W89" s="73"/>
      <c r="X89" s="73">
        <v>5</v>
      </c>
      <c r="Y89" s="73">
        <f t="shared" si="56"/>
        <v>4</v>
      </c>
      <c r="Z89" s="73">
        <f t="shared" ref="Z89" si="70">X89*0.6</f>
        <v>3</v>
      </c>
      <c r="AA89" s="73">
        <f t="shared" ref="AA89" si="71">X89*0.5</f>
        <v>2.5</v>
      </c>
      <c r="AB89" s="74">
        <f t="shared" si="59"/>
        <v>4.3981481481481484E-3</v>
      </c>
      <c r="AC89" s="74">
        <f t="shared" si="60"/>
        <v>3.0787037037037037E-3</v>
      </c>
      <c r="AD89" s="49" t="str">
        <f t="shared" si="61"/>
        <v>3분 10초</v>
      </c>
      <c r="AE89" s="49"/>
      <c r="AF89" s="49"/>
      <c r="AG89" s="49"/>
      <c r="AH89" s="49"/>
      <c r="AI89" s="52"/>
    </row>
    <row r="90" spans="1:35" ht="81.95" customHeight="1">
      <c r="A90" s="55" t="s">
        <v>663</v>
      </c>
      <c r="B90" s="44">
        <v>86</v>
      </c>
      <c r="C90" s="44">
        <v>6</v>
      </c>
      <c r="D90" s="44">
        <v>7</v>
      </c>
      <c r="E90" s="46" t="s">
        <v>277</v>
      </c>
      <c r="F90" s="46" t="s">
        <v>15</v>
      </c>
      <c r="G90" s="46" t="s">
        <v>138</v>
      </c>
      <c r="H90" s="44" t="s">
        <v>64</v>
      </c>
      <c r="I90" s="44">
        <v>5</v>
      </c>
      <c r="J90" s="46" t="s">
        <v>683</v>
      </c>
      <c r="K90" s="46" t="s">
        <v>707</v>
      </c>
      <c r="L90" s="44" t="s">
        <v>528</v>
      </c>
      <c r="M90" s="44" t="s">
        <v>744</v>
      </c>
      <c r="N90" s="47">
        <f t="shared" si="39"/>
        <v>0.11053240740740744</v>
      </c>
      <c r="O90" s="48" t="s">
        <v>242</v>
      </c>
      <c r="P90" s="49">
        <f>P89+13</f>
        <v>627</v>
      </c>
      <c r="Q90" s="50">
        <v>13</v>
      </c>
      <c r="R90" s="51">
        <f>$Q$3*P90*P90+$R$3*P90</f>
        <v>11887.919999999998</v>
      </c>
      <c r="S90" s="73"/>
      <c r="T90" s="73"/>
      <c r="U90" s="73"/>
      <c r="V90" s="73"/>
      <c r="W90" s="73"/>
      <c r="X90" s="73">
        <v>5</v>
      </c>
      <c r="Y90" s="73">
        <f t="shared" si="56"/>
        <v>4</v>
      </c>
      <c r="Z90" s="73">
        <f t="shared" ref="Z90:Z97" si="72">X90*0.6</f>
        <v>3</v>
      </c>
      <c r="AA90" s="73">
        <f t="shared" ref="AA90:AA97" si="73">X90*0.5</f>
        <v>2.5</v>
      </c>
      <c r="AB90" s="74">
        <f t="shared" si="59"/>
        <v>5.5555555555555558E-3</v>
      </c>
      <c r="AC90" s="74">
        <f t="shared" si="60"/>
        <v>3.8888888888888888E-3</v>
      </c>
      <c r="AD90" s="49" t="str">
        <f t="shared" si="61"/>
        <v>4분</v>
      </c>
      <c r="AE90" s="49"/>
      <c r="AF90" s="49"/>
      <c r="AG90" s="49"/>
      <c r="AH90" s="49"/>
      <c r="AI90" s="52"/>
    </row>
    <row r="91" spans="1:35" ht="81.95" customHeight="1">
      <c r="A91" s="55" t="s">
        <v>663</v>
      </c>
      <c r="B91" s="44">
        <v>87</v>
      </c>
      <c r="C91" s="44">
        <v>4</v>
      </c>
      <c r="D91" s="44">
        <v>7</v>
      </c>
      <c r="E91" s="46" t="s">
        <v>620</v>
      </c>
      <c r="F91" s="46" t="s">
        <v>374</v>
      </c>
      <c r="G91" s="46" t="s">
        <v>225</v>
      </c>
      <c r="H91" s="44" t="s">
        <v>377</v>
      </c>
      <c r="I91" s="44">
        <v>5</v>
      </c>
      <c r="J91" s="46" t="s">
        <v>676</v>
      </c>
      <c r="K91" s="46" t="s">
        <v>728</v>
      </c>
      <c r="L91" s="44" t="s">
        <v>429</v>
      </c>
      <c r="M91" s="44" t="s">
        <v>748</v>
      </c>
      <c r="N91" s="47">
        <f t="shared" si="39"/>
        <v>0.112962962962963</v>
      </c>
      <c r="O91" s="48" t="s">
        <v>242</v>
      </c>
      <c r="P91" s="49">
        <f>P90+11</f>
        <v>638</v>
      </c>
      <c r="Q91" s="50">
        <v>11</v>
      </c>
      <c r="R91" s="51">
        <f>$Q$3*P91*P91+$R$3*P91</f>
        <v>12307.02</v>
      </c>
      <c r="S91" s="73">
        <f t="shared" si="44"/>
        <v>4102.34</v>
      </c>
      <c r="T91" s="73">
        <v>5</v>
      </c>
      <c r="U91" s="73">
        <f t="shared" si="45"/>
        <v>15</v>
      </c>
      <c r="V91" s="73">
        <v>3</v>
      </c>
      <c r="W91" s="73"/>
      <c r="X91" s="73">
        <v>5</v>
      </c>
      <c r="Y91" s="73">
        <f t="shared" si="56"/>
        <v>4</v>
      </c>
      <c r="Z91" s="73">
        <f t="shared" si="72"/>
        <v>3</v>
      </c>
      <c r="AA91" s="73">
        <f t="shared" si="73"/>
        <v>2.5</v>
      </c>
      <c r="AB91" s="74">
        <f t="shared" si="59"/>
        <v>4.8611111111111112E-3</v>
      </c>
      <c r="AC91" s="74">
        <f t="shared" si="60"/>
        <v>3.4027777777777776E-3</v>
      </c>
      <c r="AD91" s="49" t="str">
        <f t="shared" si="61"/>
        <v>3분 30초</v>
      </c>
      <c r="AE91" s="49"/>
      <c r="AF91" s="49"/>
      <c r="AG91" s="49"/>
      <c r="AH91" s="49"/>
      <c r="AI91" s="52"/>
    </row>
    <row r="92" spans="1:35" ht="81.95" customHeight="1">
      <c r="A92" s="55" t="s">
        <v>663</v>
      </c>
      <c r="B92" s="44">
        <v>88</v>
      </c>
      <c r="C92" s="44">
        <v>4</v>
      </c>
      <c r="D92" s="44">
        <v>7</v>
      </c>
      <c r="E92" s="46" t="s">
        <v>287</v>
      </c>
      <c r="F92" s="46" t="s">
        <v>22</v>
      </c>
      <c r="G92" s="46" t="s">
        <v>471</v>
      </c>
      <c r="H92" s="44" t="s">
        <v>44</v>
      </c>
      <c r="I92" s="44">
        <v>1</v>
      </c>
      <c r="J92" s="46" t="s">
        <v>324</v>
      </c>
      <c r="K92" s="46" t="s">
        <v>785</v>
      </c>
      <c r="L92" s="44" t="s">
        <v>432</v>
      </c>
      <c r="M92" s="44" t="s">
        <v>167</v>
      </c>
      <c r="N92" s="47">
        <f t="shared" si="39"/>
        <v>0.11423611111111115</v>
      </c>
      <c r="O92" s="48" t="s">
        <v>245</v>
      </c>
      <c r="P92" s="49">
        <f>P91+8</f>
        <v>646</v>
      </c>
      <c r="Q92" s="50">
        <v>8</v>
      </c>
      <c r="R92" s="51">
        <f>$Q$3*P92*P92+$R$3*P92</f>
        <v>12616.38</v>
      </c>
      <c r="S92" s="73"/>
      <c r="T92" s="73"/>
      <c r="U92" s="73"/>
      <c r="V92" s="73"/>
      <c r="W92" s="73"/>
      <c r="X92" s="73"/>
      <c r="Y92" s="73"/>
      <c r="Z92" s="73"/>
      <c r="AA92" s="73"/>
      <c r="AB92" s="74"/>
      <c r="AC92" s="74"/>
      <c r="AD92" s="49"/>
      <c r="AE92" s="49"/>
      <c r="AF92" s="49"/>
      <c r="AG92" s="49"/>
      <c r="AH92" s="49"/>
      <c r="AI92" s="52"/>
    </row>
    <row r="93" spans="1:35" ht="81.95" customHeight="1">
      <c r="A93" s="55" t="s">
        <v>663</v>
      </c>
      <c r="B93" s="44">
        <v>89</v>
      </c>
      <c r="C93" s="44">
        <v>5</v>
      </c>
      <c r="D93" s="44">
        <v>7</v>
      </c>
      <c r="E93" s="46" t="s">
        <v>276</v>
      </c>
      <c r="F93" s="46" t="s">
        <v>37</v>
      </c>
      <c r="G93" s="46" t="s">
        <v>205</v>
      </c>
      <c r="H93" s="44" t="s">
        <v>59</v>
      </c>
      <c r="I93" s="44">
        <v>4</v>
      </c>
      <c r="J93" s="46" t="s">
        <v>303</v>
      </c>
      <c r="K93" s="46" t="s">
        <v>816</v>
      </c>
      <c r="L93" s="44" t="s">
        <v>430</v>
      </c>
      <c r="M93" s="44" t="s">
        <v>745</v>
      </c>
      <c r="N93" s="47">
        <f t="shared" si="39"/>
        <v>0.11643518518518522</v>
      </c>
      <c r="O93" s="48" t="s">
        <v>245</v>
      </c>
      <c r="P93" s="49">
        <f>P92+11</f>
        <v>657</v>
      </c>
      <c r="Q93" s="50">
        <v>11</v>
      </c>
      <c r="R93" s="51">
        <f>$Q$3*P93*P93+$R$3*P93</f>
        <v>13048.02</v>
      </c>
      <c r="S93" s="73"/>
      <c r="T93" s="73"/>
      <c r="U93" s="73"/>
      <c r="V93" s="73"/>
      <c r="W93" s="73"/>
      <c r="X93" s="73">
        <v>5</v>
      </c>
      <c r="Y93" s="73">
        <f t="shared" ref="Y93" si="74">X93*0.8</f>
        <v>4</v>
      </c>
      <c r="Z93" s="73">
        <f t="shared" si="72"/>
        <v>3</v>
      </c>
      <c r="AA93" s="73">
        <f t="shared" si="73"/>
        <v>2.5</v>
      </c>
      <c r="AB93" s="74">
        <f t="shared" si="59"/>
        <v>4.3981481481481484E-3</v>
      </c>
      <c r="AC93" s="74">
        <f t="shared" si="60"/>
        <v>3.0787037037037037E-3</v>
      </c>
      <c r="AD93" s="49" t="str">
        <f t="shared" si="61"/>
        <v>3분 10초</v>
      </c>
      <c r="AE93" s="49"/>
      <c r="AF93" s="49"/>
      <c r="AG93" s="49"/>
      <c r="AH93" s="49"/>
      <c r="AI93" s="52"/>
    </row>
    <row r="94" spans="1:35" ht="81.95" customHeight="1">
      <c r="A94" s="55" t="s">
        <v>663</v>
      </c>
      <c r="B94" s="44">
        <v>90</v>
      </c>
      <c r="C94" s="44">
        <v>4</v>
      </c>
      <c r="D94" s="44">
        <v>7</v>
      </c>
      <c r="E94" s="46" t="s">
        <v>614</v>
      </c>
      <c r="F94" s="46" t="s">
        <v>480</v>
      </c>
      <c r="G94" s="46" t="s">
        <v>88</v>
      </c>
      <c r="H94" s="44" t="s">
        <v>382</v>
      </c>
      <c r="I94" s="44">
        <v>6</v>
      </c>
      <c r="J94" s="46" t="s">
        <v>19</v>
      </c>
      <c r="K94" s="46" t="s">
        <v>526</v>
      </c>
      <c r="L94" s="44" t="s">
        <v>429</v>
      </c>
      <c r="M94" s="44" t="s">
        <v>12</v>
      </c>
      <c r="N94" s="47">
        <f t="shared" si="39"/>
        <v>0.11886574074074079</v>
      </c>
      <c r="O94" s="48" t="s">
        <v>245</v>
      </c>
      <c r="P94" s="49">
        <f>P93+11</f>
        <v>668</v>
      </c>
      <c r="Q94" s="50">
        <v>11</v>
      </c>
      <c r="R94" s="51">
        <f>$Q$3*P94*P94+$R$3*P94</f>
        <v>13486.92</v>
      </c>
      <c r="S94" s="73">
        <f t="shared" si="44"/>
        <v>2697.384</v>
      </c>
      <c r="T94" s="73">
        <v>5</v>
      </c>
      <c r="U94" s="73">
        <f t="shared" si="45"/>
        <v>25</v>
      </c>
      <c r="V94" s="73">
        <v>5</v>
      </c>
      <c r="W94" s="73"/>
      <c r="X94" s="73">
        <v>5</v>
      </c>
      <c r="Y94" s="73">
        <f t="shared" ref="Y94" si="75">X94*0.8</f>
        <v>4</v>
      </c>
      <c r="Z94" s="73">
        <f t="shared" si="72"/>
        <v>3</v>
      </c>
      <c r="AA94" s="73">
        <f t="shared" si="73"/>
        <v>2.5</v>
      </c>
      <c r="AB94" s="74">
        <f t="shared" si="59"/>
        <v>4.8611111111111112E-3</v>
      </c>
      <c r="AC94" s="74">
        <f t="shared" si="60"/>
        <v>3.4027777777777776E-3</v>
      </c>
      <c r="AD94" s="49" t="str">
        <f t="shared" si="61"/>
        <v>3분 30초</v>
      </c>
      <c r="AE94" s="49"/>
      <c r="AF94" s="49"/>
      <c r="AG94" s="49"/>
      <c r="AH94" s="49"/>
      <c r="AI94" s="52"/>
    </row>
    <row r="95" spans="1:35" ht="81.95" customHeight="1">
      <c r="A95" s="55" t="s">
        <v>663</v>
      </c>
      <c r="B95" s="44">
        <v>91</v>
      </c>
      <c r="C95" s="44">
        <v>2</v>
      </c>
      <c r="D95" s="44">
        <v>8</v>
      </c>
      <c r="E95" s="46" t="s">
        <v>612</v>
      </c>
      <c r="F95" s="46" t="s">
        <v>3</v>
      </c>
      <c r="G95" s="46" t="s">
        <v>355</v>
      </c>
      <c r="H95" s="44" t="s">
        <v>352</v>
      </c>
      <c r="I95" s="44">
        <v>2</v>
      </c>
      <c r="J95" s="46" t="s">
        <v>669</v>
      </c>
      <c r="K95" s="46" t="s">
        <v>176</v>
      </c>
      <c r="L95" s="44" t="s">
        <v>447</v>
      </c>
      <c r="M95" s="44" t="s">
        <v>329</v>
      </c>
      <c r="N95" s="47">
        <f t="shared" si="39"/>
        <v>0.11979166666666671</v>
      </c>
      <c r="O95" s="48" t="s">
        <v>245</v>
      </c>
      <c r="P95" s="49">
        <f>P94+7</f>
        <v>675</v>
      </c>
      <c r="Q95" s="50">
        <v>7</v>
      </c>
      <c r="R95" s="51">
        <f>$Q$3*P95*P95+$R$3*P95</f>
        <v>13770</v>
      </c>
      <c r="S95" s="73"/>
      <c r="T95" s="73"/>
      <c r="U95" s="73"/>
      <c r="V95" s="73"/>
      <c r="W95" s="73"/>
      <c r="X95" s="73"/>
      <c r="Y95" s="73"/>
      <c r="Z95" s="73"/>
      <c r="AA95" s="73"/>
      <c r="AB95" s="74"/>
      <c r="AC95" s="74"/>
      <c r="AD95" s="49"/>
      <c r="AE95" s="49"/>
      <c r="AF95" s="49"/>
      <c r="AG95" s="49"/>
      <c r="AH95" s="49"/>
      <c r="AI95" s="52"/>
    </row>
    <row r="96" spans="1:35" ht="81.95" customHeight="1">
      <c r="A96" s="55" t="s">
        <v>663</v>
      </c>
      <c r="B96" s="44">
        <v>92</v>
      </c>
      <c r="C96" s="44">
        <v>8</v>
      </c>
      <c r="D96" s="44">
        <v>10</v>
      </c>
      <c r="E96" s="46" t="s">
        <v>568</v>
      </c>
      <c r="F96" s="46" t="s">
        <v>401</v>
      </c>
      <c r="G96" s="46" t="s">
        <v>137</v>
      </c>
      <c r="H96" s="44" t="s">
        <v>93</v>
      </c>
      <c r="I96" s="44">
        <v>8</v>
      </c>
      <c r="J96" s="46" t="s">
        <v>314</v>
      </c>
      <c r="K96" s="46" t="s">
        <v>789</v>
      </c>
      <c r="L96" s="44" t="s">
        <v>536</v>
      </c>
      <c r="M96" s="44" t="s">
        <v>589</v>
      </c>
      <c r="N96" s="47">
        <f t="shared" si="39"/>
        <v>0.12326388888888894</v>
      </c>
      <c r="O96" s="48" t="s">
        <v>253</v>
      </c>
      <c r="P96" s="49">
        <f>P95+17</f>
        <v>692</v>
      </c>
      <c r="Q96" s="50">
        <v>17</v>
      </c>
      <c r="R96" s="51">
        <f>$Q$3*P96*P96+$R$3*P96</f>
        <v>14469.719999999998</v>
      </c>
      <c r="S96" s="73">
        <f t="shared" si="44"/>
        <v>14469.719999999998</v>
      </c>
      <c r="T96" s="73">
        <v>300</v>
      </c>
      <c r="U96" s="73">
        <f t="shared" si="45"/>
        <v>300</v>
      </c>
      <c r="V96" s="73">
        <v>1</v>
      </c>
      <c r="W96" s="73"/>
      <c r="X96" s="73">
        <v>15</v>
      </c>
      <c r="Y96" s="73">
        <f t="shared" ref="Y96" si="76">X96*0.8</f>
        <v>12</v>
      </c>
      <c r="Z96" s="73">
        <f t="shared" si="72"/>
        <v>9</v>
      </c>
      <c r="AA96" s="73">
        <f t="shared" si="73"/>
        <v>7.5</v>
      </c>
      <c r="AB96" s="74">
        <f t="shared" si="59"/>
        <v>6.9444444444444441E-3</v>
      </c>
      <c r="AC96" s="74">
        <f t="shared" si="60"/>
        <v>4.8611111111111103E-3</v>
      </c>
      <c r="AD96" s="49" t="str">
        <f t="shared" si="61"/>
        <v>5분</v>
      </c>
      <c r="AE96" s="49"/>
      <c r="AF96" s="49"/>
      <c r="AG96" s="49"/>
      <c r="AH96" s="49"/>
      <c r="AI96" s="52"/>
    </row>
    <row r="97" spans="1:35" ht="81.95" customHeight="1">
      <c r="A97" s="55" t="s">
        <v>663</v>
      </c>
      <c r="B97" s="44">
        <v>93</v>
      </c>
      <c r="C97" s="44">
        <v>8</v>
      </c>
      <c r="D97" s="44">
        <v>10</v>
      </c>
      <c r="E97" s="46" t="s">
        <v>281</v>
      </c>
      <c r="F97" s="46" t="s">
        <v>358</v>
      </c>
      <c r="G97" s="46" t="s">
        <v>159</v>
      </c>
      <c r="H97" s="44" t="s">
        <v>365</v>
      </c>
      <c r="I97" s="44">
        <v>6</v>
      </c>
      <c r="J97" s="46" t="s">
        <v>321</v>
      </c>
      <c r="K97" s="46" t="s">
        <v>783</v>
      </c>
      <c r="L97" s="44" t="s">
        <v>446</v>
      </c>
      <c r="M97" s="44" t="s">
        <v>725</v>
      </c>
      <c r="N97" s="47">
        <f t="shared" si="39"/>
        <v>0.12627314814814819</v>
      </c>
      <c r="O97" s="48" t="s">
        <v>253</v>
      </c>
      <c r="P97" s="49">
        <f>P96+15</f>
        <v>707</v>
      </c>
      <c r="Q97" s="50">
        <v>15</v>
      </c>
      <c r="R97" s="51">
        <f>$Q$3*P97*P97+$R$3*P97</f>
        <v>15101.52</v>
      </c>
      <c r="S97" s="73">
        <f t="shared" si="44"/>
        <v>5033.84</v>
      </c>
      <c r="T97" s="73">
        <v>10</v>
      </c>
      <c r="U97" s="73">
        <f t="shared" si="45"/>
        <v>30</v>
      </c>
      <c r="V97" s="73">
        <v>3</v>
      </c>
      <c r="W97" s="73"/>
      <c r="X97" s="73">
        <v>15</v>
      </c>
      <c r="Y97" s="73">
        <f t="shared" ref="Y97" si="77">X97*0.8</f>
        <v>12</v>
      </c>
      <c r="Z97" s="73">
        <f t="shared" si="72"/>
        <v>9</v>
      </c>
      <c r="AA97" s="73">
        <f t="shared" si="73"/>
        <v>7.5</v>
      </c>
      <c r="AB97" s="74">
        <f t="shared" si="59"/>
        <v>6.0185185185185185E-3</v>
      </c>
      <c r="AC97" s="74">
        <f t="shared" si="60"/>
        <v>4.2129629629629626E-3</v>
      </c>
      <c r="AD97" s="49" t="str">
        <f t="shared" si="61"/>
        <v>4분 20초</v>
      </c>
      <c r="AE97" s="49"/>
      <c r="AF97" s="49"/>
      <c r="AG97" s="49"/>
      <c r="AH97" s="49"/>
      <c r="AI97" s="52"/>
    </row>
    <row r="98" spans="1:35" ht="81.95" customHeight="1">
      <c r="A98" s="55" t="s">
        <v>663</v>
      </c>
      <c r="B98" s="44">
        <v>94</v>
      </c>
      <c r="C98" s="44">
        <v>9</v>
      </c>
      <c r="D98" s="44">
        <v>10</v>
      </c>
      <c r="E98" s="46" t="s">
        <v>574</v>
      </c>
      <c r="F98" s="46" t="s">
        <v>359</v>
      </c>
      <c r="G98" s="46" t="s">
        <v>163</v>
      </c>
      <c r="H98" s="44" t="s">
        <v>129</v>
      </c>
      <c r="I98" s="44">
        <v>9</v>
      </c>
      <c r="J98" s="46" t="s">
        <v>742</v>
      </c>
      <c r="K98" s="46" t="s">
        <v>722</v>
      </c>
      <c r="L98" s="44" t="s">
        <v>545</v>
      </c>
      <c r="M98" s="44" t="s">
        <v>732</v>
      </c>
      <c r="N98" s="47">
        <f t="shared" si="39"/>
        <v>0.13020833333333337</v>
      </c>
      <c r="O98" s="48" t="s">
        <v>253</v>
      </c>
      <c r="P98" s="49">
        <f>P97+18</f>
        <v>725</v>
      </c>
      <c r="Q98" s="50">
        <v>18</v>
      </c>
      <c r="R98" s="51">
        <f>$Q$3*P98*P98+$R$3*P98</f>
        <v>15877.5</v>
      </c>
      <c r="S98" s="73">
        <f t="shared" si="44"/>
        <v>15877.5</v>
      </c>
      <c r="T98" s="73">
        <v>320</v>
      </c>
      <c r="U98" s="73">
        <f t="shared" si="45"/>
        <v>320</v>
      </c>
      <c r="V98" s="73">
        <v>1</v>
      </c>
      <c r="W98" s="73"/>
      <c r="X98" s="73">
        <v>15</v>
      </c>
      <c r="Y98" s="73">
        <f t="shared" si="56"/>
        <v>12</v>
      </c>
      <c r="Z98" s="73">
        <f t="shared" ref="Z98" si="78">X98*0.6</f>
        <v>9</v>
      </c>
      <c r="AA98" s="73">
        <f t="shared" ref="AA98" si="79">X98*0.5</f>
        <v>7.5</v>
      </c>
      <c r="AB98" s="74">
        <f t="shared" si="59"/>
        <v>7.8703703703703696E-3</v>
      </c>
      <c r="AC98" s="74">
        <f t="shared" si="60"/>
        <v>5.509259259259258E-3</v>
      </c>
      <c r="AD98" s="49" t="str">
        <f t="shared" si="61"/>
        <v>5분 40초</v>
      </c>
      <c r="AE98" s="49"/>
      <c r="AF98" s="49"/>
      <c r="AG98" s="49"/>
      <c r="AH98" s="49"/>
      <c r="AI98" s="52"/>
    </row>
    <row r="99" spans="1:35" ht="81.95" customHeight="1">
      <c r="A99" s="55" t="s">
        <v>663</v>
      </c>
      <c r="B99" s="44">
        <v>95</v>
      </c>
      <c r="C99" s="44">
        <v>10</v>
      </c>
      <c r="D99" s="44">
        <v>10</v>
      </c>
      <c r="E99" s="46" t="s">
        <v>282</v>
      </c>
      <c r="F99" s="46" t="s">
        <v>341</v>
      </c>
      <c r="G99" s="46" t="s">
        <v>135</v>
      </c>
      <c r="H99" s="44" t="s">
        <v>68</v>
      </c>
      <c r="I99" s="44">
        <v>6</v>
      </c>
      <c r="J99" s="46" t="s">
        <v>16</v>
      </c>
      <c r="K99" s="46" t="s">
        <v>727</v>
      </c>
      <c r="L99" s="44" t="s">
        <v>437</v>
      </c>
      <c r="M99" s="44" t="s">
        <v>809</v>
      </c>
      <c r="N99" s="47">
        <f t="shared" si="39"/>
        <v>0.13287037037037042</v>
      </c>
      <c r="O99" s="48" t="s">
        <v>253</v>
      </c>
      <c r="P99" s="49">
        <f>P98+15</f>
        <v>740</v>
      </c>
      <c r="Q99" s="50">
        <v>15</v>
      </c>
      <c r="R99" s="51">
        <f>$Q$3*P99*P99+$R$3*P99</f>
        <v>16539</v>
      </c>
      <c r="S99" s="73">
        <f t="shared" si="44"/>
        <v>5513</v>
      </c>
      <c r="T99" s="73">
        <v>15</v>
      </c>
      <c r="U99" s="73">
        <f t="shared" si="45"/>
        <v>45</v>
      </c>
      <c r="V99" s="73">
        <v>3</v>
      </c>
      <c r="W99" s="73"/>
      <c r="X99" s="73">
        <v>15</v>
      </c>
      <c r="Y99" s="73">
        <f t="shared" ref="Y99" si="80">X99*0.8</f>
        <v>12</v>
      </c>
      <c r="Z99" s="73">
        <f t="shared" ref="Z99:Z100" si="81">X99*0.6</f>
        <v>9</v>
      </c>
      <c r="AA99" s="73">
        <f t="shared" ref="AA99:AA100" si="82">X99*0.5</f>
        <v>7.5</v>
      </c>
      <c r="AB99" s="74">
        <f t="shared" si="59"/>
        <v>5.324074074074074E-3</v>
      </c>
      <c r="AC99" s="74">
        <f t="shared" si="60"/>
        <v>3.7268518518518514E-3</v>
      </c>
      <c r="AD99" s="49" t="str">
        <f t="shared" si="61"/>
        <v>3분 50초</v>
      </c>
      <c r="AE99" s="49"/>
      <c r="AF99" s="49"/>
      <c r="AG99" s="49"/>
      <c r="AH99" s="49"/>
      <c r="AI99" s="52"/>
    </row>
    <row r="100" spans="1:35" ht="81.95" customHeight="1">
      <c r="A100" s="55" t="s">
        <v>663</v>
      </c>
      <c r="B100" s="44">
        <v>96</v>
      </c>
      <c r="C100" s="44">
        <v>7</v>
      </c>
      <c r="D100" s="44">
        <v>10</v>
      </c>
      <c r="E100" s="46" t="s">
        <v>613</v>
      </c>
      <c r="F100" s="46" t="s">
        <v>14</v>
      </c>
      <c r="G100" s="46" t="s">
        <v>219</v>
      </c>
      <c r="H100" s="44" t="s">
        <v>94</v>
      </c>
      <c r="I100" s="44">
        <v>5</v>
      </c>
      <c r="J100" s="46" t="s">
        <v>301</v>
      </c>
      <c r="K100" s="46" t="s">
        <v>739</v>
      </c>
      <c r="L100" s="44" t="s">
        <v>544</v>
      </c>
      <c r="M100" s="44" t="s">
        <v>569</v>
      </c>
      <c r="N100" s="47">
        <f t="shared" si="39"/>
        <v>0.1344907407407408</v>
      </c>
      <c r="O100" s="48" t="s">
        <v>253</v>
      </c>
      <c r="P100" s="49">
        <f>P99+11</f>
        <v>751</v>
      </c>
      <c r="Q100" s="50">
        <v>11</v>
      </c>
      <c r="R100" s="51">
        <f>$Q$3*P100*P100+$R$3*P100</f>
        <v>17032.68</v>
      </c>
      <c r="S100" s="73"/>
      <c r="T100" s="73"/>
      <c r="U100" s="73"/>
      <c r="V100" s="73"/>
      <c r="W100" s="73"/>
      <c r="X100" s="73">
        <v>10</v>
      </c>
      <c r="Y100" s="73">
        <f t="shared" ref="Y100" si="83">X100*0.8</f>
        <v>8</v>
      </c>
      <c r="Z100" s="73">
        <f t="shared" si="81"/>
        <v>6</v>
      </c>
      <c r="AA100" s="73">
        <f t="shared" si="82"/>
        <v>5</v>
      </c>
      <c r="AB100" s="74">
        <f t="shared" si="59"/>
        <v>3.2407407407407406E-3</v>
      </c>
      <c r="AC100" s="74">
        <f t="shared" si="60"/>
        <v>2.2685185185185182E-3</v>
      </c>
      <c r="AD100" s="49" t="str">
        <f t="shared" si="61"/>
        <v>2분 20초</v>
      </c>
      <c r="AE100" s="49"/>
      <c r="AF100" s="49"/>
      <c r="AG100" s="49"/>
      <c r="AH100" s="49"/>
      <c r="AI100" s="52"/>
    </row>
    <row r="101" spans="1:35" ht="81.95" customHeight="1">
      <c r="A101" s="55" t="s">
        <v>663</v>
      </c>
      <c r="B101" s="44">
        <v>97</v>
      </c>
      <c r="C101" s="44">
        <v>1</v>
      </c>
      <c r="D101" s="44">
        <v>10</v>
      </c>
      <c r="E101" s="46" t="s">
        <v>616</v>
      </c>
      <c r="F101" s="46" t="s">
        <v>388</v>
      </c>
      <c r="G101" s="46" t="s">
        <v>84</v>
      </c>
      <c r="H101" s="44" t="s">
        <v>346</v>
      </c>
      <c r="I101" s="44">
        <v>1</v>
      </c>
      <c r="J101" s="46" t="s">
        <v>673</v>
      </c>
      <c r="K101" s="46" t="s">
        <v>746</v>
      </c>
      <c r="L101" s="44" t="s">
        <v>436</v>
      </c>
      <c r="M101" s="44" t="s">
        <v>6</v>
      </c>
      <c r="N101" s="47">
        <f t="shared" si="39"/>
        <v>0.13553240740740746</v>
      </c>
      <c r="O101" s="48" t="s">
        <v>253</v>
      </c>
      <c r="P101" s="49">
        <f>P100+7</f>
        <v>758</v>
      </c>
      <c r="Q101" s="50">
        <v>7</v>
      </c>
      <c r="R101" s="51">
        <f>$Q$3*P101*P101+$R$3*P101</f>
        <v>17350.62</v>
      </c>
      <c r="S101" s="73"/>
      <c r="T101" s="73"/>
      <c r="U101" s="73"/>
      <c r="V101" s="73"/>
      <c r="W101" s="73"/>
      <c r="X101" s="73">
        <v>10</v>
      </c>
      <c r="Y101" s="73">
        <f t="shared" si="56"/>
        <v>8</v>
      </c>
      <c r="Z101" s="73">
        <f t="shared" ref="Z101" si="84">X101*0.6</f>
        <v>6</v>
      </c>
      <c r="AA101" s="73">
        <f t="shared" ref="AA101" si="85">X101*0.5</f>
        <v>5</v>
      </c>
      <c r="AB101" s="74">
        <f t="shared" si="59"/>
        <v>2.0833333333333333E-3</v>
      </c>
      <c r="AC101" s="74">
        <f t="shared" si="60"/>
        <v>1.4583333333333332E-3</v>
      </c>
      <c r="AD101" s="49" t="str">
        <f t="shared" si="61"/>
        <v>1분 30초</v>
      </c>
      <c r="AE101" s="49"/>
      <c r="AF101" s="49"/>
      <c r="AG101" s="49"/>
      <c r="AH101" s="49"/>
      <c r="AI101" s="52"/>
    </row>
    <row r="102" spans="1:35" ht="81.95" customHeight="1">
      <c r="A102" s="55" t="s">
        <v>663</v>
      </c>
      <c r="B102" s="44">
        <v>98</v>
      </c>
      <c r="C102" s="44">
        <v>2</v>
      </c>
      <c r="D102" s="44">
        <v>10</v>
      </c>
      <c r="E102" s="46" t="s">
        <v>280</v>
      </c>
      <c r="F102" s="46" t="s">
        <v>342</v>
      </c>
      <c r="G102" s="46" t="s">
        <v>63</v>
      </c>
      <c r="H102" s="44" t="s">
        <v>95</v>
      </c>
      <c r="I102" s="44">
        <v>3</v>
      </c>
      <c r="J102" s="46" t="s">
        <v>310</v>
      </c>
      <c r="K102" s="46" t="s">
        <v>720</v>
      </c>
      <c r="L102" s="44" t="s">
        <v>544</v>
      </c>
      <c r="M102" s="44" t="s">
        <v>800</v>
      </c>
      <c r="N102" s="47">
        <f t="shared" ref="N102:N123" si="86">N101+(IFERROR(VALUE(LEFT(L102,FIND("분",L102)-1))*60,0)+IFERROR(VALUE(TRIM(MID(L102,IFERROR(FIND("분",L102),0)+1,FIND("초",L102)-IFERROR(FIND("분",L102),0)-1))),0))/86400</f>
        <v>0.13715277777777785</v>
      </c>
      <c r="O102" s="48" t="s">
        <v>253</v>
      </c>
      <c r="P102" s="49">
        <f>P101+9</f>
        <v>767</v>
      </c>
      <c r="Q102" s="50">
        <v>9</v>
      </c>
      <c r="R102" s="51">
        <f>$Q$3*P102*P102+$R$3*P102</f>
        <v>17763.719999999998</v>
      </c>
      <c r="S102" s="73"/>
      <c r="T102" s="73"/>
      <c r="U102" s="73"/>
      <c r="V102" s="73"/>
      <c r="W102" s="73"/>
      <c r="X102" s="73">
        <v>5</v>
      </c>
      <c r="Y102" s="73">
        <f t="shared" ref="Y102" si="87">X102*0.8</f>
        <v>4</v>
      </c>
      <c r="Z102" s="73">
        <f t="shared" ref="Z102:Z103" si="88">X102*0.6</f>
        <v>3</v>
      </c>
      <c r="AA102" s="73">
        <f t="shared" ref="AA102:AA103" si="89">X102*0.5</f>
        <v>2.5</v>
      </c>
      <c r="AB102" s="74">
        <f t="shared" si="59"/>
        <v>3.2407407407407406E-3</v>
      </c>
      <c r="AC102" s="74">
        <f t="shared" si="60"/>
        <v>2.2685185185185182E-3</v>
      </c>
      <c r="AD102" s="49" t="str">
        <f t="shared" si="61"/>
        <v>2분 20초</v>
      </c>
      <c r="AE102" s="49"/>
      <c r="AF102" s="49"/>
      <c r="AG102" s="49"/>
      <c r="AH102" s="49"/>
      <c r="AI102" s="52"/>
    </row>
    <row r="103" spans="1:35" ht="81.95" customHeight="1">
      <c r="A103" s="55" t="s">
        <v>663</v>
      </c>
      <c r="B103" s="44">
        <v>99</v>
      </c>
      <c r="C103" s="44">
        <v>6</v>
      </c>
      <c r="D103" s="44">
        <v>9</v>
      </c>
      <c r="E103" s="46" t="s">
        <v>618</v>
      </c>
      <c r="F103" s="46" t="s">
        <v>34</v>
      </c>
      <c r="G103" s="46" t="s">
        <v>31</v>
      </c>
      <c r="H103" s="44" t="s">
        <v>83</v>
      </c>
      <c r="I103" s="44">
        <v>1</v>
      </c>
      <c r="J103" s="46" t="s">
        <v>567</v>
      </c>
      <c r="K103" s="46" t="s">
        <v>734</v>
      </c>
      <c r="L103" s="44" t="s">
        <v>518</v>
      </c>
      <c r="M103" s="44" t="s">
        <v>750</v>
      </c>
      <c r="N103" s="47">
        <f t="shared" si="86"/>
        <v>0.13923611111111117</v>
      </c>
      <c r="O103" s="48" t="s">
        <v>250</v>
      </c>
      <c r="P103" s="49">
        <f>P102+11</f>
        <v>778</v>
      </c>
      <c r="Q103" s="50">
        <v>11</v>
      </c>
      <c r="R103" s="51">
        <f>$Q$3*P103*P103+$R$3*P103</f>
        <v>18275.22</v>
      </c>
      <c r="S103" s="73"/>
      <c r="T103" s="73"/>
      <c r="U103" s="73"/>
      <c r="V103" s="73"/>
      <c r="W103" s="73"/>
      <c r="X103" s="73">
        <v>5</v>
      </c>
      <c r="Y103" s="73">
        <f t="shared" ref="Y103" si="90">X103*0.8</f>
        <v>4</v>
      </c>
      <c r="Z103" s="73">
        <f t="shared" si="88"/>
        <v>3</v>
      </c>
      <c r="AA103" s="73">
        <f t="shared" si="89"/>
        <v>2.5</v>
      </c>
      <c r="AB103" s="74">
        <f t="shared" si="59"/>
        <v>4.1666666666666666E-3</v>
      </c>
      <c r="AC103" s="74">
        <f t="shared" si="60"/>
        <v>2.9166666666666664E-3</v>
      </c>
      <c r="AD103" s="49" t="str">
        <f t="shared" si="61"/>
        <v>3분</v>
      </c>
      <c r="AE103" s="49"/>
      <c r="AF103" s="49"/>
      <c r="AG103" s="49"/>
      <c r="AH103" s="49"/>
      <c r="AI103" s="52"/>
    </row>
    <row r="104" spans="1:35" ht="81.95" customHeight="1">
      <c r="A104" s="55" t="s">
        <v>663</v>
      </c>
      <c r="B104" s="44">
        <v>100</v>
      </c>
      <c r="C104" s="44">
        <v>1</v>
      </c>
      <c r="D104" s="44">
        <v>8</v>
      </c>
      <c r="E104" s="46" t="s">
        <v>295</v>
      </c>
      <c r="F104" s="46" t="s">
        <v>348</v>
      </c>
      <c r="G104" s="46" t="s">
        <v>54</v>
      </c>
      <c r="H104" s="44" t="s">
        <v>390</v>
      </c>
      <c r="I104" s="44">
        <v>3</v>
      </c>
      <c r="J104" s="46" t="s">
        <v>326</v>
      </c>
      <c r="K104" s="46" t="s">
        <v>170</v>
      </c>
      <c r="L104" s="44" t="s">
        <v>432</v>
      </c>
      <c r="M104" s="44" t="s">
        <v>168</v>
      </c>
      <c r="N104" s="47">
        <f t="shared" si="86"/>
        <v>0.14050925925925933</v>
      </c>
      <c r="O104" s="48" t="s">
        <v>250</v>
      </c>
      <c r="P104" s="49">
        <f>P103+7</f>
        <v>785</v>
      </c>
      <c r="Q104" s="50">
        <v>7</v>
      </c>
      <c r="R104" s="51">
        <f>$Q$3*P104*P104+$R$3*P104</f>
        <v>18604.5</v>
      </c>
      <c r="S104" s="73"/>
      <c r="T104" s="73"/>
      <c r="U104" s="73"/>
      <c r="V104" s="73"/>
      <c r="W104" s="73"/>
      <c r="X104" s="73"/>
      <c r="Y104" s="73"/>
      <c r="Z104" s="73"/>
      <c r="AA104" s="73"/>
      <c r="AB104" s="74"/>
      <c r="AC104" s="74"/>
      <c r="AD104" s="49"/>
      <c r="AE104" s="49"/>
      <c r="AF104" s="49"/>
      <c r="AG104" s="49"/>
      <c r="AH104" s="49"/>
      <c r="AI104" s="52"/>
    </row>
    <row r="105" spans="1:35" ht="81.95" customHeight="1">
      <c r="A105" s="56" t="s">
        <v>644</v>
      </c>
      <c r="B105" s="44">
        <v>101</v>
      </c>
      <c r="C105" s="44">
        <v>1</v>
      </c>
      <c r="D105" s="44">
        <v>8</v>
      </c>
      <c r="E105" s="46" t="s">
        <v>456</v>
      </c>
      <c r="F105" s="46" t="s">
        <v>92</v>
      </c>
      <c r="G105" s="46" t="s">
        <v>70</v>
      </c>
      <c r="H105" s="44" t="s">
        <v>410</v>
      </c>
      <c r="I105" s="44">
        <v>2</v>
      </c>
      <c r="J105" s="46" t="s">
        <v>674</v>
      </c>
      <c r="K105" s="46" t="s">
        <v>526</v>
      </c>
      <c r="L105" s="44" t="s">
        <v>541</v>
      </c>
      <c r="M105" s="44" t="s">
        <v>810</v>
      </c>
      <c r="N105" s="47">
        <f t="shared" si="86"/>
        <v>0.14166666666666675</v>
      </c>
      <c r="O105" s="48" t="s">
        <v>243</v>
      </c>
      <c r="P105" s="49">
        <f>P104+7</f>
        <v>792</v>
      </c>
      <c r="Q105" s="50">
        <v>7</v>
      </c>
      <c r="R105" s="51">
        <f>$Q$3*P105*P105+$R$3*P105</f>
        <v>18936.719999999998</v>
      </c>
      <c r="S105" s="73"/>
      <c r="T105" s="73"/>
      <c r="U105" s="73"/>
      <c r="V105" s="73"/>
      <c r="W105" s="73"/>
      <c r="X105" s="73"/>
      <c r="Y105" s="73"/>
      <c r="Z105" s="73"/>
      <c r="AA105" s="73"/>
      <c r="AB105" s="74"/>
      <c r="AC105" s="74"/>
      <c r="AD105" s="49"/>
      <c r="AE105" s="49"/>
      <c r="AF105" s="49"/>
      <c r="AG105" s="49"/>
      <c r="AH105" s="49"/>
      <c r="AI105" s="52"/>
    </row>
    <row r="106" spans="1:35" ht="81.95" customHeight="1">
      <c r="A106" s="56" t="s">
        <v>644</v>
      </c>
      <c r="B106" s="44">
        <v>102</v>
      </c>
      <c r="C106" s="44">
        <v>1</v>
      </c>
      <c r="D106" s="44">
        <v>9</v>
      </c>
      <c r="E106" s="46" t="s">
        <v>288</v>
      </c>
      <c r="F106" s="46" t="s">
        <v>351</v>
      </c>
      <c r="G106" s="46" t="s">
        <v>132</v>
      </c>
      <c r="H106" s="44" t="s">
        <v>66</v>
      </c>
      <c r="I106" s="44">
        <v>4</v>
      </c>
      <c r="J106" s="46" t="s">
        <v>682</v>
      </c>
      <c r="K106" s="46" t="s">
        <v>526</v>
      </c>
      <c r="L106" s="44" t="s">
        <v>544</v>
      </c>
      <c r="M106" s="44" t="s">
        <v>741</v>
      </c>
      <c r="N106" s="47">
        <f t="shared" si="86"/>
        <v>0.14328703703703713</v>
      </c>
      <c r="O106" s="48" t="s">
        <v>243</v>
      </c>
      <c r="P106" s="49">
        <f>P105+9</f>
        <v>801</v>
      </c>
      <c r="Q106" s="50">
        <v>9</v>
      </c>
      <c r="R106" s="51">
        <f>$Q$3*P106*P106+$R$3*P106</f>
        <v>19368.18</v>
      </c>
      <c r="S106" s="73"/>
      <c r="T106" s="73"/>
      <c r="U106" s="73"/>
      <c r="V106" s="73"/>
      <c r="W106" s="73"/>
      <c r="X106" s="73"/>
      <c r="Y106" s="73"/>
      <c r="Z106" s="73"/>
      <c r="AA106" s="73"/>
      <c r="AB106" s="74"/>
      <c r="AC106" s="74"/>
      <c r="AD106" s="49"/>
      <c r="AE106" s="49"/>
      <c r="AF106" s="49"/>
      <c r="AG106" s="49"/>
      <c r="AH106" s="49"/>
      <c r="AI106" s="52"/>
    </row>
    <row r="107" spans="1:35" ht="81.95" customHeight="1">
      <c r="A107" s="56" t="s">
        <v>644</v>
      </c>
      <c r="B107" s="44">
        <v>103</v>
      </c>
      <c r="C107" s="44">
        <v>5</v>
      </c>
      <c r="D107" s="44">
        <v>9</v>
      </c>
      <c r="E107" s="46" t="s">
        <v>283</v>
      </c>
      <c r="F107" s="46" t="s">
        <v>481</v>
      </c>
      <c r="G107" s="46" t="s">
        <v>90</v>
      </c>
      <c r="H107" s="44" t="s">
        <v>345</v>
      </c>
      <c r="I107" s="44">
        <v>1</v>
      </c>
      <c r="J107" s="46" t="s">
        <v>781</v>
      </c>
      <c r="K107" s="46" t="s">
        <v>526</v>
      </c>
      <c r="L107" s="44" t="s">
        <v>518</v>
      </c>
      <c r="M107" s="44" t="s">
        <v>767</v>
      </c>
      <c r="N107" s="47">
        <f t="shared" si="86"/>
        <v>0.14537037037037046</v>
      </c>
      <c r="O107" s="48" t="s">
        <v>243</v>
      </c>
      <c r="P107" s="49">
        <f>P106+11</f>
        <v>812</v>
      </c>
      <c r="Q107" s="50">
        <v>11</v>
      </c>
      <c r="R107" s="51">
        <f>$Q$3*P107*P107+$R$3*P107</f>
        <v>19902.12</v>
      </c>
      <c r="S107" s="73"/>
      <c r="T107" s="73"/>
      <c r="U107" s="73"/>
      <c r="V107" s="73"/>
      <c r="W107" s="73"/>
      <c r="X107" s="73">
        <v>5</v>
      </c>
      <c r="Y107" s="73">
        <f t="shared" ref="Y107" si="91">X107*0.8</f>
        <v>4</v>
      </c>
      <c r="Z107" s="73">
        <f t="shared" ref="Z107:Z108" si="92">X107*0.6</f>
        <v>3</v>
      </c>
      <c r="AA107" s="73">
        <f t="shared" ref="AA107:AA108" si="93">X107*0.5</f>
        <v>2.5</v>
      </c>
      <c r="AB107" s="74">
        <f t="shared" ref="AB107:AB108" si="94">(IFERROR(VALUE(LEFT(AD107,FIND("분",AD107)-1))*60,0)+IFERROR(VALUE(MID(AD107,IFERROR(FIND("분",AD107),0)+1,FIND("초",AD107)-IFERROR(FIND("분",AD107),0)-1)),0))/86400*2</f>
        <v>4.1666666666666666E-3</v>
      </c>
      <c r="AC107" s="74">
        <f t="shared" si="60"/>
        <v>2.9166666666666664E-3</v>
      </c>
      <c r="AD107" s="49" t="str">
        <f t="shared" ref="AD107:AD108" si="95">L107</f>
        <v>3분</v>
      </c>
      <c r="AE107" s="49"/>
      <c r="AF107" s="49"/>
      <c r="AG107" s="49"/>
      <c r="AH107" s="49"/>
      <c r="AI107" s="52"/>
    </row>
    <row r="108" spans="1:35" ht="81.95" customHeight="1">
      <c r="A108" s="56" t="s">
        <v>644</v>
      </c>
      <c r="B108" s="44">
        <v>104</v>
      </c>
      <c r="C108" s="44">
        <v>6</v>
      </c>
      <c r="D108" s="44">
        <v>10</v>
      </c>
      <c r="E108" s="46" t="s">
        <v>190</v>
      </c>
      <c r="F108" s="46" t="s">
        <v>232</v>
      </c>
      <c r="G108" s="46" t="s">
        <v>62</v>
      </c>
      <c r="H108" s="44" t="s">
        <v>362</v>
      </c>
      <c r="I108" s="44">
        <v>3</v>
      </c>
      <c r="J108" s="46" t="s">
        <v>325</v>
      </c>
      <c r="K108" s="46" t="s">
        <v>747</v>
      </c>
      <c r="L108" s="44" t="s">
        <v>435</v>
      </c>
      <c r="M108" s="44" t="s">
        <v>171</v>
      </c>
      <c r="N108" s="47">
        <f t="shared" si="86"/>
        <v>0.14687500000000009</v>
      </c>
      <c r="O108" s="48" t="s">
        <v>693</v>
      </c>
      <c r="P108" s="49">
        <f>P107+10</f>
        <v>822</v>
      </c>
      <c r="Q108" s="50">
        <v>10</v>
      </c>
      <c r="R108" s="51">
        <f>$Q$3*P108*P108+$R$3*P108</f>
        <v>20393.82</v>
      </c>
      <c r="S108" s="73"/>
      <c r="T108" s="73"/>
      <c r="U108" s="73"/>
      <c r="V108" s="73"/>
      <c r="W108" s="73"/>
      <c r="X108" s="73">
        <v>5</v>
      </c>
      <c r="Y108" s="73">
        <f t="shared" ref="Y108" si="96">X108*0.8</f>
        <v>4</v>
      </c>
      <c r="Z108" s="73">
        <f t="shared" si="92"/>
        <v>3</v>
      </c>
      <c r="AA108" s="73">
        <f t="shared" si="93"/>
        <v>2.5</v>
      </c>
      <c r="AB108" s="74">
        <f t="shared" si="94"/>
        <v>3.0092592592592593E-3</v>
      </c>
      <c r="AC108" s="74">
        <f t="shared" si="60"/>
        <v>2.1064814814814813E-3</v>
      </c>
      <c r="AD108" s="49" t="str">
        <f t="shared" si="95"/>
        <v>2분 10초</v>
      </c>
      <c r="AE108" s="49"/>
      <c r="AF108" s="49"/>
      <c r="AG108" s="49"/>
      <c r="AH108" s="49"/>
      <c r="AI108" s="52"/>
    </row>
    <row r="109" spans="1:35" ht="81.95" customHeight="1">
      <c r="A109" s="56" t="s">
        <v>644</v>
      </c>
      <c r="B109" s="44">
        <v>105</v>
      </c>
      <c r="C109" s="44">
        <v>5</v>
      </c>
      <c r="D109" s="44">
        <v>9</v>
      </c>
      <c r="E109" s="46" t="s">
        <v>189</v>
      </c>
      <c r="F109" s="46" t="s">
        <v>409</v>
      </c>
      <c r="G109" s="46" t="s">
        <v>78</v>
      </c>
      <c r="H109" s="44" t="s">
        <v>91</v>
      </c>
      <c r="I109" s="44">
        <v>8</v>
      </c>
      <c r="J109" s="46" t="s">
        <v>681</v>
      </c>
      <c r="K109" s="46" t="s">
        <v>801</v>
      </c>
      <c r="L109" s="44" t="s">
        <v>550</v>
      </c>
      <c r="M109" s="44" t="s">
        <v>751</v>
      </c>
      <c r="N109" s="47">
        <f t="shared" si="86"/>
        <v>0.14942129629629639</v>
      </c>
      <c r="O109" s="48" t="s">
        <v>693</v>
      </c>
      <c r="P109" s="49">
        <f>P108+13</f>
        <v>835</v>
      </c>
      <c r="Q109" s="50">
        <v>13</v>
      </c>
      <c r="R109" s="51">
        <f>$Q$3*P109*P109+$R$3*P109</f>
        <v>21042</v>
      </c>
      <c r="S109" s="73"/>
      <c r="T109" s="73"/>
      <c r="U109" s="73"/>
      <c r="V109" s="73"/>
      <c r="W109" s="73"/>
      <c r="X109" s="73">
        <v>10</v>
      </c>
      <c r="Y109" s="73">
        <f t="shared" si="56"/>
        <v>8</v>
      </c>
      <c r="Z109" s="73">
        <f>X109*0.6</f>
        <v>6</v>
      </c>
      <c r="AA109" s="73">
        <f>X109*0.5</f>
        <v>5</v>
      </c>
      <c r="AB109" s="74">
        <f t="shared" si="59"/>
        <v>5.092592592592593E-3</v>
      </c>
      <c r="AC109" s="74">
        <f t="shared" si="60"/>
        <v>3.5648148148148149E-3</v>
      </c>
      <c r="AD109" s="49" t="str">
        <f t="shared" si="61"/>
        <v>3분 40초</v>
      </c>
      <c r="AE109" s="49"/>
      <c r="AF109" s="49"/>
      <c r="AG109" s="49"/>
      <c r="AH109" s="49"/>
      <c r="AI109" s="52"/>
    </row>
    <row r="110" spans="1:35" ht="81.95" customHeight="1">
      <c r="A110" s="56" t="s">
        <v>644</v>
      </c>
      <c r="B110" s="44">
        <v>106</v>
      </c>
      <c r="C110" s="44">
        <v>2</v>
      </c>
      <c r="D110" s="44">
        <v>10</v>
      </c>
      <c r="E110" s="46" t="s">
        <v>188</v>
      </c>
      <c r="F110" s="46" t="s">
        <v>395</v>
      </c>
      <c r="G110" s="46" t="s">
        <v>118</v>
      </c>
      <c r="H110" s="44" t="s">
        <v>364</v>
      </c>
      <c r="I110" s="44">
        <v>5</v>
      </c>
      <c r="J110" s="46" t="s">
        <v>304</v>
      </c>
      <c r="K110" s="46" t="s">
        <v>526</v>
      </c>
      <c r="L110" s="44" t="s">
        <v>429</v>
      </c>
      <c r="M110" s="44" t="s">
        <v>787</v>
      </c>
      <c r="N110" s="47">
        <f t="shared" si="86"/>
        <v>0.15185185185185193</v>
      </c>
      <c r="O110" s="48" t="s">
        <v>693</v>
      </c>
      <c r="P110" s="49">
        <f>P109+12</f>
        <v>847</v>
      </c>
      <c r="Q110" s="50">
        <v>12</v>
      </c>
      <c r="R110" s="51">
        <f>$Q$3*P110*P110+$R$3*P110</f>
        <v>21649.32</v>
      </c>
      <c r="S110" s="73"/>
      <c r="T110" s="73"/>
      <c r="U110" s="73"/>
      <c r="V110" s="73"/>
      <c r="W110" s="73"/>
      <c r="X110" s="73">
        <v>5</v>
      </c>
      <c r="Y110" s="73">
        <f t="shared" si="56"/>
        <v>4</v>
      </c>
      <c r="Z110" s="73">
        <f t="shared" ref="Z110" si="97">X110*0.6</f>
        <v>3</v>
      </c>
      <c r="AA110" s="73">
        <f t="shared" ref="AA110" si="98">X110*0.5</f>
        <v>2.5</v>
      </c>
      <c r="AB110" s="74">
        <f t="shared" si="59"/>
        <v>4.8611111111111112E-3</v>
      </c>
      <c r="AC110" s="74">
        <f t="shared" si="60"/>
        <v>3.4027777777777776E-3</v>
      </c>
      <c r="AD110" s="49" t="str">
        <f t="shared" si="61"/>
        <v>3분 30초</v>
      </c>
      <c r="AE110" s="49"/>
      <c r="AF110" s="49"/>
      <c r="AG110" s="49"/>
      <c r="AH110" s="49"/>
      <c r="AI110" s="52"/>
    </row>
    <row r="111" spans="1:35" ht="81.95" customHeight="1">
      <c r="A111" s="56" t="s">
        <v>644</v>
      </c>
      <c r="B111" s="44">
        <v>107</v>
      </c>
      <c r="C111" s="44">
        <v>7</v>
      </c>
      <c r="D111" s="44">
        <v>10</v>
      </c>
      <c r="E111" s="46" t="s">
        <v>284</v>
      </c>
      <c r="F111" s="46" t="s">
        <v>357</v>
      </c>
      <c r="G111" s="46" t="s">
        <v>162</v>
      </c>
      <c r="H111" s="44" t="s">
        <v>65</v>
      </c>
      <c r="I111" s="44">
        <v>6</v>
      </c>
      <c r="J111" s="46" t="s">
        <v>318</v>
      </c>
      <c r="K111" s="46" t="s">
        <v>791</v>
      </c>
      <c r="L111" s="44" t="s">
        <v>446</v>
      </c>
      <c r="M111" s="44" t="s">
        <v>575</v>
      </c>
      <c r="N111" s="47">
        <f t="shared" si="86"/>
        <v>0.1548611111111112</v>
      </c>
      <c r="O111" s="48" t="s">
        <v>693</v>
      </c>
      <c r="P111" s="49">
        <f>P110+15</f>
        <v>862</v>
      </c>
      <c r="Q111" s="50">
        <v>15</v>
      </c>
      <c r="R111" s="51">
        <f>$Q$3*P111*P111+$R$3*P111</f>
        <v>22420.62</v>
      </c>
      <c r="S111" s="73">
        <f t="shared" si="44"/>
        <v>7473.54</v>
      </c>
      <c r="T111" s="73">
        <v>20</v>
      </c>
      <c r="U111" s="73">
        <f t="shared" si="45"/>
        <v>60</v>
      </c>
      <c r="V111" s="73">
        <v>3</v>
      </c>
      <c r="W111" s="73"/>
      <c r="X111" s="73">
        <v>15</v>
      </c>
      <c r="Y111" s="73">
        <f t="shared" si="56"/>
        <v>12</v>
      </c>
      <c r="Z111" s="73">
        <f t="shared" ref="Z111:Z114" si="99">X111*0.6</f>
        <v>9</v>
      </c>
      <c r="AA111" s="73">
        <f t="shared" ref="AA111:AA114" si="100">X111*0.5</f>
        <v>7.5</v>
      </c>
      <c r="AB111" s="74">
        <f t="shared" si="59"/>
        <v>6.0185185185185185E-3</v>
      </c>
      <c r="AC111" s="74">
        <f t="shared" si="60"/>
        <v>4.2129629629629626E-3</v>
      </c>
      <c r="AD111" s="49" t="str">
        <f t="shared" si="61"/>
        <v>4분 20초</v>
      </c>
      <c r="AE111" s="49"/>
      <c r="AF111" s="49"/>
      <c r="AG111" s="49"/>
      <c r="AH111" s="49"/>
      <c r="AI111" s="52"/>
    </row>
    <row r="112" spans="1:35" ht="81.95" customHeight="1">
      <c r="A112" s="56" t="s">
        <v>644</v>
      </c>
      <c r="B112" s="44">
        <v>108</v>
      </c>
      <c r="C112" s="44">
        <v>9</v>
      </c>
      <c r="D112" s="44">
        <v>10</v>
      </c>
      <c r="E112" s="46" t="s">
        <v>272</v>
      </c>
      <c r="F112" s="46" t="s">
        <v>233</v>
      </c>
      <c r="G112" s="46" t="s">
        <v>111</v>
      </c>
      <c r="H112" s="44" t="s">
        <v>123</v>
      </c>
      <c r="I112" s="44">
        <v>10</v>
      </c>
      <c r="J112" s="46" t="s">
        <v>145</v>
      </c>
      <c r="K112" s="46" t="s">
        <v>790</v>
      </c>
      <c r="L112" s="44" t="s">
        <v>516</v>
      </c>
      <c r="M112" s="44" t="s">
        <v>760</v>
      </c>
      <c r="N112" s="47">
        <f t="shared" si="86"/>
        <v>0.15902777777777788</v>
      </c>
      <c r="O112" s="48" t="s">
        <v>693</v>
      </c>
      <c r="P112" s="49">
        <f>P111+19</f>
        <v>881</v>
      </c>
      <c r="Q112" s="50">
        <v>19</v>
      </c>
      <c r="R112" s="51">
        <f>$Q$3*P112*P112+$R$3*P112</f>
        <v>23416.98</v>
      </c>
      <c r="S112" s="73">
        <f t="shared" si="44"/>
        <v>2341.6979999999999</v>
      </c>
      <c r="T112" s="73">
        <v>10</v>
      </c>
      <c r="U112" s="73">
        <f t="shared" si="45"/>
        <v>100</v>
      </c>
      <c r="V112" s="73">
        <v>10</v>
      </c>
      <c r="W112" s="73"/>
      <c r="X112" s="73">
        <v>20</v>
      </c>
      <c r="Y112" s="73">
        <f t="shared" si="56"/>
        <v>16</v>
      </c>
      <c r="Z112" s="73">
        <f t="shared" si="99"/>
        <v>12</v>
      </c>
      <c r="AA112" s="73">
        <f t="shared" si="100"/>
        <v>10</v>
      </c>
      <c r="AB112" s="74">
        <f t="shared" si="59"/>
        <v>8.3333333333333332E-3</v>
      </c>
      <c r="AC112" s="74">
        <f t="shared" si="60"/>
        <v>5.8333333333333327E-3</v>
      </c>
      <c r="AD112" s="49" t="str">
        <f t="shared" si="61"/>
        <v>6분</v>
      </c>
      <c r="AE112" s="49"/>
      <c r="AF112" s="49"/>
      <c r="AG112" s="49"/>
      <c r="AH112" s="49"/>
      <c r="AI112" s="52"/>
    </row>
    <row r="113" spans="1:35" ht="81.95" customHeight="1">
      <c r="A113" s="56" t="s">
        <v>644</v>
      </c>
      <c r="B113" s="44">
        <v>109</v>
      </c>
      <c r="C113" s="44">
        <v>6</v>
      </c>
      <c r="D113" s="44">
        <v>10</v>
      </c>
      <c r="E113" s="46" t="s">
        <v>289</v>
      </c>
      <c r="F113" s="46" t="s">
        <v>347</v>
      </c>
      <c r="G113" s="46" t="s">
        <v>103</v>
      </c>
      <c r="H113" s="44" t="s">
        <v>107</v>
      </c>
      <c r="I113" s="44">
        <v>1</v>
      </c>
      <c r="J113" s="46" t="s">
        <v>555</v>
      </c>
      <c r="K113" s="46" t="s">
        <v>799</v>
      </c>
      <c r="L113" s="44" t="s">
        <v>454</v>
      </c>
      <c r="M113" s="44" t="s">
        <v>583</v>
      </c>
      <c r="N113" s="47">
        <f t="shared" si="86"/>
        <v>0.16076388888888898</v>
      </c>
      <c r="O113" s="48" t="s">
        <v>244</v>
      </c>
      <c r="P113" s="49">
        <f>P112+11</f>
        <v>892</v>
      </c>
      <c r="Q113" s="50">
        <v>11</v>
      </c>
      <c r="R113" s="51">
        <f>$Q$3*P113*P113+$R$3*P113</f>
        <v>24003.719999999998</v>
      </c>
      <c r="S113" s="73"/>
      <c r="T113" s="73"/>
      <c r="U113" s="73"/>
      <c r="V113" s="73"/>
      <c r="W113" s="73"/>
      <c r="X113" s="73">
        <v>5</v>
      </c>
      <c r="Y113" s="73">
        <f t="shared" si="56"/>
        <v>4</v>
      </c>
      <c r="Z113" s="73">
        <f t="shared" si="99"/>
        <v>3</v>
      </c>
      <c r="AA113" s="73">
        <f t="shared" si="100"/>
        <v>2.5</v>
      </c>
      <c r="AB113" s="74">
        <f t="shared" ref="AB113:AB114" si="101">(IFERROR(VALUE(LEFT(AD113,FIND("분",AD113)-1))*60,0)+IFERROR(VALUE(MID(AD113,IFERROR(FIND("분",AD113),0)+1,FIND("초",AD113)-IFERROR(FIND("분",AD113),0)-1)),0))/86400*2</f>
        <v>3.472222222222222E-3</v>
      </c>
      <c r="AC113" s="74">
        <f t="shared" si="60"/>
        <v>2.4305555555555552E-3</v>
      </c>
      <c r="AD113" s="49" t="str">
        <f t="shared" ref="AD113:AD114" si="102">L113</f>
        <v>2분 30초</v>
      </c>
      <c r="AE113" s="49"/>
      <c r="AF113" s="49"/>
      <c r="AG113" s="49"/>
      <c r="AH113" s="49"/>
      <c r="AI113" s="52"/>
    </row>
    <row r="114" spans="1:35" ht="81.95" customHeight="1">
      <c r="A114" s="56" t="s">
        <v>644</v>
      </c>
      <c r="B114" s="44">
        <v>110</v>
      </c>
      <c r="C114" s="44">
        <v>1</v>
      </c>
      <c r="D114" s="44">
        <v>10</v>
      </c>
      <c r="E114" s="46" t="s">
        <v>193</v>
      </c>
      <c r="F114" s="46" t="s">
        <v>40</v>
      </c>
      <c r="G114" s="46" t="s">
        <v>131</v>
      </c>
      <c r="H114" s="44" t="s">
        <v>356</v>
      </c>
      <c r="I114" s="44">
        <v>4</v>
      </c>
      <c r="J114" s="46" t="s">
        <v>328</v>
      </c>
      <c r="K114" s="46" t="s">
        <v>526</v>
      </c>
      <c r="L114" s="44" t="s">
        <v>430</v>
      </c>
      <c r="M114" s="44" t="s">
        <v>793</v>
      </c>
      <c r="N114" s="47">
        <f t="shared" si="86"/>
        <v>0.16296296296296306</v>
      </c>
      <c r="O114" s="48" t="s">
        <v>244</v>
      </c>
      <c r="P114" s="49">
        <f>P113+11</f>
        <v>903</v>
      </c>
      <c r="Q114" s="50">
        <v>11</v>
      </c>
      <c r="R114" s="51">
        <f>$Q$3*P114*P114+$R$3*P114</f>
        <v>24597.72</v>
      </c>
      <c r="S114" s="73"/>
      <c r="T114" s="73"/>
      <c r="U114" s="73"/>
      <c r="V114" s="73"/>
      <c r="W114" s="73"/>
      <c r="X114" s="73">
        <v>5</v>
      </c>
      <c r="Y114" s="73">
        <f t="shared" si="56"/>
        <v>4</v>
      </c>
      <c r="Z114" s="73">
        <f t="shared" si="99"/>
        <v>3</v>
      </c>
      <c r="AA114" s="73">
        <f t="shared" si="100"/>
        <v>2.5</v>
      </c>
      <c r="AB114" s="74">
        <f t="shared" si="101"/>
        <v>4.3981481481481484E-3</v>
      </c>
      <c r="AC114" s="74">
        <f t="shared" si="60"/>
        <v>3.0787037037037037E-3</v>
      </c>
      <c r="AD114" s="49" t="str">
        <f t="shared" si="102"/>
        <v>3분 10초</v>
      </c>
      <c r="AE114" s="49"/>
      <c r="AF114" s="49"/>
      <c r="AG114" s="49"/>
      <c r="AH114" s="49"/>
      <c r="AI114" s="52"/>
    </row>
    <row r="115" spans="1:35" ht="81.95" customHeight="1">
      <c r="A115" s="56" t="s">
        <v>644</v>
      </c>
      <c r="B115" s="44">
        <v>111</v>
      </c>
      <c r="C115" s="44">
        <v>1</v>
      </c>
      <c r="D115" s="44">
        <v>10</v>
      </c>
      <c r="E115" s="46" t="s">
        <v>278</v>
      </c>
      <c r="F115" s="46" t="s">
        <v>39</v>
      </c>
      <c r="G115" s="46" t="s">
        <v>104</v>
      </c>
      <c r="H115" s="44" t="s">
        <v>35</v>
      </c>
      <c r="I115" s="44">
        <v>3</v>
      </c>
      <c r="J115" s="46" t="s">
        <v>451</v>
      </c>
      <c r="K115" s="46" t="s">
        <v>526</v>
      </c>
      <c r="L115" s="44" t="s">
        <v>561</v>
      </c>
      <c r="M115" s="44" t="s">
        <v>565</v>
      </c>
      <c r="N115" s="47">
        <f t="shared" si="86"/>
        <v>0.16481481481481491</v>
      </c>
      <c r="O115" s="48" t="s">
        <v>244</v>
      </c>
      <c r="P115" s="49">
        <f>P114+10</f>
        <v>913</v>
      </c>
      <c r="Q115" s="50">
        <v>10</v>
      </c>
      <c r="R115" s="51">
        <f>$Q$3*P115*P115+$R$3*P115</f>
        <v>25144.02</v>
      </c>
      <c r="S115" s="73"/>
      <c r="T115" s="73"/>
      <c r="U115" s="73"/>
      <c r="V115" s="73"/>
      <c r="W115" s="73"/>
      <c r="X115" s="73"/>
      <c r="Y115" s="73"/>
      <c r="Z115" s="73"/>
      <c r="AA115" s="73"/>
      <c r="AB115" s="74"/>
      <c r="AC115" s="74"/>
      <c r="AD115" s="49"/>
      <c r="AE115" s="49"/>
      <c r="AF115" s="49"/>
      <c r="AG115" s="49"/>
      <c r="AH115" s="49"/>
      <c r="AI115" s="52"/>
    </row>
    <row r="116" spans="1:35" ht="81.95" customHeight="1">
      <c r="A116" s="56" t="s">
        <v>644</v>
      </c>
      <c r="B116" s="44">
        <v>112</v>
      </c>
      <c r="C116" s="44">
        <v>1</v>
      </c>
      <c r="D116" s="44">
        <v>10</v>
      </c>
      <c r="E116" s="46" t="s">
        <v>196</v>
      </c>
      <c r="F116" s="46" t="s">
        <v>221</v>
      </c>
      <c r="G116" s="46" t="s">
        <v>51</v>
      </c>
      <c r="H116" s="44" t="s">
        <v>228</v>
      </c>
      <c r="I116" s="44">
        <v>3</v>
      </c>
      <c r="J116" s="46" t="s">
        <v>630</v>
      </c>
      <c r="K116" s="46" t="s">
        <v>526</v>
      </c>
      <c r="L116" s="44" t="s">
        <v>454</v>
      </c>
      <c r="M116" s="44" t="s">
        <v>749</v>
      </c>
      <c r="N116" s="47">
        <f t="shared" si="86"/>
        <v>0.16655092592592602</v>
      </c>
      <c r="O116" s="48" t="s">
        <v>244</v>
      </c>
      <c r="P116" s="49">
        <f>P115+9</f>
        <v>922</v>
      </c>
      <c r="Q116" s="50">
        <v>9</v>
      </c>
      <c r="R116" s="51">
        <f>$Q$3*P116*P116+$R$3*P116</f>
        <v>25640.82</v>
      </c>
      <c r="S116" s="73"/>
      <c r="T116" s="73"/>
      <c r="U116" s="73"/>
      <c r="V116" s="73"/>
      <c r="W116" s="73"/>
      <c r="X116" s="73"/>
      <c r="Y116" s="73"/>
      <c r="Z116" s="73"/>
      <c r="AA116" s="73"/>
      <c r="AB116" s="74"/>
      <c r="AC116" s="74"/>
      <c r="AD116" s="49"/>
      <c r="AE116" s="49"/>
      <c r="AF116" s="49"/>
      <c r="AG116" s="49"/>
      <c r="AH116" s="49"/>
      <c r="AI116" s="52"/>
    </row>
    <row r="117" spans="1:35" ht="81.95" customHeight="1">
      <c r="A117" s="56" t="s">
        <v>644</v>
      </c>
      <c r="B117" s="44">
        <v>113</v>
      </c>
      <c r="C117" s="44">
        <v>4</v>
      </c>
      <c r="D117" s="44">
        <v>10</v>
      </c>
      <c r="E117" s="46" t="s">
        <v>194</v>
      </c>
      <c r="F117" s="46" t="s">
        <v>396</v>
      </c>
      <c r="G117" s="46" t="s">
        <v>117</v>
      </c>
      <c r="H117" s="44" t="s">
        <v>200</v>
      </c>
      <c r="I117" s="44">
        <v>5</v>
      </c>
      <c r="J117" s="46" t="s">
        <v>628</v>
      </c>
      <c r="K117" s="46" t="s">
        <v>814</v>
      </c>
      <c r="L117" s="44" t="s">
        <v>562</v>
      </c>
      <c r="M117" s="44" t="s">
        <v>803</v>
      </c>
      <c r="N117" s="47">
        <f t="shared" si="86"/>
        <v>0.16886574074074084</v>
      </c>
      <c r="O117" s="48" t="s">
        <v>244</v>
      </c>
      <c r="P117" s="49">
        <f>P116+12</f>
        <v>934</v>
      </c>
      <c r="Q117" s="50">
        <v>12</v>
      </c>
      <c r="R117" s="51">
        <f>$Q$3*P117*P117+$R$3*P117</f>
        <v>26310.78</v>
      </c>
      <c r="S117" s="73"/>
      <c r="T117" s="73"/>
      <c r="U117" s="73"/>
      <c r="V117" s="73"/>
      <c r="W117" s="73"/>
      <c r="X117" s="73"/>
      <c r="Y117" s="73"/>
      <c r="Z117" s="73"/>
      <c r="AA117" s="73"/>
      <c r="AB117" s="74"/>
      <c r="AC117" s="74"/>
      <c r="AD117" s="49"/>
      <c r="AE117" s="49"/>
      <c r="AF117" s="49"/>
      <c r="AG117" s="49"/>
      <c r="AH117" s="49"/>
      <c r="AI117" s="52"/>
    </row>
    <row r="118" spans="1:35" ht="81.95" customHeight="1">
      <c r="A118" s="56" t="s">
        <v>644</v>
      </c>
      <c r="B118" s="44">
        <v>114</v>
      </c>
      <c r="C118" s="44">
        <v>7</v>
      </c>
      <c r="D118" s="44">
        <v>10</v>
      </c>
      <c r="E118" s="46" t="s">
        <v>195</v>
      </c>
      <c r="F118" s="46" t="s">
        <v>36</v>
      </c>
      <c r="G118" s="46" t="s">
        <v>56</v>
      </c>
      <c r="H118" s="44" t="s">
        <v>102</v>
      </c>
      <c r="I118" s="44">
        <v>4</v>
      </c>
      <c r="J118" s="46" t="s">
        <v>316</v>
      </c>
      <c r="K118" s="46" t="s">
        <v>730</v>
      </c>
      <c r="L118" s="44" t="s">
        <v>518</v>
      </c>
      <c r="M118" s="44" t="s">
        <v>580</v>
      </c>
      <c r="N118" s="47">
        <f t="shared" si="86"/>
        <v>0.17094907407407417</v>
      </c>
      <c r="O118" s="48" t="s">
        <v>244</v>
      </c>
      <c r="P118" s="49">
        <f>P117+12</f>
        <v>946</v>
      </c>
      <c r="Q118" s="50">
        <v>12</v>
      </c>
      <c r="R118" s="51">
        <f>$Q$3*P118*P118+$R$3*P118</f>
        <v>26989.38</v>
      </c>
      <c r="S118" s="73"/>
      <c r="T118" s="73"/>
      <c r="U118" s="73"/>
      <c r="V118" s="73"/>
      <c r="W118" s="73"/>
      <c r="X118" s="73">
        <v>10</v>
      </c>
      <c r="Y118" s="73">
        <f t="shared" si="56"/>
        <v>8</v>
      </c>
      <c r="Z118" s="73">
        <f>X118*0.6</f>
        <v>6</v>
      </c>
      <c r="AA118" s="73">
        <f>X118*0.5</f>
        <v>5</v>
      </c>
      <c r="AB118" s="74">
        <f t="shared" si="59"/>
        <v>4.1666666666666666E-3</v>
      </c>
      <c r="AC118" s="74">
        <f t="shared" si="60"/>
        <v>2.9166666666666664E-3</v>
      </c>
      <c r="AD118" s="49" t="str">
        <f t="shared" si="61"/>
        <v>3분</v>
      </c>
      <c r="AE118" s="49"/>
      <c r="AF118" s="49"/>
      <c r="AG118" s="49"/>
      <c r="AH118" s="49"/>
      <c r="AI118" s="52"/>
    </row>
    <row r="119" spans="1:35" ht="81.95" customHeight="1">
      <c r="A119" s="56" t="s">
        <v>644</v>
      </c>
      <c r="B119" s="44">
        <v>115</v>
      </c>
      <c r="C119" s="44">
        <v>6</v>
      </c>
      <c r="D119" s="44">
        <v>10</v>
      </c>
      <c r="E119" s="46" t="s">
        <v>197</v>
      </c>
      <c r="F119" s="46" t="s">
        <v>41</v>
      </c>
      <c r="G119" s="46" t="s">
        <v>160</v>
      </c>
      <c r="H119" s="44" t="s">
        <v>212</v>
      </c>
      <c r="I119" s="44">
        <v>6</v>
      </c>
      <c r="J119" s="46" t="s">
        <v>317</v>
      </c>
      <c r="K119" s="46" t="s">
        <v>729</v>
      </c>
      <c r="L119" s="44" t="s">
        <v>550</v>
      </c>
      <c r="M119" s="44" t="s">
        <v>797</v>
      </c>
      <c r="N119" s="47">
        <f t="shared" si="86"/>
        <v>0.17349537037037047</v>
      </c>
      <c r="O119" s="48" t="s">
        <v>244</v>
      </c>
      <c r="P119" s="49">
        <f>P118+14</f>
        <v>960</v>
      </c>
      <c r="Q119" s="50">
        <v>14</v>
      </c>
      <c r="R119" s="51">
        <f>$Q$3*P119*P119+$R$3*P119</f>
        <v>27791.999999999996</v>
      </c>
      <c r="S119" s="73"/>
      <c r="T119" s="73"/>
      <c r="U119" s="73"/>
      <c r="V119" s="73"/>
      <c r="W119" s="73"/>
      <c r="X119" s="73">
        <v>10</v>
      </c>
      <c r="Y119" s="73">
        <f t="shared" si="56"/>
        <v>8</v>
      </c>
      <c r="Z119" s="73">
        <f t="shared" ref="Z119" si="103">X119*0.6</f>
        <v>6</v>
      </c>
      <c r="AA119" s="73">
        <f t="shared" ref="AA119" si="104">X119*0.5</f>
        <v>5</v>
      </c>
      <c r="AB119" s="74">
        <f t="shared" si="59"/>
        <v>5.092592592592593E-3</v>
      </c>
      <c r="AC119" s="74">
        <f t="shared" si="60"/>
        <v>3.5648148148148149E-3</v>
      </c>
      <c r="AD119" s="49" t="str">
        <f t="shared" si="61"/>
        <v>3분 40초</v>
      </c>
      <c r="AE119" s="49"/>
      <c r="AF119" s="49"/>
      <c r="AG119" s="49"/>
      <c r="AH119" s="49"/>
      <c r="AI119" s="52"/>
    </row>
    <row r="120" spans="1:35" ht="81.95" customHeight="1">
      <c r="A120" s="56" t="s">
        <v>644</v>
      </c>
      <c r="B120" s="44">
        <v>116</v>
      </c>
      <c r="C120" s="44">
        <v>1</v>
      </c>
      <c r="D120" s="44">
        <v>10</v>
      </c>
      <c r="E120" s="46" t="s">
        <v>191</v>
      </c>
      <c r="F120" s="46" t="s">
        <v>218</v>
      </c>
      <c r="G120" s="46" t="s">
        <v>122</v>
      </c>
      <c r="H120" s="44" t="s">
        <v>393</v>
      </c>
      <c r="I120" s="44">
        <v>1</v>
      </c>
      <c r="J120" s="46" t="s">
        <v>305</v>
      </c>
      <c r="K120" s="46" t="s">
        <v>526</v>
      </c>
      <c r="L120" s="44" t="s">
        <v>522</v>
      </c>
      <c r="M120" s="44" t="s">
        <v>311</v>
      </c>
      <c r="N120" s="47">
        <f t="shared" si="86"/>
        <v>0.17488425925925935</v>
      </c>
      <c r="O120" s="48" t="s">
        <v>246</v>
      </c>
      <c r="P120" s="49">
        <f>P119+8</f>
        <v>968</v>
      </c>
      <c r="Q120" s="50">
        <v>8</v>
      </c>
      <c r="R120" s="51">
        <f>$Q$3*P120*P120+$R$3*P120</f>
        <v>28255.919999999998</v>
      </c>
      <c r="S120" s="73"/>
      <c r="T120" s="73"/>
      <c r="U120" s="73"/>
      <c r="V120" s="73"/>
      <c r="W120" s="73"/>
      <c r="X120" s="73"/>
      <c r="Y120" s="73"/>
      <c r="Z120" s="73"/>
      <c r="AA120" s="73"/>
      <c r="AB120" s="74"/>
      <c r="AC120" s="74"/>
      <c r="AD120" s="49"/>
      <c r="AE120" s="49"/>
      <c r="AF120" s="49"/>
      <c r="AG120" s="49"/>
      <c r="AH120" s="49"/>
      <c r="AI120" s="52"/>
    </row>
    <row r="121" spans="1:35" ht="81.95" customHeight="1">
      <c r="A121" s="56" t="s">
        <v>644</v>
      </c>
      <c r="B121" s="44">
        <v>117</v>
      </c>
      <c r="C121" s="44">
        <v>1</v>
      </c>
      <c r="D121" s="44">
        <v>10</v>
      </c>
      <c r="E121" s="46" t="s">
        <v>285</v>
      </c>
      <c r="F121" s="46" t="s">
        <v>32</v>
      </c>
      <c r="G121" s="46" t="s">
        <v>89</v>
      </c>
      <c r="H121" s="44" t="s">
        <v>86</v>
      </c>
      <c r="I121" s="44">
        <v>4</v>
      </c>
      <c r="J121" s="46" t="s">
        <v>308</v>
      </c>
      <c r="K121" s="46" t="s">
        <v>526</v>
      </c>
      <c r="L121" s="44" t="s">
        <v>454</v>
      </c>
      <c r="M121" s="44" t="s">
        <v>735</v>
      </c>
      <c r="N121" s="47">
        <f t="shared" si="86"/>
        <v>0.17662037037037046</v>
      </c>
      <c r="O121" s="48" t="s">
        <v>246</v>
      </c>
      <c r="P121" s="49">
        <f>P120+10</f>
        <v>978</v>
      </c>
      <c r="Q121" s="50">
        <v>10</v>
      </c>
      <c r="R121" s="51">
        <f>$Q$3*P121*P121+$R$3*P121</f>
        <v>28841.22</v>
      </c>
      <c r="S121" s="73"/>
      <c r="T121" s="73"/>
      <c r="U121" s="73"/>
      <c r="V121" s="73"/>
      <c r="W121" s="73"/>
      <c r="X121" s="73"/>
      <c r="Y121" s="73"/>
      <c r="Z121" s="73"/>
      <c r="AA121" s="73"/>
      <c r="AB121" s="74"/>
      <c r="AC121" s="74"/>
      <c r="AD121" s="49"/>
      <c r="AE121" s="49"/>
      <c r="AF121" s="49"/>
      <c r="AG121" s="49"/>
      <c r="AH121" s="49"/>
      <c r="AI121" s="52"/>
    </row>
    <row r="122" spans="1:35" ht="81.95" customHeight="1">
      <c r="A122" s="56" t="s">
        <v>644</v>
      </c>
      <c r="B122" s="44">
        <v>118</v>
      </c>
      <c r="C122" s="44">
        <v>1</v>
      </c>
      <c r="D122" s="44">
        <v>9</v>
      </c>
      <c r="E122" s="46" t="s">
        <v>286</v>
      </c>
      <c r="F122" s="46" t="s">
        <v>32</v>
      </c>
      <c r="G122" s="46" t="s">
        <v>209</v>
      </c>
      <c r="H122" s="44" t="s">
        <v>98</v>
      </c>
      <c r="I122" s="44">
        <v>5</v>
      </c>
      <c r="J122" s="46" t="s">
        <v>308</v>
      </c>
      <c r="K122" s="46" t="s">
        <v>526</v>
      </c>
      <c r="L122" s="44" t="s">
        <v>528</v>
      </c>
      <c r="M122" s="44" t="s">
        <v>735</v>
      </c>
      <c r="N122" s="47">
        <f t="shared" si="86"/>
        <v>0.17939814814814822</v>
      </c>
      <c r="O122" s="48" t="s">
        <v>246</v>
      </c>
      <c r="P122" s="49">
        <f>P121+12</f>
        <v>990</v>
      </c>
      <c r="Q122" s="50">
        <v>12</v>
      </c>
      <c r="R122" s="51">
        <f>$Q$3*P122*P122+$R$3*P122</f>
        <v>29551.5</v>
      </c>
      <c r="S122" s="73"/>
      <c r="T122" s="73"/>
      <c r="U122" s="73"/>
      <c r="V122" s="73"/>
      <c r="W122" s="73"/>
      <c r="X122" s="73">
        <v>5</v>
      </c>
      <c r="Y122" s="73">
        <f t="shared" ref="Y122" si="105">X122*0.8</f>
        <v>4</v>
      </c>
      <c r="Z122" s="73">
        <f t="shared" ref="Z122" si="106">X122*0.6</f>
        <v>3</v>
      </c>
      <c r="AA122" s="73">
        <f t="shared" ref="AA122" si="107">X122*0.5</f>
        <v>2.5</v>
      </c>
      <c r="AB122" s="74">
        <f t="shared" ref="AB122" si="108">(IFERROR(VALUE(LEFT(AD122,FIND("분",AD122)-1))*60,0)+IFERROR(VALUE(MID(AD122,IFERROR(FIND("분",AD122),0)+1,FIND("초",AD122)-IFERROR(FIND("분",AD122),0)-1)),0))/86400*2</f>
        <v>5.5555555555555558E-3</v>
      </c>
      <c r="AC122" s="74">
        <f t="shared" si="60"/>
        <v>3.8888888888888888E-3</v>
      </c>
      <c r="AD122" s="49" t="str">
        <f t="shared" ref="AD122" si="109">L122</f>
        <v>4분</v>
      </c>
      <c r="AE122" s="49"/>
      <c r="AF122" s="49"/>
      <c r="AG122" s="49"/>
      <c r="AH122" s="49"/>
      <c r="AI122" s="52"/>
    </row>
    <row r="123" spans="1:35" ht="81.95" customHeight="1">
      <c r="A123" s="57" t="s">
        <v>644</v>
      </c>
      <c r="B123" s="58">
        <v>119</v>
      </c>
      <c r="C123" s="58">
        <v>1</v>
      </c>
      <c r="D123" s="58">
        <v>9</v>
      </c>
      <c r="E123" s="59" t="s">
        <v>192</v>
      </c>
      <c r="F123" s="59" t="s">
        <v>237</v>
      </c>
      <c r="G123" s="59" t="s">
        <v>495</v>
      </c>
      <c r="H123" s="58" t="s">
        <v>353</v>
      </c>
      <c r="I123" s="58">
        <v>1</v>
      </c>
      <c r="J123" s="59" t="s">
        <v>449</v>
      </c>
      <c r="K123" s="59" t="s">
        <v>526</v>
      </c>
      <c r="L123" s="58" t="s">
        <v>518</v>
      </c>
      <c r="M123" s="58" t="s">
        <v>587</v>
      </c>
      <c r="N123" s="60">
        <f t="shared" si="86"/>
        <v>0.18148148148148155</v>
      </c>
      <c r="O123" s="61" t="s">
        <v>246</v>
      </c>
      <c r="P123" s="62">
        <f>P122+10</f>
        <v>1000</v>
      </c>
      <c r="Q123" s="50">
        <v>10</v>
      </c>
      <c r="R123" s="63">
        <f>$Q$3*P123*P123+$R$3*P123</f>
        <v>30150</v>
      </c>
      <c r="S123" s="75"/>
      <c r="T123" s="75"/>
      <c r="U123" s="76"/>
      <c r="V123" s="75"/>
      <c r="W123" s="75"/>
      <c r="X123" s="75"/>
      <c r="Y123" s="75"/>
      <c r="Z123" s="75"/>
      <c r="AA123" s="75"/>
      <c r="AB123" s="75"/>
      <c r="AC123" s="77"/>
      <c r="AD123" s="64"/>
      <c r="AE123" s="64"/>
      <c r="AF123" s="64"/>
      <c r="AG123" s="64"/>
      <c r="AH123" s="64"/>
      <c r="AI123" s="65"/>
    </row>
    <row r="124" spans="1:35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</row>
    <row r="125" spans="1:3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</row>
    <row r="126" spans="1:35">
      <c r="I126" s="67"/>
      <c r="J126" s="34"/>
    </row>
    <row r="127" spans="1:35">
      <c r="I127" s="67"/>
    </row>
  </sheetData>
  <mergeCells count="1">
    <mergeCell ref="AB3:AD3"/>
  </mergeCells>
  <phoneticPr fontId="11" type="noConversion"/>
  <conditionalFormatting sqref="A4:A123">
    <cfRule type="colorScale" priority="15">
      <colorScale>
        <cfvo type="min"/>
        <cfvo type="max"/>
        <color rgb="FF9BCFD9"/>
        <color rgb="FFC6A5CB"/>
      </colorScale>
    </cfRule>
    <cfRule type="colorScale" priority="16">
      <colorScale>
        <cfvo type="min"/>
        <cfvo type="max"/>
        <color rgb="FF63BE7B"/>
        <color rgb="FFFCFCFF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4:B1048575">
    <cfRule type="colorScale" priority="12">
      <colorScale>
        <cfvo type="min"/>
        <cfvo type="max"/>
        <color rgb="FF9BCFD9"/>
        <color rgb="FFC6A5CB"/>
      </colorScale>
    </cfRule>
    <cfRule type="colorScale" priority="13">
      <colorScale>
        <cfvo type="min"/>
        <cfvo type="max"/>
        <color rgb="FF63BE7B"/>
        <color rgb="FFFCFCFF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23">
    <cfRule type="dataBar" priority="10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{E25A4EDB-5382-442C-9FAF-2D10AB718179}</x14:id>
        </ext>
      </extLst>
    </cfRule>
  </conditionalFormatting>
  <conditionalFormatting sqref="D1:D1048575">
    <cfRule type="iconSet" priority="4">
      <iconSet iconSet="4TrafficLights">
        <cfvo type="percent" val="0"/>
        <cfvo type="percent" val="25"/>
        <cfvo type="percent" val="50"/>
        <cfvo type="percent" val="75"/>
      </iconSet>
    </cfRule>
    <cfRule type="iconSet" priority="9">
      <iconSet iconSet="3Signs">
        <cfvo type="percent" val="0"/>
        <cfvo type="percent" val="33"/>
        <cfvo type="percent" val="67"/>
      </iconSet>
    </cfRule>
  </conditionalFormatting>
  <conditionalFormatting sqref="C1:C1048575">
    <cfRule type="iconSet" priority="6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  <ignoredErrors>
    <ignoredError sqref="P56 P63 P76 P80 P85 P88 P90 P92 P122 P17 P33 P29" 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Spinner 3">
              <controlPr defaultSize="0" autoPict="0">
                <anchor moveWithCells="1" sizeWithCells="1">
                  <from>
                    <xdr:col>16</xdr:col>
                    <xdr:colOff>523875</xdr:colOff>
                    <xdr:row>0</xdr:row>
                    <xdr:rowOff>19050</xdr:rowOff>
                  </from>
                  <to>
                    <xdr:col>17</xdr:col>
                    <xdr:colOff>0</xdr:colOff>
                    <xdr:row>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4" name="Spinner 4">
              <controlPr defaultSize="0" autoPict="0">
                <anchor moveWithCells="1" sizeWithCells="1">
                  <from>
                    <xdr:col>17</xdr:col>
                    <xdr:colOff>676275</xdr:colOff>
                    <xdr:row>0</xdr:row>
                    <xdr:rowOff>19050</xdr:rowOff>
                  </from>
                  <to>
                    <xdr:col>18</xdr:col>
                    <xdr:colOff>0</xdr:colOff>
                    <xdr:row>2</xdr:row>
                    <xdr:rowOff>19050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5A4EDB-5382-442C-9FAF-2D10AB718179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iconSet" priority="11" id="{50BB4A60-7948-41C4-AC21-03A54EC8429A}">
            <x14:iconSet iconSet="3Triangle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C5:C123</xm:sqref>
        </x14:conditionalFormatting>
        <x14:conditionalFormatting xmlns:xm="http://schemas.microsoft.com/office/excel/2006/main">
          <x14:cfRule type="iconSet" priority="2" id="{7BFCBE01-5A33-42AB-8805-ADE3D30DBC08}">
            <x14:iconSet iconSet="3Star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Stars" iconId="0"/>
              <x14:cfIcon iconSet="3Stars" iconId="1"/>
              <x14:cfIcon iconSet="3Stars" iconId="2"/>
            </x14:iconSet>
          </x14:cfRule>
          <xm:sqref>Q7:Q123</xm:sqref>
        </x14:conditionalFormatting>
        <x14:conditionalFormatting xmlns:xm="http://schemas.microsoft.com/office/excel/2006/main">
          <x14:cfRule type="iconSet" priority="1" id="{9A5F4DD3-EE25-4DDD-B693-EF5C4CF6F9E7}">
            <x14:iconSet iconSet="3Star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Stars" iconId="0"/>
              <x14:cfIcon iconSet="3Stars" iconId="1"/>
              <x14:cfIcon iconSet="3Stars" iconId="2"/>
            </x14:iconSet>
          </x14:cfRule>
          <xm:sqref>Q5:Q6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Z80"/>
  <sheetViews>
    <sheetView zoomScale="55" zoomScaleNormal="55" zoomScaleSheetLayoutView="55" workbookViewId="0">
      <selection activeCell="AO32" sqref="AO32"/>
    </sheetView>
  </sheetViews>
  <sheetFormatPr defaultColWidth="9" defaultRowHeight="14.25"/>
  <cols>
    <col min="1" max="52" width="4.25" style="30" customWidth="1"/>
    <col min="53" max="16384" width="9" style="30"/>
  </cols>
  <sheetData>
    <row r="1" spans="1:22" ht="18" customHeight="1">
      <c r="A1" s="29"/>
    </row>
    <row r="2" spans="1:22" ht="18" customHeight="1">
      <c r="A2" s="31"/>
      <c r="B2" s="68" t="s">
        <v>428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</row>
    <row r="3" spans="1:22" ht="18" customHeight="1"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</row>
    <row r="4" spans="1:22" ht="18" customHeight="1">
      <c r="B4" s="70" t="s">
        <v>211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</row>
    <row r="5" spans="1:22" ht="18" customHeight="1"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32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71" t="s">
        <v>140</v>
      </c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2:26" ht="18" customHeight="1"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2:26" ht="18" customHeight="1"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11" type="noConversion"/>
  <pageMargins left="0.69972223043441772" right="0.69972223043441772" top="0.75" bottom="0.75" header="0.30000001192092896" footer="0.30000001192092896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8"/>
  <sheetViews>
    <sheetView zoomScaleNormal="100" zoomScaleSheetLayoutView="100" workbookViewId="0"/>
  </sheetViews>
  <sheetFormatPr defaultColWidth="8.875"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 ht="19.5">
      <c r="A1" s="72" t="s">
        <v>339</v>
      </c>
      <c r="B1" s="72"/>
      <c r="C1" s="72"/>
      <c r="D1" s="72"/>
    </row>
    <row r="3" spans="1:4">
      <c r="A3" s="1" t="s">
        <v>531</v>
      </c>
      <c r="B3" s="2" t="s">
        <v>440</v>
      </c>
      <c r="C3" s="2" t="s">
        <v>455</v>
      </c>
      <c r="D3" s="3" t="s">
        <v>626</v>
      </c>
    </row>
    <row r="4" spans="1:4" ht="57.95" customHeight="1">
      <c r="A4" s="5" t="s">
        <v>438</v>
      </c>
      <c r="B4" s="6" t="s">
        <v>406</v>
      </c>
      <c r="C4" s="6" t="s">
        <v>433</v>
      </c>
      <c r="D4" s="7" t="s">
        <v>402</v>
      </c>
    </row>
    <row r="5" spans="1:4" ht="57.95" customHeight="1">
      <c r="A5" s="8" t="s">
        <v>517</v>
      </c>
      <c r="B5" s="4" t="s">
        <v>113</v>
      </c>
      <c r="C5" s="4" t="s">
        <v>433</v>
      </c>
      <c r="D5" s="9" t="s">
        <v>400</v>
      </c>
    </row>
    <row r="6" spans="1:4" ht="57.95" customHeight="1">
      <c r="A6" s="8" t="s">
        <v>680</v>
      </c>
      <c r="B6" s="4" t="s">
        <v>350</v>
      </c>
      <c r="C6" s="4" t="s">
        <v>622</v>
      </c>
      <c r="D6" s="9" t="s">
        <v>73</v>
      </c>
    </row>
    <row r="7" spans="1:4" ht="57.95" customHeight="1">
      <c r="A7" s="8" t="s">
        <v>534</v>
      </c>
      <c r="B7" s="4" t="s">
        <v>392</v>
      </c>
      <c r="C7" s="4" t="s">
        <v>443</v>
      </c>
      <c r="D7" s="9" t="s">
        <v>394</v>
      </c>
    </row>
    <row r="8" spans="1:4" ht="57.95" customHeight="1">
      <c r="A8" s="8" t="s">
        <v>441</v>
      </c>
      <c r="B8" s="4" t="s">
        <v>369</v>
      </c>
      <c r="C8" s="4" t="s">
        <v>560</v>
      </c>
      <c r="D8" s="9" t="s">
        <v>370</v>
      </c>
    </row>
    <row r="9" spans="1:4" ht="57.95" customHeight="1">
      <c r="A9" s="8" t="s">
        <v>444</v>
      </c>
      <c r="B9" s="4" t="s">
        <v>213</v>
      </c>
      <c r="C9" s="4" t="s">
        <v>621</v>
      </c>
      <c r="D9" s="9" t="s">
        <v>726</v>
      </c>
    </row>
    <row r="10" spans="1:4" ht="57.95" customHeight="1">
      <c r="A10" s="8" t="s">
        <v>675</v>
      </c>
      <c r="B10" s="4" t="s">
        <v>411</v>
      </c>
      <c r="C10" s="4" t="s">
        <v>412</v>
      </c>
      <c r="D10" s="9" t="s">
        <v>239</v>
      </c>
    </row>
    <row r="11" spans="1:4" ht="57.95" customHeight="1">
      <c r="A11" s="8" t="s">
        <v>453</v>
      </c>
      <c r="B11" s="4" t="s">
        <v>397</v>
      </c>
      <c r="C11" s="4" t="s">
        <v>533</v>
      </c>
      <c r="D11" s="9" t="s">
        <v>235</v>
      </c>
    </row>
    <row r="12" spans="1:4" ht="57.95" customHeight="1">
      <c r="A12" s="8" t="s">
        <v>439</v>
      </c>
      <c r="B12" s="4" t="s">
        <v>802</v>
      </c>
      <c r="C12" s="4" t="s">
        <v>631</v>
      </c>
      <c r="D12" s="9" t="s">
        <v>805</v>
      </c>
    </row>
    <row r="13" spans="1:4" ht="57.95" customHeight="1">
      <c r="A13" s="8" t="s">
        <v>452</v>
      </c>
      <c r="B13" s="4" t="s">
        <v>231</v>
      </c>
      <c r="C13" s="4" t="s">
        <v>577</v>
      </c>
      <c r="D13" s="9" t="s">
        <v>404</v>
      </c>
    </row>
    <row r="14" spans="1:4" ht="57.95" customHeight="1">
      <c r="A14" s="8" t="s">
        <v>679</v>
      </c>
      <c r="B14" s="4" t="s">
        <v>230</v>
      </c>
      <c r="C14" s="4" t="s">
        <v>537</v>
      </c>
      <c r="D14" s="9" t="s">
        <v>234</v>
      </c>
    </row>
    <row r="15" spans="1:4" ht="57.95" customHeight="1">
      <c r="A15" s="8" t="s">
        <v>672</v>
      </c>
      <c r="B15" s="4" t="s">
        <v>398</v>
      </c>
      <c r="C15" s="4" t="s">
        <v>629</v>
      </c>
      <c r="D15" s="9" t="s">
        <v>405</v>
      </c>
    </row>
    <row r="16" spans="1:4" ht="57.95" customHeight="1">
      <c r="A16" s="8" t="s">
        <v>445</v>
      </c>
      <c r="B16" s="4" t="s">
        <v>238</v>
      </c>
      <c r="C16" s="4" t="s">
        <v>554</v>
      </c>
      <c r="D16" s="9" t="s">
        <v>222</v>
      </c>
    </row>
    <row r="17" spans="1:4" ht="57.95" customHeight="1">
      <c r="A17" s="8" t="s">
        <v>460</v>
      </c>
      <c r="B17" s="4" t="s">
        <v>236</v>
      </c>
      <c r="C17" s="4" t="s">
        <v>554</v>
      </c>
      <c r="D17" s="9" t="s">
        <v>240</v>
      </c>
    </row>
    <row r="18" spans="1:4" ht="57.95" customHeight="1">
      <c r="A18" s="10" t="s">
        <v>563</v>
      </c>
      <c r="B18" s="11" t="s">
        <v>736</v>
      </c>
      <c r="C18" s="11" t="s">
        <v>638</v>
      </c>
      <c r="D18" s="12" t="s">
        <v>733</v>
      </c>
    </row>
  </sheetData>
  <mergeCells count="1">
    <mergeCell ref="A1:D1"/>
  </mergeCells>
  <phoneticPr fontId="11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133"/>
  <sheetViews>
    <sheetView zoomScaleNormal="100" zoomScaleSheetLayoutView="100" workbookViewId="0">
      <selection sqref="A1:J1"/>
    </sheetView>
  </sheetViews>
  <sheetFormatPr defaultColWidth="8.875"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 ht="19.5">
      <c r="A1" s="72" t="s">
        <v>185</v>
      </c>
      <c r="B1" s="72"/>
      <c r="C1" s="72"/>
      <c r="D1" s="72"/>
      <c r="E1" s="72"/>
      <c r="F1" s="72"/>
      <c r="G1" s="72"/>
      <c r="H1" s="72"/>
      <c r="I1" s="72"/>
      <c r="J1" s="72"/>
    </row>
    <row r="3" spans="1:10" ht="32.1" customHeight="1">
      <c r="A3" s="13" t="s">
        <v>559</v>
      </c>
      <c r="B3" s="14">
        <v>119</v>
      </c>
      <c r="C3" s="14" t="s">
        <v>627</v>
      </c>
      <c r="D3" s="16">
        <f>AVERAGE('밸런스 문서'!C5:C123)</f>
        <v>2.9075630252100839</v>
      </c>
      <c r="E3" s="16" t="s">
        <v>558</v>
      </c>
      <c r="F3" s="16">
        <f>AVERAGE('밸런스 문서'!D5:D123)</f>
        <v>7.2857142857142856</v>
      </c>
      <c r="G3" s="14" t="s">
        <v>645</v>
      </c>
      <c r="H3" s="14">
        <f>MAX('밸런스 문서'!C5:C123)</f>
        <v>10</v>
      </c>
      <c r="I3" s="14" t="s">
        <v>548</v>
      </c>
      <c r="J3" s="15">
        <f>MAX('밸런스 문서'!D5:D123)</f>
        <v>10</v>
      </c>
    </row>
    <row r="5" spans="1:10">
      <c r="A5" s="1" t="s">
        <v>540</v>
      </c>
      <c r="B5" s="2" t="s">
        <v>546</v>
      </c>
      <c r="C5" s="2" t="s">
        <v>627</v>
      </c>
      <c r="D5" s="2" t="s">
        <v>558</v>
      </c>
      <c r="E5" s="3" t="s">
        <v>623</v>
      </c>
    </row>
    <row r="6" spans="1:10" ht="24.95" customHeight="1">
      <c r="A6" s="17" t="s">
        <v>633</v>
      </c>
      <c r="B6" s="18">
        <v>25</v>
      </c>
      <c r="C6" s="26">
        <f>AVERAGE('밸런스 문서'!C5:C29)</f>
        <v>1.76</v>
      </c>
      <c r="D6" s="26">
        <f>AVERAGE('밸런스 문서'!D5:D29)</f>
        <v>5.48</v>
      </c>
      <c r="E6" s="19">
        <v>6</v>
      </c>
    </row>
    <row r="7" spans="1:10" ht="24.95" customHeight="1">
      <c r="A7" s="20" t="s">
        <v>632</v>
      </c>
      <c r="B7" s="21">
        <v>23</v>
      </c>
      <c r="C7" s="27">
        <f>AVERAGE('밸런스 문서'!C30:C52)</f>
        <v>1.7826086956521738</v>
      </c>
      <c r="D7" s="27">
        <f>AVERAGE('밸런스 문서'!D30:D52)</f>
        <v>6.1304347826086953</v>
      </c>
      <c r="E7" s="22">
        <v>7</v>
      </c>
    </row>
    <row r="8" spans="1:10" ht="24.95" customHeight="1">
      <c r="A8" s="20" t="s">
        <v>413</v>
      </c>
      <c r="B8" s="21">
        <v>26</v>
      </c>
      <c r="C8" s="27">
        <f>AVERAGE('밸런스 문서'!C53:C78)</f>
        <v>3.1538461538461537</v>
      </c>
      <c r="D8" s="27">
        <f>AVERAGE('밸런스 문서'!D53:D78)</f>
        <v>7.7307692307692308</v>
      </c>
      <c r="E8" s="22">
        <v>7</v>
      </c>
    </row>
    <row r="9" spans="1:10" ht="24.95" customHeight="1">
      <c r="A9" s="20" t="s">
        <v>624</v>
      </c>
      <c r="B9" s="21">
        <v>26</v>
      </c>
      <c r="C9" s="27">
        <f>AVERAGE('밸런스 문서'!C79:C104)</f>
        <v>4.3461538461538458</v>
      </c>
      <c r="D9" s="27">
        <f>AVERAGE('밸런스 문서'!D79:D104)</f>
        <v>7.884615384615385</v>
      </c>
      <c r="E9" s="22">
        <v>10</v>
      </c>
    </row>
    <row r="10" spans="1:10" ht="24.95" customHeight="1">
      <c r="A10" s="23" t="s">
        <v>414</v>
      </c>
      <c r="B10" s="24">
        <v>19</v>
      </c>
      <c r="C10" s="28">
        <f>AVERAGE('밸런스 문서'!C105:C123)</f>
        <v>3.4736842105263159</v>
      </c>
      <c r="D10" s="28">
        <f>AVERAGE('밸런스 문서'!D105:D123)</f>
        <v>9.6315789473684212</v>
      </c>
      <c r="E10" s="25">
        <v>10</v>
      </c>
    </row>
    <row r="14" spans="1:10">
      <c r="A14" s="1" t="s">
        <v>680</v>
      </c>
      <c r="B14" s="2" t="s">
        <v>438</v>
      </c>
      <c r="C14" s="3" t="s">
        <v>517</v>
      </c>
    </row>
    <row r="15" spans="1:10">
      <c r="A15">
        <v>1</v>
      </c>
      <c r="B15">
        <v>1</v>
      </c>
      <c r="C15">
        <v>7</v>
      </c>
    </row>
    <row r="16" spans="1:10">
      <c r="A16">
        <v>2</v>
      </c>
      <c r="B16">
        <v>1</v>
      </c>
      <c r="C16">
        <v>4</v>
      </c>
    </row>
    <row r="17" spans="1:3">
      <c r="A17">
        <v>3</v>
      </c>
      <c r="B17">
        <v>1</v>
      </c>
      <c r="C17">
        <v>5</v>
      </c>
    </row>
    <row r="18" spans="1:3">
      <c r="A18">
        <v>4</v>
      </c>
      <c r="B18">
        <v>1</v>
      </c>
      <c r="C18">
        <v>4</v>
      </c>
    </row>
    <row r="19" spans="1:3">
      <c r="A19">
        <v>5</v>
      </c>
      <c r="B19">
        <v>1</v>
      </c>
      <c r="C19">
        <v>4</v>
      </c>
    </row>
    <row r="20" spans="1:3">
      <c r="A20">
        <v>6</v>
      </c>
      <c r="B20">
        <v>1</v>
      </c>
      <c r="C20">
        <v>5</v>
      </c>
    </row>
    <row r="21" spans="1:3">
      <c r="A21">
        <v>7</v>
      </c>
      <c r="B21">
        <v>2</v>
      </c>
      <c r="C21">
        <v>5</v>
      </c>
    </row>
    <row r="22" spans="1:3">
      <c r="A22">
        <v>8</v>
      </c>
      <c r="B22">
        <v>2</v>
      </c>
      <c r="C22">
        <v>6</v>
      </c>
    </row>
    <row r="23" spans="1:3">
      <c r="A23">
        <v>9</v>
      </c>
      <c r="B23">
        <v>1</v>
      </c>
      <c r="C23">
        <v>5</v>
      </c>
    </row>
    <row r="24" spans="1:3">
      <c r="A24">
        <v>10</v>
      </c>
      <c r="B24">
        <v>1</v>
      </c>
      <c r="C24">
        <v>6</v>
      </c>
    </row>
    <row r="25" spans="1:3">
      <c r="A25">
        <v>11</v>
      </c>
      <c r="B25">
        <v>2</v>
      </c>
      <c r="C25">
        <v>5</v>
      </c>
    </row>
    <row r="26" spans="1:3">
      <c r="A26">
        <v>12</v>
      </c>
      <c r="B26">
        <v>2</v>
      </c>
      <c r="C26">
        <v>6</v>
      </c>
    </row>
    <row r="27" spans="1:3">
      <c r="A27">
        <v>13</v>
      </c>
      <c r="B27">
        <v>1</v>
      </c>
      <c r="C27">
        <v>5</v>
      </c>
    </row>
    <row r="28" spans="1:3">
      <c r="A28">
        <v>14</v>
      </c>
      <c r="B28">
        <v>2</v>
      </c>
      <c r="C28">
        <v>5</v>
      </c>
    </row>
    <row r="29" spans="1:3">
      <c r="A29">
        <v>15</v>
      </c>
      <c r="B29">
        <v>2</v>
      </c>
      <c r="C29">
        <v>6</v>
      </c>
    </row>
    <row r="30" spans="1:3">
      <c r="A30">
        <v>16</v>
      </c>
      <c r="B30">
        <v>1</v>
      </c>
      <c r="C30">
        <v>7</v>
      </c>
    </row>
    <row r="31" spans="1:3">
      <c r="A31">
        <v>17</v>
      </c>
      <c r="B31">
        <v>5</v>
      </c>
      <c r="C31">
        <v>8</v>
      </c>
    </row>
    <row r="32" spans="1:3">
      <c r="A32">
        <v>18</v>
      </c>
      <c r="B32">
        <v>4</v>
      </c>
      <c r="C32">
        <v>8</v>
      </c>
    </row>
    <row r="33" spans="1:3">
      <c r="A33">
        <v>19</v>
      </c>
      <c r="B33">
        <v>2</v>
      </c>
      <c r="C33">
        <v>8</v>
      </c>
    </row>
    <row r="34" spans="1:3">
      <c r="A34">
        <v>20</v>
      </c>
      <c r="B34">
        <v>1</v>
      </c>
      <c r="C34">
        <v>6</v>
      </c>
    </row>
    <row r="35" spans="1:3">
      <c r="A35">
        <v>21</v>
      </c>
      <c r="B35">
        <v>2</v>
      </c>
      <c r="C35">
        <v>5</v>
      </c>
    </row>
    <row r="36" spans="1:3">
      <c r="A36">
        <v>22</v>
      </c>
      <c r="B36">
        <v>2</v>
      </c>
      <c r="C36">
        <v>7</v>
      </c>
    </row>
    <row r="37" spans="1:3">
      <c r="A37">
        <v>23</v>
      </c>
      <c r="B37">
        <v>3</v>
      </c>
      <c r="C37">
        <v>8</v>
      </c>
    </row>
    <row r="38" spans="1:3">
      <c r="A38">
        <v>24</v>
      </c>
      <c r="B38">
        <v>1</v>
      </c>
      <c r="C38">
        <v>6</v>
      </c>
    </row>
    <row r="39" spans="1:3">
      <c r="A39">
        <v>25</v>
      </c>
      <c r="B39">
        <v>2</v>
      </c>
      <c r="C39">
        <v>6</v>
      </c>
    </row>
    <row r="40" spans="1:3">
      <c r="A40">
        <v>26</v>
      </c>
      <c r="B40">
        <v>1</v>
      </c>
      <c r="C40">
        <v>7</v>
      </c>
    </row>
    <row r="41" spans="1:3">
      <c r="A41">
        <v>27</v>
      </c>
      <c r="B41">
        <v>1</v>
      </c>
      <c r="C41">
        <v>8</v>
      </c>
    </row>
    <row r="42" spans="1:3">
      <c r="A42">
        <v>28</v>
      </c>
      <c r="B42">
        <v>1</v>
      </c>
      <c r="C42">
        <v>8</v>
      </c>
    </row>
    <row r="43" spans="1:3">
      <c r="A43">
        <v>29</v>
      </c>
      <c r="B43">
        <v>2</v>
      </c>
      <c r="C43">
        <v>6</v>
      </c>
    </row>
    <row r="44" spans="1:3">
      <c r="A44">
        <v>30</v>
      </c>
      <c r="B44">
        <v>1</v>
      </c>
      <c r="C44">
        <v>6</v>
      </c>
    </row>
    <row r="45" spans="1:3">
      <c r="A45">
        <v>31</v>
      </c>
      <c r="B45">
        <v>2</v>
      </c>
      <c r="C45">
        <v>7</v>
      </c>
    </row>
    <row r="46" spans="1:3">
      <c r="A46">
        <v>32</v>
      </c>
      <c r="B46">
        <v>2</v>
      </c>
      <c r="C46">
        <v>7</v>
      </c>
    </row>
    <row r="47" spans="1:3">
      <c r="A47">
        <v>33</v>
      </c>
      <c r="B47">
        <v>3</v>
      </c>
      <c r="C47">
        <v>7</v>
      </c>
    </row>
    <row r="48" spans="1:3">
      <c r="A48">
        <v>34</v>
      </c>
      <c r="B48">
        <v>1</v>
      </c>
      <c r="C48">
        <v>8</v>
      </c>
    </row>
    <row r="49" spans="1:3">
      <c r="A49">
        <v>35</v>
      </c>
      <c r="B49">
        <v>2</v>
      </c>
      <c r="C49">
        <v>8</v>
      </c>
    </row>
    <row r="50" spans="1:3">
      <c r="A50">
        <v>36</v>
      </c>
      <c r="B50">
        <v>2</v>
      </c>
      <c r="C50">
        <v>7</v>
      </c>
    </row>
    <row r="51" spans="1:3">
      <c r="A51">
        <v>37</v>
      </c>
      <c r="B51">
        <v>3</v>
      </c>
      <c r="C51">
        <v>8</v>
      </c>
    </row>
    <row r="52" spans="1:3">
      <c r="A52">
        <v>38</v>
      </c>
      <c r="B52">
        <v>1</v>
      </c>
      <c r="C52">
        <v>8</v>
      </c>
    </row>
    <row r="53" spans="1:3">
      <c r="A53">
        <v>39</v>
      </c>
      <c r="B53">
        <v>2</v>
      </c>
      <c r="C53">
        <v>6</v>
      </c>
    </row>
    <row r="54" spans="1:3">
      <c r="A54">
        <v>40</v>
      </c>
      <c r="B54">
        <v>2</v>
      </c>
      <c r="C54">
        <v>6</v>
      </c>
    </row>
    <row r="55" spans="1:3">
      <c r="A55">
        <v>41</v>
      </c>
      <c r="B55">
        <v>2</v>
      </c>
      <c r="C55">
        <v>7</v>
      </c>
    </row>
    <row r="56" spans="1:3">
      <c r="A56">
        <v>42</v>
      </c>
      <c r="B56">
        <v>3</v>
      </c>
      <c r="C56">
        <v>8</v>
      </c>
    </row>
    <row r="57" spans="1:3">
      <c r="A57">
        <v>43</v>
      </c>
      <c r="B57">
        <v>3</v>
      </c>
      <c r="C57">
        <v>8</v>
      </c>
    </row>
    <row r="58" spans="1:3">
      <c r="A58">
        <v>44</v>
      </c>
      <c r="B58">
        <v>2</v>
      </c>
      <c r="C58">
        <v>8</v>
      </c>
    </row>
    <row r="59" spans="1:3">
      <c r="A59">
        <v>45</v>
      </c>
      <c r="B59">
        <v>1</v>
      </c>
      <c r="C59">
        <v>9</v>
      </c>
    </row>
    <row r="60" spans="1:3">
      <c r="A60">
        <v>46</v>
      </c>
      <c r="B60">
        <v>2</v>
      </c>
      <c r="C60">
        <v>9</v>
      </c>
    </row>
    <row r="61" spans="1:3">
      <c r="A61">
        <v>47</v>
      </c>
      <c r="B61">
        <v>2</v>
      </c>
      <c r="C61">
        <v>6</v>
      </c>
    </row>
    <row r="62" spans="1:3">
      <c r="A62">
        <v>48</v>
      </c>
      <c r="B62">
        <v>1</v>
      </c>
      <c r="C62">
        <v>6</v>
      </c>
    </row>
    <row r="63" spans="1:3">
      <c r="A63">
        <v>49</v>
      </c>
      <c r="B63">
        <v>1</v>
      </c>
      <c r="C63">
        <v>8</v>
      </c>
    </row>
    <row r="64" spans="1:3">
      <c r="A64">
        <v>50</v>
      </c>
      <c r="B64">
        <v>2</v>
      </c>
      <c r="C64">
        <v>7</v>
      </c>
    </row>
    <row r="65" spans="1:3">
      <c r="A65">
        <v>51</v>
      </c>
      <c r="B65">
        <v>3</v>
      </c>
      <c r="C65">
        <v>7</v>
      </c>
    </row>
    <row r="66" spans="1:3">
      <c r="A66">
        <v>52</v>
      </c>
      <c r="B66">
        <v>4</v>
      </c>
      <c r="C66">
        <v>9</v>
      </c>
    </row>
    <row r="67" spans="1:3">
      <c r="A67">
        <v>53</v>
      </c>
      <c r="B67">
        <v>4</v>
      </c>
      <c r="C67">
        <v>8</v>
      </c>
    </row>
    <row r="68" spans="1:3">
      <c r="A68">
        <v>54</v>
      </c>
      <c r="B68">
        <v>5</v>
      </c>
      <c r="C68">
        <v>9</v>
      </c>
    </row>
    <row r="69" spans="1:3">
      <c r="A69">
        <v>55</v>
      </c>
      <c r="B69">
        <v>5</v>
      </c>
      <c r="C69">
        <v>9</v>
      </c>
    </row>
    <row r="70" spans="1:3">
      <c r="A70">
        <v>56</v>
      </c>
      <c r="B70">
        <v>4</v>
      </c>
      <c r="C70">
        <v>8</v>
      </c>
    </row>
    <row r="71" spans="1:3">
      <c r="A71">
        <v>57</v>
      </c>
      <c r="B71">
        <v>6</v>
      </c>
      <c r="C71">
        <v>9</v>
      </c>
    </row>
    <row r="72" spans="1:3">
      <c r="A72">
        <v>58</v>
      </c>
      <c r="B72">
        <v>2</v>
      </c>
      <c r="C72">
        <v>8</v>
      </c>
    </row>
    <row r="73" spans="1:3">
      <c r="A73">
        <v>59</v>
      </c>
      <c r="B73">
        <v>3</v>
      </c>
      <c r="C73">
        <v>8</v>
      </c>
    </row>
    <row r="74" spans="1:3">
      <c r="A74">
        <v>60</v>
      </c>
      <c r="B74">
        <v>1</v>
      </c>
      <c r="C74">
        <v>7</v>
      </c>
    </row>
    <row r="75" spans="1:3">
      <c r="A75">
        <v>61</v>
      </c>
      <c r="B75">
        <v>2</v>
      </c>
      <c r="C75">
        <v>8</v>
      </c>
    </row>
    <row r="76" spans="1:3">
      <c r="A76">
        <v>62</v>
      </c>
      <c r="B76">
        <v>2</v>
      </c>
      <c r="C76">
        <v>9</v>
      </c>
    </row>
    <row r="77" spans="1:3">
      <c r="A77">
        <v>63</v>
      </c>
      <c r="B77">
        <v>1</v>
      </c>
      <c r="C77">
        <v>9</v>
      </c>
    </row>
    <row r="78" spans="1:3">
      <c r="A78">
        <v>64</v>
      </c>
      <c r="B78">
        <v>1</v>
      </c>
      <c r="C78">
        <v>8</v>
      </c>
    </row>
    <row r="79" spans="1:3">
      <c r="A79">
        <v>65</v>
      </c>
      <c r="B79">
        <v>1</v>
      </c>
      <c r="C79">
        <v>8</v>
      </c>
    </row>
    <row r="80" spans="1:3">
      <c r="A80">
        <v>66</v>
      </c>
      <c r="B80">
        <v>4</v>
      </c>
      <c r="C80">
        <v>8</v>
      </c>
    </row>
    <row r="81" spans="1:3">
      <c r="A81">
        <v>67</v>
      </c>
      <c r="B81">
        <v>4</v>
      </c>
      <c r="C81">
        <v>8</v>
      </c>
    </row>
    <row r="82" spans="1:3">
      <c r="A82">
        <v>68</v>
      </c>
      <c r="B82">
        <v>6</v>
      </c>
      <c r="C82">
        <v>8</v>
      </c>
    </row>
    <row r="83" spans="1:3">
      <c r="A83">
        <v>69</v>
      </c>
      <c r="B83">
        <v>5</v>
      </c>
      <c r="C83">
        <v>9</v>
      </c>
    </row>
    <row r="84" spans="1:3">
      <c r="A84">
        <v>70</v>
      </c>
      <c r="B84">
        <v>6</v>
      </c>
      <c r="C84">
        <v>9</v>
      </c>
    </row>
    <row r="85" spans="1:3">
      <c r="A85">
        <v>71</v>
      </c>
      <c r="B85">
        <v>1</v>
      </c>
      <c r="C85">
        <v>7</v>
      </c>
    </row>
    <row r="86" spans="1:3">
      <c r="A86">
        <v>72</v>
      </c>
      <c r="B86">
        <v>4</v>
      </c>
      <c r="C86">
        <v>7</v>
      </c>
    </row>
    <row r="87" spans="1:3">
      <c r="A87">
        <v>73</v>
      </c>
      <c r="B87">
        <v>1</v>
      </c>
      <c r="C87">
        <v>8</v>
      </c>
    </row>
    <row r="88" spans="1:3">
      <c r="A88">
        <v>74</v>
      </c>
      <c r="B88">
        <v>3</v>
      </c>
      <c r="C88">
        <v>8</v>
      </c>
    </row>
    <row r="89" spans="1:3">
      <c r="A89">
        <v>75</v>
      </c>
      <c r="B89">
        <v>1</v>
      </c>
      <c r="C89">
        <v>8</v>
      </c>
    </row>
    <row r="90" spans="1:3">
      <c r="A90">
        <v>76</v>
      </c>
      <c r="B90">
        <v>2</v>
      </c>
      <c r="C90">
        <v>7</v>
      </c>
    </row>
    <row r="91" spans="1:3">
      <c r="A91">
        <v>77</v>
      </c>
      <c r="B91">
        <v>2</v>
      </c>
      <c r="C91">
        <v>8</v>
      </c>
    </row>
    <row r="92" spans="1:3">
      <c r="A92">
        <v>78</v>
      </c>
      <c r="B92">
        <v>3</v>
      </c>
      <c r="C92">
        <v>8</v>
      </c>
    </row>
    <row r="93" spans="1:3">
      <c r="A93">
        <v>79</v>
      </c>
      <c r="B93">
        <v>4</v>
      </c>
      <c r="C93">
        <v>8</v>
      </c>
    </row>
    <row r="94" spans="1:3">
      <c r="A94">
        <v>80</v>
      </c>
      <c r="B94">
        <v>4</v>
      </c>
      <c r="C94">
        <v>8</v>
      </c>
    </row>
    <row r="95" spans="1:3">
      <c r="A95">
        <v>81</v>
      </c>
      <c r="B95">
        <v>6</v>
      </c>
      <c r="C95">
        <v>9</v>
      </c>
    </row>
    <row r="96" spans="1:3">
      <c r="A96">
        <v>82</v>
      </c>
      <c r="B96">
        <v>3</v>
      </c>
      <c r="C96">
        <v>9</v>
      </c>
    </row>
    <row r="97" spans="1:3">
      <c r="A97">
        <v>83</v>
      </c>
      <c r="B97">
        <v>5</v>
      </c>
      <c r="C97">
        <v>8</v>
      </c>
    </row>
    <row r="98" spans="1:3">
      <c r="A98">
        <v>84</v>
      </c>
      <c r="B98">
        <v>4</v>
      </c>
      <c r="C98">
        <v>8</v>
      </c>
    </row>
    <row r="99" spans="1:3">
      <c r="A99">
        <v>85</v>
      </c>
      <c r="B99">
        <v>3</v>
      </c>
      <c r="C99">
        <v>9</v>
      </c>
    </row>
    <row r="100" spans="1:3">
      <c r="A100">
        <v>86</v>
      </c>
      <c r="B100">
        <v>6</v>
      </c>
      <c r="C100">
        <v>9</v>
      </c>
    </row>
    <row r="101" spans="1:3">
      <c r="A101">
        <v>87</v>
      </c>
      <c r="B101">
        <v>5</v>
      </c>
      <c r="C101">
        <v>9</v>
      </c>
    </row>
    <row r="102" spans="1:3">
      <c r="A102">
        <v>88</v>
      </c>
      <c r="B102">
        <v>5</v>
      </c>
      <c r="C102">
        <v>9</v>
      </c>
    </row>
    <row r="103" spans="1:3">
      <c r="A103">
        <v>89</v>
      </c>
      <c r="B103">
        <v>5</v>
      </c>
      <c r="C103">
        <v>9</v>
      </c>
    </row>
    <row r="104" spans="1:3">
      <c r="A104">
        <v>90</v>
      </c>
      <c r="B104">
        <v>5</v>
      </c>
      <c r="C104">
        <v>9</v>
      </c>
    </row>
    <row r="105" spans="1:3">
      <c r="A105">
        <v>91</v>
      </c>
      <c r="B105">
        <v>3</v>
      </c>
      <c r="C105">
        <v>9</v>
      </c>
    </row>
    <row r="106" spans="1:3">
      <c r="A106">
        <v>92</v>
      </c>
      <c r="B106">
        <v>8</v>
      </c>
      <c r="C106">
        <v>10</v>
      </c>
    </row>
    <row r="107" spans="1:3">
      <c r="A107">
        <v>93</v>
      </c>
      <c r="B107">
        <v>8</v>
      </c>
      <c r="C107">
        <v>10</v>
      </c>
    </row>
    <row r="108" spans="1:3">
      <c r="A108">
        <v>94</v>
      </c>
      <c r="B108">
        <v>9</v>
      </c>
      <c r="C108">
        <v>10</v>
      </c>
    </row>
    <row r="109" spans="1:3">
      <c r="A109">
        <v>95</v>
      </c>
      <c r="B109">
        <v>8</v>
      </c>
      <c r="C109">
        <v>10</v>
      </c>
    </row>
    <row r="110" spans="1:3">
      <c r="A110">
        <v>96</v>
      </c>
      <c r="B110">
        <v>7</v>
      </c>
      <c r="C110">
        <v>10</v>
      </c>
    </row>
    <row r="111" spans="1:3">
      <c r="A111">
        <v>97</v>
      </c>
      <c r="B111">
        <v>1</v>
      </c>
      <c r="C111">
        <v>10</v>
      </c>
    </row>
    <row r="112" spans="1:3">
      <c r="A112">
        <v>98</v>
      </c>
      <c r="B112">
        <v>2</v>
      </c>
      <c r="C112">
        <v>10</v>
      </c>
    </row>
    <row r="113" spans="1:3">
      <c r="A113">
        <v>99</v>
      </c>
      <c r="B113">
        <v>6</v>
      </c>
      <c r="C113">
        <v>9</v>
      </c>
    </row>
    <row r="114" spans="1:3">
      <c r="A114">
        <v>100</v>
      </c>
      <c r="B114">
        <v>1</v>
      </c>
      <c r="C114">
        <v>8</v>
      </c>
    </row>
    <row r="115" spans="1:3">
      <c r="A115">
        <v>101</v>
      </c>
      <c r="B115">
        <v>1</v>
      </c>
      <c r="C115">
        <v>8</v>
      </c>
    </row>
    <row r="116" spans="1:3">
      <c r="A116">
        <v>102</v>
      </c>
      <c r="B116">
        <v>1</v>
      </c>
      <c r="C116">
        <v>9</v>
      </c>
    </row>
    <row r="117" spans="1:3">
      <c r="A117">
        <v>103</v>
      </c>
      <c r="B117">
        <v>5</v>
      </c>
      <c r="C117">
        <v>9</v>
      </c>
    </row>
    <row r="118" spans="1:3">
      <c r="A118">
        <v>104</v>
      </c>
      <c r="B118">
        <v>6</v>
      </c>
      <c r="C118">
        <v>10</v>
      </c>
    </row>
    <row r="119" spans="1:3">
      <c r="A119">
        <v>105</v>
      </c>
      <c r="B119">
        <v>5</v>
      </c>
      <c r="C119">
        <v>9</v>
      </c>
    </row>
    <row r="120" spans="1:3">
      <c r="A120">
        <v>106</v>
      </c>
      <c r="B120">
        <v>2</v>
      </c>
      <c r="C120">
        <v>10</v>
      </c>
    </row>
    <row r="121" spans="1:3">
      <c r="A121">
        <v>107</v>
      </c>
      <c r="B121">
        <v>7</v>
      </c>
      <c r="C121">
        <v>10</v>
      </c>
    </row>
    <row r="122" spans="1:3">
      <c r="A122">
        <v>108</v>
      </c>
      <c r="B122">
        <v>9</v>
      </c>
      <c r="C122">
        <v>10</v>
      </c>
    </row>
    <row r="123" spans="1:3">
      <c r="A123">
        <v>109</v>
      </c>
      <c r="B123">
        <v>6</v>
      </c>
      <c r="C123">
        <v>10</v>
      </c>
    </row>
    <row r="124" spans="1:3">
      <c r="A124">
        <v>110</v>
      </c>
      <c r="B124">
        <v>1</v>
      </c>
      <c r="C124">
        <v>10</v>
      </c>
    </row>
    <row r="125" spans="1:3">
      <c r="A125">
        <v>111</v>
      </c>
      <c r="B125">
        <v>1</v>
      </c>
      <c r="C125">
        <v>10</v>
      </c>
    </row>
    <row r="126" spans="1:3">
      <c r="A126">
        <v>112</v>
      </c>
      <c r="B126">
        <v>1</v>
      </c>
      <c r="C126">
        <v>10</v>
      </c>
    </row>
    <row r="127" spans="1:3">
      <c r="A127">
        <v>113</v>
      </c>
      <c r="B127">
        <v>4</v>
      </c>
      <c r="C127">
        <v>10</v>
      </c>
    </row>
    <row r="128" spans="1:3">
      <c r="A128">
        <v>114</v>
      </c>
      <c r="B128">
        <v>7</v>
      </c>
      <c r="C128">
        <v>10</v>
      </c>
    </row>
    <row r="129" spans="1:3">
      <c r="A129">
        <v>115</v>
      </c>
      <c r="B129">
        <v>6</v>
      </c>
      <c r="C129">
        <v>10</v>
      </c>
    </row>
    <row r="130" spans="1:3">
      <c r="A130">
        <v>116</v>
      </c>
      <c r="B130">
        <v>1</v>
      </c>
      <c r="C130">
        <v>10</v>
      </c>
    </row>
    <row r="131" spans="1:3">
      <c r="A131">
        <v>117</v>
      </c>
      <c r="B131">
        <v>1</v>
      </c>
      <c r="C131">
        <v>10</v>
      </c>
    </row>
    <row r="132" spans="1:3">
      <c r="A132">
        <v>118</v>
      </c>
      <c r="B132">
        <v>1</v>
      </c>
      <c r="C132">
        <v>9</v>
      </c>
    </row>
    <row r="133" spans="1:3">
      <c r="A133">
        <v>119</v>
      </c>
      <c r="B133">
        <v>1</v>
      </c>
      <c r="C133">
        <v>9</v>
      </c>
    </row>
  </sheetData>
  <mergeCells count="1">
    <mergeCell ref="A1:J1"/>
  </mergeCells>
  <phoneticPr fontId="11" type="noConversion"/>
  <pageMargins left="0.69972223043441772" right="0.69972223043441772" top="0.75" bottom="0.75" header="0.30000001192092896" footer="0.30000001192092896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5</cp:revision>
  <dcterms:created xsi:type="dcterms:W3CDTF">2026-07-23T02:09:26Z</dcterms:created>
  <dcterms:modified xsi:type="dcterms:W3CDTF">2026-07-24T06:50:58Z</dcterms:modified>
  <cp:version>1200.0100.01</cp:version>
</cp:coreProperties>
</file>
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3122ae95d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속성 대차대조표" sheetId="1" r:id="Raaa90a08231f44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&quot;x&quot;"/>
    <x:numFmt numFmtId="201" formatCode="0"/>
  </x:numFmts>
  <x:fonts count="15">
    <x:font>
      <x:sz val="11"/>
      <x:name val="Carlito"/>
    </x:font>
    <x:font>
      <x:sz val="9"/>
      <x:color rgb="FF2B2730"/>
      <x:name val="Malgun Gothic"/>
    </x:font>
    <x:font>
      <x:b/>
      <x:sz val="20"/>
      <x:color rgb="FFFFFFFF"/>
      <x:name val="Malgun Gothic"/>
    </x:font>
    <x:font>
      <x:i/>
      <x:sz val="8"/>
      <x:color rgb="FF6B6470"/>
      <x:name val="Malgun Gothic"/>
    </x:font>
    <x:font>
      <x:b/>
      <x:sz val="11"/>
      <x:color rgb="FFFFFFFF"/>
      <x:name val="Malgun Gothic"/>
    </x:font>
    <x:font>
      <x:b/>
      <x:sz val="10"/>
      <x:color rgb="FF2B2730"/>
      <x:name val="Malgun Gothic"/>
    </x:font>
    <x:font>
      <x:b/>
      <x:sz val="10"/>
      <x:color rgb="FFFFFFFF"/>
      <x:name val="Malgun Gothic"/>
    </x:font>
    <x:font>
      <x:b/>
      <x:sz val="9"/>
      <x:color rgb="FFFFFFFF"/>
      <x:name val="Malgun Gothic"/>
    </x:font>
    <x:font>
      <x:b/>
      <x:sz val="8"/>
      <x:color rgb="FF2B2730"/>
      <x:name val="Malgun Gothic"/>
    </x:font>
    <x:font>
      <x:b/>
      <x:sz val="9"/>
      <x:color rgb="FF2B2730"/>
      <x:name val="Malgun Gothic"/>
    </x:font>
    <x:font>
      <x:b/>
      <x:sz val="11"/>
      <x:color rgb="FF2B2730"/>
      <x:name val="Malgun Gothic"/>
    </x:font>
    <x:font>
      <x:b/>
      <x:sz val="20"/>
      <x:color rgb="FF4B2E5E"/>
      <x:name val="Malgun Gothic"/>
    </x:font>
    <x:font>
      <x:b/>
      <x:sz val="15"/>
      <x:color rgb="FF4B2E5E"/>
      <x:name val="Malgun Gothic"/>
    </x:font>
    <x:font>
      <x:b/>
      <x:sz val="13"/>
      <x:color rgb="FFFFFFFF"/>
      <x:name val="Malgun Gothic"/>
    </x:font>
    <x:font>
      <x:sz val="8"/>
      <x:color rgb="FF6B6470"/>
      <x:name val="Malgun Gothic"/>
    </x:font>
  </x:fonts>
  <x:fills count="23">
    <x:fill>
      <x:patternFill patternType="none"/>
    </x:fill>
    <x:fill>
      <x:patternFill patternType="gray125"/>
    </x:fill>
    <x:fill>
      <x:patternFill patternType="solid">
        <x:fgColor rgb="FF352041"/>
      </x:patternFill>
    </x:fill>
    <x:fill>
      <x:patternFill patternType="solid">
        <x:fgColor rgb="FFF3EEF6"/>
      </x:patternFill>
    </x:fill>
    <x:fill>
      <x:patternFill patternType="solid">
        <x:fgColor rgb="FF4B2E5E"/>
      </x:patternFill>
    </x:fill>
    <x:fill>
      <x:patternFill patternType="solid">
        <x:fgColor rgb="FFEDE5F2"/>
      </x:patternFill>
    </x:fill>
    <x:fill>
      <x:patternFill patternType="solid">
        <x:fgColor rgb="FF4F81BD"/>
      </x:patternFill>
    </x:fill>
    <x:fill>
      <x:patternFill patternType="solid">
        <x:fgColor rgb="FF8064A2"/>
      </x:patternFill>
    </x:fill>
    <x:fill>
      <x:patternFill patternType="solid">
        <x:fgColor rgb="FF5B6573"/>
      </x:patternFill>
    </x:fill>
    <x:fill>
      <x:patternFill patternType="solid">
        <x:fgColor rgb="FFA64D79"/>
      </x:patternFill>
    </x:fill>
    <x:fill>
      <x:patternFill patternType="solid">
        <x:fgColor rgb="FFE7E6E6"/>
      </x:patternFill>
    </x:fill>
    <x:fill>
      <x:patternFill patternType="solid">
        <x:fgColor rgb="FFC6E0B4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F7F3F9"/>
      </x:patternFill>
    </x:fill>
    <x:fill>
      <x:patternFill patternType="solid">
        <x:fgColor rgb="FFF8F6F9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1EAF4"/>
      </x:patternFill>
    </x:fill>
    <x:fill>
      <x:patternFill patternType="solid">
        <x:fgColor rgb="FFFFF4E6"/>
      </x:patternFill>
    </x:fill>
    <x:fill>
      <x:patternFill patternType="solid">
        <x:fgColor rgb="FFFFFFFF"/>
      </x:patternFill>
    </x:fill>
    <x:fill>
      <x:patternFill patternType="solid">
        <x:fgColor rgb="FFFAF8FB"/>
      </x:patternFill>
    </x:fill>
  </x:fills>
  <x:borders count="34">
    <x:border/>
    <x:border/>
    <x:border>
      <x:left style="thin">
        <x:color rgb="FF352041"/>
      </x:left>
      <x:top style="thin">
        <x:color rgb="FF352041"/>
      </x:top>
    </x:border>
    <x:border>
      <x:top style="thin">
        <x:color rgb="FF352041"/>
      </x:top>
    </x:border>
    <x:border>
      <x:right style="thin">
        <x:color rgb="FF352041"/>
      </x:right>
      <x:top style="thin">
        <x:color rgb="FF352041"/>
      </x:top>
    </x:border>
    <x:border>
      <x:left style="thin">
        <x:color rgb="FF352041"/>
      </x:left>
      <x:bottom style="thin">
        <x:color rgb="FF352041"/>
      </x:bottom>
    </x:border>
    <x:border>
      <x:bottom style="thin">
        <x:color rgb="FF352041"/>
      </x:bottom>
    </x:border>
    <x:border>
      <x:right style="thin">
        <x:color rgb="FF352041"/>
      </x:right>
      <x:bottom style="thin">
        <x:color rgb="FF352041"/>
      </x:bottom>
    </x:border>
    <x:border>
      <x:left style="thin">
        <x:color rgb="FF352041"/>
      </x:left>
      <x:top style="thin">
        <x:color rgb="FF352041"/>
      </x:top>
    </x:border>
    <x:border>
      <x:top style="thin">
        <x:color rgb="FF352041"/>
      </x:top>
    </x:border>
    <x:border>
      <x:right style="thin">
        <x:color rgb="FF352041"/>
      </x:right>
      <x:top style="thin">
        <x:color rgb="FF352041"/>
      </x:top>
    </x:border>
    <x:border>
      <x:left style="thin">
        <x:color rgb="FF352041"/>
      </x:left>
      <x:bottom style="thin">
        <x:color rgb="FF352041"/>
      </x:bottom>
    </x:border>
    <x:border>
      <x:bottom style="thin">
        <x:color rgb="FF352041"/>
      </x:bottom>
    </x:border>
    <x:border>
      <x:right style="thin">
        <x:color rgb="FF352041"/>
      </x:right>
      <x:bottom style="thin">
        <x:color rgb="FF352041"/>
      </x:bottom>
    </x:border>
    <x:border>
      <x:left style="thin">
        <x:color rgb="FFC9C4CE"/>
      </x:left>
      <x:top style="thin">
        <x:color rgb="FFC9C4CE"/>
      </x:top>
      <x:bottom style="thin">
        <x:color rgb="FFC9C4CE"/>
      </x:bottom>
    </x:border>
    <x:border>
      <x:top style="thin">
        <x:color rgb="FFC9C4CE"/>
      </x:top>
      <x:bottom style="thin">
        <x:color rgb="FFC9C4CE"/>
      </x:bottom>
    </x:border>
    <x:border>
      <x:right style="thin">
        <x:color rgb="FFC9C4CE"/>
      </x:right>
      <x:top style="thin">
        <x:color rgb="FFC9C4CE"/>
      </x:top>
      <x:bottom style="thin">
        <x:color rgb="FFC9C4CE"/>
      </x:bottom>
    </x:border>
    <x:border>
      <x:left style="thin">
        <x:color rgb="FFC9C4CE"/>
      </x:left>
      <x:top style="thin">
        <x:color rgb="FFC9C4CE"/>
      </x:top>
      <x:bottom style="thin">
        <x:color rgb="FFC9C4CE"/>
      </x:bottom>
    </x:border>
    <x:border>
      <x:top style="thin">
        <x:color rgb="FFC9C4CE"/>
      </x:top>
      <x:bottom style="thin">
        <x:color rgb="FFC9C4CE"/>
      </x:bottom>
    </x:border>
    <x:border>
      <x:right style="thin">
        <x:color rgb="FFC9C4CE"/>
      </x:right>
      <x:top style="thin">
        <x:color rgb="FFC9C4CE"/>
      </x:top>
      <x:bottom style="thin">
        <x:color rgb="FFC9C4CE"/>
      </x:bottom>
    </x:border>
    <x:border>
      <x:left style="thin">
        <x:color rgb="FF352041"/>
      </x:left>
      <x:top style="thin">
        <x:color rgb="FF352041"/>
      </x:top>
      <x:bottom style="thin">
        <x:color rgb="FF352041"/>
      </x:bottom>
    </x:border>
    <x:border>
      <x:top style="thin">
        <x:color rgb="FF352041"/>
      </x:top>
      <x:bottom style="thin">
        <x:color rgb="FF352041"/>
      </x:bottom>
    </x:border>
    <x:border>
      <x:right style="thin">
        <x:color rgb="FF352041"/>
      </x:right>
      <x:top style="thin">
        <x:color rgb="FF352041"/>
      </x:top>
      <x:bottom style="thin">
        <x:color rgb="FF352041"/>
      </x:bottom>
    </x:border>
    <x:border>
      <x:left style="thin">
        <x:color rgb="FF352041"/>
      </x:left>
      <x:top style="thin">
        <x:color rgb="FF352041"/>
      </x:top>
      <x:bottom style="thin">
        <x:color rgb="FF352041"/>
      </x:bottom>
    </x:border>
    <x:border>
      <x:top style="thin">
        <x:color rgb="FF352041"/>
      </x:top>
      <x:bottom style="thin">
        <x:color rgb="FF352041"/>
      </x:bottom>
    </x:border>
    <x:border>
      <x:right style="thin">
        <x:color rgb="FF352041"/>
      </x:right>
      <x:top style="thin">
        <x:color rgb="FF352041"/>
      </x:top>
      <x:bottom style="thin">
        <x:color rgb="FF352041"/>
      </x:bottom>
    </x:border>
    <x:border>
      <x:left style="thin">
        <x:color rgb="FFC9C4CE"/>
      </x:left>
      <x:right style="thin">
        <x:color rgb="FFC9C4CE"/>
      </x:right>
      <x:top style="thin">
        <x:color rgb="FFC9C4CE"/>
      </x:top>
      <x:bottom style="thin">
        <x:color rgb="FFC9C4CE"/>
      </x:bottom>
    </x:border>
    <x:border>
      <x:left style="thin">
        <x:color rgb="FFC9C4CE"/>
      </x:left>
      <x:right style="thin">
        <x:color rgb="FFC9C4CE"/>
      </x:right>
      <x:top style="thin">
        <x:color rgb="FFC9C4CE"/>
      </x:top>
      <x:bottom style="thin">
        <x:color rgb="FFC9C4CE"/>
      </x:bottom>
    </x:border>
    <x:border>
      <x:left style="thin">
        <x:color rgb="FFE3DFE6"/>
      </x:left>
      <x:top style="thin">
        <x:color rgb="FFE3DFE6"/>
      </x:top>
      <x:bottom style="thin">
        <x:color rgb="FFE3DFE6"/>
      </x:bottom>
    </x:border>
    <x:border>
      <x:top style="thin">
        <x:color rgb="FFE3DFE6"/>
      </x:top>
      <x:bottom style="thin">
        <x:color rgb="FFE3DFE6"/>
      </x:bottom>
    </x:border>
    <x:border>
      <x:right style="thin">
        <x:color rgb="FFE3DFE6"/>
      </x:right>
      <x:top style="thin">
        <x:color rgb="FFE3DFE6"/>
      </x:top>
      <x:bottom style="thin">
        <x:color rgb="FFE3DFE6"/>
      </x:bottom>
    </x:border>
    <x:border>
      <x:left style="thin">
        <x:color rgb="FFE3DFE6"/>
      </x:left>
      <x:top style="thin">
        <x:color rgb="FFE3DFE6"/>
      </x:top>
      <x:bottom style="thin">
        <x:color rgb="FFE3DFE6"/>
      </x:bottom>
    </x:border>
    <x:border>
      <x:top style="thin">
        <x:color rgb="FFE3DFE6"/>
      </x:top>
      <x:bottom style="thin">
        <x:color rgb="FFE3DFE6"/>
      </x:bottom>
    </x:border>
    <x:border>
      <x:right style="thin">
        <x:color rgb="FFE3DFE6"/>
      </x:right>
      <x:top style="thin">
        <x:color rgb="FFE3DFE6"/>
      </x:top>
      <x:bottom style="thin">
        <x:color rgb="FFE3DFE6"/>
      </x:bottom>
    </x:border>
  </x:borders>
  <x:cellStyleXfs count="1">
    <x:xf numFmtId="0" fontId="0" fillId="0" borderId="0"/>
  </x:cellStyleXfs>
  <x:cellXfs count="39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left" vertical="center" wrapText="1"/>
    </x:xf>
    <x:xf numFmtId="0" fontId="2" fillId="2" borderId="3" xfId="0" applyNumberFormat="1" applyFont="1" applyFill="1" applyBorder="1" applyAlignment="1">
      <x:alignment horizontal="left" vertical="center" wrapText="1"/>
    </x:xf>
    <x:xf numFmtId="0" fontId="2" fillId="2" borderId="4" xfId="0" applyNumberFormat="1" applyFont="1" applyFill="1" applyBorder="1" applyAlignment="1">
      <x:alignment horizontal="left" vertical="center" wrapText="1"/>
    </x:xf>
    <x:xf numFmtId="0" fontId="2" fillId="2" borderId="5" xfId="0" applyNumberFormat="1" applyFont="1" applyFill="1" applyBorder="1" applyAlignment="1">
      <x:alignment horizontal="left" vertical="center" wrapText="1"/>
    </x:xf>
    <x:xf numFmtId="0" fontId="2" fillId="2" borderId="6" xfId="0" applyNumberFormat="1" applyFont="1" applyFill="1" applyBorder="1" applyAlignment="1">
      <x:alignment horizontal="left" vertical="center" wrapText="1"/>
    </x:xf>
    <x:xf numFmtId="0" fontId="2" fillId="2" borderId="7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9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vertical="center" wrapText="1"/>
    </x:xf>
    <x:xf numFmtId="0" fontId="2" fillId="2" borderId="13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horizontal="left" vertical="center" wrapText="1"/>
    </x:xf>
    <x:xf numFmtId="0" fontId="2" fillId="2" borderId="9" xfId="0" applyNumberFormat="1" applyFont="1" applyFill="1" applyBorder="1" applyAlignment="1">
      <x:alignment horizontal="left" vertical="center" wrapText="1"/>
    </x:xf>
    <x:xf numFmtId="0" fontId="2" fillId="2" borderId="10" xfId="0" applyNumberFormat="1" applyFont="1" applyFill="1" applyBorder="1" applyAlignment="1">
      <x:alignment horizontal="left" vertical="center" wrapText="1"/>
    </x:xf>
    <x:xf numFmtId="0" fontId="2" fillId="2" borderId="11" xfId="0" applyNumberFormat="1" applyFont="1" applyFill="1" applyBorder="1" applyAlignment="1">
      <x:alignment horizontal="left" vertical="center" wrapText="1"/>
    </x:xf>
    <x:xf numFmtId="0" fontId="2" fillId="2" borderId="12" xfId="0" applyNumberFormat="1" applyFont="1" applyFill="1" applyBorder="1" applyAlignment="1">
      <x:alignment horizontal="left" vertical="center" wrapText="1"/>
    </x:xf>
    <x:xf numFmtId="0" fontId="2" fillId="2" borderId="13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4" xfId="0" applyNumberFormat="1" applyFont="1" applyFill="1" applyBorder="1" applyAlignment="1">
      <x:alignment vertical="center" wrapText="1"/>
    </x:xf>
    <x:xf numFmtId="0" fontId="1" fillId="3" borderId="15" xfId="0" applyNumberFormat="1" applyFont="1" applyFill="1" applyBorder="1" applyAlignment="1">
      <x:alignment vertical="center" wrapText="1"/>
    </x:xf>
    <x:xf numFmtId="0" fontId="1" fillId="3" borderId="16" xfId="0" applyNumberFormat="1" applyFont="1" applyFill="1" applyBorder="1" applyAlignment="1">
      <x:alignment vertical="center" wrapText="1"/>
    </x:xf>
    <x:xf numFmtId="0" fontId="1" fillId="3" borderId="14" xfId="0" applyNumberFormat="1" applyFont="1" applyFill="1" applyBorder="1" applyAlignment="1">
      <x:alignment horizontal="left" vertical="center" wrapText="1"/>
    </x:xf>
    <x:xf numFmtId="0" fontId="1" fillId="3" borderId="15" xfId="0" applyNumberFormat="1" applyFont="1" applyFill="1" applyBorder="1" applyAlignment="1">
      <x:alignment horizontal="left" vertical="center" wrapText="1"/>
    </x:xf>
    <x:xf numFmtId="0" fontId="1" fillId="3" borderId="16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17" xfId="0" applyNumberFormat="1" applyFont="1" applyFill="1" applyBorder="1" applyAlignment="1">
      <x:alignment vertical="center" wrapText="1"/>
    </x:xf>
    <x:xf numFmtId="0" fontId="1" fillId="3" borderId="18" xfId="0" applyNumberFormat="1" applyFont="1" applyFill="1" applyBorder="1" applyAlignment="1">
      <x:alignment vertical="center" wrapText="1"/>
    </x:xf>
    <x:xf numFmtId="0" fontId="1" fillId="3" borderId="19" xfId="0" applyNumberFormat="1" applyFont="1" applyFill="1" applyBorder="1" applyAlignment="1">
      <x:alignment vertical="center" wrapText="1"/>
    </x:xf>
    <x:xf numFmtId="0" fontId="1" fillId="3" borderId="17" xfId="0" applyNumberFormat="1" applyFont="1" applyFill="1" applyBorder="1" applyAlignment="1">
      <x:alignment horizontal="left" vertical="center" wrapText="1"/>
    </x:xf>
    <x:xf numFmtId="0" fontId="1" fillId="3" borderId="18" xfId="0" applyNumberFormat="1" applyFont="1" applyFill="1" applyBorder="1" applyAlignment="1">
      <x:alignment horizontal="left" vertical="center" wrapText="1"/>
    </x:xf>
    <x:xf numFmtId="0" fontId="1" fillId="3" borderId="19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20" xfId="0" applyNumberFormat="1" applyFont="1" applyFill="1" applyBorder="1" applyAlignment="1">
      <x:alignment vertical="center" wrapText="1"/>
    </x:xf>
    <x:xf numFmtId="0" fontId="4" fillId="4" borderId="21" xfId="0" applyNumberFormat="1" applyFont="1" applyFill="1" applyBorder="1" applyAlignment="1">
      <x:alignment vertical="center" wrapText="1"/>
    </x:xf>
    <x:xf numFmtId="0" fontId="4" fillId="4" borderId="22" xfId="0" applyNumberFormat="1" applyFont="1" applyFill="1" applyBorder="1" applyAlignment="1">
      <x:alignment vertical="center" wrapText="1"/>
    </x:xf>
    <x:xf numFmtId="0" fontId="4" fillId="4" borderId="20" xfId="0" applyNumberFormat="1" applyFont="1" applyFill="1" applyBorder="1" applyAlignment="1">
      <x:alignment horizontal="left" vertical="center" wrapText="1"/>
    </x:xf>
    <x:xf numFmtId="0" fontId="4" fillId="4" borderId="21" xfId="0" applyNumberFormat="1" applyFont="1" applyFill="1" applyBorder="1" applyAlignment="1">
      <x:alignment horizontal="left" vertical="center" wrapText="1"/>
    </x:xf>
    <x:xf numFmtId="0" fontId="4" fillId="4" borderId="22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3" xfId="0" applyNumberFormat="1" applyFont="1" applyFill="1" applyBorder="1" applyAlignment="1">
      <x:alignment vertical="center" wrapText="1"/>
    </x:xf>
    <x:xf numFmtId="0" fontId="4" fillId="4" borderId="24" xfId="0" applyNumberFormat="1" applyFont="1" applyFill="1" applyBorder="1" applyAlignment="1">
      <x:alignment vertical="center" wrapText="1"/>
    </x:xf>
    <x:xf numFmtId="0" fontId="4" fillId="4" borderId="25" xfId="0" applyNumberFormat="1" applyFont="1" applyFill="1" applyBorder="1" applyAlignment="1">
      <x:alignment vertical="center" wrapText="1"/>
    </x:xf>
    <x:xf numFmtId="0" fontId="4" fillId="4" borderId="23" xfId="0" applyNumberFormat="1" applyFont="1" applyFill="1" applyBorder="1" applyAlignment="1">
      <x:alignment horizontal="left" vertical="center" wrapText="1"/>
    </x:xf>
    <x:xf numFmtId="0" fontId="4" fillId="4" borderId="24" xfId="0" applyNumberFormat="1" applyFont="1" applyFill="1" applyBorder="1" applyAlignment="1">
      <x:alignment horizontal="left" vertical="center" wrapText="1"/>
    </x:xf>
    <x:xf numFmtId="0" fontId="4" fillId="4" borderId="25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26" xfId="0" applyNumberFormat="1" applyFont="1" applyFill="1" applyBorder="1" applyAlignment="1">
      <x:alignment vertical="center" wrapText="1"/>
    </x:xf>
    <x:xf numFmtId="0" fontId="5" fillId="5" borderId="26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27" xfId="0" applyNumberFormat="1" applyFont="1" applyFill="1" applyBorder="1" applyAlignment="1">
      <x:alignment vertical="center" wrapText="1"/>
    </x:xf>
    <x:xf numFmtId="0" fontId="5" fillId="5" borderId="27" xfId="0" applyNumberFormat="1" applyFont="1" applyFill="1" applyBorder="1" applyAlignment="1">
      <x:alignment horizontal="center" vertical="center" wrapText="1"/>
    </x:xf>
    <x:xf numFmtId="0" fontId="1" fillId="0" borderId="26" xfId="0" applyNumberFormat="1" applyFont="1" applyFill="1" applyBorder="1" applyAlignment="1">
      <x:alignment vertical="center" wrapText="1"/>
    </x:xf>
    <x:xf numFmtId="0" fontId="1" fillId="0" borderId="27" xfId="0" applyNumberFormat="1" applyFont="1" applyFill="1" applyBorder="1" applyAlignment="1">
      <x:alignment vertical="center" wrapText="1"/>
    </x:xf>
    <x:xf numFmtId="0" fontId="1" fillId="6" borderId="26" xfId="0" applyNumberFormat="1" applyFont="1" applyFill="1" applyBorder="1" applyAlignment="1">
      <x:alignment vertical="center" wrapText="1"/>
    </x:xf>
    <x:xf numFmtId="0" fontId="6" fillId="6" borderId="26" xfId="0" applyNumberFormat="1" applyFont="1" applyFill="1" applyBorder="1" applyAlignment="1">
      <x:alignment vertical="center" wrapText="1"/>
    </x:xf>
    <x:xf numFmtId="0" fontId="6" fillId="6" borderId="26" xfId="0" applyNumberFormat="1" applyFont="1" applyFill="1" applyBorder="1" applyAlignment="1">
      <x:alignment horizontal="center" vertical="center" wrapText="1"/>
    </x:xf>
    <x:xf numFmtId="0" fontId="1" fillId="6" borderId="27" xfId="0" applyNumberFormat="1" applyFont="1" applyFill="1" applyBorder="1" applyAlignment="1">
      <x:alignment vertical="center" wrapText="1"/>
    </x:xf>
    <x:xf numFmtId="0" fontId="6" fillId="6" borderId="27" xfId="0" applyNumberFormat="1" applyFont="1" applyFill="1" applyBorder="1" applyAlignment="1">
      <x:alignment vertical="center" wrapText="1"/>
    </x:xf>
    <x:xf numFmtId="0" fontId="6" fillId="6" borderId="27" xfId="0" applyNumberFormat="1" applyFont="1" applyFill="1" applyBorder="1" applyAlignment="1">
      <x:alignment horizontal="center" vertical="center" wrapText="1"/>
    </x:xf>
    <x:xf numFmtId="0" fontId="1" fillId="7" borderId="26" xfId="0" applyNumberFormat="1" applyFont="1" applyFill="1" applyBorder="1" applyAlignment="1">
      <x:alignment vertical="center" wrapText="1"/>
    </x:xf>
    <x:xf numFmtId="0" fontId="6" fillId="7" borderId="26" xfId="0" applyNumberFormat="1" applyFont="1" applyFill="1" applyBorder="1" applyAlignment="1">
      <x:alignment vertical="center" wrapText="1"/>
    </x:xf>
    <x:xf numFmtId="0" fontId="6" fillId="7" borderId="26" xfId="0" applyNumberFormat="1" applyFont="1" applyFill="1" applyBorder="1" applyAlignment="1">
      <x:alignment horizontal="center" vertical="center" wrapText="1"/>
    </x:xf>
    <x:xf numFmtId="0" fontId="1" fillId="7" borderId="27" xfId="0" applyNumberFormat="1" applyFont="1" applyFill="1" applyBorder="1" applyAlignment="1">
      <x:alignment vertical="center" wrapText="1"/>
    </x:xf>
    <x:xf numFmtId="0" fontId="6" fillId="7" borderId="27" xfId="0" applyNumberFormat="1" applyFont="1" applyFill="1" applyBorder="1" applyAlignment="1">
      <x:alignment vertical="center" wrapText="1"/>
    </x:xf>
    <x:xf numFmtId="0" fontId="6" fillId="7" borderId="27" xfId="0" applyNumberFormat="1" applyFont="1" applyFill="1" applyBorder="1" applyAlignment="1">
      <x:alignment horizontal="center" vertical="center" wrapText="1"/>
    </x:xf>
    <x:xf numFmtId="0" fontId="1" fillId="8" borderId="26" xfId="0" applyNumberFormat="1" applyFont="1" applyFill="1" applyBorder="1" applyAlignment="1">
      <x:alignment vertical="center" wrapText="1"/>
    </x:xf>
    <x:xf numFmtId="0" fontId="6" fillId="8" borderId="26" xfId="0" applyNumberFormat="1" applyFont="1" applyFill="1" applyBorder="1" applyAlignment="1">
      <x:alignment vertical="center" wrapText="1"/>
    </x:xf>
    <x:xf numFmtId="0" fontId="6" fillId="8" borderId="26" xfId="0" applyNumberFormat="1" applyFont="1" applyFill="1" applyBorder="1" applyAlignment="1">
      <x:alignment horizontal="center" vertical="center" wrapText="1"/>
    </x:xf>
    <x:xf numFmtId="0" fontId="1" fillId="8" borderId="27" xfId="0" applyNumberFormat="1" applyFont="1" applyFill="1" applyBorder="1" applyAlignment="1">
      <x:alignment vertical="center" wrapText="1"/>
    </x:xf>
    <x:xf numFmtId="0" fontId="6" fillId="8" borderId="27" xfId="0" applyNumberFormat="1" applyFont="1" applyFill="1" applyBorder="1" applyAlignment="1">
      <x:alignment vertical="center" wrapText="1"/>
    </x:xf>
    <x:xf numFmtId="0" fontId="6" fillId="8" borderId="27" xfId="0" applyNumberFormat="1" applyFont="1" applyFill="1" applyBorder="1" applyAlignment="1">
      <x:alignment horizontal="center" vertical="center" wrapText="1"/>
    </x:xf>
    <x:xf numFmtId="0" fontId="1" fillId="9" borderId="26" xfId="0" applyNumberFormat="1" applyFont="1" applyFill="1" applyBorder="1" applyAlignment="1">
      <x:alignment vertical="center" wrapText="1"/>
    </x:xf>
    <x:xf numFmtId="0" fontId="6" fillId="9" borderId="26" xfId="0" applyNumberFormat="1" applyFont="1" applyFill="1" applyBorder="1" applyAlignment="1">
      <x:alignment vertical="center" wrapText="1"/>
    </x:xf>
    <x:xf numFmtId="0" fontId="6" fillId="9" borderId="26" xfId="0" applyNumberFormat="1" applyFont="1" applyFill="1" applyBorder="1" applyAlignment="1">
      <x:alignment horizontal="center" vertical="center" wrapText="1"/>
    </x:xf>
    <x:xf numFmtId="0" fontId="1" fillId="9" borderId="27" xfId="0" applyNumberFormat="1" applyFont="1" applyFill="1" applyBorder="1" applyAlignment="1">
      <x:alignment vertical="center" wrapText="1"/>
    </x:xf>
    <x:xf numFmtId="0" fontId="6" fillId="9" borderId="27" xfId="0" applyNumberFormat="1" applyFont="1" applyFill="1" applyBorder="1" applyAlignment="1">
      <x:alignment vertical="center" wrapText="1"/>
    </x:xf>
    <x:xf numFmtId="0" fontId="6" fillId="9" borderId="27" xfId="0" applyNumberFormat="1" applyFont="1" applyFill="1" applyBorder="1" applyAlignment="1">
      <x:alignment horizontal="center" vertical="center" wrapText="1"/>
    </x:xf>
    <x:xf numFmtId="200" fontId="1" fillId="0" borderId="26" xfId="0" applyNumberFormat="1" applyFont="1" applyFill="1" applyBorder="1" applyAlignment="1">
      <x:alignment vertical="center" wrapText="1"/>
    </x:xf>
    <x:xf numFmtId="200" fontId="1" fillId="0" borderId="27" xfId="0" applyNumberFormat="1" applyFont="1" applyFill="1" applyBorder="1" applyAlignment="1">
      <x:alignment vertical="center" wrapText="1"/>
    </x:xf>
    <x:xf numFmtId="0" fontId="1" fillId="0" borderId="26" xfId="0" applyNumberFormat="1" applyFont="1" applyFill="1" applyBorder="1" applyAlignment="1">
      <x:alignment horizontal="center" vertical="center" wrapText="1"/>
    </x:xf>
    <x:xf numFmtId="200" fontId="1" fillId="0" borderId="26" xfId="0" applyNumberFormat="1" applyFont="1" applyFill="1" applyBorder="1" applyAlignment="1">
      <x:alignment horizontal="center" vertical="center" wrapText="1"/>
    </x:xf>
    <x:xf numFmtId="0" fontId="1" fillId="0" borderId="27" xfId="0" applyNumberFormat="1" applyFont="1" applyFill="1" applyBorder="1" applyAlignment="1">
      <x:alignment horizontal="center" vertical="center" wrapText="1"/>
    </x:xf>
    <x:xf numFmtId="200" fontId="1" fillId="0" borderId="27" xfId="0" applyNumberFormat="1" applyFont="1" applyFill="1" applyBorder="1" applyAlignment="1">
      <x:alignment horizontal="center" vertical="center" wrapText="1"/>
    </x:xf>
    <x:xf numFmtId="0" fontId="5" fillId="6" borderId="26" xfId="0" applyNumberFormat="1" applyFont="1" applyFill="1" applyBorder="1" applyAlignment="1">
      <x:alignment horizontal="center" vertical="center" wrapText="1"/>
    </x:xf>
    <x:xf numFmtId="0" fontId="7" fillId="6" borderId="26" xfId="0" applyNumberFormat="1" applyFont="1" applyFill="1" applyBorder="1" applyAlignment="1">
      <x:alignment horizontal="center" vertical="center" wrapText="1"/>
    </x:xf>
    <x:xf numFmtId="0" fontId="5" fillId="6" borderId="27" xfId="0" applyNumberFormat="1" applyFont="1" applyFill="1" applyBorder="1" applyAlignment="1">
      <x:alignment horizontal="center" vertical="center" wrapText="1"/>
    </x:xf>
    <x:xf numFmtId="0" fontId="7" fillId="6" borderId="27" xfId="0" applyNumberFormat="1" applyFont="1" applyFill="1" applyBorder="1" applyAlignment="1">
      <x:alignment horizontal="center" vertical="center" wrapText="1"/>
    </x:xf>
    <x:xf numFmtId="0" fontId="5" fillId="7" borderId="26" xfId="0" applyNumberFormat="1" applyFont="1" applyFill="1" applyBorder="1" applyAlignment="1">
      <x:alignment horizontal="center" vertical="center" wrapText="1"/>
    </x:xf>
    <x:xf numFmtId="0" fontId="7" fillId="7" borderId="26" xfId="0" applyNumberFormat="1" applyFont="1" applyFill="1" applyBorder="1" applyAlignment="1">
      <x:alignment horizontal="center" vertical="center" wrapText="1"/>
    </x:xf>
    <x:xf numFmtId="0" fontId="5" fillId="7" borderId="27" xfId="0" applyNumberFormat="1" applyFont="1" applyFill="1" applyBorder="1" applyAlignment="1">
      <x:alignment horizontal="center" vertical="center" wrapText="1"/>
    </x:xf>
    <x:xf numFmtId="0" fontId="7" fillId="7" borderId="27" xfId="0" applyNumberFormat="1" applyFont="1" applyFill="1" applyBorder="1" applyAlignment="1">
      <x:alignment horizontal="center" vertical="center" wrapText="1"/>
    </x:xf>
    <x:xf numFmtId="0" fontId="5" fillId="8" borderId="26" xfId="0" applyNumberFormat="1" applyFont="1" applyFill="1" applyBorder="1" applyAlignment="1">
      <x:alignment horizontal="center" vertical="center" wrapText="1"/>
    </x:xf>
    <x:xf numFmtId="0" fontId="7" fillId="8" borderId="26" xfId="0" applyNumberFormat="1" applyFont="1" applyFill="1" applyBorder="1" applyAlignment="1">
      <x:alignment horizontal="center" vertical="center" wrapText="1"/>
    </x:xf>
    <x:xf numFmtId="0" fontId="5" fillId="8" borderId="27" xfId="0" applyNumberFormat="1" applyFont="1" applyFill="1" applyBorder="1" applyAlignment="1">
      <x:alignment horizontal="center" vertical="center" wrapText="1"/>
    </x:xf>
    <x:xf numFmtId="0" fontId="7" fillId="8" borderId="27" xfId="0" applyNumberFormat="1" applyFont="1" applyFill="1" applyBorder="1" applyAlignment="1">
      <x:alignment horizontal="center" vertical="center" wrapText="1"/>
    </x:xf>
    <x:xf numFmtId="0" fontId="5" fillId="9" borderId="26" xfId="0" applyNumberFormat="1" applyFont="1" applyFill="1" applyBorder="1" applyAlignment="1">
      <x:alignment horizontal="center" vertical="center" wrapText="1"/>
    </x:xf>
    <x:xf numFmtId="0" fontId="7" fillId="9" borderId="26" xfId="0" applyNumberFormat="1" applyFont="1" applyFill="1" applyBorder="1" applyAlignment="1">
      <x:alignment horizontal="center" vertical="center" wrapText="1"/>
    </x:xf>
    <x:xf numFmtId="0" fontId="5" fillId="9" borderId="27" xfId="0" applyNumberFormat="1" applyFont="1" applyFill="1" applyBorder="1" applyAlignment="1">
      <x:alignment horizontal="center" vertical="center" wrapText="1"/>
    </x:xf>
    <x:xf numFmtId="0" fontId="7" fillId="9" borderId="27" xfId="0" applyNumberFormat="1" applyFont="1" applyFill="1" applyBorder="1" applyAlignment="1">
      <x:alignment horizontal="center" vertical="center" wrapText="1"/>
    </x:xf>
    <x:xf numFmtId="0" fontId="1" fillId="6" borderId="26" xfId="0" applyNumberFormat="1" applyFont="1" applyFill="1" applyBorder="1" applyAlignment="1">
      <x:alignment horizontal="center" vertical="center" wrapText="1"/>
    </x:xf>
    <x:xf numFmtId="0" fontId="1" fillId="6" borderId="27" xfId="0" applyNumberFormat="1" applyFont="1" applyFill="1" applyBorder="1" applyAlignment="1">
      <x:alignment horizontal="center" vertical="center" wrapText="1"/>
    </x:xf>
    <x:xf numFmtId="0" fontId="1" fillId="7" borderId="26" xfId="0" applyNumberFormat="1" applyFont="1" applyFill="1" applyBorder="1" applyAlignment="1">
      <x:alignment horizontal="center" vertical="center" wrapText="1"/>
    </x:xf>
    <x:xf numFmtId="0" fontId="1" fillId="7" borderId="27" xfId="0" applyNumberFormat="1" applyFont="1" applyFill="1" applyBorder="1" applyAlignment="1">
      <x:alignment horizontal="center" vertical="center" wrapText="1"/>
    </x:xf>
    <x:xf numFmtId="0" fontId="1" fillId="8" borderId="26" xfId="0" applyNumberFormat="1" applyFont="1" applyFill="1" applyBorder="1" applyAlignment="1">
      <x:alignment horizontal="center" vertical="center" wrapText="1"/>
    </x:xf>
    <x:xf numFmtId="0" fontId="1" fillId="8" borderId="27" xfId="0" applyNumberFormat="1" applyFont="1" applyFill="1" applyBorder="1" applyAlignment="1">
      <x:alignment horizontal="center" vertical="center" wrapText="1"/>
    </x:xf>
    <x:xf numFmtId="0" fontId="1" fillId="9" borderId="26" xfId="0" applyNumberFormat="1" applyFont="1" applyFill="1" applyBorder="1" applyAlignment="1">
      <x:alignment horizontal="center" vertical="center" wrapText="1"/>
    </x:xf>
    <x:xf numFmtId="0" fontId="1" fillId="9" borderId="27" xfId="0" applyNumberFormat="1" applyFont="1" applyFill="1" applyBorder="1" applyAlignment="1">
      <x:alignment horizontal="center" vertical="center" wrapText="1"/>
    </x:xf>
    <x:xf numFmtId="200" fontId="1" fillId="10" borderId="26" xfId="0" applyNumberFormat="1" applyFont="1" applyFill="1" applyBorder="1" applyAlignment="1">
      <x:alignment horizontal="center" vertical="center" wrapText="1"/>
    </x:xf>
    <x:xf numFmtId="200" fontId="5" fillId="10" borderId="26" xfId="0" applyNumberFormat="1" applyFont="1" applyFill="1" applyBorder="1" applyAlignment="1">
      <x:alignment horizontal="center" vertical="center" wrapText="1"/>
    </x:xf>
    <x:xf numFmtId="200" fontId="1" fillId="10" borderId="27" xfId="0" applyNumberFormat="1" applyFont="1" applyFill="1" applyBorder="1" applyAlignment="1">
      <x:alignment horizontal="center" vertical="center" wrapText="1"/>
    </x:xf>
    <x:xf numFmtId="200" fontId="5" fillId="10" borderId="27" xfId="0" applyNumberFormat="1" applyFont="1" applyFill="1" applyBorder="1" applyAlignment="1">
      <x:alignment horizontal="center" vertical="center" wrapText="1"/>
    </x:xf>
    <x:xf numFmtId="200" fontId="1" fillId="11" borderId="26" xfId="0" applyNumberFormat="1" applyFont="1" applyFill="1" applyBorder="1" applyAlignment="1">
      <x:alignment horizontal="center" vertical="center" wrapText="1"/>
    </x:xf>
    <x:xf numFmtId="200" fontId="5" fillId="11" borderId="26" xfId="0" applyNumberFormat="1" applyFont="1" applyFill="1" applyBorder="1" applyAlignment="1">
      <x:alignment horizontal="center" vertical="center" wrapText="1"/>
    </x:xf>
    <x:xf numFmtId="200" fontId="1" fillId="11" borderId="27" xfId="0" applyNumberFormat="1" applyFont="1" applyFill="1" applyBorder="1" applyAlignment="1">
      <x:alignment horizontal="center" vertical="center" wrapText="1"/>
    </x:xf>
    <x:xf numFmtId="200" fontId="5" fillId="11" borderId="27" xfId="0" applyNumberFormat="1" applyFont="1" applyFill="1" applyBorder="1" applyAlignment="1">
      <x:alignment horizontal="center" vertical="center" wrapText="1"/>
    </x:xf>
    <x:xf numFmtId="200" fontId="1" fillId="12" borderId="26" xfId="0" applyNumberFormat="1" applyFont="1" applyFill="1" applyBorder="1" applyAlignment="1">
      <x:alignment horizontal="center" vertical="center" wrapText="1"/>
    </x:xf>
    <x:xf numFmtId="200" fontId="5" fillId="12" borderId="26" xfId="0" applyNumberFormat="1" applyFont="1" applyFill="1" applyBorder="1" applyAlignment="1">
      <x:alignment horizontal="center" vertical="center" wrapText="1"/>
    </x:xf>
    <x:xf numFmtId="200" fontId="1" fillId="12" borderId="27" xfId="0" applyNumberFormat="1" applyFont="1" applyFill="1" applyBorder="1" applyAlignment="1">
      <x:alignment horizontal="center" vertical="center" wrapText="1"/>
    </x:xf>
    <x:xf numFmtId="200" fontId="5" fillId="12" borderId="27" xfId="0" applyNumberFormat="1" applyFont="1" applyFill="1" applyBorder="1" applyAlignment="1">
      <x:alignment horizontal="center" vertical="center" wrapText="1"/>
    </x:xf>
    <x:xf numFmtId="200" fontId="1" fillId="13" borderId="26" xfId="0" applyNumberFormat="1" applyFont="1" applyFill="1" applyBorder="1" applyAlignment="1">
      <x:alignment horizontal="center" vertical="center" wrapText="1"/>
    </x:xf>
    <x:xf numFmtId="200" fontId="5" fillId="13" borderId="26" xfId="0" applyNumberFormat="1" applyFont="1" applyFill="1" applyBorder="1" applyAlignment="1">
      <x:alignment horizontal="center" vertical="center" wrapText="1"/>
    </x:xf>
    <x:xf numFmtId="200" fontId="1" fillId="13" borderId="27" xfId="0" applyNumberFormat="1" applyFont="1" applyFill="1" applyBorder="1" applyAlignment="1">
      <x:alignment horizontal="center" vertical="center" wrapText="1"/>
    </x:xf>
    <x:xf numFmtId="200" fontId="5" fillId="13" borderId="27" xfId="0" applyNumberFormat="1" applyFont="1" applyFill="1" applyBorder="1" applyAlignment="1">
      <x:alignment horizontal="center" vertical="center" wrapText="1"/>
    </x:xf>
    <x:xf numFmtId="200" fontId="1" fillId="14" borderId="26" xfId="0" applyNumberFormat="1" applyFont="1" applyFill="1" applyBorder="1" applyAlignment="1">
      <x:alignment horizontal="center" vertical="center" wrapText="1"/>
    </x:xf>
    <x:xf numFmtId="200" fontId="5" fillId="14" borderId="26" xfId="0" applyNumberFormat="1" applyFont="1" applyFill="1" applyBorder="1" applyAlignment="1">
      <x:alignment horizontal="center" vertical="center" wrapText="1"/>
    </x:xf>
    <x:xf numFmtId="200" fontId="1" fillId="14" borderId="27" xfId="0" applyNumberFormat="1" applyFont="1" applyFill="1" applyBorder="1" applyAlignment="1">
      <x:alignment horizontal="center" vertical="center" wrapText="1"/>
    </x:xf>
    <x:xf numFmtId="200" fontId="5" fillId="14" borderId="27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8" fillId="11" borderId="0" xfId="0" applyNumberFormat="1" applyFont="1" applyFill="1" applyBorder="1" applyAlignment="1">
      <x:alignment vertical="center" wrapText="1"/>
    </x:xf>
    <x:xf numFmtId="0" fontId="8" fillId="11" borderId="26" xfId="0" applyNumberFormat="1" applyFont="1" applyFill="1" applyBorder="1" applyAlignment="1">
      <x:alignment vertical="center" wrapText="1"/>
    </x:xf>
    <x:xf numFmtId="0" fontId="8" fillId="11" borderId="26" xfId="0" applyNumberFormat="1" applyFont="1" applyFill="1" applyBorder="1" applyAlignment="1">
      <x:alignment horizontal="center" vertical="center" wrapText="1"/>
    </x:xf>
    <x:xf numFmtId="0" fontId="1" fillId="11" borderId="1" xfId="0" applyNumberFormat="1" applyFont="1" applyFill="1" applyBorder="1" applyAlignment="1">
      <x:alignment vertical="center" wrapText="1"/>
    </x:xf>
    <x:xf numFmtId="0" fontId="8" fillId="11" borderId="1" xfId="0" applyNumberFormat="1" applyFont="1" applyFill="1" applyBorder="1" applyAlignment="1">
      <x:alignment vertical="center" wrapText="1"/>
    </x:xf>
    <x:xf numFmtId="0" fontId="8" fillId="11" borderId="27" xfId="0" applyNumberFormat="1" applyFont="1" applyFill="1" applyBorder="1" applyAlignment="1">
      <x:alignment vertical="center" wrapText="1"/>
    </x:xf>
    <x:xf numFmtId="0" fontId="8" fillId="11" borderId="27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0" fontId="8" fillId="14" borderId="0" xfId="0" applyNumberFormat="1" applyFont="1" applyFill="1" applyBorder="1" applyAlignment="1">
      <x:alignment vertical="center" wrapText="1"/>
    </x:xf>
    <x:xf numFmtId="0" fontId="8" fillId="14" borderId="26" xfId="0" applyNumberFormat="1" applyFont="1" applyFill="1" applyBorder="1" applyAlignment="1">
      <x:alignment vertical="center" wrapText="1"/>
    </x:xf>
    <x:xf numFmtId="0" fontId="8" fillId="14" borderId="26" xfId="0" applyNumberFormat="1" applyFont="1" applyFill="1" applyBorder="1" applyAlignment="1">
      <x:alignment horizontal="center" vertical="center" wrapText="1"/>
    </x:xf>
    <x:xf numFmtId="0" fontId="1" fillId="14" borderId="1" xfId="0" applyNumberFormat="1" applyFont="1" applyFill="1" applyBorder="1" applyAlignment="1">
      <x:alignment vertical="center" wrapText="1"/>
    </x:xf>
    <x:xf numFmtId="0" fontId="8" fillId="14" borderId="1" xfId="0" applyNumberFormat="1" applyFont="1" applyFill="1" applyBorder="1" applyAlignment="1">
      <x:alignment vertical="center" wrapText="1"/>
    </x:xf>
    <x:xf numFmtId="0" fontId="8" fillId="14" borderId="27" xfId="0" applyNumberFormat="1" applyFont="1" applyFill="1" applyBorder="1" applyAlignment="1">
      <x:alignment vertical="center" wrapText="1"/>
    </x:xf>
    <x:xf numFmtId="0" fontId="8" fillId="14" borderId="27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8" fillId="10" borderId="26" xfId="0" applyNumberFormat="1" applyFont="1" applyFill="1" applyBorder="1" applyAlignment="1">
      <x:alignment vertical="center" wrapText="1"/>
    </x:xf>
    <x:xf numFmtId="0" fontId="8" fillId="10" borderId="26" xfId="0" applyNumberFormat="1" applyFont="1" applyFill="1" applyBorder="1" applyAlignment="1">
      <x:alignment horizontal="center" vertical="center" wrapText="1"/>
    </x:xf>
    <x:xf numFmtId="0" fontId="1" fillId="10" borderId="1" xfId="0" applyNumberFormat="1" applyFont="1" applyFill="1" applyBorder="1" applyAlignment="1">
      <x:alignment vertical="center" wrapText="1"/>
    </x:xf>
    <x:xf numFmtId="0" fontId="8" fillId="10" borderId="1" xfId="0" applyNumberFormat="1" applyFont="1" applyFill="1" applyBorder="1" applyAlignment="1">
      <x:alignment vertical="center" wrapText="1"/>
    </x:xf>
    <x:xf numFmtId="0" fontId="8" fillId="10" borderId="27" xfId="0" applyNumberFormat="1" applyFont="1" applyFill="1" applyBorder="1" applyAlignment="1">
      <x:alignment vertical="center" wrapText="1"/>
    </x:xf>
    <x:xf numFmtId="0" fontId="8" fillId="10" borderId="27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8" fillId="12" borderId="26" xfId="0" applyNumberFormat="1" applyFont="1" applyFill="1" applyBorder="1" applyAlignment="1">
      <x:alignment vertical="center" wrapText="1"/>
    </x:xf>
    <x:xf numFmtId="0" fontId="8" fillId="12" borderId="26" xfId="0" applyNumberFormat="1" applyFont="1" applyFill="1" applyBorder="1" applyAlignment="1">
      <x:alignment horizontal="center" vertical="center" wrapText="1"/>
    </x:xf>
    <x:xf numFmtId="0" fontId="1" fillId="12" borderId="1" xfId="0" applyNumberFormat="1" applyFont="1" applyFill="1" applyBorder="1" applyAlignment="1">
      <x:alignment vertical="center" wrapText="1"/>
    </x:xf>
    <x:xf numFmtId="0" fontId="8" fillId="12" borderId="1" xfId="0" applyNumberFormat="1" applyFont="1" applyFill="1" applyBorder="1" applyAlignment="1">
      <x:alignment vertical="center" wrapText="1"/>
    </x:xf>
    <x:xf numFmtId="0" fontId="8" fillId="12" borderId="27" xfId="0" applyNumberFormat="1" applyFont="1" applyFill="1" applyBorder="1" applyAlignment="1">
      <x:alignment vertical="center" wrapText="1"/>
    </x:xf>
    <x:xf numFmtId="0" fontId="8" fillId="12" borderId="27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vertical="center" wrapText="1"/>
    </x:xf>
    <x:xf numFmtId="0" fontId="8" fillId="13" borderId="26" xfId="0" applyNumberFormat="1" applyFont="1" applyFill="1" applyBorder="1" applyAlignment="1">
      <x:alignment vertical="center" wrapText="1"/>
    </x:xf>
    <x:xf numFmtId="0" fontId="8" fillId="13" borderId="26" xfId="0" applyNumberFormat="1" applyFont="1" applyFill="1" applyBorder="1" applyAlignment="1">
      <x:alignment horizontal="center" vertical="center" wrapText="1"/>
    </x:xf>
    <x:xf numFmtId="0" fontId="1" fillId="13" borderId="1" xfId="0" applyNumberFormat="1" applyFont="1" applyFill="1" applyBorder="1" applyAlignment="1">
      <x:alignment vertical="center" wrapText="1"/>
    </x:xf>
    <x:xf numFmtId="0" fontId="8" fillId="13" borderId="1" xfId="0" applyNumberFormat="1" applyFont="1" applyFill="1" applyBorder="1" applyAlignment="1">
      <x:alignment vertical="center" wrapText="1"/>
    </x:xf>
    <x:xf numFmtId="0" fontId="8" fillId="13" borderId="27" xfId="0" applyNumberFormat="1" applyFont="1" applyFill="1" applyBorder="1" applyAlignment="1">
      <x:alignment vertical="center" wrapText="1"/>
    </x:xf>
    <x:xf numFmtId="0" fontId="8" fillId="13" borderId="27" xfId="0" applyNumberFormat="1" applyFont="1" applyFill="1" applyBorder="1" applyAlignment="1">
      <x:alignment horizontal="center" vertical="center" wrapText="1"/>
    </x:xf>
    <x:xf numFmtId="0" fontId="1" fillId="15" borderId="26" xfId="0" applyNumberFormat="1" applyFont="1" applyFill="1" applyBorder="1" applyAlignment="1">
      <x:alignment vertical="center" wrapText="1"/>
    </x:xf>
    <x:xf numFmtId="0" fontId="1" fillId="15" borderId="27" xfId="0" applyNumberFormat="1" applyFont="1" applyFill="1" applyBorder="1" applyAlignment="1">
      <x:alignment vertical="center" wrapText="1"/>
    </x:xf>
    <x:xf numFmtId="0" fontId="9" fillId="15" borderId="26" xfId="0" applyNumberFormat="1" applyFont="1" applyFill="1" applyBorder="1" applyAlignment="1">
      <x:alignment vertical="center" wrapText="1"/>
    </x:xf>
    <x:xf numFmtId="0" fontId="9" fillId="15" borderId="27" xfId="0" applyNumberFormat="1" applyFont="1" applyFill="1" applyBorder="1" applyAlignment="1">
      <x:alignment vertical="center" wrapText="1"/>
    </x:xf>
    <x:xf numFmtId="0" fontId="1" fillId="5" borderId="26" xfId="0" applyNumberFormat="1" applyFont="1" applyFill="1" applyBorder="1" applyAlignment="1">
      <x:alignment vertical="center" wrapText="1"/>
    </x:xf>
    <x:xf numFmtId="0" fontId="9" fillId="5" borderId="26" xfId="0" applyNumberFormat="1" applyFont="1" applyFill="1" applyBorder="1" applyAlignment="1">
      <x:alignment vertical="center" wrapText="1"/>
    </x:xf>
    <x:xf numFmtId="0" fontId="9" fillId="5" borderId="26" xfId="0" applyNumberFormat="1" applyFont="1" applyFill="1" applyBorder="1" applyAlignment="1">
      <x:alignment horizontal="center" vertical="center" wrapText="1"/>
    </x:xf>
    <x:xf numFmtId="0" fontId="1" fillId="5" borderId="27" xfId="0" applyNumberFormat="1" applyFont="1" applyFill="1" applyBorder="1" applyAlignment="1">
      <x:alignment vertical="center" wrapText="1"/>
    </x:xf>
    <x:xf numFmtId="0" fontId="9" fillId="5" borderId="27" xfId="0" applyNumberFormat="1" applyFont="1" applyFill="1" applyBorder="1" applyAlignment="1">
      <x:alignment vertical="center" wrapText="1"/>
    </x:xf>
    <x:xf numFmtId="0" fontId="9" fillId="5" borderId="27" xfId="0" applyNumberFormat="1" applyFont="1" applyFill="1" applyBorder="1" applyAlignment="1">
      <x:alignment horizontal="center" vertical="center" wrapText="1"/>
    </x:xf>
    <x:xf numFmtId="0" fontId="1" fillId="16" borderId="26" xfId="0" applyNumberFormat="1" applyFont="1" applyFill="1" applyBorder="1" applyAlignment="1">
      <x:alignment vertical="center" wrapText="1"/>
    </x:xf>
    <x:xf numFmtId="0" fontId="5" fillId="16" borderId="26" xfId="0" applyNumberFormat="1" applyFont="1" applyFill="1" applyBorder="1" applyAlignment="1">
      <x:alignment vertical="center" wrapText="1"/>
    </x:xf>
    <x:xf numFmtId="0" fontId="5" fillId="16" borderId="26" xfId="0" applyNumberFormat="1" applyFont="1" applyFill="1" applyBorder="1" applyAlignment="1">
      <x:alignment horizontal="center" vertical="center" wrapText="1"/>
    </x:xf>
    <x:xf numFmtId="0" fontId="1" fillId="16" borderId="27" xfId="0" applyNumberFormat="1" applyFont="1" applyFill="1" applyBorder="1" applyAlignment="1">
      <x:alignment vertical="center" wrapText="1"/>
    </x:xf>
    <x:xf numFmtId="0" fontId="5" fillId="16" borderId="27" xfId="0" applyNumberFormat="1" applyFont="1" applyFill="1" applyBorder="1" applyAlignment="1">
      <x:alignment vertical="center" wrapText="1"/>
    </x:xf>
    <x:xf numFmtId="0" fontId="5" fillId="16" borderId="27" xfId="0" applyNumberFormat="1" applyFont="1" applyFill="1" applyBorder="1" applyAlignment="1">
      <x:alignment horizontal="center" vertical="center" wrapText="1"/>
    </x:xf>
    <x:xf numFmtId="0" fontId="1" fillId="17" borderId="26" xfId="0" applyNumberFormat="1" applyFont="1" applyFill="1" applyBorder="1" applyAlignment="1">
      <x:alignment vertical="center" wrapText="1"/>
    </x:xf>
    <x:xf numFmtId="0" fontId="10" fillId="17" borderId="26" xfId="0" applyNumberFormat="1" applyFont="1" applyFill="1" applyBorder="1" applyAlignment="1">
      <x:alignment vertical="center" wrapText="1"/>
    </x:xf>
    <x:xf numFmtId="0" fontId="10" fillId="17" borderId="26" xfId="0" applyNumberFormat="1" applyFont="1" applyFill="1" applyBorder="1" applyAlignment="1">
      <x:alignment horizontal="center" vertical="center" wrapText="1"/>
    </x:xf>
    <x:xf numFmtId="0" fontId="1" fillId="17" borderId="27" xfId="0" applyNumberFormat="1" applyFont="1" applyFill="1" applyBorder="1" applyAlignment="1">
      <x:alignment vertical="center" wrapText="1"/>
    </x:xf>
    <x:xf numFmtId="0" fontId="10" fillId="17" borderId="27" xfId="0" applyNumberFormat="1" applyFont="1" applyFill="1" applyBorder="1" applyAlignment="1">
      <x:alignment vertical="center" wrapText="1"/>
    </x:xf>
    <x:xf numFmtId="0" fontId="10" fillId="17" borderId="27" xfId="0" applyNumberFormat="1" applyFont="1" applyFill="1" applyBorder="1" applyAlignment="1">
      <x:alignment horizontal="center" vertical="center" wrapText="1"/>
    </x:xf>
    <x:xf numFmtId="200" fontId="5" fillId="16" borderId="26" xfId="0" applyNumberFormat="1" applyFont="1" applyFill="1" applyBorder="1" applyAlignment="1">
      <x:alignment horizontal="center" vertical="center" wrapText="1"/>
    </x:xf>
    <x:xf numFmtId="200" fontId="5" fillId="16" borderId="27" xfId="0" applyNumberFormat="1" applyFont="1" applyFill="1" applyBorder="1" applyAlignment="1">
      <x:alignment horizontal="center" vertical="center" wrapText="1"/>
    </x:xf>
    <x:xf numFmtId="201" fontId="5" fillId="16" borderId="26" xfId="0" applyNumberFormat="1" applyFont="1" applyFill="1" applyBorder="1" applyAlignment="1">
      <x:alignment horizontal="center" vertical="center" wrapText="1"/>
    </x:xf>
    <x:xf numFmtId="201" fontId="10" fillId="17" borderId="26" xfId="0" applyNumberFormat="1" applyFont="1" applyFill="1" applyBorder="1" applyAlignment="1">
      <x:alignment horizontal="center" vertical="center" wrapText="1"/>
    </x:xf>
    <x:xf numFmtId="201" fontId="5" fillId="16" borderId="27" xfId="0" applyNumberFormat="1" applyFont="1" applyFill="1" applyBorder="1" applyAlignment="1">
      <x:alignment horizontal="center" vertical="center" wrapText="1"/>
    </x:xf>
    <x:xf numFmtId="201" fontId="10" fillId="17" borderId="27" xfId="0" applyNumberFormat="1" applyFont="1" applyFill="1" applyBorder="1" applyAlignment="1">
      <x:alignment horizontal="center" vertical="center" wrapText="1"/>
    </x:xf>
    <x:xf numFmtId="0" fontId="7" fillId="6" borderId="26" xfId="0" applyNumberFormat="1" applyFont="1" applyFill="1" applyBorder="1" applyAlignment="1">
      <x:alignment vertical="center" wrapText="1"/>
    </x:xf>
    <x:xf numFmtId="0" fontId="7" fillId="6" borderId="27" xfId="0" applyNumberFormat="1" applyFont="1" applyFill="1" applyBorder="1" applyAlignment="1">
      <x:alignment vertical="center" wrapText="1"/>
    </x:xf>
    <x:xf numFmtId="0" fontId="1" fillId="10" borderId="26" xfId="0" applyNumberFormat="1" applyFont="1" applyFill="1" applyBorder="1" applyAlignment="1">
      <x:alignment vertical="center" wrapText="1"/>
    </x:xf>
    <x:xf numFmtId="0" fontId="5" fillId="10" borderId="26" xfId="0" applyNumberFormat="1" applyFont="1" applyFill="1" applyBorder="1" applyAlignment="1">
      <x:alignment vertical="center" wrapText="1"/>
    </x:xf>
    <x:xf numFmtId="200" fontId="5" fillId="10" borderId="26" xfId="0" applyNumberFormat="1" applyFont="1" applyFill="1" applyBorder="1" applyAlignment="1">
      <x:alignment vertical="center" wrapText="1"/>
    </x:xf>
    <x:xf numFmtId="0" fontId="1" fillId="10" borderId="27" xfId="0" applyNumberFormat="1" applyFont="1" applyFill="1" applyBorder="1" applyAlignment="1">
      <x:alignment vertical="center" wrapText="1"/>
    </x:xf>
    <x:xf numFmtId="0" fontId="5" fillId="10" borderId="27" xfId="0" applyNumberFormat="1" applyFont="1" applyFill="1" applyBorder="1" applyAlignment="1">
      <x:alignment vertical="center" wrapText="1"/>
    </x:xf>
    <x:xf numFmtId="200" fontId="5" fillId="10" borderId="27" xfId="0" applyNumberFormat="1" applyFont="1" applyFill="1" applyBorder="1" applyAlignment="1">
      <x:alignment vertical="center" wrapText="1"/>
    </x:xf>
    <x:xf numFmtId="0" fontId="7" fillId="7" borderId="26" xfId="0" applyNumberFormat="1" applyFont="1" applyFill="1" applyBorder="1" applyAlignment="1">
      <x:alignment vertical="center" wrapText="1"/>
    </x:xf>
    <x:xf numFmtId="0" fontId="7" fillId="7" borderId="27" xfId="0" applyNumberFormat="1" applyFont="1" applyFill="1" applyBorder="1" applyAlignment="1">
      <x:alignment vertical="center" wrapText="1"/>
    </x:xf>
    <x:xf numFmtId="0" fontId="1" fillId="11" borderId="26" xfId="0" applyNumberFormat="1" applyFont="1" applyFill="1" applyBorder="1" applyAlignment="1">
      <x:alignment vertical="center" wrapText="1"/>
    </x:xf>
    <x:xf numFmtId="0" fontId="5" fillId="11" borderId="26" xfId="0" applyNumberFormat="1" applyFont="1" applyFill="1" applyBorder="1" applyAlignment="1">
      <x:alignment vertical="center" wrapText="1"/>
    </x:xf>
    <x:xf numFmtId="200" fontId="5" fillId="11" borderId="26" xfId="0" applyNumberFormat="1" applyFont="1" applyFill="1" applyBorder="1" applyAlignment="1">
      <x:alignment vertical="center" wrapText="1"/>
    </x:xf>
    <x:xf numFmtId="0" fontId="1" fillId="11" borderId="27" xfId="0" applyNumberFormat="1" applyFont="1" applyFill="1" applyBorder="1" applyAlignment="1">
      <x:alignment vertical="center" wrapText="1"/>
    </x:xf>
    <x:xf numFmtId="0" fontId="5" fillId="11" borderId="27" xfId="0" applyNumberFormat="1" applyFont="1" applyFill="1" applyBorder="1" applyAlignment="1">
      <x:alignment vertical="center" wrapText="1"/>
    </x:xf>
    <x:xf numFmtId="200" fontId="5" fillId="11" borderId="27" xfId="0" applyNumberFormat="1" applyFont="1" applyFill="1" applyBorder="1" applyAlignment="1">
      <x:alignment vertical="center" wrapText="1"/>
    </x:xf>
    <x:xf numFmtId="0" fontId="7" fillId="8" borderId="26" xfId="0" applyNumberFormat="1" applyFont="1" applyFill="1" applyBorder="1" applyAlignment="1">
      <x:alignment vertical="center" wrapText="1"/>
    </x:xf>
    <x:xf numFmtId="0" fontId="7" fillId="8" borderId="27" xfId="0" applyNumberFormat="1" applyFont="1" applyFill="1" applyBorder="1" applyAlignment="1">
      <x:alignment vertical="center" wrapText="1"/>
    </x:xf>
    <x:xf numFmtId="0" fontId="1" fillId="12" borderId="26" xfId="0" applyNumberFormat="1" applyFont="1" applyFill="1" applyBorder="1" applyAlignment="1">
      <x:alignment vertical="center" wrapText="1"/>
    </x:xf>
    <x:xf numFmtId="0" fontId="5" fillId="12" borderId="26" xfId="0" applyNumberFormat="1" applyFont="1" applyFill="1" applyBorder="1" applyAlignment="1">
      <x:alignment vertical="center" wrapText="1"/>
    </x:xf>
    <x:xf numFmtId="200" fontId="5" fillId="12" borderId="26" xfId="0" applyNumberFormat="1" applyFont="1" applyFill="1" applyBorder="1" applyAlignment="1">
      <x:alignment vertical="center" wrapText="1"/>
    </x:xf>
    <x:xf numFmtId="0" fontId="1" fillId="12" borderId="27" xfId="0" applyNumberFormat="1" applyFont="1" applyFill="1" applyBorder="1" applyAlignment="1">
      <x:alignment vertical="center" wrapText="1"/>
    </x:xf>
    <x:xf numFmtId="0" fontId="5" fillId="12" borderId="27" xfId="0" applyNumberFormat="1" applyFont="1" applyFill="1" applyBorder="1" applyAlignment="1">
      <x:alignment vertical="center" wrapText="1"/>
    </x:xf>
    <x:xf numFmtId="200" fontId="5" fillId="12" borderId="27" xfId="0" applyNumberFormat="1" applyFont="1" applyFill="1" applyBorder="1" applyAlignment="1">
      <x:alignment vertical="center" wrapText="1"/>
    </x:xf>
    <x:xf numFmtId="0" fontId="7" fillId="9" borderId="26" xfId="0" applyNumberFormat="1" applyFont="1" applyFill="1" applyBorder="1" applyAlignment="1">
      <x:alignment vertical="center" wrapText="1"/>
    </x:xf>
    <x:xf numFmtId="0" fontId="7" fillId="9" borderId="27" xfId="0" applyNumberFormat="1" applyFont="1" applyFill="1" applyBorder="1" applyAlignment="1">
      <x:alignment vertical="center" wrapText="1"/>
    </x:xf>
    <x:xf numFmtId="0" fontId="1" fillId="13" borderId="26" xfId="0" applyNumberFormat="1" applyFont="1" applyFill="1" applyBorder="1" applyAlignment="1">
      <x:alignment vertical="center" wrapText="1"/>
    </x:xf>
    <x:xf numFmtId="0" fontId="5" fillId="13" borderId="26" xfId="0" applyNumberFormat="1" applyFont="1" applyFill="1" applyBorder="1" applyAlignment="1">
      <x:alignment vertical="center" wrapText="1"/>
    </x:xf>
    <x:xf numFmtId="200" fontId="5" fillId="13" borderId="26" xfId="0" applyNumberFormat="1" applyFont="1" applyFill="1" applyBorder="1" applyAlignment="1">
      <x:alignment vertical="center" wrapText="1"/>
    </x:xf>
    <x:xf numFmtId="0" fontId="1" fillId="13" borderId="27" xfId="0" applyNumberFormat="1" applyFont="1" applyFill="1" applyBorder="1" applyAlignment="1">
      <x:alignment vertical="center" wrapText="1"/>
    </x:xf>
    <x:xf numFmtId="0" fontId="5" fillId="13" borderId="27" xfId="0" applyNumberFormat="1" applyFont="1" applyFill="1" applyBorder="1" applyAlignment="1">
      <x:alignment vertical="center" wrapText="1"/>
    </x:xf>
    <x:xf numFmtId="200" fontId="5" fillId="13" borderId="27" xfId="0" applyNumberFormat="1" applyFont="1" applyFill="1" applyBorder="1" applyAlignment="1">
      <x:alignment vertical="center" wrapText="1"/>
    </x:xf>
    <x:xf numFmtId="0" fontId="1" fillId="14" borderId="26" xfId="0" applyNumberFormat="1" applyFont="1" applyFill="1" applyBorder="1" applyAlignment="1">
      <x:alignment vertical="center" wrapText="1"/>
    </x:xf>
    <x:xf numFmtId="0" fontId="5" fillId="14" borderId="26" xfId="0" applyNumberFormat="1" applyFont="1" applyFill="1" applyBorder="1" applyAlignment="1">
      <x:alignment vertical="center" wrapText="1"/>
    </x:xf>
    <x:xf numFmtId="200" fontId="5" fillId="14" borderId="26" xfId="0" applyNumberFormat="1" applyFont="1" applyFill="1" applyBorder="1" applyAlignment="1">
      <x:alignment vertical="center" wrapText="1"/>
    </x:xf>
    <x:xf numFmtId="0" fontId="1" fillId="14" borderId="27" xfId="0" applyNumberFormat="1" applyFont="1" applyFill="1" applyBorder="1" applyAlignment="1">
      <x:alignment vertical="center" wrapText="1"/>
    </x:xf>
    <x:xf numFmtId="0" fontId="5" fillId="14" borderId="27" xfId="0" applyNumberFormat="1" applyFont="1" applyFill="1" applyBorder="1" applyAlignment="1">
      <x:alignment vertical="center" wrapText="1"/>
    </x:xf>
    <x:xf numFmtId="200" fontId="5" fillId="14" borderId="27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5" fillId="18" borderId="0" xfId="0" applyNumberFormat="1" applyFont="1" applyFill="1" applyBorder="1" applyAlignment="1">
      <x:alignment vertical="center" wrapText="1"/>
    </x:xf>
    <x:xf numFmtId="0" fontId="5" fillId="18" borderId="26" xfId="0" applyNumberFormat="1" applyFont="1" applyFill="1" applyBorder="1" applyAlignment="1">
      <x:alignment vertical="center" wrapText="1"/>
    </x:xf>
    <x:xf numFmtId="0" fontId="5" fillId="18" borderId="26" xfId="0" applyNumberFormat="1" applyFont="1" applyFill="1" applyBorder="1" applyAlignment="1">
      <x:alignment horizontal="center" vertical="center" wrapText="1"/>
    </x:xf>
    <x:xf numFmtId="0" fontId="1" fillId="18" borderId="1" xfId="0" applyNumberFormat="1" applyFont="1" applyFill="1" applyBorder="1" applyAlignment="1">
      <x:alignment vertical="center" wrapText="1"/>
    </x:xf>
    <x:xf numFmtId="0" fontId="5" fillId="18" borderId="1" xfId="0" applyNumberFormat="1" applyFont="1" applyFill="1" applyBorder="1" applyAlignment="1">
      <x:alignment vertical="center" wrapText="1"/>
    </x:xf>
    <x:xf numFmtId="0" fontId="5" fillId="18" borderId="27" xfId="0" applyNumberFormat="1" applyFont="1" applyFill="1" applyBorder="1" applyAlignment="1">
      <x:alignment vertical="center" wrapText="1"/>
    </x:xf>
    <x:xf numFmtId="0" fontId="5" fillId="18" borderId="27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5" fillId="19" borderId="0" xfId="0" applyNumberFormat="1" applyFont="1" applyFill="1" applyBorder="1" applyAlignment="1">
      <x:alignment vertical="center" wrapText="1"/>
    </x:xf>
    <x:xf numFmtId="0" fontId="5" fillId="19" borderId="26" xfId="0" applyNumberFormat="1" applyFont="1" applyFill="1" applyBorder="1" applyAlignment="1">
      <x:alignment vertical="center" wrapText="1"/>
    </x:xf>
    <x:xf numFmtId="0" fontId="5" fillId="19" borderId="26" xfId="0" applyNumberFormat="1" applyFont="1" applyFill="1" applyBorder="1" applyAlignment="1">
      <x:alignment horizontal="center" vertical="center" wrapText="1"/>
    </x:xf>
    <x:xf numFmtId="0" fontId="1" fillId="19" borderId="1" xfId="0" applyNumberFormat="1" applyFont="1" applyFill="1" applyBorder="1" applyAlignment="1">
      <x:alignment vertical="center" wrapText="1"/>
    </x:xf>
    <x:xf numFmtId="0" fontId="5" fillId="19" borderId="1" xfId="0" applyNumberFormat="1" applyFont="1" applyFill="1" applyBorder="1" applyAlignment="1">
      <x:alignment vertical="center" wrapText="1"/>
    </x:xf>
    <x:xf numFmtId="0" fontId="5" fillId="19" borderId="27" xfId="0" applyNumberFormat="1" applyFont="1" applyFill="1" applyBorder="1" applyAlignment="1">
      <x:alignment vertical="center" wrapText="1"/>
    </x:xf>
    <x:xf numFmtId="0" fontId="5" fillId="19" borderId="27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vertical="center" wrapText="1"/>
    </x:xf>
    <x:xf numFmtId="0" fontId="5" fillId="15" borderId="26" xfId="0" applyNumberFormat="1" applyFont="1" applyFill="1" applyBorder="1" applyAlignment="1">
      <x:alignment vertical="center" wrapText="1"/>
    </x:xf>
    <x:xf numFmtId="0" fontId="5" fillId="15" borderId="26" xfId="0" applyNumberFormat="1" applyFont="1" applyFill="1" applyBorder="1" applyAlignment="1">
      <x:alignment horizontal="center" vertical="center" wrapText="1"/>
    </x:xf>
    <x:xf numFmtId="0" fontId="1" fillId="15" borderId="1" xfId="0" applyNumberFormat="1" applyFont="1" applyFill="1" applyBorder="1" applyAlignment="1">
      <x:alignment vertical="center" wrapText="1"/>
    </x:xf>
    <x:xf numFmtId="0" fontId="5" fillId="15" borderId="1" xfId="0" applyNumberFormat="1" applyFont="1" applyFill="1" applyBorder="1" applyAlignment="1">
      <x:alignment vertical="center" wrapText="1"/>
    </x:xf>
    <x:xf numFmtId="0" fontId="5" fillId="15" borderId="27" xfId="0" applyNumberFormat="1" applyFont="1" applyFill="1" applyBorder="1" applyAlignment="1">
      <x:alignment vertical="center" wrapText="1"/>
    </x:xf>
    <x:xf numFmtId="0" fontId="5" fillId="15" borderId="27" xfId="0" applyNumberFormat="1" applyFont="1" applyFill="1" applyBorder="1" applyAlignment="1">
      <x:alignment horizontal="center" vertical="center" wrapText="1"/>
    </x:xf>
    <x:xf numFmtId="0" fontId="1" fillId="20" borderId="0" xfId="0" applyNumberFormat="1" applyFont="1" applyFill="1" applyBorder="1" applyAlignment="1">
      <x:alignment vertical="center" wrapText="1"/>
    </x:xf>
    <x:xf numFmtId="0" fontId="5" fillId="20" borderId="0" xfId="0" applyNumberFormat="1" applyFont="1" applyFill="1" applyBorder="1" applyAlignment="1">
      <x:alignment vertical="center" wrapText="1"/>
    </x:xf>
    <x:xf numFmtId="0" fontId="5" fillId="20" borderId="26" xfId="0" applyNumberFormat="1" applyFont="1" applyFill="1" applyBorder="1" applyAlignment="1">
      <x:alignment vertical="center" wrapText="1"/>
    </x:xf>
    <x:xf numFmtId="0" fontId="5" fillId="20" borderId="26" xfId="0" applyNumberFormat="1" applyFont="1" applyFill="1" applyBorder="1" applyAlignment="1">
      <x:alignment horizontal="center" vertical="center" wrapText="1"/>
    </x:xf>
    <x:xf numFmtId="0" fontId="1" fillId="20" borderId="1" xfId="0" applyNumberFormat="1" applyFont="1" applyFill="1" applyBorder="1" applyAlignment="1">
      <x:alignment vertical="center" wrapText="1"/>
    </x:xf>
    <x:xf numFmtId="0" fontId="5" fillId="20" borderId="1" xfId="0" applyNumberFormat="1" applyFont="1" applyFill="1" applyBorder="1" applyAlignment="1">
      <x:alignment vertical="center" wrapText="1"/>
    </x:xf>
    <x:xf numFmtId="0" fontId="5" fillId="20" borderId="27" xfId="0" applyNumberFormat="1" applyFont="1" applyFill="1" applyBorder="1" applyAlignment="1">
      <x:alignment vertical="center" wrapText="1"/>
    </x:xf>
    <x:xf numFmtId="0" fontId="5" fillId="20" borderId="27" xfId="0" applyNumberFormat="1" applyFont="1" applyFill="1" applyBorder="1" applyAlignment="1">
      <x:alignment horizontal="center"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0" fontId="12" fillId="21" borderId="0" xfId="0" applyNumberFormat="1" applyFont="1" applyFill="1" applyBorder="1" applyAlignment="1">
      <x:alignment vertical="center" wrapText="1"/>
    </x:xf>
    <x:xf numFmtId="0" fontId="12" fillId="21" borderId="26" xfId="0" applyNumberFormat="1" applyFont="1" applyFill="1" applyBorder="1" applyAlignment="1">
      <x:alignment vertical="center" wrapText="1"/>
    </x:xf>
    <x:xf numFmtId="0" fontId="12" fillId="21" borderId="26" xfId="0" applyNumberFormat="1" applyFont="1" applyFill="1" applyBorder="1" applyAlignment="1">
      <x:alignment horizontal="center" vertical="center" wrapText="1"/>
    </x:xf>
    <x:xf numFmtId="0" fontId="1" fillId="21" borderId="1" xfId="0" applyNumberFormat="1" applyFont="1" applyFill="1" applyBorder="1" applyAlignment="1">
      <x:alignment vertical="center" wrapText="1"/>
    </x:xf>
    <x:xf numFmtId="0" fontId="12" fillId="21" borderId="1" xfId="0" applyNumberFormat="1" applyFont="1" applyFill="1" applyBorder="1" applyAlignment="1">
      <x:alignment vertical="center" wrapText="1"/>
    </x:xf>
    <x:xf numFmtId="0" fontId="12" fillId="21" borderId="27" xfId="0" applyNumberFormat="1" applyFont="1" applyFill="1" applyBorder="1" applyAlignment="1">
      <x:alignment vertical="center" wrapText="1"/>
    </x:xf>
    <x:xf numFmtId="0" fontId="12" fillId="21" borderId="27" xfId="0" applyNumberFormat="1" applyFont="1" applyFill="1" applyBorder="1" applyAlignment="1">
      <x:alignment horizontal="center"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0" fontId="3" fillId="22" borderId="0" xfId="0" applyNumberFormat="1" applyFont="1" applyFill="1" applyBorder="1" applyAlignment="1">
      <x:alignment vertical="center" wrapText="1"/>
    </x:xf>
    <x:xf numFmtId="0" fontId="3" fillId="22" borderId="14" xfId="0" applyNumberFormat="1" applyFont="1" applyFill="1" applyBorder="1" applyAlignment="1">
      <x:alignment vertical="center" wrapText="1"/>
    </x:xf>
    <x:xf numFmtId="0" fontId="3" fillId="22" borderId="15" xfId="0" applyNumberFormat="1" applyFont="1" applyFill="1" applyBorder="1" applyAlignment="1">
      <x:alignment vertical="center" wrapText="1"/>
    </x:xf>
    <x:xf numFmtId="0" fontId="3" fillId="22" borderId="16" xfId="0" applyNumberFormat="1" applyFont="1" applyFill="1" applyBorder="1" applyAlignment="1">
      <x:alignment vertical="center" wrapText="1"/>
    </x:xf>
    <x:xf numFmtId="0" fontId="3" fillId="22" borderId="14" xfId="0" applyNumberFormat="1" applyFont="1" applyFill="1" applyBorder="1" applyAlignment="1">
      <x:alignment horizontal="left" vertical="center" wrapText="1"/>
    </x:xf>
    <x:xf numFmtId="0" fontId="3" fillId="22" borderId="15" xfId="0" applyNumberFormat="1" applyFont="1" applyFill="1" applyBorder="1" applyAlignment="1">
      <x:alignment horizontal="left" vertical="center" wrapText="1"/>
    </x:xf>
    <x:xf numFmtId="0" fontId="3" fillId="22" borderId="16" xfId="0" applyNumberFormat="1" applyFont="1" applyFill="1" applyBorder="1" applyAlignment="1">
      <x:alignment horizontal="left" vertical="center" wrapText="1"/>
    </x:xf>
    <x:xf numFmtId="0" fontId="1" fillId="22" borderId="1" xfId="0" applyNumberFormat="1" applyFont="1" applyFill="1" applyBorder="1" applyAlignment="1">
      <x:alignment vertical="center" wrapText="1"/>
    </x:xf>
    <x:xf numFmtId="0" fontId="3" fillId="22" borderId="1" xfId="0" applyNumberFormat="1" applyFont="1" applyFill="1" applyBorder="1" applyAlignment="1">
      <x:alignment vertical="center" wrapText="1"/>
    </x:xf>
    <x:xf numFmtId="0" fontId="3" fillId="22" borderId="17" xfId="0" applyNumberFormat="1" applyFont="1" applyFill="1" applyBorder="1" applyAlignment="1">
      <x:alignment vertical="center" wrapText="1"/>
    </x:xf>
    <x:xf numFmtId="0" fontId="3" fillId="22" borderId="18" xfId="0" applyNumberFormat="1" applyFont="1" applyFill="1" applyBorder="1" applyAlignment="1">
      <x:alignment vertical="center" wrapText="1"/>
    </x:xf>
    <x:xf numFmtId="0" fontId="3" fillId="22" borderId="19" xfId="0" applyNumberFormat="1" applyFont="1" applyFill="1" applyBorder="1" applyAlignment="1">
      <x:alignment vertical="center" wrapText="1"/>
    </x:xf>
    <x:xf numFmtId="0" fontId="3" fillId="22" borderId="17" xfId="0" applyNumberFormat="1" applyFont="1" applyFill="1" applyBorder="1" applyAlignment="1">
      <x:alignment horizontal="left" vertical="center" wrapText="1"/>
    </x:xf>
    <x:xf numFmtId="0" fontId="3" fillId="22" borderId="18" xfId="0" applyNumberFormat="1" applyFont="1" applyFill="1" applyBorder="1" applyAlignment="1">
      <x:alignment horizontal="left" vertical="center" wrapText="1"/>
    </x:xf>
    <x:xf numFmtId="0" fontId="3" fillId="22" borderId="19" xfId="0" applyNumberFormat="1" applyFont="1" applyFill="1" applyBorder="1" applyAlignment="1">
      <x:alignment horizontal="left"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 applyAlignment="1">
      <x:alignment vertical="center" wrapText="1"/>
    </x:xf>
    <x:xf numFmtId="0" fontId="1" fillId="16" borderId="1" xfId="0" applyNumberFormat="1" applyFont="1" applyFill="1" applyBorder="1" applyAlignment="1">
      <x:alignment vertical="center" wrapText="1"/>
    </x:xf>
    <x:xf numFmtId="0" fontId="5" fillId="16" borderId="1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 applyAlignment="1">
      <x:alignment vertical="center" wrapText="1"/>
    </x:xf>
    <x:xf numFmtId="0" fontId="5" fillId="17" borderId="26" xfId="0" applyNumberFormat="1" applyFont="1" applyFill="1" applyBorder="1" applyAlignment="1">
      <x:alignment vertical="center" wrapText="1"/>
    </x:xf>
    <x:xf numFmtId="0" fontId="5" fillId="17" borderId="26" xfId="0" applyNumberFormat="1" applyFont="1" applyFill="1" applyBorder="1" applyAlignment="1">
      <x:alignment horizontal="center" vertical="center" wrapText="1"/>
    </x:xf>
    <x:xf numFmtId="0" fontId="1" fillId="17" borderId="1" xfId="0" applyNumberFormat="1" applyFont="1" applyFill="1" applyBorder="1" applyAlignment="1">
      <x:alignment vertical="center" wrapText="1"/>
    </x:xf>
    <x:xf numFmtId="0" fontId="5" fillId="17" borderId="1" xfId="0" applyNumberFormat="1" applyFont="1" applyFill="1" applyBorder="1" applyAlignment="1">
      <x:alignment vertical="center" wrapText="1"/>
    </x:xf>
    <x:xf numFmtId="0" fontId="5" fillId="17" borderId="27" xfId="0" applyNumberFormat="1" applyFont="1" applyFill="1" applyBorder="1" applyAlignment="1">
      <x:alignment vertical="center" wrapText="1"/>
    </x:xf>
    <x:xf numFmtId="0" fontId="5" fillId="17" borderId="27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vertical="center" wrapText="1"/>
    </x:xf>
    <x:xf numFmtId="0" fontId="13" fillId="6" borderId="26" xfId="0" applyNumberFormat="1" applyFont="1" applyFill="1" applyBorder="1" applyAlignment="1">
      <x:alignment vertical="center" wrapText="1"/>
    </x:xf>
    <x:xf numFmtId="0" fontId="13" fillId="6" borderId="26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3" fillId="6" borderId="1" xfId="0" applyNumberFormat="1" applyFont="1" applyFill="1" applyBorder="1" applyAlignment="1">
      <x:alignment vertical="center" wrapText="1"/>
    </x:xf>
    <x:xf numFmtId="0" fontId="13" fillId="6" borderId="27" xfId="0" applyNumberFormat="1" applyFont="1" applyFill="1" applyBorder="1" applyAlignment="1">
      <x:alignment vertical="center" wrapText="1"/>
    </x:xf>
    <x:xf numFmtId="0" fontId="13" fillId="6" borderId="27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3" fillId="7" borderId="0" xfId="0" applyNumberFormat="1" applyFont="1" applyFill="1" applyBorder="1" applyAlignment="1">
      <x:alignment vertical="center" wrapText="1"/>
    </x:xf>
    <x:xf numFmtId="0" fontId="13" fillId="7" borderId="26" xfId="0" applyNumberFormat="1" applyFont="1" applyFill="1" applyBorder="1" applyAlignment="1">
      <x:alignment vertical="center" wrapText="1"/>
    </x:xf>
    <x:xf numFmtId="0" fontId="13" fillId="7" borderId="26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3" fillId="7" borderId="1" xfId="0" applyNumberFormat="1" applyFont="1" applyFill="1" applyBorder="1" applyAlignment="1">
      <x:alignment vertical="center" wrapText="1"/>
    </x:xf>
    <x:xf numFmtId="0" fontId="13" fillId="7" borderId="27" xfId="0" applyNumberFormat="1" applyFont="1" applyFill="1" applyBorder="1" applyAlignment="1">
      <x:alignment vertical="center" wrapText="1"/>
    </x:xf>
    <x:xf numFmtId="0" fontId="13" fillId="7" borderId="27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 applyAlignment="1">
      <x:alignment vertical="center" wrapText="1"/>
    </x:xf>
    <x:xf numFmtId="0" fontId="13" fillId="8" borderId="26" xfId="0" applyNumberFormat="1" applyFont="1" applyFill="1" applyBorder="1" applyAlignment="1">
      <x:alignment vertical="center" wrapText="1"/>
    </x:xf>
    <x:xf numFmtId="0" fontId="13" fillId="8" borderId="26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13" fillId="8" borderId="1" xfId="0" applyNumberFormat="1" applyFont="1" applyFill="1" applyBorder="1" applyAlignment="1">
      <x:alignment vertical="center" wrapText="1"/>
    </x:xf>
    <x:xf numFmtId="0" fontId="13" fillId="8" borderId="27" xfId="0" applyNumberFormat="1" applyFont="1" applyFill="1" applyBorder="1" applyAlignment="1">
      <x:alignment vertical="center" wrapText="1"/>
    </x:xf>
    <x:xf numFmtId="0" fontId="13" fillId="8" borderId="27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3" fillId="9" borderId="0" xfId="0" applyNumberFormat="1" applyFont="1" applyFill="1" applyBorder="1" applyAlignment="1">
      <x:alignment vertical="center" wrapText="1"/>
    </x:xf>
    <x:xf numFmtId="0" fontId="13" fillId="9" borderId="26" xfId="0" applyNumberFormat="1" applyFont="1" applyFill="1" applyBorder="1" applyAlignment="1">
      <x:alignment vertical="center" wrapText="1"/>
    </x:xf>
    <x:xf numFmtId="0" fontId="13" fillId="9" borderId="26" xfId="0" applyNumberFormat="1" applyFont="1" applyFill="1" applyBorder="1" applyAlignment="1">
      <x:alignment horizontal="center"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13" fillId="9" borderId="1" xfId="0" applyNumberFormat="1" applyFont="1" applyFill="1" applyBorder="1" applyAlignment="1">
      <x:alignment vertical="center" wrapText="1"/>
    </x:xf>
    <x:xf numFmtId="0" fontId="13" fillId="9" borderId="27" xfId="0" applyNumberFormat="1" applyFont="1" applyFill="1" applyBorder="1" applyAlignment="1">
      <x:alignment vertical="center" wrapText="1"/>
    </x:xf>
    <x:xf numFmtId="0" fontId="13" fillId="9" borderId="27" xfId="0" applyNumberFormat="1" applyFont="1" applyFill="1" applyBorder="1" applyAlignment="1">
      <x:alignment horizontal="center" vertical="center" wrapText="1"/>
    </x:xf>
    <x:xf numFmtId="0" fontId="14" fillId="22" borderId="0" xfId="0" applyNumberFormat="1" applyFont="1" applyFill="1" applyBorder="1" applyAlignment="1">
      <x:alignment vertical="center" wrapText="1"/>
    </x:xf>
    <x:xf numFmtId="0" fontId="14" fillId="22" borderId="14" xfId="0" applyNumberFormat="1" applyFont="1" applyFill="1" applyBorder="1" applyAlignment="1">
      <x:alignment vertical="center" wrapText="1"/>
    </x:xf>
    <x:xf numFmtId="0" fontId="14" fillId="22" borderId="15" xfId="0" applyNumberFormat="1" applyFont="1" applyFill="1" applyBorder="1" applyAlignment="1">
      <x:alignment vertical="center" wrapText="1"/>
    </x:xf>
    <x:xf numFmtId="0" fontId="14" fillId="22" borderId="16" xfId="0" applyNumberFormat="1" applyFont="1" applyFill="1" applyBorder="1" applyAlignment="1">
      <x:alignment vertical="center" wrapText="1"/>
    </x:xf>
    <x:xf numFmtId="0" fontId="14" fillId="22" borderId="14" xfId="0" applyNumberFormat="1" applyFont="1" applyFill="1" applyBorder="1" applyAlignment="1">
      <x:alignment horizontal="center" vertical="center" wrapText="1"/>
    </x:xf>
    <x:xf numFmtId="0" fontId="14" fillId="22" borderId="15" xfId="0" applyNumberFormat="1" applyFont="1" applyFill="1" applyBorder="1" applyAlignment="1">
      <x:alignment horizontal="center" vertical="center" wrapText="1"/>
    </x:xf>
    <x:xf numFmtId="0" fontId="14" fillId="22" borderId="16" xfId="0" applyNumberFormat="1" applyFont="1" applyFill="1" applyBorder="1" applyAlignment="1">
      <x:alignment horizontal="center" vertical="center" wrapText="1"/>
    </x:xf>
    <x:xf numFmtId="0" fontId="14" fillId="22" borderId="1" xfId="0" applyNumberFormat="1" applyFont="1" applyFill="1" applyBorder="1" applyAlignment="1">
      <x:alignment vertical="center" wrapText="1"/>
    </x:xf>
    <x:xf numFmtId="0" fontId="14" fillId="22" borderId="17" xfId="0" applyNumberFormat="1" applyFont="1" applyFill="1" applyBorder="1" applyAlignment="1">
      <x:alignment vertical="center" wrapText="1"/>
    </x:xf>
    <x:xf numFmtId="0" fontId="14" fillId="22" borderId="18" xfId="0" applyNumberFormat="1" applyFont="1" applyFill="1" applyBorder="1" applyAlignment="1">
      <x:alignment vertical="center" wrapText="1"/>
    </x:xf>
    <x:xf numFmtId="0" fontId="14" fillId="22" borderId="19" xfId="0" applyNumberFormat="1" applyFont="1" applyFill="1" applyBorder="1" applyAlignment="1">
      <x:alignment vertical="center" wrapText="1"/>
    </x:xf>
    <x:xf numFmtId="0" fontId="14" fillId="22" borderId="17" xfId="0" applyNumberFormat="1" applyFont="1" applyFill="1" applyBorder="1" applyAlignment="1">
      <x:alignment horizontal="center" vertical="center" wrapText="1"/>
    </x:xf>
    <x:xf numFmtId="0" fontId="14" fillId="22" borderId="18" xfId="0" applyNumberFormat="1" applyFont="1" applyFill="1" applyBorder="1" applyAlignment="1">
      <x:alignment horizontal="center" vertical="center" wrapText="1"/>
    </x:xf>
    <x:xf numFmtId="0" fontId="14" fillId="22" borderId="19" xfId="0" applyNumberFormat="1" applyFont="1" applyFill="1" applyBorder="1" applyAlignment="1">
      <x:alignment horizontal="center" vertical="center" wrapText="1"/>
    </x:xf>
    <x:xf numFmtId="0" fontId="1" fillId="0" borderId="28" xfId="0" applyNumberFormat="1" applyFont="1" applyFill="1" applyBorder="1" applyAlignment="1">
      <x:alignment vertical="center" wrapText="1"/>
    </x:xf>
    <x:xf numFmtId="0" fontId="1" fillId="0" borderId="29" xfId="0" applyNumberFormat="1" applyFont="1" applyFill="1" applyBorder="1" applyAlignment="1">
      <x:alignment vertical="center" wrapText="1"/>
    </x:xf>
    <x:xf numFmtId="0" fontId="1" fillId="0" borderId="30" xfId="0" applyNumberFormat="1" applyFont="1" applyFill="1" applyBorder="1" applyAlignment="1">
      <x:alignment vertical="center" wrapText="1"/>
    </x:xf>
    <x:xf numFmtId="0" fontId="1" fillId="0" borderId="28" xfId="0" applyNumberFormat="1" applyFont="1" applyFill="1" applyBorder="1" applyAlignment="1">
      <x:alignment horizontal="left" vertical="center" wrapText="1"/>
    </x:xf>
    <x:xf numFmtId="0" fontId="1" fillId="0" borderId="29" xfId="0" applyNumberFormat="1" applyFont="1" applyFill="1" applyBorder="1" applyAlignment="1">
      <x:alignment horizontal="left" vertical="center" wrapText="1"/>
    </x:xf>
    <x:xf numFmtId="0" fontId="1" fillId="0" borderId="30" xfId="0" applyNumberFormat="1" applyFont="1" applyFill="1" applyBorder="1" applyAlignment="1">
      <x:alignment horizontal="left" vertical="center" wrapText="1"/>
    </x:xf>
    <x:xf numFmtId="0" fontId="1" fillId="0" borderId="31" xfId="0" applyNumberFormat="1" applyFont="1" applyFill="1" applyBorder="1" applyAlignment="1">
      <x:alignment vertical="center" wrapText="1"/>
    </x:xf>
    <x:xf numFmtId="0" fontId="1" fillId="0" borderId="32" xfId="0" applyNumberFormat="1" applyFont="1" applyFill="1" applyBorder="1" applyAlignment="1">
      <x:alignment vertical="center" wrapText="1"/>
    </x:xf>
    <x:xf numFmtId="0" fontId="1" fillId="0" borderId="33" xfId="0" applyNumberFormat="1" applyFont="1" applyFill="1" applyBorder="1" applyAlignment="1">
      <x:alignment vertical="center" wrapText="1"/>
    </x:xf>
    <x:xf numFmtId="0" fontId="1" fillId="0" borderId="31" xfId="0" applyNumberFormat="1" applyFont="1" applyFill="1" applyBorder="1" applyAlignment="1">
      <x:alignment horizontal="left" vertical="center" wrapText="1"/>
    </x:xf>
    <x:xf numFmtId="0" fontId="1" fillId="0" borderId="32" xfId="0" applyNumberFormat="1" applyFont="1" applyFill="1" applyBorder="1" applyAlignment="1">
      <x:alignment horizontal="left" vertical="center" wrapText="1"/>
    </x:xf>
    <x:xf numFmtId="0" fontId="1" fillId="0" borderId="33" xfId="0" applyNumberFormat="1" applyFont="1" applyFill="1" applyBorder="1" applyAlignment="1">
      <x:alignment horizontal="left" vertical="center" wrapText="1"/>
    </x:xf>
    <x:xf numFmtId="0" fontId="1" fillId="0" borderId="28" xfId="0" applyNumberFormat="1" applyFont="1" applyFill="1" applyBorder="1"/>
    <x:xf numFmtId="0" fontId="1" fillId="0" borderId="29" xfId="0" applyNumberFormat="1" applyFont="1" applyFill="1" applyBorder="1"/>
    <x:xf numFmtId="0" fontId="1" fillId="0" borderId="30" xfId="0" applyNumberFormat="1" applyFont="1" applyFill="1" applyBorder="1"/>
    <x:xf numFmtId="0" fontId="1" fillId="0" borderId="28" xfId="0" applyNumberFormat="1" applyFont="1" applyFill="1" applyBorder="1" applyAlignment="1">
      <x:alignment wrapText="1"/>
    </x:xf>
    <x:xf numFmtId="0" fontId="1" fillId="0" borderId="29" xfId="0" applyNumberFormat="1" applyFont="1" applyFill="1" applyBorder="1" applyAlignment="1">
      <x:alignment wrapText="1"/>
    </x:xf>
    <x:xf numFmtId="0" fontId="1" fillId="0" borderId="30" xfId="0" applyNumberFormat="1" applyFont="1" applyFill="1" applyBorder="1" applyAlignment="1">
      <x:alignment wrapText="1"/>
    </x:xf>
    <x:xf numFmtId="0" fontId="1" fillId="0" borderId="28" xfId="0" applyNumberFormat="1" applyFont="1" applyFill="1" applyBorder="1" applyAlignment="1">
      <x:alignment horizontal="left" wrapText="1"/>
    </x:xf>
    <x:xf numFmtId="0" fontId="1" fillId="0" borderId="29" xfId="0" applyNumberFormat="1" applyFont="1" applyFill="1" applyBorder="1" applyAlignment="1">
      <x:alignment horizontal="left" wrapText="1"/>
    </x:xf>
    <x:xf numFmtId="0" fontId="1" fillId="0" borderId="30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e0120c073b48b7" /><Relationship Type="http://schemas.openxmlformats.org/officeDocument/2006/relationships/theme" Target="/xl/theme/theme1.xml" Id="Raa032498b4af45ca" /><Relationship Type="http://schemas.openxmlformats.org/officeDocument/2006/relationships/sharedStrings" Target="/xl/sharedStrings.xml" Id="Rba826aa7956440c4" /><Relationship Type="http://schemas.openxmlformats.org/officeDocument/2006/relationships/worksheet" Target="/xl/worksheets/sheet1.xml" Id="Raaa90a08231f44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3.5" hidden="0" customWidth="1"/>
    <x:col min="7" max="7" width="12" hidden="0" customWidth="1"/>
    <x:col min="8" max="8" width="12" hidden="0" customWidth="1"/>
    <x:col min="9" max="9" width="12" hidden="0" customWidth="1"/>
    <x:col min="10" max="10" width="11" hidden="0" customWidth="1"/>
    <x:col min="11" max="11" width="11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8" customHeight="1">
      <x:c r="A1" s="16" t="str">
        <x:v>「넌 착해!」 속성 대차대조표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8"/>
    </x:row>
    <x:row r="2" ht="28" customHeight="1">
      <x:c r="A2" s="19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1"/>
    </x:row>
    <x:row r="3" ht="23" customHeight="1">
      <x:c r="A3" s="40" t="str">
        <x:v>Case by case 매개 상수 테이블 · 동일 속성 ×1.0 · 공격자와 방어자의 속성 조합에 따라 기존 피해식에 상수 K를 곱하는 구조</x:v>
      </x:c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2"/>
    </x:row>
    <x:row r="4" ht="23" customHeight="1">
      <x:c r="A4" s="51" t="str">
        <x:v>작성 기준: 첨부 강의 자료 「(8.5) 속성 대차대조표 추가.pptx」의 대차대조표·상수 테이블·Case by case 근거 작성 원칙 반영</x:v>
      </x:c>
      <x:c r="B4" s="51"/>
      <x:c r="C4" s="51"/>
      <x:c r="D4" s="51"/>
      <x:c r="E4" s="51"/>
      <x:c r="F4" s="51"/>
      <x:c r="G4" s="51"/>
      <x:c r="H4" s="51"/>
      <x:c r="I4" s="51"/>
      <x:c r="J4" s="51"/>
      <x:c r="K4" s="51"/>
      <x:c r="L4" s="51"/>
      <x:c r="M4" s="51"/>
      <x:c r="N4" s="51"/>
      <x:c r="O4" s="51"/>
      <x:c r="P4" s="51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</x:row>
    <x:row r="6" ht="23" customHeight="1">
      <x:c r="A6" s="59" t="str">
        <x:v>1. 속성 정의 및 적용 대상</x:v>
      </x:c>
      <x:c r="B6" s="60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1"/>
    </x:row>
    <x:row r="7" ht="23" customHeight="1">
      <x:c r="A7" s="73" t="str">
        <x:v>속성</x:v>
      </x:c>
      <x:c r="B7" s="73" t="str">
        <x:v>핵심 성질</x:v>
      </x:c>
      <x:c r="C7" s="73"/>
      <x:c r="D7" s="73"/>
      <x:c r="E7" s="73" t="str">
        <x:v>공격 속성 적용</x:v>
      </x:c>
      <x:c r="F7" s="73"/>
      <x:c r="G7" s="73"/>
      <x:c r="H7" s="73"/>
      <x:c r="I7" s="73" t="str">
        <x:v>방어 속성 적용</x:v>
      </x:c>
      <x:c r="J7" s="73"/>
      <x:c r="K7" s="73"/>
      <x:c r="L7" s="73"/>
      <x:c r="M7" s="73" t="str">
        <x:v>대표 표현</x:v>
      </x:c>
      <x:c r="N7" s="73"/>
      <x:c r="O7" s="73"/>
      <x:c r="P7" s="73"/>
    </x:row>
    <x:row r="8" ht="44" customHeight="1">
      <x:c r="A8" s="82" t="str">
        <x:v>안정</x:v>
      </x:c>
      <x:c r="B8" s="78" t="str">
        <x:v>형태와 에너지의 상태를 고정하고 과도한 진동을 억제하는 파장</x:v>
      </x:c>
      <x:c r="C8" s="78"/>
      <x:c r="D8" s="78"/>
      <x:c r="E8" s="78" t="str">
        <x:v>공명 주기 고정, 흔들림 억제, 변이체의 움직임 안정화</x:v>
      </x:c>
      <x:c r="F8" s="78"/>
      <x:c r="G8" s="78"/>
      <x:c r="H8" s="78"/>
      <x:c r="I8" s="78" t="str">
        <x:v>공명·진동 피해 완화, 밀려남과 흔들림을 억제하는 방호 상태</x:v>
      </x:c>
      <x:c r="J8" s="78"/>
      <x:c r="K8" s="78"/>
      <x:c r="L8" s="78"/>
      <x:c r="M8" s="78" t="str">
        <x:v>청색 고정선, 입자가 한 지점으로 모이는 연출</x:v>
      </x:c>
      <x:c r="N8" s="78"/>
      <x:c r="O8" s="78"/>
      <x:c r="P8" s="78"/>
    </x:row>
    <x:row r="9" ht="44" customHeight="1">
      <x:c r="A9" s="88" t="str">
        <x:v>공명</x:v>
      </x:c>
      <x:c r="B9" s="78" t="str">
        <x:v>파동을 반복·중첩하여 내부 진동과 에너지 증폭을 일으키는 파장</x:v>
      </x:c>
      <x:c r="C9" s="78"/>
      <x:c r="D9" s="78"/>
      <x:c r="E9" s="78" t="str">
        <x:v>반복 타격과 파동 중첩, 차단 한계 초과, 균열 확대</x:v>
      </x:c>
      <x:c r="F9" s="78"/>
      <x:c r="G9" s="78"/>
      <x:c r="H9" s="78"/>
      <x:c r="I9" s="78" t="str">
        <x:v>외부 파장을 되울리거나 분산하여 충격을 흘려보내는 상태</x:v>
      </x:c>
      <x:c r="J9" s="78"/>
      <x:c r="K9" s="78"/>
      <x:c r="L9" s="78"/>
      <x:c r="M9" s="78" t="str">
        <x:v>보라색 파문, 동심원과 진동 잔상</x:v>
      </x:c>
      <x:c r="N9" s="78"/>
      <x:c r="O9" s="78"/>
      <x:c r="P9" s="78"/>
    </x:row>
    <x:row r="10" ht="44" customHeight="1">
      <x:c r="A10" s="94" t="str">
        <x:v>차단</x:v>
      </x:c>
      <x:c r="B10" s="78" t="str">
        <x:v>에너지·파장·오염의 전달 경로와 연결을 끊는 파장</x:v>
      </x:c>
      <x:c r="C10" s="78"/>
      <x:c r="D10" s="78"/>
      <x:c r="E10" s="78" t="str">
        <x:v>능력 연결 절단, 침식 확산 중단, 유지 에너지 공급 방해</x:v>
      </x:c>
      <x:c r="F10" s="78"/>
      <x:c r="G10" s="78"/>
      <x:c r="H10" s="78"/>
      <x:c r="I10" s="78" t="str">
        <x:v>외부 에너지 유입과 상태이상 전이를 막는 방호 상태</x:v>
      </x:c>
      <x:c r="J10" s="78"/>
      <x:c r="K10" s="78"/>
      <x:c r="L10" s="78"/>
      <x:c r="M10" s="78" t="str">
        <x:v>짙은 회색 단절선, 벽 형태의 끊김 연출</x:v>
      </x:c>
      <x:c r="N10" s="78"/>
      <x:c r="O10" s="78"/>
      <x:c r="P10" s="78"/>
    </x:row>
    <x:row r="11" ht="44" customHeight="1">
      <x:c r="A11" s="100" t="str">
        <x:v>침식</x:v>
      </x:c>
      <x:c r="B11" s="78" t="str">
        <x:v>조직과 구조의 결합을 약화하고 형태를 점진적으로 붕괴시키는 파장</x:v>
      </x:c>
      <x:c r="C11" s="78"/>
      <x:c r="D11" s="78"/>
      <x:c r="E11" s="78" t="str">
        <x:v>고정 구조 붕괴, 방어 상태 약화, 균열 부위 확대</x:v>
      </x:c>
      <x:c r="F11" s="78"/>
      <x:c r="G11" s="78"/>
      <x:c r="H11" s="78"/>
      <x:c r="I11" s="78" t="str">
        <x:v>공격 에너지를 분해·흡수하며 일부 피해를 약화하는 상태</x:v>
      </x:c>
      <x:c r="J11" s="78"/>
      <x:c r="K11" s="78"/>
      <x:c r="L11" s="78"/>
      <x:c r="M11" s="78" t="str">
        <x:v>자홍색 번짐, 표면이 부식되듯 퍼지는 연출</x:v>
      </x:c>
      <x:c r="N11" s="78"/>
      <x:c r="O11" s="78"/>
      <x:c r="P11" s="78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</x:row>
    <x:row r="13" ht="23" customHeight="1">
      <x:c r="A13" s="59" t="str">
        <x:v>2. 속성 대차대조표 및 피해 계산 검증</x:v>
      </x:c>
      <x:c r="B13" s="60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1"/>
    </x:row>
    <x:row r="14" ht="23" customHeight="1">
      <x:c r="A14" s="73" t="str">
        <x:v>피해 매개 상수표 K</x:v>
      </x:c>
      <x:c r="B14" s="73"/>
      <x:c r="C14" s="73"/>
      <x:c r="D14" s="73"/>
      <x:c r="E14" s="73"/>
      <x:c r="F14" s="4"/>
      <x:c r="G14" s="73" t="str">
        <x:v>속성 계산 검증</x:v>
      </x:c>
      <x:c r="H14" s="73"/>
      <x:c r="I14" s="73"/>
      <x:c r="J14" s="73"/>
      <x:c r="K14" s="73"/>
      <x:c r="L14" s="73"/>
      <x:c r="M14" s="73"/>
      <x:c r="N14" s="73"/>
      <x:c r="O14" s="73"/>
      <x:c r="P14" s="73"/>
    </x:row>
    <x:row r="15" ht="23" customHeight="1">
      <x:c r="A15" s="73" t="str">
        <x:v>공격자＼방어자</x:v>
      </x:c>
      <x:c r="B15" s="111" t="str">
        <x:v>안정</x:v>
      </x:c>
      <x:c r="C15" s="115" t="str">
        <x:v>공명</x:v>
      </x:c>
      <x:c r="D15" s="119" t="str">
        <x:v>차단</x:v>
      </x:c>
      <x:c r="E15" s="123" t="str">
        <x:v>침식</x:v>
      </x:c>
      <x:c r="F15" s="4"/>
      <x:c r="G15" s="73" t="str">
        <x:v>입력 항목</x:v>
      </x:c>
      <x:c r="H15" s="73"/>
      <x:c r="I15" s="73"/>
      <x:c r="J15" s="73" t="str">
        <x:v>값</x:v>
      </x:c>
      <x:c r="K15" s="73"/>
      <x:c r="L15" s="73" t="str">
        <x:v>설명</x:v>
      </x:c>
      <x:c r="M15" s="73"/>
      <x:c r="N15" s="73"/>
      <x:c r="O15" s="73"/>
      <x:c r="P15" s="73"/>
    </x:row>
    <x:row r="16" ht="24" customHeight="1">
      <x:c r="A16" s="111" t="str">
        <x:v>안정</x:v>
      </x:c>
      <x:c r="B16" s="135" t="n">
        <x:v>1</x:v>
      </x:c>
      <x:c r="C16" s="139" t="n">
        <x:v>1.7</x:v>
      </x:c>
      <x:c r="D16" s="143" t="n">
        <x:v>0.8</x:v>
      </x:c>
      <x:c r="E16" s="147" t="n">
        <x:v>0.3</x:v>
      </x:c>
      <x:c r="F16" s="4"/>
      <x:c r="G16" s="196" t="str">
        <x:v>공격력 합산치</x:v>
      </x:c>
      <x:c r="H16" s="196"/>
      <x:c r="I16" s="196"/>
      <x:c r="J16" s="106" t="n">
        <x:v>30</x:v>
      </x:c>
      <x:c r="K16" s="106"/>
      <x:c r="L16" s="78" t="str">
        <x:v>플레이어 또는 몬스터의 공격 관련 합산 수치</x:v>
      </x:c>
      <x:c r="M16" s="78"/>
      <x:c r="N16" s="78"/>
      <x:c r="O16" s="78"/>
      <x:c r="P16" s="78"/>
    </x:row>
    <x:row r="17" ht="24" customHeight="1">
      <x:c r="A17" s="115" t="str">
        <x:v>공명</x:v>
      </x:c>
      <x:c r="B17" s="147" t="n">
        <x:v>0.3</x:v>
      </x:c>
      <x:c r="C17" s="135" t="n">
        <x:v>1</x:v>
      </x:c>
      <x:c r="D17" s="139" t="n">
        <x:v>1.7</x:v>
      </x:c>
      <x:c r="E17" s="151" t="n">
        <x:v>1.2</x:v>
      </x:c>
      <x:c r="F17" s="4"/>
      <x:c r="G17" s="196" t="str">
        <x:v>스킬 계수</x:v>
      </x:c>
      <x:c r="H17" s="196"/>
      <x:c r="I17" s="196"/>
      <x:c r="J17" s="106" t="n">
        <x:v>1.2</x:v>
      </x:c>
      <x:c r="K17" s="106"/>
      <x:c r="L17" s="78" t="str">
        <x:v>일반 공격은 1.0, 스킬은 개별 계수 적용</x:v>
      </x:c>
      <x:c r="M17" s="78"/>
      <x:c r="N17" s="78"/>
      <x:c r="O17" s="78"/>
      <x:c r="P17" s="78"/>
    </x:row>
    <x:row r="18" ht="24" customHeight="1">
      <x:c r="A18" s="119" t="str">
        <x:v>차단</x:v>
      </x:c>
      <x:c r="B18" s="151" t="n">
        <x:v>1.2</x:v>
      </x:c>
      <x:c r="C18" s="147" t="n">
        <x:v>0.3</x:v>
      </x:c>
      <x:c r="D18" s="135" t="n">
        <x:v>1</x:v>
      </x:c>
      <x:c r="E18" s="139" t="n">
        <x:v>1.7</x:v>
      </x:c>
      <x:c r="F18" s="4"/>
      <x:c r="G18" s="196" t="str">
        <x:v>방어력 합산치</x:v>
      </x:c>
      <x:c r="H18" s="196"/>
      <x:c r="I18" s="196"/>
      <x:c r="J18" s="106" t="n">
        <x:v>16</x:v>
      </x:c>
      <x:c r="K18" s="106"/>
      <x:c r="L18" s="78" t="str">
        <x:v>방어자의 장비·상태를 반영한 합산 수치</x:v>
      </x:c>
      <x:c r="M18" s="78"/>
      <x:c r="N18" s="78"/>
      <x:c r="O18" s="78"/>
      <x:c r="P18" s="78"/>
    </x:row>
    <x:row r="19" ht="24" customHeight="1">
      <x:c r="A19" s="123" t="str">
        <x:v>침식</x:v>
      </x:c>
      <x:c r="B19" s="139" t="n">
        <x:v>1.7</x:v>
      </x:c>
      <x:c r="C19" s="143" t="n">
        <x:v>0.8</x:v>
      </x:c>
      <x:c r="D19" s="147" t="n">
        <x:v>0.3</x:v>
      </x:c>
      <x:c r="E19" s="135" t="n">
        <x:v>1</x:v>
      </x:c>
      <x:c r="F19" s="4"/>
      <x:c r="G19" s="196" t="str">
        <x:v>공격 속성</x:v>
      </x:c>
      <x:c r="H19" s="196"/>
      <x:c r="I19" s="196"/>
      <x:c r="J19" s="106" t="str">
        <x:v>침식</x:v>
      </x:c>
      <x:c r="K19" s="106"/>
      <x:c r="L19" s="78" t="str">
        <x:v>플레이어는 공격 장비, 몬스터는 공격 패턴으로 결정</x:v>
      </x:c>
      <x:c r="M19" s="78"/>
      <x:c r="N19" s="78"/>
      <x:c r="O19" s="78"/>
      <x:c r="P19" s="78"/>
    </x:row>
    <x:row r="20" ht="24" customHeight="1">
      <x:c r="A20" s="4"/>
      <x:c r="B20" s="4"/>
      <x:c r="C20" s="4"/>
      <x:c r="D20" s="4"/>
      <x:c r="E20" s="4"/>
      <x:c r="F20" s="4"/>
      <x:c r="G20" s="196" t="str">
        <x:v>방어 속성</x:v>
      </x:c>
      <x:c r="H20" s="196"/>
      <x:c r="I20" s="196"/>
      <x:c r="J20" s="106" t="str">
        <x:v>안정</x:v>
      </x:c>
      <x:c r="K20" s="106"/>
      <x:c r="L20" s="78" t="str">
        <x:v>플레이어는 방호 장비, 몬스터는 방어 파장으로 결정</x:v>
      </x:c>
      <x:c r="M20" s="78"/>
      <x:c r="N20" s="78"/>
      <x:c r="O20" s="78"/>
      <x:c r="P20" s="78"/>
    </x:row>
    <x:row r="21" ht="24" customHeight="1">
      <x:c r="A21" s="157" t="str">
        <x:v>강한 우위 1.7</x:v>
      </x:c>
      <x:c r="B21" s="165" t="str">
        <x:v>약한 우위 1.2</x:v>
      </x:c>
      <x:c r="C21" s="173" t="str">
        <x:v>동일 1.0</x:v>
      </x:c>
      <x:c r="D21" s="181" t="str">
        <x:v>약한 열위 0.8</x:v>
      </x:c>
      <x:c r="E21" s="189" t="str">
        <x:v>강한 열위 0.3</x:v>
      </x:c>
      <x:c r="F21" s="4"/>
      <x:c r="G21" s="200" t="str">
        <x:v>속성 상수 K</x:v>
      </x:c>
      <x:c r="H21" s="200"/>
      <x:c r="I21" s="200"/>
      <x:c r="J21" s="216" t="n">
        <x:f>INDEX($B$16:$E$19,MATCH(J19,$A$16:$A$19,0),MATCH(J20,$B$15:$E$15,0))</x:f>
        <x:v>1.7</x:v>
      </x:c>
      <x:c r="K21" s="216"/>
      <x:c r="L21" s="78" t="str">
        <x:v>공격 속성 행 × 방어 속성 열의 값을 조회</x:v>
      </x:c>
      <x:c r="M21" s="78"/>
      <x:c r="N21" s="78"/>
      <x:c r="O21" s="78"/>
      <x:c r="P21" s="78"/>
    </x:row>
    <x:row r="22" ht="24" customHeight="1">
      <x:c r="A22" s="4"/>
      <x:c r="B22" s="4"/>
      <x:c r="C22" s="4"/>
      <x:c r="D22" s="4"/>
      <x:c r="E22" s="4"/>
      <x:c r="F22" s="4"/>
      <x:c r="G22" s="200" t="str">
        <x:v>상성 적용 전 피해</x:v>
      </x:c>
      <x:c r="H22" s="200"/>
      <x:c r="I22" s="200"/>
      <x:c r="J22" s="218" t="n">
        <x:f>MAX(0,J16*J17-J18)</x:f>
        <x:v>20</x:v>
      </x:c>
      <x:c r="K22" s="218"/>
      <x:c r="L22" s="78" t="str">
        <x:v>공격력 합산치 × 스킬 계수 − 방어력 합산치</x:v>
      </x:c>
      <x:c r="M22" s="78"/>
      <x:c r="N22" s="78"/>
      <x:c r="O22" s="78"/>
      <x:c r="P22" s="78"/>
    </x:row>
    <x:row r="23" ht="24" customHeight="1">
      <x:c r="A23" s="4"/>
      <x:c r="B23" s="4"/>
      <x:c r="C23" s="4"/>
      <x:c r="D23" s="4"/>
      <x:c r="E23" s="4"/>
      <x:c r="F23" s="4"/>
      <x:c r="G23" s="200" t="str">
        <x:v>최종 피해량</x:v>
      </x:c>
      <x:c r="H23" s="200"/>
      <x:c r="I23" s="200"/>
      <x:c r="J23" s="219" t="n">
        <x:f>ROUND(J22*J21,0)</x:f>
        <x:v>34</x:v>
      </x:c>
      <x:c r="K23" s="219"/>
      <x:c r="L23" s="78" t="str">
        <x:v>상성 적용 전 피해 × 속성 매개 상수 K</x:v>
      </x:c>
      <x:c r="M23" s="78"/>
      <x:c r="N23" s="78"/>
      <x:c r="O23" s="78"/>
      <x:c r="P23" s="78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</x:row>
    <x:row r="25" ht="23" customHeight="1">
      <x:c r="A25" s="59" t="str">
        <x:v>3. Case by case 수치 근거표</x:v>
      </x:c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1"/>
    </x:row>
    <x:row r="26" ht="23" customHeight="1">
      <x:c r="A26" s="73" t="str">
        <x:v>공격 속성</x:v>
      </x:c>
      <x:c r="B26" s="73" t="str">
        <x:v>방어 속성</x:v>
      </x:c>
      <x:c r="C26" s="73" t="str">
        <x:v>관계 유형</x:v>
      </x:c>
      <x:c r="D26" s="73"/>
      <x:c r="E26" s="73" t="str">
        <x:v>매개 상수</x:v>
      </x:c>
      <x:c r="F26" s="73"/>
      <x:c r="G26" s="73" t="str">
        <x:v>수치 적용 근거</x:v>
      </x:c>
      <x:c r="H26" s="73"/>
      <x:c r="I26" s="73"/>
      <x:c r="J26" s="73"/>
      <x:c r="K26" s="73"/>
      <x:c r="L26" s="73" t="str">
        <x:v>전투 표현</x:v>
      </x:c>
      <x:c r="M26" s="73"/>
      <x:c r="N26" s="73"/>
      <x:c r="O26" s="73"/>
      <x:c r="P26" s="73"/>
    </x:row>
    <x:row r="27" ht="40" customHeight="1">
      <x:c r="A27" s="111" t="str">
        <x:v>안정</x:v>
      </x:c>
      <x:c r="B27" s="111" t="str">
        <x:v>안정</x:v>
      </x:c>
      <x:c r="C27" s="106" t="str">
        <x:v>동일</x:v>
      </x:c>
      <x:c r="D27" s="106"/>
      <x:c r="E27" s="135" t="n">
        <x:v>1</x:v>
      </x:c>
      <x:c r="F27" s="135"/>
      <x:c r="G27" s="78" t="str">
        <x:v>동일한 파장끼리는 서로 우위가 없으므로 기존 피해식에 영향을 주지 않음.</x:v>
      </x:c>
      <x:c r="H27" s="78"/>
      <x:c r="I27" s="78"/>
      <x:c r="J27" s="78"/>
      <x:c r="K27" s="78"/>
      <x:c r="L27" s="78" t="str">
        <x:v>기본 피해 수치와 기본 속성 이펙트 적용</x:v>
      </x:c>
      <x:c r="M27" s="78"/>
      <x:c r="N27" s="78"/>
      <x:c r="O27" s="78"/>
      <x:c r="P27" s="78"/>
    </x:row>
    <x:row r="28" ht="40" customHeight="1">
      <x:c r="A28" s="111" t="str">
        <x:v>안정</x:v>
      </x:c>
      <x:c r="B28" s="115" t="str">
        <x:v>공명</x:v>
      </x:c>
      <x:c r="C28" s="106" t="str">
        <x:v>강한 우위</x:v>
      </x:c>
      <x:c r="D28" s="106"/>
      <x:c r="E28" s="139" t="n">
        <x:v>1.7</x:v>
      </x:c>
      <x:c r="F28" s="139"/>
      <x:c r="G28" s="78" t="str">
        <x:v>안정 파장이 진동 주기를 고정하여 공명의 반복·증폭 작용을 직접 억제함.</x:v>
      </x:c>
      <x:c r="H28" s="78"/>
      <x:c r="I28" s="78"/>
      <x:c r="J28" s="78"/>
      <x:c r="K28" s="78"/>
      <x:c r="L28" s="78" t="str">
        <x:v>파동이 멈추고 약점 적중 이펙트 강조</x:v>
      </x:c>
      <x:c r="M28" s="78"/>
      <x:c r="N28" s="78"/>
      <x:c r="O28" s="78"/>
      <x:c r="P28" s="78"/>
    </x:row>
    <x:row r="29" ht="40" customHeight="1">
      <x:c r="A29" s="111" t="str">
        <x:v>안정</x:v>
      </x:c>
      <x:c r="B29" s="119" t="str">
        <x:v>차단</x:v>
      </x:c>
      <x:c r="C29" s="106" t="str">
        <x:v>약한 열위</x:v>
      </x:c>
      <x:c r="D29" s="106"/>
      <x:c r="E29" s="143" t="n">
        <x:v>0.8</x:v>
      </x:c>
      <x:c r="F29" s="143"/>
      <x:c r="G29" s="78" t="str">
        <x:v>차단 상태가 안정 파장의 전달 경로를 일부 끊어 고정 효과가 충분히 도달하지 못함.</x:v>
      </x:c>
      <x:c r="H29" s="78"/>
      <x:c r="I29" s="78"/>
      <x:c r="J29" s="78"/>
      <x:c r="K29" s="78"/>
      <x:c r="L29" s="78" t="str">
        <x:v>안정선이 끊기며 피해 표시를 약하게 표현</x:v>
      </x:c>
      <x:c r="M29" s="78"/>
      <x:c r="N29" s="78"/>
      <x:c r="O29" s="78"/>
      <x:c r="P29" s="78"/>
    </x:row>
    <x:row r="30" ht="40" customHeight="1">
      <x:c r="A30" s="111" t="str">
        <x:v>안정</x:v>
      </x:c>
      <x:c r="B30" s="123" t="str">
        <x:v>침식</x:v>
      </x:c>
      <x:c r="C30" s="106" t="str">
        <x:v>강한 열위</x:v>
      </x:c>
      <x:c r="D30" s="106"/>
      <x:c r="E30" s="147" t="n">
        <x:v>0.3</x:v>
      </x:c>
      <x:c r="F30" s="147"/>
      <x:c r="G30" s="78" t="str">
        <x:v>이미 침식된 구조는 고정할 원형과 기준이 약해 안정화 효과가 크게 감소함.</x:v>
      </x:c>
      <x:c r="H30" s="78"/>
      <x:c r="I30" s="78"/>
      <x:c r="J30" s="78"/>
      <x:c r="K30" s="78"/>
      <x:c r="L30" s="78" t="str">
        <x:v>고정선이 번짐에 흡수되는 연출</x:v>
      </x:c>
      <x:c r="M30" s="78"/>
      <x:c r="N30" s="78"/>
      <x:c r="O30" s="78"/>
      <x:c r="P30" s="78"/>
    </x:row>
    <x:row r="31" ht="40" customHeight="1">
      <x:c r="A31" s="115" t="str">
        <x:v>공명</x:v>
      </x:c>
      <x:c r="B31" s="111" t="str">
        <x:v>안정</x:v>
      </x:c>
      <x:c r="C31" s="106" t="str">
        <x:v>강한 열위</x:v>
      </x:c>
      <x:c r="D31" s="106"/>
      <x:c r="E31" s="147" t="n">
        <x:v>0.3</x:v>
      </x:c>
      <x:c r="F31" s="147"/>
      <x:c r="G31" s="78" t="str">
        <x:v>안정된 구조가 진동의 확산과 파동 중첩을 막아 공명 증폭이 발생하기 어려움.</x:v>
      </x:c>
      <x:c r="H31" s="78"/>
      <x:c r="I31" s="78"/>
      <x:c r="J31" s="78"/>
      <x:c r="K31" s="78"/>
      <x:c r="L31" s="78" t="str">
        <x:v>파문이 짧게 사라지는 연출</x:v>
      </x:c>
      <x:c r="M31" s="78"/>
      <x:c r="N31" s="78"/>
      <x:c r="O31" s="78"/>
      <x:c r="P31" s="78"/>
    </x:row>
    <x:row r="32" ht="40" customHeight="1">
      <x:c r="A32" s="115" t="str">
        <x:v>공명</x:v>
      </x:c>
      <x:c r="B32" s="115" t="str">
        <x:v>공명</x:v>
      </x:c>
      <x:c r="C32" s="106" t="str">
        <x:v>동일</x:v>
      </x:c>
      <x:c r="D32" s="106"/>
      <x:c r="E32" s="135" t="n">
        <x:v>1</x:v>
      </x:c>
      <x:c r="F32" s="135"/>
      <x:c r="G32" s="78" t="str">
        <x:v>동일한 파장끼리는 서로 우위가 없으므로 기존 피해식에 영향을 주지 않음.</x:v>
      </x:c>
      <x:c r="H32" s="78"/>
      <x:c r="I32" s="78"/>
      <x:c r="J32" s="78"/>
      <x:c r="K32" s="78"/>
      <x:c r="L32" s="78" t="str">
        <x:v>기본 피해 수치와 기본 속성 이펙트 적용</x:v>
      </x:c>
      <x:c r="M32" s="78"/>
      <x:c r="N32" s="78"/>
      <x:c r="O32" s="78"/>
      <x:c r="P32" s="78"/>
    </x:row>
    <x:row r="33" ht="40" customHeight="1">
      <x:c r="A33" s="115" t="str">
        <x:v>공명</x:v>
      </x:c>
      <x:c r="B33" s="119" t="str">
        <x:v>차단</x:v>
      </x:c>
      <x:c r="C33" s="106" t="str">
        <x:v>강한 우위</x:v>
      </x:c>
      <x:c r="D33" s="106"/>
      <x:c r="E33" s="139" t="n">
        <x:v>1.7</x:v>
      </x:c>
      <x:c r="F33" s="139"/>
      <x:c r="G33" s="78" t="str">
        <x:v>반복되는 공명 파동이 차단 상태의 처리 한계를 넘어 과부하를 발생시킴.</x:v>
      </x:c>
      <x:c r="H33" s="78"/>
      <x:c r="I33" s="78"/>
      <x:c r="J33" s="78"/>
      <x:c r="K33" s="78"/>
      <x:c r="L33" s="78" t="str">
        <x:v>차단벽에 균열이 번지고 파동이 관통하는 연출</x:v>
      </x:c>
      <x:c r="M33" s="78"/>
      <x:c r="N33" s="78"/>
      <x:c r="O33" s="78"/>
      <x:c r="P33" s="78"/>
    </x:row>
    <x:row r="34" ht="40" customHeight="1">
      <x:c r="A34" s="115" t="str">
        <x:v>공명</x:v>
      </x:c>
      <x:c r="B34" s="123" t="str">
        <x:v>침식</x:v>
      </x:c>
      <x:c r="C34" s="106" t="str">
        <x:v>약한 우위</x:v>
      </x:c>
      <x:c r="D34" s="106"/>
      <x:c r="E34" s="151" t="n">
        <x:v>1.2</x:v>
      </x:c>
      <x:c r="F34" s="151"/>
      <x:c r="G34" s="78" t="str">
        <x:v>침식으로 약해진 구조의 미세 균열을 진동이 확대하여 붕괴를 촉진함.</x:v>
      </x:c>
      <x:c r="H34" s="78"/>
      <x:c r="I34" s="78"/>
      <x:c r="J34" s="78"/>
      <x:c r="K34" s="78"/>
      <x:c r="L34" s="78" t="str">
        <x:v>침식 부위가 파동에 따라 넓어지는 연출</x:v>
      </x:c>
      <x:c r="M34" s="78"/>
      <x:c r="N34" s="78"/>
      <x:c r="O34" s="78"/>
      <x:c r="P34" s="78"/>
    </x:row>
    <x:row r="35" ht="40" customHeight="1">
      <x:c r="A35" s="119" t="str">
        <x:v>차단</x:v>
      </x:c>
      <x:c r="B35" s="111" t="str">
        <x:v>안정</x:v>
      </x:c>
      <x:c r="C35" s="106" t="str">
        <x:v>약한 우위</x:v>
      </x:c>
      <x:c r="D35" s="106"/>
      <x:c r="E35" s="151" t="n">
        <x:v>1.2</x:v>
      </x:c>
      <x:c r="F35" s="151"/>
      <x:c r="G35" s="78" t="str">
        <x:v>안정 상태를 유지하는 에너지 공급과 연결을 끊어 구조의 유지력을 약화함.</x:v>
      </x:c>
      <x:c r="H35" s="78"/>
      <x:c r="I35" s="78"/>
      <x:c r="J35" s="78"/>
      <x:c r="K35" s="78"/>
      <x:c r="L35" s="78" t="str">
        <x:v>고정선 일부가 끊기며 약점 이펙트 표시</x:v>
      </x:c>
      <x:c r="M35" s="78"/>
      <x:c r="N35" s="78"/>
      <x:c r="O35" s="78"/>
      <x:c r="P35" s="78"/>
    </x:row>
    <x:row r="36" ht="40" customHeight="1">
      <x:c r="A36" s="119" t="str">
        <x:v>차단</x:v>
      </x:c>
      <x:c r="B36" s="115" t="str">
        <x:v>공명</x:v>
      </x:c>
      <x:c r="C36" s="106" t="str">
        <x:v>강한 열위</x:v>
      </x:c>
      <x:c r="D36" s="106"/>
      <x:c r="E36" s="147" t="n">
        <x:v>0.3</x:v>
      </x:c>
      <x:c r="F36" s="147"/>
      <x:c r="G36" s="78" t="str">
        <x:v>공명은 파동이 누적된 뒤에도 영향이 남아 단일 연결 차단만으로 완전히 제거하기 어려움.</x:v>
      </x:c>
      <x:c r="H36" s="78"/>
      <x:c r="I36" s="78"/>
      <x:c r="J36" s="78"/>
      <x:c r="K36" s="78"/>
      <x:c r="L36" s="78" t="str">
        <x:v>차단선 너머로 파문이 이어지는 연출</x:v>
      </x:c>
      <x:c r="M36" s="78"/>
      <x:c r="N36" s="78"/>
      <x:c r="O36" s="78"/>
      <x:c r="P36" s="78"/>
    </x:row>
    <x:row r="37" ht="40" customHeight="1">
      <x:c r="A37" s="119" t="str">
        <x:v>차단</x:v>
      </x:c>
      <x:c r="B37" s="119" t="str">
        <x:v>차단</x:v>
      </x:c>
      <x:c r="C37" s="106" t="str">
        <x:v>동일</x:v>
      </x:c>
      <x:c r="D37" s="106"/>
      <x:c r="E37" s="135" t="n">
        <x:v>1</x:v>
      </x:c>
      <x:c r="F37" s="135"/>
      <x:c r="G37" s="78" t="str">
        <x:v>동일한 파장끼리는 서로 우위가 없으므로 기존 피해식에 영향을 주지 않음.</x:v>
      </x:c>
      <x:c r="H37" s="78"/>
      <x:c r="I37" s="78"/>
      <x:c r="J37" s="78"/>
      <x:c r="K37" s="78"/>
      <x:c r="L37" s="78" t="str">
        <x:v>기본 피해 수치와 기본 속성 이펙트 적용</x:v>
      </x:c>
      <x:c r="M37" s="78"/>
      <x:c r="N37" s="78"/>
      <x:c r="O37" s="78"/>
      <x:c r="P37" s="78"/>
    </x:row>
    <x:row r="38" ht="40" customHeight="1">
      <x:c r="A38" s="119" t="str">
        <x:v>차단</x:v>
      </x:c>
      <x:c r="B38" s="123" t="str">
        <x:v>침식</x:v>
      </x:c>
      <x:c r="C38" s="106" t="str">
        <x:v>강한 우위</x:v>
      </x:c>
      <x:c r="D38" s="106"/>
      <x:c r="E38" s="139" t="n">
        <x:v>1.7</x:v>
      </x:c>
      <x:c r="F38" s="139"/>
      <x:c r="G38" s="78" t="str">
        <x:v>침식 에너지의 접촉·전이·확산 경로를 끊어 핵심 작용을 직접 무력화함.</x:v>
      </x:c>
      <x:c r="H38" s="78"/>
      <x:c r="I38" s="78"/>
      <x:c r="J38" s="78"/>
      <x:c r="K38" s="78"/>
      <x:c r="L38" s="78" t="str">
        <x:v>번짐이 절단되고 약점 적중 이펙트 강조</x:v>
      </x:c>
      <x:c r="M38" s="78"/>
      <x:c r="N38" s="78"/>
      <x:c r="O38" s="78"/>
      <x:c r="P38" s="78"/>
    </x:row>
    <x:row r="39" ht="40" customHeight="1">
      <x:c r="A39" s="123" t="str">
        <x:v>침식</x:v>
      </x:c>
      <x:c r="B39" s="111" t="str">
        <x:v>안정</x:v>
      </x:c>
      <x:c r="C39" s="106" t="str">
        <x:v>강한 우위</x:v>
      </x:c>
      <x:c r="D39" s="106"/>
      <x:c r="E39" s="139" t="n">
        <x:v>1.7</x:v>
      </x:c>
      <x:c r="F39" s="139"/>
      <x:c r="G39" s="78" t="str">
        <x:v>고정된 구조의 결합을 점진적으로 붕괴시켜 안정 상태 자체를 해체함.</x:v>
      </x:c>
      <x:c r="H39" s="78"/>
      <x:c r="I39" s="78"/>
      <x:c r="J39" s="78"/>
      <x:c r="K39" s="78"/>
      <x:c r="L39" s="78" t="str">
        <x:v>고정 구조가 부식되며 무너지는 연출</x:v>
      </x:c>
      <x:c r="M39" s="78"/>
      <x:c r="N39" s="78"/>
      <x:c r="O39" s="78"/>
      <x:c r="P39" s="78"/>
    </x:row>
    <x:row r="40" ht="40" customHeight="1">
      <x:c r="A40" s="123" t="str">
        <x:v>침식</x:v>
      </x:c>
      <x:c r="B40" s="115" t="str">
        <x:v>공명</x:v>
      </x:c>
      <x:c r="C40" s="106" t="str">
        <x:v>약한 열위</x:v>
      </x:c>
      <x:c r="D40" s="106"/>
      <x:c r="E40" s="143" t="n">
        <x:v>0.8</x:v>
      </x:c>
      <x:c r="F40" s="143"/>
      <x:c r="G40" s="78" t="str">
        <x:v>지속적인 진동 때문에 침식 에너지가 한 지점에 축적되지 못하고 일부 분산됨.</x:v>
      </x:c>
      <x:c r="H40" s="78"/>
      <x:c r="I40" s="78"/>
      <x:c r="J40" s="78"/>
      <x:c r="K40" s="78"/>
      <x:c r="L40" s="78" t="str">
        <x:v>번짐이 진동에 밀려 퍼지는 연출</x:v>
      </x:c>
      <x:c r="M40" s="78"/>
      <x:c r="N40" s="78"/>
      <x:c r="O40" s="78"/>
      <x:c r="P40" s="78"/>
    </x:row>
    <x:row r="41" ht="40" customHeight="1">
      <x:c r="A41" s="123" t="str">
        <x:v>침식</x:v>
      </x:c>
      <x:c r="B41" s="119" t="str">
        <x:v>차단</x:v>
      </x:c>
      <x:c r="C41" s="106" t="str">
        <x:v>강한 열위</x:v>
      </x:c>
      <x:c r="D41" s="106"/>
      <x:c r="E41" s="147" t="n">
        <x:v>0.3</x:v>
      </x:c>
      <x:c r="F41" s="147"/>
      <x:c r="G41" s="78" t="str">
        <x:v>차단 상태가 침식의 접촉과 확산을 막아 오염이 축적되지 못함.</x:v>
      </x:c>
      <x:c r="H41" s="78"/>
      <x:c r="I41" s="78"/>
      <x:c r="J41" s="78"/>
      <x:c r="K41" s="78"/>
      <x:c r="L41" s="78" t="str">
        <x:v>침식 입자가 차단벽 앞에서 소멸하는 연출</x:v>
      </x:c>
      <x:c r="M41" s="78"/>
      <x:c r="N41" s="78"/>
      <x:c r="O41" s="78"/>
      <x:c r="P41" s="78"/>
    </x:row>
    <x:row r="42" ht="40" customHeight="1">
      <x:c r="A42" s="123" t="str">
        <x:v>침식</x:v>
      </x:c>
      <x:c r="B42" s="123" t="str">
        <x:v>침식</x:v>
      </x:c>
      <x:c r="C42" s="106" t="str">
        <x:v>동일</x:v>
      </x:c>
      <x:c r="D42" s="106"/>
      <x:c r="E42" s="135" t="n">
        <x:v>1</x:v>
      </x:c>
      <x:c r="F42" s="135"/>
      <x:c r="G42" s="78" t="str">
        <x:v>동일한 파장끼리는 서로 우위가 없으므로 기존 피해식에 영향을 주지 않음.</x:v>
      </x:c>
      <x:c r="H42" s="78"/>
      <x:c r="I42" s="78"/>
      <x:c r="J42" s="78"/>
      <x:c r="K42" s="78"/>
      <x:c r="L42" s="78" t="str">
        <x:v>기본 피해 수치와 기본 속성 이펙트 적용</x:v>
      </x:c>
      <x:c r="M42" s="78"/>
      <x:c r="N42" s="78"/>
      <x:c r="O42" s="78"/>
      <x:c r="P42" s="78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</x:row>
    <x:row r="44" ht="23" customHeight="1">
      <x:c r="A44" s="59" t="str">
        <x:v>4. 시스템 볼륨맵</x:v>
      </x:c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/>
      <x:c r="P44" s="61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</x:row>
    <x:row r="46">
      <x:c r="A46" s="263" t="str">
        <x:v>속성 정의 계층
안정 · 공명 · 차단 · 침식
총 4종</x:v>
      </x:c>
      <x:c r="B46" s="263"/>
      <x:c r="C46" s="263"/>
      <x:c r="D46" s="4"/>
      <x:c r="E46" s="275" t="str">
        <x:v>적용 주체 계층
플레이어 장비
몬스터 파장
보스 페이즈</x:v>
      </x:c>
      <x:c r="F46" s="275"/>
      <x:c r="G46" s="275"/>
      <x:c r="H46" s="4"/>
      <x:c r="I46" s="283" t="str">
        <x:v>상성 판정 계층
4 × 4
총 16 Case
상수 5단계</x:v>
      </x:c>
      <x:c r="J46" s="283"/>
      <x:c r="K46" s="283"/>
      <x:c r="L46" s="4"/>
      <x:c r="M46" s="291" t="str">
        <x:v>결과 시스템 계층
최종 피해량
약점·내성 피드백
장비 선택과 보스 대응</x:v>
      </x:c>
      <x:c r="N46" s="291"/>
      <x:c r="O46" s="291"/>
      <x:c r="P46" s="291"/>
    </x:row>
    <x:row r="47">
      <x:c r="A47" s="263"/>
      <x:c r="B47" s="263"/>
      <x:c r="C47" s="263"/>
      <x:c r="D47" s="269" t="str">
        <x:v>→</x:v>
      </x:c>
      <x:c r="E47" s="275"/>
      <x:c r="F47" s="275"/>
      <x:c r="G47" s="275"/>
      <x:c r="H47" s="269" t="str">
        <x:v>→</x:v>
      </x:c>
      <x:c r="I47" s="283"/>
      <x:c r="J47" s="283"/>
      <x:c r="K47" s="283"/>
      <x:c r="L47" s="269" t="str">
        <x:v>→</x:v>
      </x:c>
      <x:c r="M47" s="291"/>
      <x:c r="N47" s="291"/>
      <x:c r="O47" s="291"/>
      <x:c r="P47" s="291"/>
    </x:row>
    <x:row r="48">
      <x:c r="A48" s="263"/>
      <x:c r="B48" s="263"/>
      <x:c r="C48" s="263"/>
      <x:c r="D48" s="269"/>
      <x:c r="E48" s="275"/>
      <x:c r="F48" s="275"/>
      <x:c r="G48" s="275"/>
      <x:c r="H48" s="269"/>
      <x:c r="I48" s="283"/>
      <x:c r="J48" s="283"/>
      <x:c r="K48" s="283"/>
      <x:c r="L48" s="269"/>
      <x:c r="M48" s="291"/>
      <x:c r="N48" s="291"/>
      <x:c r="O48" s="291"/>
      <x:c r="P48" s="291"/>
    </x:row>
    <x:row r="49">
      <x:c r="A49" s="263"/>
      <x:c r="B49" s="263"/>
      <x:c r="C49" s="263"/>
      <x:c r="D49" s="269"/>
      <x:c r="E49" s="275"/>
      <x:c r="F49" s="275"/>
      <x:c r="G49" s="275"/>
      <x:c r="H49" s="269"/>
      <x:c r="I49" s="283"/>
      <x:c r="J49" s="283"/>
      <x:c r="K49" s="283"/>
      <x:c r="L49" s="269"/>
      <x:c r="M49" s="291"/>
      <x:c r="N49" s="291"/>
      <x:c r="O49" s="291"/>
      <x:c r="P49" s="291"/>
    </x:row>
    <x:row r="50">
      <x:c r="A50" s="263"/>
      <x:c r="B50" s="263"/>
      <x:c r="C50" s="263"/>
      <x:c r="D50" s="4"/>
      <x:c r="E50" s="275"/>
      <x:c r="F50" s="275"/>
      <x:c r="G50" s="275"/>
      <x:c r="H50" s="4"/>
      <x:c r="I50" s="283"/>
      <x:c r="J50" s="283"/>
      <x:c r="K50" s="283"/>
      <x:c r="L50" s="4"/>
      <x:c r="M50" s="291"/>
      <x:c r="N50" s="291"/>
      <x:c r="O50" s="291"/>
      <x:c r="P50" s="291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</x:row>
    <x:row r="52" ht="23" customHeight="1">
      <x:c r="A52" s="73" t="str">
        <x:v>속성 유형</x:v>
      </x:c>
      <x:c r="B52" s="73"/>
      <x:c r="C52" s="73"/>
      <x:c r="D52" s="73"/>
      <x:c r="E52" s="73" t="str">
        <x:v>전체 상성 Case</x:v>
      </x:c>
      <x:c r="F52" s="73"/>
      <x:c r="G52" s="73"/>
      <x:c r="H52" s="73"/>
      <x:c r="I52" s="73" t="str">
        <x:v>강한 상성</x:v>
      </x:c>
      <x:c r="J52" s="73"/>
      <x:c r="K52" s="73"/>
      <x:c r="L52" s="73"/>
      <x:c r="M52" s="73" t="str">
        <x:v>보조 상성</x:v>
      </x:c>
      <x:c r="N52" s="73"/>
      <x:c r="O52" s="73"/>
      <x:c r="P52" s="73"/>
    </x:row>
    <x:row r="53" ht="23" customHeight="1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</x:row>
    <x:row r="54" ht="23" customHeight="1">
      <x:c r="A54" s="299" t="str">
        <x:f>COUNTA($B$15:$E$15)&amp;"종"</x:f>
        <x:v>4종</x:v>
      </x:c>
      <x:c r="B54" s="299"/>
      <x:c r="C54" s="299"/>
      <x:c r="D54" s="299"/>
      <x:c r="E54" s="299" t="str">
        <x:f>COUNTA($B$16:$E$19)&amp;"건"</x:f>
        <x:v>16건</x:v>
      </x:c>
      <x:c r="F54" s="299"/>
      <x:c r="G54" s="299"/>
      <x:c r="H54" s="299"/>
      <x:c r="I54" s="299" t="str">
        <x:f>(COUNTIF($B$16:$E$19,1.7)+COUNTIF($B$16:$E$19,0.3))&amp;"건"</x:f>
        <x:v>8건</x:v>
      </x:c>
      <x:c r="J54" s="299"/>
      <x:c r="K54" s="299"/>
      <x:c r="L54" s="299"/>
      <x:c r="M54" s="299" t="str">
        <x:f>(COUNTIF($B$16:$E$19,1.2)+COUNTIF($B$16:$E$19,0.8))&amp;"건"</x:f>
        <x:v>4건</x:v>
      </x:c>
      <x:c r="N54" s="299"/>
      <x:c r="O54" s="299"/>
      <x:c r="P54" s="299"/>
    </x:row>
    <x:row r="55" ht="23" customHeight="1">
      <x:c r="A55" s="299"/>
      <x:c r="B55" s="299"/>
      <x:c r="C55" s="299"/>
      <x:c r="D55" s="299"/>
      <x:c r="E55" s="299"/>
      <x:c r="F55" s="299"/>
      <x:c r="G55" s="299"/>
      <x:c r="H55" s="299"/>
      <x:c r="I55" s="299"/>
      <x:c r="J55" s="299"/>
      <x:c r="K55" s="299"/>
      <x:c r="L55" s="299"/>
      <x:c r="M55" s="299"/>
      <x:c r="N55" s="299"/>
      <x:c r="O55" s="299"/>
      <x:c r="P55" s="299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</x:row>
    <x:row r="57">
      <x:c r="A57" s="263" t="str">
        <x:v>플레이어 공격 속성
공격 장비·모듈
4종 대응 설계</x:v>
      </x:c>
      <x:c r="B57" s="263"/>
      <x:c r="C57" s="263"/>
      <x:c r="D57" s="263"/>
      <x:c r="E57" s="263" t="str">
        <x:v>플레이어 방어 속성
방호 장비
4종 대응 설계</x:v>
      </x:c>
      <x:c r="F57" s="263"/>
      <x:c r="G57" s="263"/>
      <x:c r="H57" s="263"/>
      <x:c r="I57" s="275" t="str">
        <x:v>몬스터 속성 지정
몬스터 1종당
공격 1 + 방어 1</x:v>
      </x:c>
      <x:c r="J57" s="275"/>
      <x:c r="K57" s="275"/>
      <x:c r="L57" s="275"/>
      <x:c r="M57" s="275" t="str">
        <x:v>보스 확장 범위
페이즈별 공격·방어
속성 재지정 가능</x:v>
      </x:c>
      <x:c r="N57" s="275"/>
      <x:c r="O57" s="275"/>
      <x:c r="P57" s="275"/>
    </x:row>
    <x:row r="58">
      <x:c r="A58" s="263"/>
      <x:c r="B58" s="263"/>
      <x:c r="C58" s="263"/>
      <x:c r="D58" s="263"/>
      <x:c r="E58" s="263"/>
      <x:c r="F58" s="263"/>
      <x:c r="G58" s="263"/>
      <x:c r="H58" s="263"/>
      <x:c r="I58" s="275"/>
      <x:c r="J58" s="275"/>
      <x:c r="K58" s="275"/>
      <x:c r="L58" s="275"/>
      <x:c r="M58" s="275"/>
      <x:c r="N58" s="275"/>
      <x:c r="O58" s="275"/>
      <x:c r="P58" s="275"/>
    </x:row>
    <x:row r="59">
      <x:c r="A59" s="263"/>
      <x:c r="B59" s="263"/>
      <x:c r="C59" s="263"/>
      <x:c r="D59" s="263"/>
      <x:c r="E59" s="263"/>
      <x:c r="F59" s="263"/>
      <x:c r="G59" s="263"/>
      <x:c r="H59" s="263"/>
      <x:c r="I59" s="275"/>
      <x:c r="J59" s="275"/>
      <x:c r="K59" s="275"/>
      <x:c r="L59" s="275"/>
      <x:c r="M59" s="275"/>
      <x:c r="N59" s="275"/>
      <x:c r="O59" s="275"/>
      <x:c r="P59" s="275"/>
    </x:row>
    <x:row r="60">
      <x:c r="A60" s="263"/>
      <x:c r="B60" s="263"/>
      <x:c r="C60" s="263"/>
      <x:c r="D60" s="263"/>
      <x:c r="E60" s="263"/>
      <x:c r="F60" s="263"/>
      <x:c r="G60" s="263"/>
      <x:c r="H60" s="263"/>
      <x:c r="I60" s="275"/>
      <x:c r="J60" s="275"/>
      <x:c r="K60" s="275"/>
      <x:c r="L60" s="275"/>
      <x:c r="M60" s="275"/>
      <x:c r="N60" s="275"/>
      <x:c r="O60" s="275"/>
      <x:c r="P60" s="275"/>
    </x:row>
    <x:row r="61" ht="23" customHeight="1">
      <x:c r="A61" s="309" t="str">
        <x:v>볼륨 기준: 속성 4종 × 방어 속성 4종 = 16개 조합을 모두 작성하며, 몬스터 수와 보스 페이즈 수가 늘어나도 동일한 상수표를 재사용함.</x:v>
      </x:c>
      <x:c r="B61" s="310"/>
      <x:c r="C61" s="310"/>
      <x:c r="D61" s="310"/>
      <x:c r="E61" s="310"/>
      <x:c r="F61" s="310"/>
      <x:c r="G61" s="310"/>
      <x:c r="H61" s="310"/>
      <x:c r="I61" s="310"/>
      <x:c r="J61" s="310"/>
      <x:c r="K61" s="310"/>
      <x:c r="L61" s="310"/>
      <x:c r="M61" s="310"/>
      <x:c r="N61" s="310"/>
      <x:c r="O61" s="310"/>
      <x:c r="P61" s="311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</x:row>
    <x:row r="63" ht="23" customHeight="1">
      <x:c r="A63" s="59" t="str">
        <x:v>5. 속성 판정 도식</x:v>
      </x:c>
      <x:c r="B63" s="60"/>
      <x:c r="C63" s="60"/>
      <x:c r="D63" s="60"/>
      <x:c r="E63" s="60"/>
      <x:c r="F63" s="60"/>
      <x:c r="G63" s="60"/>
      <x:c r="H63" s="60"/>
      <x:c r="I63" s="60"/>
      <x:c r="J63" s="60"/>
      <x:c r="K63" s="60"/>
      <x:c r="L63" s="60"/>
      <x:c r="M63" s="60"/>
      <x:c r="N63" s="60"/>
      <x:c r="O63" s="60"/>
      <x:c r="P63" s="61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</x:row>
    <x:row r="65">
      <x:c r="A65" s="206" t="str">
        <x:v>공격 발생
일반 공격·스킬·몬스터 패턴</x:v>
      </x:c>
      <x:c r="B65" s="206"/>
      <x:c r="C65" s="206"/>
      <x:c r="D65" s="4"/>
      <x:c r="E65" s="263" t="str">
        <x:v>공격 속성 확인
무기·공격 모듈
또는 몬스터 공격 파장</x:v>
      </x:c>
      <x:c r="F65" s="263"/>
      <x:c r="G65" s="263"/>
      <x:c r="H65" s="4"/>
      <x:c r="I65" s="263" t="str">
        <x:v>방어 속성 확인
방호 장비
또는 몬스터 방어 파장</x:v>
      </x:c>
      <x:c r="J65" s="263"/>
      <x:c r="K65" s="263"/>
      <x:c r="L65" s="4"/>
      <x:c r="M65" s="275" t="str">
        <x:v>대차대조표 조회
공격자 행 × 방어자 열
매개 상수 K 결정</x:v>
      </x:c>
      <x:c r="N65" s="275"/>
      <x:c r="O65" s="275"/>
      <x:c r="P65" s="275"/>
    </x:row>
    <x:row r="66">
      <x:c r="A66" s="206"/>
      <x:c r="B66" s="206"/>
      <x:c r="C66" s="206"/>
      <x:c r="D66" s="269" t="str">
        <x:v>→</x:v>
      </x:c>
      <x:c r="E66" s="263"/>
      <x:c r="F66" s="263"/>
      <x:c r="G66" s="263"/>
      <x:c r="H66" s="269" t="str">
        <x:v>→</x:v>
      </x:c>
      <x:c r="I66" s="263"/>
      <x:c r="J66" s="263"/>
      <x:c r="K66" s="263"/>
      <x:c r="L66" s="269" t="str">
        <x:v>→</x:v>
      </x:c>
      <x:c r="M66" s="275"/>
      <x:c r="N66" s="275"/>
      <x:c r="O66" s="275"/>
      <x:c r="P66" s="275"/>
    </x:row>
    <x:row r="67">
      <x:c r="A67" s="206"/>
      <x:c r="B67" s="206"/>
      <x:c r="C67" s="206"/>
      <x:c r="D67" s="269"/>
      <x:c r="E67" s="263"/>
      <x:c r="F67" s="263"/>
      <x:c r="G67" s="263"/>
      <x:c r="H67" s="269"/>
      <x:c r="I67" s="263"/>
      <x:c r="J67" s="263"/>
      <x:c r="K67" s="263"/>
      <x:c r="L67" s="269"/>
      <x:c r="M67" s="275"/>
      <x:c r="N67" s="275"/>
      <x:c r="O67" s="275"/>
      <x:c r="P67" s="275"/>
    </x:row>
    <x:row r="68">
      <x:c r="A68" s="206"/>
      <x:c r="B68" s="206"/>
      <x:c r="C68" s="206"/>
      <x:c r="D68" s="4"/>
      <x:c r="E68" s="263"/>
      <x:c r="F68" s="263"/>
      <x:c r="G68" s="263"/>
      <x:c r="H68" s="4"/>
      <x:c r="I68" s="263"/>
      <x:c r="J68" s="263"/>
      <x:c r="K68" s="263"/>
      <x:c r="L68" s="4"/>
      <x:c r="M68" s="275"/>
      <x:c r="N68" s="275"/>
      <x:c r="O68" s="275"/>
      <x:c r="P68" s="275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</x:row>
    <x:row r="70">
      <x:c r="A70" s="206" t="str">
        <x:v>상성 적용 전 피해
공격력 합산치 × 스킬 계수 − 방어력 합산치</x:v>
      </x:c>
      <x:c r="B70" s="206"/>
      <x:c r="C70" s="206"/>
      <x:c r="D70" s="206"/>
      <x:c r="E70" s="206"/>
      <x:c r="F70" s="206"/>
      <x:c r="G70" s="4"/>
      <x:c r="H70" s="327" t="str">
        <x:v>속성 상수 적용
상성 적용 전 피해 × K</x:v>
      </x:c>
      <x:c r="I70" s="327"/>
      <x:c r="J70" s="327"/>
      <x:c r="K70" s="327"/>
      <x:c r="L70" s="4"/>
      <x:c r="M70" s="291" t="str">
        <x:v>최종 피해 및 피드백
피해량 반영
약점·내성 UI와 이펙트 출력</x:v>
      </x:c>
      <x:c r="N70" s="291"/>
      <x:c r="O70" s="291"/>
      <x:c r="P70" s="291"/>
    </x:row>
    <x:row r="71">
      <x:c r="A71" s="206"/>
      <x:c r="B71" s="206"/>
      <x:c r="C71" s="206"/>
      <x:c r="D71" s="206"/>
      <x:c r="E71" s="206"/>
      <x:c r="F71" s="206"/>
      <x:c r="G71" s="269" t="str">
        <x:v>→</x:v>
      </x:c>
      <x:c r="H71" s="327"/>
      <x:c r="I71" s="327"/>
      <x:c r="J71" s="327"/>
      <x:c r="K71" s="327"/>
      <x:c r="L71" s="269" t="str">
        <x:v>→</x:v>
      </x:c>
      <x:c r="M71" s="291"/>
      <x:c r="N71" s="291"/>
      <x:c r="O71" s="291"/>
      <x:c r="P71" s="291"/>
    </x:row>
    <x:row r="72">
      <x:c r="A72" s="206"/>
      <x:c r="B72" s="206"/>
      <x:c r="C72" s="206"/>
      <x:c r="D72" s="206"/>
      <x:c r="E72" s="206"/>
      <x:c r="F72" s="206"/>
      <x:c r="G72" s="269"/>
      <x:c r="H72" s="327"/>
      <x:c r="I72" s="327"/>
      <x:c r="J72" s="327"/>
      <x:c r="K72" s="327"/>
      <x:c r="L72" s="269"/>
      <x:c r="M72" s="291"/>
      <x:c r="N72" s="291"/>
      <x:c r="O72" s="291"/>
      <x:c r="P72" s="291"/>
    </x:row>
    <x:row r="73">
      <x:c r="A73" s="206"/>
      <x:c r="B73" s="206"/>
      <x:c r="C73" s="206"/>
      <x:c r="D73" s="206"/>
      <x:c r="E73" s="206"/>
      <x:c r="F73" s="206"/>
      <x:c r="G73" s="4"/>
      <x:c r="H73" s="327"/>
      <x:c r="I73" s="327"/>
      <x:c r="J73" s="327"/>
      <x:c r="K73" s="327"/>
      <x:c r="L73" s="4"/>
      <x:c r="M73" s="291"/>
      <x:c r="N73" s="291"/>
      <x:c r="O73" s="291"/>
      <x:c r="P73" s="291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</x:row>
    <x:row r="75" ht="23" customHeight="1">
      <x:c r="A75" s="73" t="str">
        <x:v>강한 상성 순환</x:v>
      </x:c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</x:row>
    <x:row r="77">
      <x:c r="A77" s="335" t="str">
        <x:v>안정</x:v>
      </x:c>
      <x:c r="B77" s="335"/>
      <x:c r="C77" s="335"/>
      <x:c r="D77" s="269" t="str">
        <x:v>→</x:v>
      </x:c>
      <x:c r="E77" s="343" t="str">
        <x:v>공명</x:v>
      </x:c>
      <x:c r="F77" s="343"/>
      <x:c r="G77" s="343"/>
      <x:c r="H77" s="269" t="str">
        <x:v>→</x:v>
      </x:c>
      <x:c r="I77" s="351" t="str">
        <x:v>차단</x:v>
      </x:c>
      <x:c r="J77" s="351"/>
      <x:c r="K77" s="351"/>
      <x:c r="L77" s="269" t="str">
        <x:v>→</x:v>
      </x:c>
      <x:c r="M77" s="359" t="str">
        <x:v>침식</x:v>
      </x:c>
      <x:c r="N77" s="359"/>
      <x:c r="O77" s="359"/>
      <x:c r="P77" s="269" t="str">
        <x:v>↺</x:v>
      </x:c>
    </x:row>
    <x:row r="78">
      <x:c r="A78" s="335"/>
      <x:c r="B78" s="335"/>
      <x:c r="C78" s="335"/>
      <x:c r="D78" s="269"/>
      <x:c r="E78" s="343"/>
      <x:c r="F78" s="343"/>
      <x:c r="G78" s="343"/>
      <x:c r="H78" s="269"/>
      <x:c r="I78" s="351"/>
      <x:c r="J78" s="351"/>
      <x:c r="K78" s="351"/>
      <x:c r="L78" s="269"/>
      <x:c r="M78" s="359"/>
      <x:c r="N78" s="359"/>
      <x:c r="O78" s="359"/>
      <x:c r="P78" s="269"/>
    </x:row>
    <x:row r="79">
      <x:c r="A79" s="335"/>
      <x:c r="B79" s="335"/>
      <x:c r="C79" s="335"/>
      <x:c r="D79" s="269"/>
      <x:c r="E79" s="343"/>
      <x:c r="F79" s="343"/>
      <x:c r="G79" s="343"/>
      <x:c r="H79" s="269"/>
      <x:c r="I79" s="351"/>
      <x:c r="J79" s="351"/>
      <x:c r="K79" s="351"/>
      <x:c r="L79" s="269"/>
      <x:c r="M79" s="359"/>
      <x:c r="N79" s="359"/>
      <x:c r="O79" s="359"/>
      <x:c r="P79" s="269"/>
    </x:row>
    <x:row r="80" ht="23" customHeight="1">
      <x:c r="A80" s="368" t="str">
        <x:v>안정 → 공명 → 차단 → 침식 → 안정은 ×1.7의 강한 우위 관계이며, 반대 방향은 ×0.3의 강한 열위 관계로 적용함.</x:v>
      </x:c>
      <x:c r="B80" s="369"/>
      <x:c r="C80" s="369"/>
      <x:c r="D80" s="369"/>
      <x:c r="E80" s="369"/>
      <x:c r="F80" s="369"/>
      <x:c r="G80" s="369"/>
      <x:c r="H80" s="369"/>
      <x:c r="I80" s="369"/>
      <x:c r="J80" s="369"/>
      <x:c r="K80" s="369"/>
      <x:c r="L80" s="369"/>
      <x:c r="M80" s="369"/>
      <x:c r="N80" s="369"/>
      <x:c r="O80" s="369"/>
      <x:c r="P80" s="370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</x:row>
    <x:row r="82" ht="23" customHeight="1">
      <x:c r="A82" s="59" t="str">
        <x:v>6. 운용 원칙</x:v>
      </x:c>
      <x:c r="B82" s="60"/>
      <x:c r="C82" s="60"/>
      <x:c r="D82" s="60"/>
      <x:c r="E82" s="60"/>
      <x:c r="F82" s="60"/>
      <x:c r="G82" s="60"/>
      <x:c r="H82" s="60"/>
      <x:c r="I82" s="60"/>
      <x:c r="J82" s="60"/>
      <x:c r="K82" s="60"/>
      <x:c r="L82" s="60"/>
      <x:c r="M82" s="60"/>
      <x:c r="N82" s="60"/>
      <x:c r="O82" s="60"/>
      <x:c r="P82" s="61"/>
    </x:row>
    <x:row r="83" ht="22" customHeight="1">
      <x:c r="A83" s="381" t="str">
        <x:v>• 같은 속성끼리는 우열이 없으므로 ×1.0을 적용함.</x:v>
      </x:c>
      <x:c r="B83" s="382"/>
      <x:c r="C83" s="382"/>
      <x:c r="D83" s="382"/>
      <x:c r="E83" s="382"/>
      <x:c r="F83" s="382"/>
      <x:c r="G83" s="382"/>
      <x:c r="H83" s="382"/>
      <x:c r="I83" s="382"/>
      <x:c r="J83" s="382"/>
      <x:c r="K83" s="382"/>
      <x:c r="L83" s="382"/>
      <x:c r="M83" s="382"/>
      <x:c r="N83" s="382"/>
      <x:c r="O83" s="382"/>
      <x:c r="P83" s="383"/>
    </x:row>
    <x:row r="84" ht="22" customHeight="1">
      <x:c r="A84" s="381" t="str">
        <x:v>• 안정·공명·차단·침식의 4×4 조합 16개를 Case by case로 모두 작성하고, 각 수치의 시스템적 근거를 함께 관리함.</x:v>
      </x:c>
      <x:c r="B84" s="382"/>
      <x:c r="C84" s="382"/>
      <x:c r="D84" s="382"/>
      <x:c r="E84" s="382"/>
      <x:c r="F84" s="382"/>
      <x:c r="G84" s="382"/>
      <x:c r="H84" s="382"/>
      <x:c r="I84" s="382"/>
      <x:c r="J84" s="382"/>
      <x:c r="K84" s="382"/>
      <x:c r="L84" s="382"/>
      <x:c r="M84" s="382"/>
      <x:c r="N84" s="382"/>
      <x:c r="O84" s="382"/>
      <x:c r="P84" s="383"/>
    </x:row>
    <x:row r="85" ht="22" customHeight="1">
      <x:c r="A85" s="381" t="str">
        <x:v>• 차한해의 공격 속성은 공격 장비·모듈, 방어 속성은 방호 장비로 각각 결정하여 직업이 없는 구조를 보완함.</x:v>
      </x:c>
      <x:c r="B85" s="382"/>
      <x:c r="C85" s="382"/>
      <x:c r="D85" s="382"/>
      <x:c r="E85" s="382"/>
      <x:c r="F85" s="382"/>
      <x:c r="G85" s="382"/>
      <x:c r="H85" s="382"/>
      <x:c r="I85" s="382"/>
      <x:c r="J85" s="382"/>
      <x:c r="K85" s="382"/>
      <x:c r="L85" s="382"/>
      <x:c r="M85" s="382"/>
      <x:c r="N85" s="382"/>
      <x:c r="O85" s="382"/>
      <x:c r="P85" s="383"/>
    </x:row>
    <x:row r="86" ht="22" customHeight="1">
      <x:c r="A86" s="381" t="str">
        <x:v>• 몬스터는 공격 속성과 방어 속성을 별도로 지정하고, 보스는 페이즈에 따라 속성을 변경할 수 있음.</x:v>
      </x:c>
      <x:c r="B86" s="382"/>
      <x:c r="C86" s="382"/>
      <x:c r="D86" s="382"/>
      <x:c r="E86" s="382"/>
      <x:c r="F86" s="382"/>
      <x:c r="G86" s="382"/>
      <x:c r="H86" s="382"/>
      <x:c r="I86" s="382"/>
      <x:c r="J86" s="382"/>
      <x:c r="K86" s="382"/>
      <x:c r="L86" s="382"/>
      <x:c r="M86" s="382"/>
      <x:c r="N86" s="382"/>
      <x:c r="O86" s="382"/>
      <x:c r="P86" s="383"/>
    </x:row>
    <x:row r="87" ht="22" customHeight="1">
      <x:c r="A87" s="381" t="str">
        <x:v>• 본 시트의 1.7·1.2·1.0·0.8·0.3은 초기 설계 상수이며, 실제 전투 시간과 장비 선택률을 기준으로 플레이 테스트 후 조정함.</x:v>
      </x:c>
      <x:c r="B87" s="382"/>
      <x:c r="C87" s="382"/>
      <x:c r="D87" s="382"/>
      <x:c r="E87" s="382"/>
      <x:c r="F87" s="382"/>
      <x:c r="G87" s="382"/>
      <x:c r="H87" s="382"/>
      <x:c r="I87" s="382"/>
      <x:c r="J87" s="382"/>
      <x:c r="K87" s="382"/>
      <x:c r="L87" s="382"/>
      <x:c r="M87" s="382"/>
      <x:c r="N87" s="382"/>
      <x:c r="O87" s="382"/>
      <x:c r="P87" s="383"/>
    </x:row>
  </x:sheetData>
  <x:mergeCells>
    <x:mergeCell ref="A1:P2"/>
    <x:mergeCell ref="A3:P3"/>
    <x:mergeCell ref="A4:P4"/>
    <x:mergeCell ref="A6:P6"/>
    <x:mergeCell ref="B7:D7"/>
    <x:mergeCell ref="E7:H7"/>
    <x:mergeCell ref="I7:L7"/>
    <x:mergeCell ref="M7:P7"/>
    <x:mergeCell ref="B8:D8"/>
    <x:mergeCell ref="E8:H8"/>
    <x:mergeCell ref="I8:L8"/>
    <x:mergeCell ref="M8:P8"/>
    <x:mergeCell ref="B9:D9"/>
    <x:mergeCell ref="E9:H9"/>
    <x:mergeCell ref="I9:L9"/>
    <x:mergeCell ref="M9:P9"/>
    <x:mergeCell ref="B10:D10"/>
    <x:mergeCell ref="E10:H10"/>
    <x:mergeCell ref="I10:L10"/>
    <x:mergeCell ref="M10:P10"/>
    <x:mergeCell ref="B11:D11"/>
    <x:mergeCell ref="E11:H11"/>
    <x:mergeCell ref="I11:L11"/>
    <x:mergeCell ref="M11:P11"/>
    <x:mergeCell ref="A13:P13"/>
    <x:mergeCell ref="A14:E14"/>
    <x:mergeCell ref="G14:P14"/>
    <x:mergeCell ref="G15:I15"/>
    <x:mergeCell ref="J15:K15"/>
    <x:mergeCell ref="L15:P15"/>
    <x:mergeCell ref="G16:I16"/>
    <x:mergeCell ref="J16:K16"/>
    <x:mergeCell ref="L16:P16"/>
    <x:mergeCell ref="G17:I17"/>
    <x:mergeCell ref="J17:K17"/>
    <x:mergeCell ref="L17:P17"/>
    <x:mergeCell ref="G18:I18"/>
    <x:mergeCell ref="J18:K18"/>
    <x:mergeCell ref="L18:P18"/>
    <x:mergeCell ref="G19:I19"/>
    <x:mergeCell ref="J19:K19"/>
    <x:mergeCell ref="L19:P19"/>
    <x:mergeCell ref="G20:I20"/>
    <x:mergeCell ref="J20:K20"/>
    <x:mergeCell ref="L20:P20"/>
    <x:mergeCell ref="G21:I21"/>
    <x:mergeCell ref="J21:K21"/>
    <x:mergeCell ref="L21:P21"/>
    <x:mergeCell ref="G22:I22"/>
    <x:mergeCell ref="J22:K22"/>
    <x:mergeCell ref="L22:P22"/>
    <x:mergeCell ref="G23:I23"/>
    <x:mergeCell ref="J23:K23"/>
    <x:mergeCell ref="L23:P23"/>
    <x:mergeCell ref="A25:P25"/>
    <x:mergeCell ref="C26:D26"/>
    <x:mergeCell ref="E26:F26"/>
    <x:mergeCell ref="G26:K26"/>
    <x:mergeCell ref="L26:P26"/>
    <x:mergeCell ref="C27:D27"/>
    <x:mergeCell ref="E27:F27"/>
    <x:mergeCell ref="G27:K27"/>
    <x:mergeCell ref="L27:P27"/>
    <x:mergeCell ref="C28:D28"/>
    <x:mergeCell ref="E28:F28"/>
    <x:mergeCell ref="G28:K28"/>
    <x:mergeCell ref="L28:P28"/>
    <x:mergeCell ref="C29:D29"/>
    <x:mergeCell ref="E29:F29"/>
    <x:mergeCell ref="G29:K29"/>
    <x:mergeCell ref="L29:P29"/>
    <x:mergeCell ref="C30:D30"/>
    <x:mergeCell ref="E30:F30"/>
    <x:mergeCell ref="G30:K30"/>
    <x:mergeCell ref="L30:P30"/>
    <x:mergeCell ref="C31:D31"/>
    <x:mergeCell ref="E31:F31"/>
    <x:mergeCell ref="G31:K31"/>
    <x:mergeCell ref="L31:P31"/>
    <x:mergeCell ref="C32:D32"/>
    <x:mergeCell ref="E32:F32"/>
    <x:mergeCell ref="G32:K32"/>
    <x:mergeCell ref="L32:P32"/>
    <x:mergeCell ref="C33:D33"/>
    <x:mergeCell ref="E33:F33"/>
    <x:mergeCell ref="G33:K33"/>
    <x:mergeCell ref="L33:P33"/>
    <x:mergeCell ref="C34:D34"/>
    <x:mergeCell ref="E34:F34"/>
    <x:mergeCell ref="G34:K34"/>
    <x:mergeCell ref="L34:P34"/>
    <x:mergeCell ref="C35:D35"/>
    <x:mergeCell ref="E35:F35"/>
    <x:mergeCell ref="G35:K35"/>
    <x:mergeCell ref="L35:P35"/>
    <x:mergeCell ref="C36:D36"/>
    <x:mergeCell ref="E36:F36"/>
    <x:mergeCell ref="G36:K36"/>
    <x:mergeCell ref="L36:P36"/>
    <x:mergeCell ref="C37:D37"/>
    <x:mergeCell ref="E37:F37"/>
    <x:mergeCell ref="G37:K37"/>
    <x:mergeCell ref="L37:P37"/>
    <x:mergeCell ref="C38:D38"/>
    <x:mergeCell ref="E38:F38"/>
    <x:mergeCell ref="G38:K38"/>
    <x:mergeCell ref="L38:P38"/>
    <x:mergeCell ref="C39:D39"/>
    <x:mergeCell ref="E39:F39"/>
    <x:mergeCell ref="G39:K39"/>
    <x:mergeCell ref="L39:P39"/>
    <x:mergeCell ref="C40:D40"/>
    <x:mergeCell ref="E40:F40"/>
    <x:mergeCell ref="G40:K40"/>
    <x:mergeCell ref="L40:P40"/>
    <x:mergeCell ref="C41:D41"/>
    <x:mergeCell ref="E41:F41"/>
    <x:mergeCell ref="G41:K41"/>
    <x:mergeCell ref="L41:P41"/>
    <x:mergeCell ref="C42:D42"/>
    <x:mergeCell ref="E42:F42"/>
    <x:mergeCell ref="G42:K42"/>
    <x:mergeCell ref="L42:P42"/>
    <x:mergeCell ref="A44:P44"/>
    <x:mergeCell ref="A46:C50"/>
    <x:mergeCell ref="D47:D49"/>
    <x:mergeCell ref="E46:G50"/>
    <x:mergeCell ref="H47:H49"/>
    <x:mergeCell ref="I46:K50"/>
    <x:mergeCell ref="L47:L49"/>
    <x:mergeCell ref="M46:P50"/>
    <x:mergeCell ref="A52:D53"/>
    <x:mergeCell ref="E52:H53"/>
    <x:mergeCell ref="I52:L53"/>
    <x:mergeCell ref="M52:P53"/>
    <x:mergeCell ref="A54:D55"/>
    <x:mergeCell ref="E54:H55"/>
    <x:mergeCell ref="I54:L55"/>
    <x:mergeCell ref="M54:P55"/>
    <x:mergeCell ref="A57:D60"/>
    <x:mergeCell ref="E57:H60"/>
    <x:mergeCell ref="I57:L60"/>
    <x:mergeCell ref="M57:P60"/>
    <x:mergeCell ref="A61:P61"/>
    <x:mergeCell ref="A63:P63"/>
    <x:mergeCell ref="A65:C68"/>
    <x:mergeCell ref="D66:D67"/>
    <x:mergeCell ref="E65:G68"/>
    <x:mergeCell ref="H66:H67"/>
    <x:mergeCell ref="I65:K68"/>
    <x:mergeCell ref="L66:L67"/>
    <x:mergeCell ref="M65:P68"/>
    <x:mergeCell ref="A70:F73"/>
    <x:mergeCell ref="G71:G72"/>
    <x:mergeCell ref="H70:K73"/>
    <x:mergeCell ref="L71:L72"/>
    <x:mergeCell ref="M70:P73"/>
    <x:mergeCell ref="A75:P75"/>
    <x:mergeCell ref="A77:C79"/>
    <x:mergeCell ref="D77:D79"/>
    <x:mergeCell ref="E77:G79"/>
    <x:mergeCell ref="H77:H79"/>
    <x:mergeCell ref="I77:K79"/>
    <x:mergeCell ref="L77:L79"/>
    <x:mergeCell ref="M77:O79"/>
    <x:mergeCell ref="P77:P79"/>
    <x:mergeCell ref="A80:P80"/>
    <x:mergeCell ref="A82:P82"/>
    <x:mergeCell ref="A83:P83"/>
    <x:mergeCell ref="A84:P84"/>
    <x:mergeCell ref="A85:P85"/>
    <x:mergeCell ref="A86:P86"/>
    <x:mergeCell ref="A87:P87"/>
  </x:mergeCells>
  <x:dataValidations count="2">
    <x:dataValidation type="list" sqref="J19:K19">
      <x:formula1>"안정,공명,차단,침식"</x:formula1>
    </x:dataValidation>
    <x:dataValidation type="list" sqref="J20:K20">
      <x:formula1>"안정,공명,차단,침식"</x:formula1>
    </x:dataValidation>
  </x:dataValidations>
  <x:pageMargins left="0.7" right="0.7" top="0.75" bottom="0.75" header="0.3" footer="0.3"/>
</x:worksheet>
</file>
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Gihoek_7\"/>
    </mc:Choice>
  </mc:AlternateContent>
  <bookViews>
    <workbookView xWindow="0" yWindow="0" windowWidth="17055" windowHeight="4050"/>
  </bookViews>
  <sheets>
    <sheet name="밸런스 문서" sheetId="1" r:id="rId1"/>
    <sheet name="밸런스 팩터" sheetId="2" r:id="rId2"/>
    <sheet name="작성 기준" sheetId="3" r:id="rId3"/>
    <sheet name="밸런스 곡선" sheetId="4" r:id="rId4"/>
    <sheet name="PC DATA(대차대조표)" sheetId="5" r:id="rId5"/>
    <sheet name="아이템" sheetId="6" r:id="rId6"/>
    <sheet name="몬스터" sheetId="7" r:id="rId7"/>
    <sheet name="변경 이력" sheetId="8" r:id="rId8"/>
  </sheets>
  <calcPr calcId="162913"/>
</workbook>
</file>

<file path=xl/calcChain.xml><?xml version="1.0" encoding="utf-8"?>
<calcChain xmlns="http://schemas.openxmlformats.org/spreadsheetml/2006/main">
  <c r="AB127" i="7" l="1"/>
  <c r="S127" i="7"/>
  <c r="O127" i="7"/>
  <c r="AB126" i="7"/>
  <c r="S126" i="7"/>
  <c r="O126" i="7"/>
  <c r="AB125" i="7"/>
  <c r="S125" i="7"/>
  <c r="O125" i="7"/>
  <c r="AB124" i="7"/>
  <c r="S124" i="7"/>
  <c r="O124" i="7"/>
  <c r="AB123" i="7"/>
  <c r="S123" i="7"/>
  <c r="O123" i="7"/>
  <c r="AB122" i="7"/>
  <c r="S122" i="7"/>
  <c r="O122" i="7"/>
  <c r="AB121" i="7"/>
  <c r="S121" i="7"/>
  <c r="O121" i="7"/>
  <c r="AB120" i="7"/>
  <c r="S120" i="7"/>
  <c r="O120" i="7"/>
  <c r="AB119" i="7"/>
  <c r="S119" i="7"/>
  <c r="O119" i="7"/>
  <c r="AB118" i="7"/>
  <c r="S118" i="7"/>
  <c r="O118" i="7"/>
  <c r="AB117" i="7"/>
  <c r="S117" i="7"/>
  <c r="O117" i="7"/>
  <c r="AB116" i="7"/>
  <c r="S116" i="7"/>
  <c r="O116" i="7"/>
  <c r="AB115" i="7"/>
  <c r="S115" i="7"/>
  <c r="O115" i="7"/>
  <c r="AB114" i="7"/>
  <c r="S114" i="7"/>
  <c r="O114" i="7"/>
  <c r="AB113" i="7"/>
  <c r="S113" i="7"/>
  <c r="O113" i="7"/>
  <c r="AB112" i="7"/>
  <c r="S112" i="7"/>
  <c r="O112" i="7"/>
  <c r="AB111" i="7"/>
  <c r="S111" i="7"/>
  <c r="O111" i="7"/>
  <c r="AB110" i="7"/>
  <c r="S110" i="7"/>
  <c r="O110" i="7"/>
  <c r="AB109" i="7"/>
  <c r="S109" i="7"/>
  <c r="O109" i="7"/>
  <c r="AB108" i="7"/>
  <c r="S108" i="7"/>
  <c r="O108" i="7"/>
  <c r="AB107" i="7"/>
  <c r="S107" i="7"/>
  <c r="O107" i="7"/>
  <c r="AB106" i="7"/>
  <c r="S106" i="7"/>
  <c r="O106" i="7"/>
  <c r="AB105" i="7"/>
  <c r="S105" i="7"/>
  <c r="O105" i="7"/>
  <c r="AB104" i="7"/>
  <c r="S104" i="7"/>
  <c r="O104" i="7"/>
  <c r="AB103" i="7"/>
  <c r="S103" i="7"/>
  <c r="O103" i="7"/>
  <c r="AB102" i="7"/>
  <c r="S102" i="7"/>
  <c r="O102" i="7"/>
  <c r="AB101" i="7"/>
  <c r="S101" i="7"/>
  <c r="O101" i="7"/>
  <c r="AB100" i="7"/>
  <c r="S100" i="7"/>
  <c r="O100" i="7"/>
  <c r="AB99" i="7"/>
  <c r="S99" i="7"/>
  <c r="O99" i="7"/>
  <c r="AB98" i="7"/>
  <c r="S98" i="7"/>
  <c r="O98" i="7"/>
  <c r="AB97" i="7"/>
  <c r="S97" i="7"/>
  <c r="O97" i="7"/>
  <c r="AB96" i="7"/>
  <c r="S96" i="7"/>
  <c r="O96" i="7"/>
  <c r="AB95" i="7"/>
  <c r="S95" i="7"/>
  <c r="O95" i="7"/>
  <c r="AB94" i="7"/>
  <c r="S94" i="7"/>
  <c r="O94" i="7"/>
  <c r="AB93" i="7"/>
  <c r="S93" i="7"/>
  <c r="O93" i="7"/>
  <c r="AB92" i="7"/>
  <c r="S92" i="7"/>
  <c r="O92" i="7"/>
  <c r="AB91" i="7"/>
  <c r="S91" i="7"/>
  <c r="O91" i="7"/>
  <c r="AB90" i="7"/>
  <c r="S90" i="7"/>
  <c r="O90" i="7"/>
  <c r="AB89" i="7"/>
  <c r="S89" i="7"/>
  <c r="O89" i="7"/>
  <c r="AB88" i="7"/>
  <c r="S88" i="7"/>
  <c r="O88" i="7"/>
  <c r="AB87" i="7"/>
  <c r="S87" i="7"/>
  <c r="O87" i="7"/>
  <c r="AB86" i="7"/>
  <c r="S86" i="7"/>
  <c r="O86" i="7"/>
  <c r="AB85" i="7"/>
  <c r="S85" i="7"/>
  <c r="O85" i="7"/>
  <c r="AB84" i="7"/>
  <c r="S84" i="7"/>
  <c r="O84" i="7"/>
  <c r="AB83" i="7"/>
  <c r="S83" i="7"/>
  <c r="O83" i="7"/>
  <c r="AB82" i="7"/>
  <c r="S82" i="7"/>
  <c r="O82" i="7"/>
  <c r="AB81" i="7"/>
  <c r="S81" i="7"/>
  <c r="O81" i="7"/>
  <c r="AB80" i="7"/>
  <c r="S80" i="7"/>
  <c r="O80" i="7"/>
  <c r="AB79" i="7"/>
  <c r="S79" i="7"/>
  <c r="O79" i="7"/>
  <c r="AB78" i="7"/>
  <c r="S78" i="7"/>
  <c r="O78" i="7"/>
  <c r="AB77" i="7"/>
  <c r="S77" i="7"/>
  <c r="O77" i="7"/>
  <c r="AB76" i="7"/>
  <c r="S76" i="7"/>
  <c r="O76" i="7"/>
  <c r="AB75" i="7"/>
  <c r="S75" i="7"/>
  <c r="O75" i="7"/>
  <c r="AB74" i="7"/>
  <c r="S74" i="7"/>
  <c r="O74" i="7"/>
  <c r="AB73" i="7"/>
  <c r="S73" i="7"/>
  <c r="O73" i="7"/>
  <c r="AB72" i="7"/>
  <c r="S72" i="7"/>
  <c r="O72" i="7"/>
  <c r="AB71" i="7"/>
  <c r="S71" i="7"/>
  <c r="O71" i="7"/>
  <c r="AB70" i="7"/>
  <c r="S70" i="7"/>
  <c r="O70" i="7"/>
  <c r="AB69" i="7"/>
  <c r="S69" i="7"/>
  <c r="O69" i="7"/>
  <c r="AB68" i="7"/>
  <c r="S68" i="7"/>
  <c r="O68" i="7"/>
  <c r="AB67" i="7"/>
  <c r="S67" i="7"/>
  <c r="O67" i="7"/>
  <c r="AB66" i="7"/>
  <c r="S66" i="7"/>
  <c r="O66" i="7"/>
  <c r="AB65" i="7"/>
  <c r="S65" i="7"/>
  <c r="O65" i="7"/>
  <c r="AB64" i="7"/>
  <c r="S64" i="7"/>
  <c r="O64" i="7"/>
  <c r="AB63" i="7"/>
  <c r="S63" i="7"/>
  <c r="O63" i="7"/>
  <c r="AB62" i="7"/>
  <c r="S62" i="7"/>
  <c r="O62" i="7"/>
  <c r="AB61" i="7"/>
  <c r="S61" i="7"/>
  <c r="O61" i="7"/>
  <c r="AB60" i="7"/>
  <c r="S60" i="7"/>
  <c r="O60" i="7"/>
  <c r="AB59" i="7"/>
  <c r="S59" i="7"/>
  <c r="O59" i="7"/>
  <c r="AB58" i="7"/>
  <c r="S58" i="7"/>
  <c r="O58" i="7"/>
  <c r="AB57" i="7"/>
  <c r="S57" i="7"/>
  <c r="O57" i="7"/>
  <c r="AB56" i="7"/>
  <c r="S56" i="7"/>
  <c r="O56" i="7"/>
  <c r="AB55" i="7"/>
  <c r="S55" i="7"/>
  <c r="O55" i="7"/>
  <c r="AB54" i="7"/>
  <c r="S54" i="7"/>
  <c r="O54" i="7"/>
  <c r="AB53" i="7"/>
  <c r="S53" i="7"/>
  <c r="O53" i="7"/>
  <c r="AB52" i="7"/>
  <c r="S52" i="7"/>
  <c r="O52" i="7"/>
  <c r="AB51" i="7"/>
  <c r="S51" i="7"/>
  <c r="O51" i="7"/>
  <c r="AB50" i="7"/>
  <c r="S50" i="7"/>
  <c r="O50" i="7"/>
  <c r="AB49" i="7"/>
  <c r="S49" i="7"/>
  <c r="O49" i="7"/>
  <c r="AB48" i="7"/>
  <c r="S48" i="7"/>
  <c r="O48" i="7"/>
  <c r="AB47" i="7"/>
  <c r="S47" i="7"/>
  <c r="O47" i="7"/>
  <c r="AB46" i="7"/>
  <c r="S46" i="7"/>
  <c r="O46" i="7"/>
  <c r="AB45" i="7"/>
  <c r="S45" i="7"/>
  <c r="O45" i="7"/>
  <c r="AB44" i="7"/>
  <c r="S44" i="7"/>
  <c r="O44" i="7"/>
  <c r="AB43" i="7"/>
  <c r="S43" i="7"/>
  <c r="O43" i="7"/>
  <c r="AB42" i="7"/>
  <c r="S42" i="7"/>
  <c r="O42" i="7"/>
  <c r="AB41" i="7"/>
  <c r="S41" i="7"/>
  <c r="O41" i="7"/>
  <c r="AB40" i="7"/>
  <c r="S40" i="7"/>
  <c r="O40" i="7"/>
  <c r="AB39" i="7"/>
  <c r="S39" i="7"/>
  <c r="O39" i="7"/>
  <c r="AB38" i="7"/>
  <c r="S38" i="7"/>
  <c r="O38" i="7"/>
  <c r="AB37" i="7"/>
  <c r="S37" i="7"/>
  <c r="O37" i="7"/>
  <c r="AB36" i="7"/>
  <c r="S36" i="7"/>
  <c r="O36" i="7"/>
  <c r="AB35" i="7"/>
  <c r="S35" i="7"/>
  <c r="O35" i="7"/>
  <c r="AB34" i="7"/>
  <c r="S34" i="7"/>
  <c r="O34" i="7"/>
  <c r="AB33" i="7"/>
  <c r="S33" i="7"/>
  <c r="O33" i="7"/>
  <c r="AB32" i="7"/>
  <c r="S32" i="7"/>
  <c r="O32" i="7"/>
  <c r="AB31" i="7"/>
  <c r="S31" i="7"/>
  <c r="O31" i="7"/>
  <c r="AB30" i="7"/>
  <c r="S30" i="7"/>
  <c r="O30" i="7"/>
  <c r="AB29" i="7"/>
  <c r="S29" i="7"/>
  <c r="O29" i="7"/>
  <c r="AB28" i="7"/>
  <c r="S28" i="7"/>
  <c r="O28" i="7"/>
  <c r="AB27" i="7"/>
  <c r="S27" i="7"/>
  <c r="O27" i="7"/>
  <c r="AB26" i="7"/>
  <c r="S26" i="7"/>
  <c r="O26" i="7"/>
  <c r="AB25" i="7"/>
  <c r="S25" i="7"/>
  <c r="O25" i="7"/>
  <c r="AB24" i="7"/>
  <c r="S24" i="7"/>
  <c r="O24" i="7"/>
  <c r="AB23" i="7"/>
  <c r="S23" i="7"/>
  <c r="O23" i="7"/>
  <c r="AB22" i="7"/>
  <c r="S22" i="7"/>
  <c r="O22" i="7"/>
  <c r="AB21" i="7"/>
  <c r="S21" i="7"/>
  <c r="O21" i="7"/>
  <c r="AB20" i="7"/>
  <c r="S20" i="7"/>
  <c r="O20" i="7"/>
  <c r="AB19" i="7"/>
  <c r="S19" i="7"/>
  <c r="O19" i="7"/>
  <c r="AB18" i="7"/>
  <c r="S18" i="7"/>
  <c r="O18" i="7"/>
  <c r="AB17" i="7"/>
  <c r="S17" i="7"/>
  <c r="O17" i="7"/>
  <c r="AB16" i="7"/>
  <c r="S16" i="7"/>
  <c r="O16" i="7"/>
  <c r="AB15" i="7"/>
  <c r="S15" i="7"/>
  <c r="O15" i="7"/>
  <c r="AB14" i="7"/>
  <c r="S14" i="7"/>
  <c r="O14" i="7"/>
  <c r="AB13" i="7"/>
  <c r="S13" i="7"/>
  <c r="O13" i="7"/>
  <c r="AB12" i="7"/>
  <c r="S12" i="7"/>
  <c r="O12" i="7"/>
  <c r="AB11" i="7"/>
  <c r="S11" i="7"/>
  <c r="O11" i="7"/>
  <c r="AB10" i="7"/>
  <c r="S10" i="7"/>
  <c r="O10" i="7"/>
  <c r="AB9" i="7"/>
  <c r="S9" i="7"/>
  <c r="O9" i="7"/>
  <c r="AB8" i="7"/>
  <c r="S8" i="7"/>
  <c r="O8" i="7"/>
  <c r="AB7" i="7"/>
  <c r="S7" i="7"/>
  <c r="O7" i="7"/>
  <c r="AB6" i="7"/>
  <c r="S6" i="7"/>
  <c r="O6" i="7"/>
  <c r="AB5" i="7"/>
  <c r="S5" i="7"/>
  <c r="O5" i="7"/>
  <c r="M127" i="5"/>
  <c r="I127" i="5"/>
  <c r="M126" i="5"/>
  <c r="I126" i="5"/>
  <c r="M125" i="5"/>
  <c r="I125" i="5"/>
  <c r="M124" i="5"/>
  <c r="I124" i="5"/>
  <c r="M123" i="5"/>
  <c r="I123" i="5"/>
  <c r="M122" i="5"/>
  <c r="I122" i="5"/>
  <c r="M121" i="5"/>
  <c r="I121" i="5"/>
  <c r="M120" i="5"/>
  <c r="I120" i="5"/>
  <c r="M119" i="5"/>
  <c r="I119" i="5"/>
  <c r="M118" i="5"/>
  <c r="I118" i="5"/>
  <c r="M117" i="5"/>
  <c r="I117" i="5"/>
  <c r="M116" i="5"/>
  <c r="I116" i="5"/>
  <c r="M115" i="5"/>
  <c r="I115" i="5"/>
  <c r="M114" i="5"/>
  <c r="I114" i="5"/>
  <c r="M113" i="5"/>
  <c r="I113" i="5"/>
  <c r="M112" i="5"/>
  <c r="I112" i="5"/>
  <c r="M111" i="5"/>
  <c r="I111" i="5"/>
  <c r="M110" i="5"/>
  <c r="I110" i="5"/>
  <c r="M109" i="5"/>
  <c r="I109" i="5"/>
  <c r="M108" i="5"/>
  <c r="I108" i="5"/>
  <c r="M107" i="5"/>
  <c r="I107" i="5"/>
  <c r="M106" i="5"/>
  <c r="I106" i="5"/>
  <c r="M105" i="5"/>
  <c r="I105" i="5"/>
  <c r="M104" i="5"/>
  <c r="I104" i="5"/>
  <c r="M103" i="5"/>
  <c r="I103" i="5"/>
  <c r="M102" i="5"/>
  <c r="I102" i="5"/>
  <c r="M101" i="5"/>
  <c r="I101" i="5"/>
  <c r="M100" i="5"/>
  <c r="I100" i="5"/>
  <c r="M99" i="5"/>
  <c r="I99" i="5"/>
  <c r="M98" i="5"/>
  <c r="I98" i="5"/>
  <c r="M97" i="5"/>
  <c r="I97" i="5"/>
  <c r="M96" i="5"/>
  <c r="I96" i="5"/>
  <c r="M95" i="5"/>
  <c r="I95" i="5"/>
  <c r="M94" i="5"/>
  <c r="I94" i="5"/>
  <c r="M93" i="5"/>
  <c r="I93" i="5"/>
  <c r="M92" i="5"/>
  <c r="I92" i="5"/>
  <c r="M91" i="5"/>
  <c r="I91" i="5"/>
  <c r="M90" i="5"/>
  <c r="I90" i="5"/>
  <c r="M89" i="5"/>
  <c r="I89" i="5"/>
  <c r="M88" i="5"/>
  <c r="I88" i="5"/>
  <c r="M87" i="5"/>
  <c r="I87" i="5"/>
  <c r="M86" i="5"/>
  <c r="I86" i="5"/>
  <c r="M85" i="5"/>
  <c r="I85" i="5"/>
  <c r="M84" i="5"/>
  <c r="I84" i="5"/>
  <c r="M83" i="5"/>
  <c r="I83" i="5"/>
  <c r="M82" i="5"/>
  <c r="I82" i="5"/>
  <c r="M81" i="5"/>
  <c r="I81" i="5"/>
  <c r="M80" i="5"/>
  <c r="I80" i="5"/>
  <c r="M79" i="5"/>
  <c r="I79" i="5"/>
  <c r="M78" i="5"/>
  <c r="I78" i="5"/>
  <c r="M77" i="5"/>
  <c r="I77" i="5"/>
  <c r="M76" i="5"/>
  <c r="I76" i="5"/>
  <c r="M75" i="5"/>
  <c r="I75" i="5"/>
  <c r="M74" i="5"/>
  <c r="I74" i="5"/>
  <c r="M73" i="5"/>
  <c r="I73" i="5"/>
  <c r="M72" i="5"/>
  <c r="I72" i="5"/>
  <c r="M71" i="5"/>
  <c r="I71" i="5"/>
  <c r="M70" i="5"/>
  <c r="I70" i="5"/>
  <c r="M69" i="5"/>
  <c r="I69" i="5"/>
  <c r="M68" i="5"/>
  <c r="I68" i="5"/>
  <c r="M67" i="5"/>
  <c r="I67" i="5"/>
  <c r="M66" i="5"/>
  <c r="I66" i="5"/>
  <c r="M65" i="5"/>
  <c r="I65" i="5"/>
  <c r="M64" i="5"/>
  <c r="I64" i="5"/>
  <c r="M63" i="5"/>
  <c r="I63" i="5"/>
  <c r="M62" i="5"/>
  <c r="I62" i="5"/>
  <c r="M61" i="5"/>
  <c r="I61" i="5"/>
  <c r="M60" i="5"/>
  <c r="I60" i="5"/>
  <c r="M59" i="5"/>
  <c r="I59" i="5"/>
  <c r="M58" i="5"/>
  <c r="I58" i="5"/>
  <c r="M57" i="5"/>
  <c r="I57" i="5"/>
  <c r="M56" i="5"/>
  <c r="I56" i="5"/>
  <c r="M55" i="5"/>
  <c r="I55" i="5"/>
  <c r="M54" i="5"/>
  <c r="I54" i="5"/>
  <c r="M53" i="5"/>
  <c r="I53" i="5"/>
  <c r="M52" i="5"/>
  <c r="I52" i="5"/>
  <c r="M51" i="5"/>
  <c r="I51" i="5"/>
  <c r="M50" i="5"/>
  <c r="I50" i="5"/>
  <c r="M49" i="5"/>
  <c r="I49" i="5"/>
  <c r="M48" i="5"/>
  <c r="I48" i="5"/>
  <c r="M47" i="5"/>
  <c r="I47" i="5"/>
  <c r="M46" i="5"/>
  <c r="I46" i="5"/>
  <c r="M45" i="5"/>
  <c r="I45" i="5"/>
  <c r="M44" i="5"/>
  <c r="I44" i="5"/>
  <c r="M43" i="5"/>
  <c r="I43" i="5"/>
  <c r="M42" i="5"/>
  <c r="I42" i="5"/>
  <c r="M41" i="5"/>
  <c r="I41" i="5"/>
  <c r="M40" i="5"/>
  <c r="I40" i="5"/>
  <c r="M39" i="5"/>
  <c r="I39" i="5"/>
  <c r="M38" i="5"/>
  <c r="I38" i="5"/>
  <c r="M37" i="5"/>
  <c r="I37" i="5"/>
  <c r="M36" i="5"/>
  <c r="I36" i="5"/>
  <c r="M35" i="5"/>
  <c r="I35" i="5"/>
  <c r="M34" i="5"/>
  <c r="I34" i="5"/>
  <c r="M33" i="5"/>
  <c r="I33" i="5"/>
  <c r="M32" i="5"/>
  <c r="I32" i="5"/>
  <c r="M31" i="5"/>
  <c r="I31" i="5"/>
  <c r="M30" i="5"/>
  <c r="I30" i="5"/>
  <c r="M29" i="5"/>
  <c r="I29" i="5"/>
  <c r="M28" i="5"/>
  <c r="I28" i="5"/>
  <c r="M27" i="5"/>
  <c r="I27" i="5"/>
  <c r="M26" i="5"/>
  <c r="I26" i="5"/>
  <c r="M25" i="5"/>
  <c r="I25" i="5"/>
  <c r="M24" i="5"/>
  <c r="I24" i="5"/>
  <c r="M23" i="5"/>
  <c r="I23" i="5"/>
  <c r="M22" i="5"/>
  <c r="I22" i="5"/>
  <c r="M21" i="5"/>
  <c r="I21" i="5"/>
  <c r="M20" i="5"/>
  <c r="I20" i="5"/>
  <c r="M19" i="5"/>
  <c r="I19" i="5"/>
  <c r="M18" i="5"/>
  <c r="I18" i="5"/>
  <c r="M17" i="5"/>
  <c r="I17" i="5"/>
  <c r="M16" i="5"/>
  <c r="I16" i="5"/>
  <c r="M15" i="5"/>
  <c r="I15" i="5"/>
  <c r="M14" i="5"/>
  <c r="I14" i="5"/>
  <c r="M13" i="5"/>
  <c r="I13" i="5"/>
  <c r="M12" i="5"/>
  <c r="I12" i="5"/>
  <c r="M11" i="5"/>
  <c r="I11" i="5"/>
  <c r="M10" i="5"/>
  <c r="I10" i="5"/>
  <c r="M9" i="5"/>
  <c r="I9" i="5"/>
  <c r="M8" i="5"/>
  <c r="I8" i="5"/>
  <c r="M7" i="5"/>
  <c r="I7" i="5"/>
  <c r="M6" i="5"/>
  <c r="I6" i="5"/>
  <c r="M5" i="5"/>
  <c r="I5" i="5"/>
  <c r="AO127" i="1"/>
  <c r="AN127" i="1"/>
  <c r="AM127" i="1"/>
  <c r="AA127" i="1"/>
  <c r="Z127" i="1"/>
  <c r="Y127" i="1"/>
  <c r="V127" i="1"/>
  <c r="U127" i="1"/>
  <c r="R127" i="1"/>
  <c r="Q127" i="1"/>
  <c r="N127" i="1"/>
  <c r="AO126" i="1"/>
  <c r="AN126" i="1"/>
  <c r="AM126" i="1"/>
  <c r="AA126" i="1"/>
  <c r="Z126" i="1"/>
  <c r="Y126" i="1"/>
  <c r="V126" i="1"/>
  <c r="U126" i="1"/>
  <c r="R126" i="1"/>
  <c r="Q126" i="1"/>
  <c r="N126" i="1"/>
  <c r="AO125" i="1"/>
  <c r="AN125" i="1"/>
  <c r="AM125" i="1"/>
  <c r="AA125" i="1"/>
  <c r="AU127" i="1" s="1"/>
  <c r="Z125" i="1"/>
  <c r="AT127" i="1" s="1"/>
  <c r="Y125" i="1"/>
  <c r="AS127" i="1" s="1"/>
  <c r="V125" i="1"/>
  <c r="U125" i="1"/>
  <c r="R125" i="1"/>
  <c r="Q125" i="1"/>
  <c r="N125" i="1"/>
  <c r="AO124" i="1"/>
  <c r="AN124" i="1"/>
  <c r="AM124" i="1"/>
  <c r="AA124" i="1"/>
  <c r="Z124" i="1"/>
  <c r="Y124" i="1"/>
  <c r="V124" i="1"/>
  <c r="U124" i="1"/>
  <c r="R124" i="1"/>
  <c r="Q124" i="1"/>
  <c r="N124" i="1"/>
  <c r="AO123" i="1"/>
  <c r="AN123" i="1"/>
  <c r="AM123" i="1"/>
  <c r="AA123" i="1"/>
  <c r="Z123" i="1"/>
  <c r="Y123" i="1"/>
  <c r="V123" i="1"/>
  <c r="U123" i="1"/>
  <c r="R123" i="1"/>
  <c r="Q123" i="1"/>
  <c r="N123" i="1"/>
  <c r="AO122" i="1"/>
  <c r="AN122" i="1"/>
  <c r="AM122" i="1"/>
  <c r="AA122" i="1"/>
  <c r="Z122" i="1"/>
  <c r="Y122" i="1"/>
  <c r="R122" i="1"/>
  <c r="V122" i="1" s="1"/>
  <c r="Q122" i="1"/>
  <c r="N122" i="1"/>
  <c r="AO121" i="1"/>
  <c r="AN121" i="1"/>
  <c r="AM121" i="1"/>
  <c r="AA121" i="1"/>
  <c r="Z121" i="1"/>
  <c r="Y121" i="1"/>
  <c r="R121" i="1"/>
  <c r="U121" i="1" s="1"/>
  <c r="Q121" i="1"/>
  <c r="N121" i="1"/>
  <c r="AO120" i="1"/>
  <c r="AN120" i="1"/>
  <c r="AM120" i="1"/>
  <c r="AA120" i="1"/>
  <c r="Z120" i="1"/>
  <c r="Y120" i="1"/>
  <c r="R120" i="1"/>
  <c r="U120" i="1" s="1"/>
  <c r="Q120" i="1"/>
  <c r="N120" i="1"/>
  <c r="AO119" i="1"/>
  <c r="AN119" i="1"/>
  <c r="AM119" i="1"/>
  <c r="AA119" i="1"/>
  <c r="Z119" i="1"/>
  <c r="Y119" i="1"/>
  <c r="R119" i="1"/>
  <c r="V119" i="1" s="1"/>
  <c r="Q119" i="1"/>
  <c r="N119" i="1"/>
  <c r="AO118" i="1"/>
  <c r="AN118" i="1"/>
  <c r="AM118" i="1"/>
  <c r="AA118" i="1"/>
  <c r="AU124" i="1" s="1"/>
  <c r="Z118" i="1"/>
  <c r="AT124" i="1" s="1"/>
  <c r="Y118" i="1"/>
  <c r="AS124" i="1" s="1"/>
  <c r="V118" i="1"/>
  <c r="U118" i="1"/>
  <c r="R118" i="1"/>
  <c r="Q118" i="1"/>
  <c r="N118" i="1"/>
  <c r="AO117" i="1"/>
  <c r="AN117" i="1"/>
  <c r="AM117" i="1"/>
  <c r="AA117" i="1"/>
  <c r="Z117" i="1"/>
  <c r="Y117" i="1"/>
  <c r="V117" i="1"/>
  <c r="U117" i="1"/>
  <c r="R117" i="1"/>
  <c r="Q117" i="1"/>
  <c r="N117" i="1"/>
  <c r="AO116" i="1"/>
  <c r="AN116" i="1"/>
  <c r="AM116" i="1"/>
  <c r="AA116" i="1"/>
  <c r="Z116" i="1"/>
  <c r="Y116" i="1"/>
  <c r="R116" i="1"/>
  <c r="U116" i="1" s="1"/>
  <c r="Q116" i="1"/>
  <c r="N116" i="1"/>
  <c r="AO115" i="1"/>
  <c r="AN115" i="1"/>
  <c r="AM115" i="1"/>
  <c r="AA115" i="1"/>
  <c r="Z115" i="1"/>
  <c r="Y115" i="1"/>
  <c r="V115" i="1"/>
  <c r="U115" i="1"/>
  <c r="R115" i="1"/>
  <c r="Q115" i="1"/>
  <c r="N115" i="1"/>
  <c r="AO114" i="1"/>
  <c r="AN114" i="1"/>
  <c r="AM114" i="1"/>
  <c r="AA114" i="1"/>
  <c r="Z114" i="1"/>
  <c r="Y114" i="1"/>
  <c r="R114" i="1"/>
  <c r="V114" i="1" s="1"/>
  <c r="Q114" i="1"/>
  <c r="N114" i="1"/>
  <c r="AO113" i="1"/>
  <c r="AN113" i="1"/>
  <c r="AM113" i="1"/>
  <c r="AA113" i="1"/>
  <c r="Z113" i="1"/>
  <c r="AT117" i="1" s="1"/>
  <c r="Y113" i="1"/>
  <c r="R113" i="1"/>
  <c r="U113" i="1" s="1"/>
  <c r="Q113" i="1"/>
  <c r="N113" i="1"/>
  <c r="AO112" i="1"/>
  <c r="AN112" i="1"/>
  <c r="AM112" i="1"/>
  <c r="Z112" i="1"/>
  <c r="R112" i="1"/>
  <c r="Q112" i="1"/>
  <c r="N112" i="1"/>
  <c r="AO111" i="1"/>
  <c r="AN111" i="1"/>
  <c r="AM111" i="1"/>
  <c r="Z111" i="1"/>
  <c r="AR117" i="1" s="1"/>
  <c r="R111" i="1"/>
  <c r="Q111" i="1"/>
  <c r="N111" i="1"/>
  <c r="AO110" i="1"/>
  <c r="AN110" i="1"/>
  <c r="AM110" i="1"/>
  <c r="AA110" i="1"/>
  <c r="Z110" i="1"/>
  <c r="Y110" i="1"/>
  <c r="U110" i="1"/>
  <c r="R110" i="1"/>
  <c r="V110" i="1" s="1"/>
  <c r="Q110" i="1"/>
  <c r="N110" i="1"/>
  <c r="AO109" i="1"/>
  <c r="AN109" i="1"/>
  <c r="AM109" i="1"/>
  <c r="AA109" i="1"/>
  <c r="Z109" i="1"/>
  <c r="Y109" i="1"/>
  <c r="R109" i="1"/>
  <c r="U109" i="1" s="1"/>
  <c r="Q109" i="1"/>
  <c r="N109" i="1"/>
  <c r="AO108" i="1"/>
  <c r="AN108" i="1"/>
  <c r="AM108" i="1"/>
  <c r="AA108" i="1"/>
  <c r="Z108" i="1"/>
  <c r="Y108" i="1"/>
  <c r="R108" i="1"/>
  <c r="V108" i="1" s="1"/>
  <c r="Q108" i="1"/>
  <c r="N108" i="1"/>
  <c r="AO107" i="1"/>
  <c r="AN107" i="1"/>
  <c r="AM107" i="1"/>
  <c r="AA107" i="1"/>
  <c r="Z107" i="1"/>
  <c r="Y107" i="1"/>
  <c r="AS110" i="1" s="1"/>
  <c r="R107" i="1"/>
  <c r="U107" i="1" s="1"/>
  <c r="Q107" i="1"/>
  <c r="N107" i="1"/>
  <c r="AO106" i="1"/>
  <c r="AN106" i="1"/>
  <c r="AM106" i="1"/>
  <c r="AA106" i="1"/>
  <c r="Z106" i="1"/>
  <c r="Y106" i="1"/>
  <c r="R106" i="1"/>
  <c r="V106" i="1" s="1"/>
  <c r="Q106" i="1"/>
  <c r="N106" i="1"/>
  <c r="AO105" i="1"/>
  <c r="AN105" i="1"/>
  <c r="AM105" i="1"/>
  <c r="AA105" i="1"/>
  <c r="AU110" i="1" s="1"/>
  <c r="Z105" i="1"/>
  <c r="AT110" i="1" s="1"/>
  <c r="Y105" i="1"/>
  <c r="V105" i="1"/>
  <c r="R105" i="1"/>
  <c r="U105" i="1" s="1"/>
  <c r="Q105" i="1"/>
  <c r="N105" i="1"/>
  <c r="AO104" i="1"/>
  <c r="AN104" i="1"/>
  <c r="AM104" i="1"/>
  <c r="AA104" i="1"/>
  <c r="Z104" i="1"/>
  <c r="Y104" i="1"/>
  <c r="R104" i="1"/>
  <c r="V104" i="1" s="1"/>
  <c r="Q104" i="1"/>
  <c r="N104" i="1"/>
  <c r="AO103" i="1"/>
  <c r="AN103" i="1"/>
  <c r="AM103" i="1"/>
  <c r="AA103" i="1"/>
  <c r="Z103" i="1"/>
  <c r="Y103" i="1"/>
  <c r="R103" i="1"/>
  <c r="U103" i="1" s="1"/>
  <c r="Q103" i="1"/>
  <c r="N103" i="1"/>
  <c r="AO102" i="1"/>
  <c r="AN102" i="1"/>
  <c r="AM102" i="1"/>
  <c r="AA102" i="1"/>
  <c r="Z102" i="1"/>
  <c r="Y102" i="1"/>
  <c r="U102" i="1"/>
  <c r="R102" i="1"/>
  <c r="V102" i="1" s="1"/>
  <c r="Q102" i="1"/>
  <c r="N102" i="1"/>
  <c r="AO101" i="1"/>
  <c r="AN101" i="1"/>
  <c r="AM101" i="1"/>
  <c r="AA101" i="1"/>
  <c r="Z101" i="1"/>
  <c r="Y101" i="1"/>
  <c r="R101" i="1"/>
  <c r="V101" i="1" s="1"/>
  <c r="Q101" i="1"/>
  <c r="N101" i="1"/>
  <c r="AO100" i="1"/>
  <c r="AN100" i="1"/>
  <c r="AM100" i="1"/>
  <c r="AA100" i="1"/>
  <c r="Z100" i="1"/>
  <c r="Y100" i="1"/>
  <c r="R100" i="1"/>
  <c r="V100" i="1" s="1"/>
  <c r="Q100" i="1"/>
  <c r="N100" i="1"/>
  <c r="AO99" i="1"/>
  <c r="AN99" i="1"/>
  <c r="AM99" i="1"/>
  <c r="Z99" i="1"/>
  <c r="R99" i="1"/>
  <c r="Q99" i="1"/>
  <c r="N99" i="1"/>
  <c r="AO98" i="1"/>
  <c r="AN98" i="1"/>
  <c r="AM98" i="1"/>
  <c r="Z98" i="1"/>
  <c r="AR104" i="1" s="1"/>
  <c r="R98" i="1"/>
  <c r="Q98" i="1"/>
  <c r="N98" i="1"/>
  <c r="AO97" i="1"/>
  <c r="AN97" i="1"/>
  <c r="AM97" i="1"/>
  <c r="Z97" i="1"/>
  <c r="R97" i="1"/>
  <c r="Q97" i="1"/>
  <c r="N97" i="1"/>
  <c r="AO96" i="1"/>
  <c r="AN96" i="1"/>
  <c r="AM96" i="1"/>
  <c r="Z96" i="1"/>
  <c r="R96" i="1"/>
  <c r="Q96" i="1"/>
  <c r="N96" i="1"/>
  <c r="AO95" i="1"/>
  <c r="AN95" i="1"/>
  <c r="AM95" i="1"/>
  <c r="AA95" i="1"/>
  <c r="Z95" i="1"/>
  <c r="Y95" i="1"/>
  <c r="V95" i="1"/>
  <c r="U95" i="1"/>
  <c r="R95" i="1"/>
  <c r="Q95" i="1"/>
  <c r="N95" i="1"/>
  <c r="AO94" i="1"/>
  <c r="AN94" i="1"/>
  <c r="AM94" i="1"/>
  <c r="Z94" i="1"/>
  <c r="R94" i="1"/>
  <c r="Q94" i="1"/>
  <c r="N94" i="1"/>
  <c r="AO93" i="1"/>
  <c r="AN93" i="1"/>
  <c r="AM93" i="1"/>
  <c r="AA93" i="1"/>
  <c r="Z93" i="1"/>
  <c r="Y93" i="1"/>
  <c r="R93" i="1"/>
  <c r="V93" i="1" s="1"/>
  <c r="Q93" i="1"/>
  <c r="N93" i="1"/>
  <c r="AO92" i="1"/>
  <c r="AN92" i="1"/>
  <c r="AM92" i="1"/>
  <c r="AA92" i="1"/>
  <c r="Z92" i="1"/>
  <c r="Y92" i="1"/>
  <c r="V92" i="1"/>
  <c r="U92" i="1"/>
  <c r="R92" i="1"/>
  <c r="Q92" i="1"/>
  <c r="N92" i="1"/>
  <c r="AO91" i="1"/>
  <c r="AN91" i="1"/>
  <c r="AM91" i="1"/>
  <c r="Z91" i="1"/>
  <c r="R91" i="1"/>
  <c r="Q91" i="1"/>
  <c r="N91" i="1"/>
  <c r="AU90" i="1"/>
  <c r="AO90" i="1"/>
  <c r="AN90" i="1"/>
  <c r="AM90" i="1"/>
  <c r="AA90" i="1"/>
  <c r="Z90" i="1"/>
  <c r="Y90" i="1"/>
  <c r="R90" i="1"/>
  <c r="Q90" i="1"/>
  <c r="N90" i="1"/>
  <c r="AO89" i="1"/>
  <c r="AN89" i="1"/>
  <c r="AM89" i="1"/>
  <c r="AA89" i="1"/>
  <c r="Z89" i="1"/>
  <c r="Y89" i="1"/>
  <c r="V89" i="1"/>
  <c r="U89" i="1"/>
  <c r="R89" i="1"/>
  <c r="Q89" i="1"/>
  <c r="N89" i="1"/>
  <c r="AO88" i="1"/>
  <c r="AN88" i="1"/>
  <c r="AM88" i="1"/>
  <c r="AA88" i="1"/>
  <c r="Z88" i="1"/>
  <c r="Y88" i="1"/>
  <c r="R88" i="1"/>
  <c r="V88" i="1" s="1"/>
  <c r="Q88" i="1"/>
  <c r="N88" i="1"/>
  <c r="AO87" i="1"/>
  <c r="AN87" i="1"/>
  <c r="AM87" i="1"/>
  <c r="AA87" i="1"/>
  <c r="Z87" i="1"/>
  <c r="Y87" i="1"/>
  <c r="V87" i="1"/>
  <c r="U87" i="1"/>
  <c r="R87" i="1"/>
  <c r="Q87" i="1"/>
  <c r="N87" i="1"/>
  <c r="AO86" i="1"/>
  <c r="AN86" i="1"/>
  <c r="AM86" i="1"/>
  <c r="AA86" i="1"/>
  <c r="Z86" i="1"/>
  <c r="Y86" i="1"/>
  <c r="R86" i="1"/>
  <c r="Q86" i="1"/>
  <c r="N86" i="1"/>
  <c r="AO85" i="1"/>
  <c r="AN85" i="1"/>
  <c r="AM85" i="1"/>
  <c r="AA85" i="1"/>
  <c r="Z85" i="1"/>
  <c r="Y85" i="1"/>
  <c r="V85" i="1"/>
  <c r="U85" i="1"/>
  <c r="R85" i="1"/>
  <c r="Q85" i="1"/>
  <c r="N85" i="1"/>
  <c r="AO84" i="1"/>
  <c r="AN84" i="1"/>
  <c r="AM84" i="1"/>
  <c r="AA84" i="1"/>
  <c r="Z84" i="1"/>
  <c r="Y84" i="1"/>
  <c r="V84" i="1"/>
  <c r="R84" i="1"/>
  <c r="U84" i="1" s="1"/>
  <c r="Q84" i="1"/>
  <c r="N84" i="1"/>
  <c r="AO83" i="1"/>
  <c r="AN83" i="1"/>
  <c r="AM83" i="1"/>
  <c r="AA83" i="1"/>
  <c r="Z83" i="1"/>
  <c r="Y83" i="1"/>
  <c r="R83" i="1"/>
  <c r="V83" i="1" s="1"/>
  <c r="Q83" i="1"/>
  <c r="N83" i="1"/>
  <c r="AO82" i="1"/>
  <c r="AN82" i="1"/>
  <c r="AM82" i="1"/>
  <c r="AA82" i="1"/>
  <c r="Z82" i="1"/>
  <c r="Y82" i="1"/>
  <c r="R82" i="1"/>
  <c r="Q82" i="1"/>
  <c r="N82" i="1"/>
  <c r="AO81" i="1"/>
  <c r="AN81" i="1"/>
  <c r="AM81" i="1"/>
  <c r="AA81" i="1"/>
  <c r="Z81" i="1"/>
  <c r="Y81" i="1"/>
  <c r="R81" i="1"/>
  <c r="U81" i="1" s="1"/>
  <c r="Q81" i="1"/>
  <c r="N81" i="1"/>
  <c r="AO80" i="1"/>
  <c r="AN80" i="1"/>
  <c r="AM80" i="1"/>
  <c r="AA80" i="1"/>
  <c r="Z80" i="1"/>
  <c r="Y80" i="1"/>
  <c r="V80" i="1"/>
  <c r="U80" i="1"/>
  <c r="R80" i="1"/>
  <c r="Q80" i="1"/>
  <c r="N80" i="1"/>
  <c r="AO79" i="1"/>
  <c r="AN79" i="1"/>
  <c r="AM79" i="1"/>
  <c r="AA79" i="1"/>
  <c r="AU83" i="1" s="1"/>
  <c r="Z79" i="1"/>
  <c r="Y79" i="1"/>
  <c r="V79" i="1"/>
  <c r="U79" i="1"/>
  <c r="R79" i="1"/>
  <c r="Q79" i="1"/>
  <c r="N79" i="1"/>
  <c r="AO78" i="1"/>
  <c r="AN78" i="1"/>
  <c r="AM78" i="1"/>
  <c r="AA78" i="1"/>
  <c r="Z78" i="1"/>
  <c r="AR83" i="1" s="1"/>
  <c r="Y78" i="1"/>
  <c r="R78" i="1"/>
  <c r="Q78" i="1"/>
  <c r="N78" i="1"/>
  <c r="AO77" i="1"/>
  <c r="AN77" i="1"/>
  <c r="AM77" i="1"/>
  <c r="AA77" i="1"/>
  <c r="Z77" i="1"/>
  <c r="Y77" i="1"/>
  <c r="AS83" i="1" s="1"/>
  <c r="V77" i="1"/>
  <c r="U77" i="1"/>
  <c r="R77" i="1"/>
  <c r="Q77" i="1"/>
  <c r="N77" i="1"/>
  <c r="AO76" i="1"/>
  <c r="AN76" i="1"/>
  <c r="AM76" i="1"/>
  <c r="AA76" i="1"/>
  <c r="Z76" i="1"/>
  <c r="Y76" i="1"/>
  <c r="V76" i="1"/>
  <c r="U76" i="1"/>
  <c r="R76" i="1"/>
  <c r="Q76" i="1"/>
  <c r="N76" i="1"/>
  <c r="AO75" i="1"/>
  <c r="AN75" i="1"/>
  <c r="AM75" i="1"/>
  <c r="AA75" i="1"/>
  <c r="Z75" i="1"/>
  <c r="Y75" i="1"/>
  <c r="R75" i="1"/>
  <c r="V75" i="1" s="1"/>
  <c r="Q75" i="1"/>
  <c r="N75" i="1"/>
  <c r="AO74" i="1"/>
  <c r="AN74" i="1"/>
  <c r="AM74" i="1"/>
  <c r="Z74" i="1"/>
  <c r="R74" i="1"/>
  <c r="Q74" i="1"/>
  <c r="N74" i="1"/>
  <c r="AO73" i="1"/>
  <c r="AN73" i="1"/>
  <c r="AM73" i="1"/>
  <c r="AA73" i="1"/>
  <c r="Z73" i="1"/>
  <c r="Y73" i="1"/>
  <c r="R73" i="1"/>
  <c r="Q73" i="1"/>
  <c r="N73" i="1"/>
  <c r="AO72" i="1"/>
  <c r="AN72" i="1"/>
  <c r="AM72" i="1"/>
  <c r="AA72" i="1"/>
  <c r="Z72" i="1"/>
  <c r="Y72" i="1"/>
  <c r="V72" i="1"/>
  <c r="R72" i="1"/>
  <c r="U72" i="1" s="1"/>
  <c r="Q72" i="1"/>
  <c r="N72" i="1"/>
  <c r="AO71" i="1"/>
  <c r="AN71" i="1"/>
  <c r="AM71" i="1"/>
  <c r="AA71" i="1"/>
  <c r="Z71" i="1"/>
  <c r="Y71" i="1"/>
  <c r="R71" i="1"/>
  <c r="V71" i="1" s="1"/>
  <c r="Q71" i="1"/>
  <c r="N71" i="1"/>
  <c r="AO70" i="1"/>
  <c r="AN70" i="1"/>
  <c r="AM70" i="1"/>
  <c r="AA70" i="1"/>
  <c r="Z70" i="1"/>
  <c r="Y70" i="1"/>
  <c r="R70" i="1"/>
  <c r="V70" i="1" s="1"/>
  <c r="Q70" i="1"/>
  <c r="N70" i="1"/>
  <c r="AO69" i="1"/>
  <c r="AN69" i="1"/>
  <c r="AM69" i="1"/>
  <c r="AA69" i="1"/>
  <c r="Z69" i="1"/>
  <c r="AR76" i="1" s="1"/>
  <c r="Y69" i="1"/>
  <c r="V69" i="1"/>
  <c r="U69" i="1"/>
  <c r="R69" i="1"/>
  <c r="Q69" i="1"/>
  <c r="N69" i="1"/>
  <c r="AT68" i="1"/>
  <c r="AO68" i="1"/>
  <c r="AN68" i="1"/>
  <c r="AM68" i="1"/>
  <c r="AA68" i="1"/>
  <c r="Z68" i="1"/>
  <c r="Y68" i="1"/>
  <c r="R68" i="1"/>
  <c r="U68" i="1" s="1"/>
  <c r="Q68" i="1"/>
  <c r="N68" i="1"/>
  <c r="AO67" i="1"/>
  <c r="AN67" i="1"/>
  <c r="AM67" i="1"/>
  <c r="AA67" i="1"/>
  <c r="Z67" i="1"/>
  <c r="Y67" i="1"/>
  <c r="U67" i="1"/>
  <c r="R67" i="1"/>
  <c r="V67" i="1" s="1"/>
  <c r="Q67" i="1"/>
  <c r="N67" i="1"/>
  <c r="AO66" i="1"/>
  <c r="AN66" i="1"/>
  <c r="AM66" i="1"/>
  <c r="AA66" i="1"/>
  <c r="Z66" i="1"/>
  <c r="Y66" i="1"/>
  <c r="R66" i="1"/>
  <c r="V66" i="1" s="1"/>
  <c r="Q66" i="1"/>
  <c r="N66" i="1"/>
  <c r="AO65" i="1"/>
  <c r="AN65" i="1"/>
  <c r="AM65" i="1"/>
  <c r="AA65" i="1"/>
  <c r="Z65" i="1"/>
  <c r="Y65" i="1"/>
  <c r="R65" i="1"/>
  <c r="Q65" i="1"/>
  <c r="N65" i="1"/>
  <c r="AO64" i="1"/>
  <c r="AN64" i="1"/>
  <c r="AM64" i="1"/>
  <c r="AA64" i="1"/>
  <c r="Z64" i="1"/>
  <c r="Y64" i="1"/>
  <c r="V64" i="1"/>
  <c r="R64" i="1"/>
  <c r="U64" i="1" s="1"/>
  <c r="Q64" i="1"/>
  <c r="N64" i="1"/>
  <c r="AO63" i="1"/>
  <c r="AN63" i="1"/>
  <c r="AM63" i="1"/>
  <c r="AA63" i="1"/>
  <c r="Z63" i="1"/>
  <c r="Y63" i="1"/>
  <c r="U63" i="1"/>
  <c r="R63" i="1"/>
  <c r="V63" i="1" s="1"/>
  <c r="Q63" i="1"/>
  <c r="N63" i="1"/>
  <c r="AO62" i="1"/>
  <c r="AN62" i="1"/>
  <c r="AM62" i="1"/>
  <c r="AA62" i="1"/>
  <c r="Z62" i="1"/>
  <c r="Y62" i="1"/>
  <c r="R62" i="1"/>
  <c r="V62" i="1" s="1"/>
  <c r="Q62" i="1"/>
  <c r="N62" i="1"/>
  <c r="AO61" i="1"/>
  <c r="AN61" i="1"/>
  <c r="AM61" i="1"/>
  <c r="AA61" i="1"/>
  <c r="Z61" i="1"/>
  <c r="Y61" i="1"/>
  <c r="V61" i="1"/>
  <c r="U61" i="1"/>
  <c r="R61" i="1"/>
  <c r="Q61" i="1"/>
  <c r="N61" i="1"/>
  <c r="AO60" i="1"/>
  <c r="AN60" i="1"/>
  <c r="AM60" i="1"/>
  <c r="AA60" i="1"/>
  <c r="Z60" i="1"/>
  <c r="Y60" i="1"/>
  <c r="AS68" i="1" s="1"/>
  <c r="V60" i="1"/>
  <c r="U60" i="1"/>
  <c r="R60" i="1"/>
  <c r="Q60" i="1"/>
  <c r="N60" i="1"/>
  <c r="AO59" i="1"/>
  <c r="AN59" i="1"/>
  <c r="AM59" i="1"/>
  <c r="AA59" i="1"/>
  <c r="Z59" i="1"/>
  <c r="Y59" i="1"/>
  <c r="R59" i="1"/>
  <c r="V59" i="1" s="1"/>
  <c r="Q59" i="1"/>
  <c r="N59" i="1"/>
  <c r="AO58" i="1"/>
  <c r="AN58" i="1"/>
  <c r="AM58" i="1"/>
  <c r="AA58" i="1"/>
  <c r="Z58" i="1"/>
  <c r="Y58" i="1"/>
  <c r="V58" i="1"/>
  <c r="R58" i="1"/>
  <c r="U58" i="1" s="1"/>
  <c r="Q58" i="1"/>
  <c r="N58" i="1"/>
  <c r="AO57" i="1"/>
  <c r="AN57" i="1"/>
  <c r="AM57" i="1"/>
  <c r="AA57" i="1"/>
  <c r="Z57" i="1"/>
  <c r="Y57" i="1"/>
  <c r="R57" i="1"/>
  <c r="V57" i="1" s="1"/>
  <c r="Q57" i="1"/>
  <c r="N57" i="1"/>
  <c r="AO56" i="1"/>
  <c r="AN56" i="1"/>
  <c r="AM56" i="1"/>
  <c r="AA56" i="1"/>
  <c r="Z56" i="1"/>
  <c r="Y56" i="1"/>
  <c r="R56" i="1"/>
  <c r="U56" i="1" s="1"/>
  <c r="Q56" i="1"/>
  <c r="N56" i="1"/>
  <c r="AO55" i="1"/>
  <c r="AN55" i="1"/>
  <c r="AM55" i="1"/>
  <c r="AA55" i="1"/>
  <c r="Z55" i="1"/>
  <c r="Y55" i="1"/>
  <c r="R55" i="1"/>
  <c r="U55" i="1" s="1"/>
  <c r="Q55" i="1"/>
  <c r="N55" i="1"/>
  <c r="AO54" i="1"/>
  <c r="AN54" i="1"/>
  <c r="AM54" i="1"/>
  <c r="AA54" i="1"/>
  <c r="Z54" i="1"/>
  <c r="AT59" i="1" s="1"/>
  <c r="Y54" i="1"/>
  <c r="V54" i="1"/>
  <c r="U54" i="1"/>
  <c r="R54" i="1"/>
  <c r="Q54" i="1"/>
  <c r="N54" i="1"/>
  <c r="AO53" i="1"/>
  <c r="AN53" i="1"/>
  <c r="AM53" i="1"/>
  <c r="AA53" i="1"/>
  <c r="Z53" i="1"/>
  <c r="Y53" i="1"/>
  <c r="R53" i="1"/>
  <c r="V53" i="1" s="1"/>
  <c r="Q53" i="1"/>
  <c r="N53" i="1"/>
  <c r="AO52" i="1"/>
  <c r="AN52" i="1"/>
  <c r="AM52" i="1"/>
  <c r="AA52" i="1"/>
  <c r="Z52" i="1"/>
  <c r="AR59" i="1" s="1"/>
  <c r="Y52" i="1"/>
  <c r="R52" i="1"/>
  <c r="U52" i="1" s="1"/>
  <c r="Q52" i="1"/>
  <c r="N52" i="1"/>
  <c r="AO51" i="1"/>
  <c r="AN51" i="1"/>
  <c r="AM51" i="1"/>
  <c r="AA51" i="1"/>
  <c r="Z51" i="1"/>
  <c r="Y51" i="1"/>
  <c r="AS59" i="1" s="1"/>
  <c r="V51" i="1"/>
  <c r="U51" i="1"/>
  <c r="R51" i="1"/>
  <c r="Q51" i="1"/>
  <c r="N51" i="1"/>
  <c r="AO50" i="1"/>
  <c r="AN50" i="1"/>
  <c r="AM50" i="1"/>
  <c r="AA50" i="1"/>
  <c r="Z50" i="1"/>
  <c r="Y50" i="1"/>
  <c r="V50" i="1"/>
  <c r="U50" i="1"/>
  <c r="R50" i="1"/>
  <c r="Q50" i="1"/>
  <c r="N50" i="1"/>
  <c r="AO49" i="1"/>
  <c r="AN49" i="1"/>
  <c r="AM49" i="1"/>
  <c r="AA49" i="1"/>
  <c r="Z49" i="1"/>
  <c r="AR50" i="1" s="1"/>
  <c r="Y49" i="1"/>
  <c r="R49" i="1"/>
  <c r="V49" i="1" s="1"/>
  <c r="Q49" i="1"/>
  <c r="N49" i="1"/>
  <c r="AO48" i="1"/>
  <c r="AN48" i="1"/>
  <c r="AM48" i="1"/>
  <c r="AA48" i="1"/>
  <c r="Z48" i="1"/>
  <c r="Y48" i="1"/>
  <c r="R48" i="1"/>
  <c r="U48" i="1" s="1"/>
  <c r="Q48" i="1"/>
  <c r="N48" i="1"/>
  <c r="AO47" i="1"/>
  <c r="AN47" i="1"/>
  <c r="AM47" i="1"/>
  <c r="AA47" i="1"/>
  <c r="Z47" i="1"/>
  <c r="Y47" i="1"/>
  <c r="R47" i="1"/>
  <c r="V47" i="1" s="1"/>
  <c r="Q47" i="1"/>
  <c r="N47" i="1"/>
  <c r="AO46" i="1"/>
  <c r="AN46" i="1"/>
  <c r="AM46" i="1"/>
  <c r="AA46" i="1"/>
  <c r="Z46" i="1"/>
  <c r="Y46" i="1"/>
  <c r="R46" i="1"/>
  <c r="V46" i="1" s="1"/>
  <c r="Q46" i="1"/>
  <c r="N46" i="1"/>
  <c r="AO45" i="1"/>
  <c r="AN45" i="1"/>
  <c r="AM45" i="1"/>
  <c r="AA45" i="1"/>
  <c r="AU50" i="1" s="1"/>
  <c r="Z45" i="1"/>
  <c r="Y45" i="1"/>
  <c r="AS50" i="1" s="1"/>
  <c r="V45" i="1"/>
  <c r="U45" i="1"/>
  <c r="R45" i="1"/>
  <c r="Q45" i="1"/>
  <c r="N45" i="1"/>
  <c r="AO44" i="1"/>
  <c r="AN44" i="1"/>
  <c r="AM44" i="1"/>
  <c r="AA44" i="1"/>
  <c r="Z44" i="1"/>
  <c r="Y44" i="1"/>
  <c r="R44" i="1"/>
  <c r="U44" i="1" s="1"/>
  <c r="Q44" i="1"/>
  <c r="N44" i="1"/>
  <c r="AS43" i="1"/>
  <c r="AO43" i="1"/>
  <c r="AN43" i="1"/>
  <c r="AM43" i="1"/>
  <c r="AA43" i="1"/>
  <c r="Z43" i="1"/>
  <c r="Y43" i="1"/>
  <c r="R43" i="1"/>
  <c r="V43" i="1" s="1"/>
  <c r="Q43" i="1"/>
  <c r="N43" i="1"/>
  <c r="AO42" i="1"/>
  <c r="AN42" i="1"/>
  <c r="AM42" i="1"/>
  <c r="AA42" i="1"/>
  <c r="Z42" i="1"/>
  <c r="Y42" i="1"/>
  <c r="R42" i="1"/>
  <c r="V42" i="1" s="1"/>
  <c r="Q42" i="1"/>
  <c r="N42" i="1"/>
  <c r="AO41" i="1"/>
  <c r="AN41" i="1"/>
  <c r="AM41" i="1"/>
  <c r="AA41" i="1"/>
  <c r="Z41" i="1"/>
  <c r="Y41" i="1"/>
  <c r="R41" i="1"/>
  <c r="V41" i="1" s="1"/>
  <c r="Q41" i="1"/>
  <c r="N41" i="1"/>
  <c r="AO40" i="1"/>
  <c r="AN40" i="1"/>
  <c r="AM40" i="1"/>
  <c r="AA40" i="1"/>
  <c r="Z40" i="1"/>
  <c r="Y40" i="1"/>
  <c r="R40" i="1"/>
  <c r="U40" i="1" s="1"/>
  <c r="Q40" i="1"/>
  <c r="N40" i="1"/>
  <c r="AO39" i="1"/>
  <c r="AN39" i="1"/>
  <c r="AM39" i="1"/>
  <c r="AA39" i="1"/>
  <c r="Z39" i="1"/>
  <c r="Y39" i="1"/>
  <c r="U39" i="1"/>
  <c r="R39" i="1"/>
  <c r="V39" i="1" s="1"/>
  <c r="Q39" i="1"/>
  <c r="N39" i="1"/>
  <c r="AO38" i="1"/>
  <c r="AN38" i="1"/>
  <c r="AM38" i="1"/>
  <c r="AA38" i="1"/>
  <c r="Z38" i="1"/>
  <c r="Y38" i="1"/>
  <c r="R38" i="1"/>
  <c r="V38" i="1" s="1"/>
  <c r="Q38" i="1"/>
  <c r="N38" i="1"/>
  <c r="AO37" i="1"/>
  <c r="AN37" i="1"/>
  <c r="AM37" i="1"/>
  <c r="AA37" i="1"/>
  <c r="Z37" i="1"/>
  <c r="Y37" i="1"/>
  <c r="R37" i="1"/>
  <c r="V37" i="1" s="1"/>
  <c r="Q37" i="1"/>
  <c r="N37" i="1"/>
  <c r="AO36" i="1"/>
  <c r="AN36" i="1"/>
  <c r="AM36" i="1"/>
  <c r="AA36" i="1"/>
  <c r="Z36" i="1"/>
  <c r="AR43" i="1" s="1"/>
  <c r="Y36" i="1"/>
  <c r="R36" i="1"/>
  <c r="U36" i="1" s="1"/>
  <c r="Q36" i="1"/>
  <c r="N36" i="1"/>
  <c r="AO35" i="1"/>
  <c r="AN35" i="1"/>
  <c r="AM35" i="1"/>
  <c r="AA35" i="1"/>
  <c r="Z35" i="1"/>
  <c r="Y35" i="1"/>
  <c r="V35" i="1"/>
  <c r="U35" i="1"/>
  <c r="R35" i="1"/>
  <c r="Q35" i="1"/>
  <c r="N35" i="1"/>
  <c r="AO34" i="1"/>
  <c r="AN34" i="1"/>
  <c r="AM34" i="1"/>
  <c r="AA34" i="1"/>
  <c r="Z34" i="1"/>
  <c r="Y34" i="1"/>
  <c r="R34" i="1"/>
  <c r="V34" i="1" s="1"/>
  <c r="Q34" i="1"/>
  <c r="N34" i="1"/>
  <c r="AO33" i="1"/>
  <c r="AN33" i="1"/>
  <c r="AM33" i="1"/>
  <c r="AA33" i="1"/>
  <c r="Z33" i="1"/>
  <c r="Y33" i="1"/>
  <c r="R33" i="1"/>
  <c r="V33" i="1" s="1"/>
  <c r="Q33" i="1"/>
  <c r="N33" i="1"/>
  <c r="AO32" i="1"/>
  <c r="AN32" i="1"/>
  <c r="AM32" i="1"/>
  <c r="AA32" i="1"/>
  <c r="Z32" i="1"/>
  <c r="Y32" i="1"/>
  <c r="R32" i="1"/>
  <c r="U32" i="1" s="1"/>
  <c r="Q32" i="1"/>
  <c r="N32" i="1"/>
  <c r="AO31" i="1"/>
  <c r="AN31" i="1"/>
  <c r="AM31" i="1"/>
  <c r="AA31" i="1"/>
  <c r="Z31" i="1"/>
  <c r="Y31" i="1"/>
  <c r="U31" i="1"/>
  <c r="R31" i="1"/>
  <c r="V31" i="1" s="1"/>
  <c r="Q31" i="1"/>
  <c r="N31" i="1"/>
  <c r="AO30" i="1"/>
  <c r="AN30" i="1"/>
  <c r="AM30" i="1"/>
  <c r="AA30" i="1"/>
  <c r="Z30" i="1"/>
  <c r="Y30" i="1"/>
  <c r="V30" i="1"/>
  <c r="R30" i="1"/>
  <c r="U30" i="1" s="1"/>
  <c r="Q30" i="1"/>
  <c r="N30" i="1"/>
  <c r="AO29" i="1"/>
  <c r="AN29" i="1"/>
  <c r="AM29" i="1"/>
  <c r="AA29" i="1"/>
  <c r="Z29" i="1"/>
  <c r="Y29" i="1"/>
  <c r="V29" i="1"/>
  <c r="U29" i="1"/>
  <c r="R29" i="1"/>
  <c r="Q29" i="1"/>
  <c r="N29" i="1"/>
  <c r="AO28" i="1"/>
  <c r="AN28" i="1"/>
  <c r="AM28" i="1"/>
  <c r="AA28" i="1"/>
  <c r="Z28" i="1"/>
  <c r="AR34" i="1" s="1"/>
  <c r="Y28" i="1"/>
  <c r="V28" i="1"/>
  <c r="U28" i="1"/>
  <c r="R28" i="1"/>
  <c r="Q28" i="1"/>
  <c r="N28" i="1"/>
  <c r="AO27" i="1"/>
  <c r="AN27" i="1"/>
  <c r="AM27" i="1"/>
  <c r="AA27" i="1"/>
  <c r="AU34" i="1" s="1"/>
  <c r="Z27" i="1"/>
  <c r="Y27" i="1"/>
  <c r="AS34" i="1" s="1"/>
  <c r="V27" i="1"/>
  <c r="U27" i="1"/>
  <c r="R27" i="1"/>
  <c r="Q27" i="1"/>
  <c r="N27" i="1"/>
  <c r="AO26" i="1"/>
  <c r="AN26" i="1"/>
  <c r="AM26" i="1"/>
  <c r="AA26" i="1"/>
  <c r="Z26" i="1"/>
  <c r="Y26" i="1"/>
  <c r="R26" i="1"/>
  <c r="U26" i="1" s="1"/>
  <c r="Q26" i="1"/>
  <c r="N26" i="1"/>
  <c r="AO25" i="1"/>
  <c r="AN25" i="1"/>
  <c r="AM25" i="1"/>
  <c r="AA25" i="1"/>
  <c r="Z25" i="1"/>
  <c r="AR26" i="1" s="1"/>
  <c r="Y25" i="1"/>
  <c r="R25" i="1"/>
  <c r="V25" i="1" s="1"/>
  <c r="Q25" i="1"/>
  <c r="N25" i="1"/>
  <c r="AO24" i="1"/>
  <c r="AN24" i="1"/>
  <c r="AM24" i="1"/>
  <c r="AA24" i="1"/>
  <c r="Z24" i="1"/>
  <c r="Y24" i="1"/>
  <c r="V24" i="1"/>
  <c r="R24" i="1"/>
  <c r="U24" i="1" s="1"/>
  <c r="Q24" i="1"/>
  <c r="N24" i="1"/>
  <c r="AO23" i="1"/>
  <c r="AN23" i="1"/>
  <c r="AM23" i="1"/>
  <c r="AA23" i="1"/>
  <c r="Z23" i="1"/>
  <c r="Y23" i="1"/>
  <c r="R23" i="1"/>
  <c r="V23" i="1" s="1"/>
  <c r="Q23" i="1"/>
  <c r="N23" i="1"/>
  <c r="AO22" i="1"/>
  <c r="AN22" i="1"/>
  <c r="AM22" i="1"/>
  <c r="AA22" i="1"/>
  <c r="Z22" i="1"/>
  <c r="Y22" i="1"/>
  <c r="R22" i="1"/>
  <c r="V22" i="1" s="1"/>
  <c r="Q22" i="1"/>
  <c r="N22" i="1"/>
  <c r="AO21" i="1"/>
  <c r="AN21" i="1"/>
  <c r="AM21" i="1"/>
  <c r="AA21" i="1"/>
  <c r="AU26" i="1" s="1"/>
  <c r="Z21" i="1"/>
  <c r="Y21" i="1"/>
  <c r="AS26" i="1" s="1"/>
  <c r="V21" i="1"/>
  <c r="U21" i="1"/>
  <c r="R21" i="1"/>
  <c r="Q21" i="1"/>
  <c r="N21" i="1"/>
  <c r="AO20" i="1"/>
  <c r="AN20" i="1"/>
  <c r="AM20" i="1"/>
  <c r="AA20" i="1"/>
  <c r="Z20" i="1"/>
  <c r="Y20" i="1"/>
  <c r="V20" i="1"/>
  <c r="U20" i="1"/>
  <c r="R20" i="1"/>
  <c r="Q20" i="1"/>
  <c r="N20" i="1"/>
  <c r="AO19" i="1"/>
  <c r="AN19" i="1"/>
  <c r="AM19" i="1"/>
  <c r="AA19" i="1"/>
  <c r="Z19" i="1"/>
  <c r="Y19" i="1"/>
  <c r="R19" i="1"/>
  <c r="U19" i="1" s="1"/>
  <c r="Q19" i="1"/>
  <c r="N19" i="1"/>
  <c r="AO18" i="1"/>
  <c r="AN18" i="1"/>
  <c r="AM18" i="1"/>
  <c r="AA18" i="1"/>
  <c r="Z18" i="1"/>
  <c r="Y18" i="1"/>
  <c r="U18" i="1"/>
  <c r="R18" i="1"/>
  <c r="V18" i="1" s="1"/>
  <c r="Q18" i="1"/>
  <c r="N18" i="1"/>
  <c r="AO17" i="1"/>
  <c r="AN17" i="1"/>
  <c r="AM17" i="1"/>
  <c r="AA17" i="1"/>
  <c r="Z17" i="1"/>
  <c r="Y17" i="1"/>
  <c r="R17" i="1"/>
  <c r="V17" i="1" s="1"/>
  <c r="Q17" i="1"/>
  <c r="N17" i="1"/>
  <c r="AO16" i="1"/>
  <c r="AN16" i="1"/>
  <c r="AM16" i="1"/>
  <c r="AA16" i="1"/>
  <c r="Z16" i="1"/>
  <c r="Y16" i="1"/>
  <c r="R16" i="1"/>
  <c r="U16" i="1" s="1"/>
  <c r="Q16" i="1"/>
  <c r="N16" i="1"/>
  <c r="AO15" i="1"/>
  <c r="AN15" i="1"/>
  <c r="AM15" i="1"/>
  <c r="AA15" i="1"/>
  <c r="Z15" i="1"/>
  <c r="Y15" i="1"/>
  <c r="U15" i="1"/>
  <c r="R15" i="1"/>
  <c r="V15" i="1" s="1"/>
  <c r="Q15" i="1"/>
  <c r="N15" i="1"/>
  <c r="AO14" i="1"/>
  <c r="AN14" i="1"/>
  <c r="AM14" i="1"/>
  <c r="AA14" i="1"/>
  <c r="Z14" i="1"/>
  <c r="Y14" i="1"/>
  <c r="R14" i="1"/>
  <c r="U14" i="1" s="1"/>
  <c r="Q14" i="1"/>
  <c r="N14" i="1"/>
  <c r="AO13" i="1"/>
  <c r="AN13" i="1"/>
  <c r="AM13" i="1"/>
  <c r="AA13" i="1"/>
  <c r="AU20" i="1" s="1"/>
  <c r="Z13" i="1"/>
  <c r="Y13" i="1"/>
  <c r="AS20" i="1" s="1"/>
  <c r="V13" i="1"/>
  <c r="U13" i="1"/>
  <c r="R13" i="1"/>
  <c r="Q13" i="1"/>
  <c r="N13" i="1"/>
  <c r="AO12" i="1"/>
  <c r="AN12" i="1"/>
  <c r="AM12" i="1"/>
  <c r="AA12" i="1"/>
  <c r="Z12" i="1"/>
  <c r="Y12" i="1"/>
  <c r="R12" i="1"/>
  <c r="U12" i="1" s="1"/>
  <c r="Q12" i="1"/>
  <c r="N12" i="1"/>
  <c r="AO11" i="1"/>
  <c r="AN11" i="1"/>
  <c r="AM11" i="1"/>
  <c r="AA11" i="1"/>
  <c r="Z11" i="1"/>
  <c r="Y11" i="1"/>
  <c r="R11" i="1"/>
  <c r="V11" i="1" s="1"/>
  <c r="Q11" i="1"/>
  <c r="N11" i="1"/>
  <c r="AO10" i="1"/>
  <c r="AN10" i="1"/>
  <c r="AM10" i="1"/>
  <c r="AA10" i="1"/>
  <c r="Z10" i="1"/>
  <c r="Y10" i="1"/>
  <c r="V10" i="1"/>
  <c r="U10" i="1"/>
  <c r="R10" i="1"/>
  <c r="Q10" i="1"/>
  <c r="N10" i="1"/>
  <c r="AO9" i="1"/>
  <c r="AN9" i="1"/>
  <c r="AM9" i="1"/>
  <c r="AA9" i="1"/>
  <c r="Z9" i="1"/>
  <c r="Y9" i="1"/>
  <c r="R9" i="1"/>
  <c r="V9" i="1" s="1"/>
  <c r="Q9" i="1"/>
  <c r="N9" i="1"/>
  <c r="AO8" i="1"/>
  <c r="AN8" i="1"/>
  <c r="AM8" i="1"/>
  <c r="AA8" i="1"/>
  <c r="Z8" i="1"/>
  <c r="Y8" i="1"/>
  <c r="AS12" i="1" s="1"/>
  <c r="V8" i="1"/>
  <c r="U8" i="1"/>
  <c r="R8" i="1"/>
  <c r="Q8" i="1"/>
  <c r="N8" i="1"/>
  <c r="AO7" i="1"/>
  <c r="AN7" i="1"/>
  <c r="AM7" i="1"/>
  <c r="AA7" i="1"/>
  <c r="Z7" i="1"/>
  <c r="Y7" i="1"/>
  <c r="V7" i="1"/>
  <c r="U7" i="1"/>
  <c r="R7" i="1"/>
  <c r="Q7" i="1"/>
  <c r="N7" i="1"/>
  <c r="AO6" i="1"/>
  <c r="AN6" i="1"/>
  <c r="AM6" i="1"/>
  <c r="AA6" i="1"/>
  <c r="Z6" i="1"/>
  <c r="Y6" i="1"/>
  <c r="V6" i="1"/>
  <c r="U6" i="1"/>
  <c r="R6" i="1"/>
  <c r="Q6" i="1"/>
  <c r="N6" i="1"/>
  <c r="AO5" i="1"/>
  <c r="AN5" i="1"/>
  <c r="AM5" i="1"/>
  <c r="AA5" i="1"/>
  <c r="AU12" i="1" s="1"/>
  <c r="Z5" i="1"/>
  <c r="AR12" i="1" s="1"/>
  <c r="Y5" i="1"/>
  <c r="V5" i="1"/>
  <c r="U5" i="1"/>
  <c r="R5" i="1"/>
  <c r="Q5" i="1"/>
  <c r="N5" i="1"/>
  <c r="U11" i="1" l="1"/>
  <c r="U88" i="1"/>
  <c r="V116" i="1"/>
  <c r="U119" i="1"/>
  <c r="V19" i="1"/>
  <c r="V55" i="1"/>
  <c r="U83" i="1"/>
  <c r="U101" i="1"/>
  <c r="U106" i="1"/>
  <c r="V109" i="1"/>
  <c r="U122" i="1"/>
  <c r="V26" i="1"/>
  <c r="U33" i="1"/>
  <c r="V16" i="1"/>
  <c r="U23" i="1"/>
  <c r="U37" i="1"/>
  <c r="U43" i="1"/>
  <c r="V48" i="1"/>
  <c r="U71" i="1"/>
  <c r="V81" i="1"/>
  <c r="U42" i="1"/>
  <c r="U47" i="1"/>
  <c r="U59" i="1"/>
  <c r="V68" i="1"/>
  <c r="U75" i="1"/>
  <c r="U93" i="1"/>
  <c r="V40" i="1"/>
  <c r="V120" i="1"/>
  <c r="V86" i="1"/>
  <c r="U86" i="1"/>
  <c r="V12" i="1"/>
  <c r="AR20" i="1"/>
  <c r="V32" i="1"/>
  <c r="U34" i="1"/>
  <c r="V78" i="1"/>
  <c r="U78" i="1"/>
  <c r="AS90" i="1"/>
  <c r="AR90" i="1"/>
  <c r="V14" i="1"/>
  <c r="AT20" i="1"/>
  <c r="AT26" i="1"/>
  <c r="U22" i="1"/>
  <c r="U25" i="1"/>
  <c r="V36" i="1"/>
  <c r="U38" i="1"/>
  <c r="U41" i="1"/>
  <c r="U46" i="1"/>
  <c r="U49" i="1"/>
  <c r="AU59" i="1"/>
  <c r="U62" i="1"/>
  <c r="AT83" i="1"/>
  <c r="V82" i="1"/>
  <c r="U82" i="1"/>
  <c r="V90" i="1"/>
  <c r="U90" i="1"/>
  <c r="AR97" i="1"/>
  <c r="AT97" i="1"/>
  <c r="U9" i="1"/>
  <c r="AT12" i="1"/>
  <c r="U17" i="1"/>
  <c r="AT34" i="1"/>
  <c r="AT43" i="1"/>
  <c r="V44" i="1"/>
  <c r="V52" i="1"/>
  <c r="U57" i="1"/>
  <c r="V65" i="1"/>
  <c r="U65" i="1"/>
  <c r="V73" i="1"/>
  <c r="U73" i="1"/>
  <c r="AU43" i="1"/>
  <c r="AT50" i="1"/>
  <c r="U53" i="1"/>
  <c r="V56" i="1"/>
  <c r="AR68" i="1"/>
  <c r="AU68" i="1"/>
  <c r="U66" i="1"/>
  <c r="AT76" i="1"/>
  <c r="U70" i="1"/>
  <c r="AT90" i="1"/>
  <c r="V103" i="1"/>
  <c r="AT104" i="1"/>
  <c r="V107" i="1"/>
  <c r="AR110" i="1"/>
  <c r="V113" i="1"/>
  <c r="V121" i="1"/>
  <c r="AR124" i="1"/>
  <c r="AR127" i="1"/>
  <c r="U100" i="1"/>
  <c r="U104" i="1"/>
  <c r="U108" i="1"/>
  <c r="U114" i="1"/>
  <c r="U99" i="1"/>
  <c r="Y99" i="1"/>
  <c r="AA99" i="1"/>
  <c r="U96" i="1"/>
  <c r="Y96" i="1"/>
  <c r="AA96" i="1"/>
  <c r="AA97" i="1"/>
  <c r="Y97" i="1"/>
  <c r="U97" i="1"/>
  <c r="AA112" i="1"/>
  <c r="Y112" i="1"/>
  <c r="U112" i="1"/>
  <c r="Y94" i="1"/>
  <c r="U94" i="1"/>
  <c r="AA94" i="1"/>
  <c r="AS104" i="1"/>
  <c r="AS97" i="1"/>
  <c r="AU117" i="1"/>
  <c r="V94" i="1"/>
  <c r="S94" i="1"/>
  <c r="AU76" i="1"/>
  <c r="AS76" i="1"/>
  <c r="U111" i="1"/>
  <c r="AA111" i="1"/>
  <c r="U98" i="1"/>
  <c r="Y98" i="1"/>
  <c r="U74" i="1"/>
  <c r="AA74" i="1"/>
  <c r="Y74" i="1"/>
  <c r="U91" i="1"/>
  <c r="Y91" i="1"/>
  <c r="V96" i="1"/>
  <c r="S96" i="1"/>
  <c r="V112" i="1"/>
  <c r="S112" i="1"/>
  <c r="V91" i="1"/>
  <c r="S91" i="1"/>
  <c r="AA91" i="1"/>
  <c r="AU97" i="1"/>
  <c r="V98" i="1"/>
  <c r="S98" i="1"/>
  <c r="AA98" i="1"/>
  <c r="AU104" i="1"/>
  <c r="V97" i="1"/>
  <c r="S97" i="1"/>
  <c r="V111" i="1"/>
  <c r="S111" i="1"/>
  <c r="Y111" i="1"/>
  <c r="AS117" i="1"/>
  <c r="V99" i="1"/>
  <c r="S99" i="1"/>
  <c r="V74" i="1"/>
  <c r="S74" i="1"/>
</calcChain>
</file>

<file path=xl/sharedStrings.xml><?xml version="1.0" encoding="utf-8"?>
<sst xmlns="http://schemas.openxmlformats.org/spreadsheetml/2006/main" count="6175" uniqueCount="1222">
  <si>
    <t>밸런스 팩터</t>
  </si>
  <si>
    <t>XP 기본값</t>
  </si>
  <si>
    <t>XP 선형계수</t>
  </si>
  <si>
    <t>XP 제곱계수</t>
  </si>
  <si>
    <t>성장</t>
  </si>
  <si>
    <t>핵심 전투 설계</t>
  </si>
  <si>
    <t>유저 유형별 예상 시간</t>
  </si>
  <si>
    <t>서사 수치 연계</t>
  </si>
  <si>
    <t>콘텐츠 소모율 조절</t>
  </si>
  <si>
    <t>스테이지 점수</t>
  </si>
  <si>
    <t>스테이지 결산 시간</t>
  </si>
  <si>
    <t>챕터</t>
  </si>
  <si>
    <t>콘텐츠 진행 순서</t>
  </si>
  <si>
    <t>플레이 난이도</t>
  </si>
  <si>
    <t>플레이 흥미도</t>
  </si>
  <si>
    <t>플레이 목표</t>
  </si>
  <si>
    <t>플레이 난관</t>
  </si>
  <si>
    <t>공략 방법</t>
  </si>
  <si>
    <t>체감 난이도</t>
  </si>
  <si>
    <t>수행 과제 수</t>
  </si>
  <si>
    <t>목표 달성 조건</t>
  </si>
  <si>
    <t>실패 결과</t>
  </si>
  <si>
    <t>예상 소요 시간</t>
  </si>
  <si>
    <t>난이도 조절 요소</t>
  </si>
  <si>
    <t>누적 플레이 시간</t>
  </si>
  <si>
    <t>스테이지</t>
  </si>
  <si>
    <t>콘텐츠 진행 포인트 누적</t>
  </si>
  <si>
    <t>콘텐츠 진행 포인트
(획득량)</t>
  </si>
  <si>
    <t>레벨업을 위한 필요 경험치</t>
  </si>
  <si>
    <t>한마리 몬스터가 주는 경험치</t>
  </si>
  <si>
    <t>한마리 몬스터와 전투시간(초)</t>
  </si>
  <si>
    <t>레벨 업을 위한 전투시간(초)</t>
  </si>
  <si>
    <t>레벨 업을 위해 잡아야하는 몬스터 수</t>
  </si>
  <si>
    <t>레벨</t>
  </si>
  <si>
    <t>핵심 전투 기믹</t>
  </si>
  <si>
    <t>라이트 유저
(예상 시간)</t>
  </si>
  <si>
    <t>미들 유저
(예상 시간)</t>
  </si>
  <si>
    <t>헤비 유저
(예상 시간)</t>
  </si>
  <si>
    <t>자아마모도 변화(%)</t>
  </si>
  <si>
    <t>인연 변화(%)</t>
  </si>
  <si>
    <t>진행 관문 조건</t>
  </si>
  <si>
    <t>콘텐츠 소모 조절 요소</t>
  </si>
  <si>
    <t>진행 밀도</t>
  </si>
  <si>
    <t>선택·추가 콘텐츠 해금</t>
  </si>
  <si>
    <t>전투 숙련 단계</t>
  </si>
  <si>
    <t>점수 적용 여부·평가 단위</t>
  </si>
  <si>
    <t>기준 결산 점수</t>
  </si>
  <si>
    <t>스테이지 점수 산정 기준 (100점 환산)</t>
  </si>
  <si>
    <t>S (100%)</t>
  </si>
  <si>
    <t>A (80%)</t>
  </si>
  <si>
    <t>B (60%)</t>
  </si>
  <si>
    <t>C (50%)</t>
  </si>
  <si>
    <t>실패 시 결산 점수</t>
  </si>
  <si>
    <t>특별 달성 배지</t>
  </si>
  <si>
    <t>기준 예상 클리어 시간 (미들)</t>
  </si>
  <si>
    <t>스테이지 1회 클리어 시간 (라이트)</t>
  </si>
  <si>
    <t>스테이지 1회 클리어 시간 (미들)</t>
  </si>
  <si>
    <t>스테이지 1회 클리어 시간 (헤비)</t>
  </si>
  <si>
    <t>1 | 첫 각성</t>
  </si>
  <si>
    <t>과거 오프닝 감상하기</t>
  </si>
  <si>
    <t>전투 규칙·인물 감정·다음 목표가 한 장면에 함께 제시되어 핵심 정보를 놓칠 수 있음</t>
  </si>
  <si>
    <t>강조 자막과 기록 메뉴를 확인해 현재 임무·인물 관계·전투 목적을 구분함</t>
  </si>
  <si>
    <t>1/10 – 주요 난이도 요인: 정보량·장면 전환 속도·감정적 부담</t>
  </si>
  <si>
    <t>필수 대화와 연출을 마지막 장면까지 확인</t>
  </si>
  <si>
    <t>-</t>
  </si>
  <si>
    <t>핵심 전투 정보 자막 유지·기록 메뉴 자동 등록</t>
  </si>
  <si>
    <t>1-A | 아파트·생존 튜토리얼</t>
  </si>
  <si>
    <t>필수 정보 확인·선택 결과 비교</t>
  </si>
  <si>
    <t>—</t>
  </si>
  <si>
    <t>게임 시작</t>
  </si>
  <si>
    <t>필수 연출 1회 감상 후 다시 보기·빠른 넘김 허용</t>
  </si>
  <si>
    <t>낮음 | 대화·연출·선택</t>
  </si>
  <si>
    <t>전투 미개방·각성 이해</t>
  </si>
  <si>
    <t>미적용</t>
  </si>
  <si>
    <t>정전된 거실에서 가족 찾기</t>
  </si>
  <si>
    <t>조사 지점이 넓게 흩어져 있고 일부는 적의 순찰 범위 안에 있어 탐색 동선이 길어질 수 있음</t>
  </si>
  <si>
    <t>미니맵의 미확인 구역을 기준으로 짧은 동선을 만들고 적 순찰이 비는 순서대로 조사함</t>
  </si>
  <si>
    <t>2/10 – 주요 난이도 요인: 탐색 범위·필수 조사 수·적 순찰 밀도</t>
  </si>
  <si>
    <t>필수 조사 지점 4곳 확인</t>
  </si>
  <si>
    <t>체력 0 시 마지막 안전 지점에서 재시작</t>
  </si>
  <si>
    <t>일정 시간 미발견 시 가장 가까운 조사 구역 반짝임 표시</t>
  </si>
  <si>
    <t>시야·경로·체크포인트를 이용한 안전한 진행</t>
  </si>
  <si>
    <t>직전 콘텐츠 완료</t>
  </si>
  <si>
    <t>목표 표식·이동 경로·정체 힌트로 탐색 시간을 제한</t>
  </si>
  <si>
    <t>중간 | 이동·탐색·경로 판단</t>
  </si>
  <si>
    <t>가족 대피 요청 받기</t>
  </si>
  <si>
    <t>장비·스킬·자원 상태 확인</t>
  </si>
  <si>
    <t>단일 목표 완료 즉시 다음 콘텐츠 개방</t>
  </si>
  <si>
    <t>중간 | 설정·정비·단일 목표</t>
  </si>
  <si>
    <t>비상용 손전등 찾기</t>
  </si>
  <si>
    <t>첫 괴물의 시야 피하기</t>
  </si>
  <si>
    <t>괴물의 시야와 소리 감지 범위가 겹쳐 한 번에 통과할 수 있는 안전 구간이 짧음</t>
  </si>
  <si>
    <t>시야 원뿔과 발소리 게이지를 확인해 엄폐물 사이를 이동하고 필요할 때 소리 유도 오브젝트를 사용함</t>
  </si>
  <si>
    <t>4/10 – 주요 난이도 요인: 시야 범위·감지 속도·엄폐물 간 거리</t>
  </si>
  <si>
    <t>괴물에게 들키지 않고 안전 구역 도착</t>
  </si>
  <si>
    <t>경계 게이지 최대 시 추격 발생, 추격 중 피격 누적 시 체크포인트 재시작</t>
  </si>
  <si>
    <t>실패 후 괴물 시야 범위 축소·소리 유도 오브젝트 추가</t>
  </si>
  <si>
    <t>원거리·지원형 우선 처치 → 회피 후 기본 공격·스킬 연계</t>
  </si>
  <si>
    <t>등장 수·웨이브 수·체크포인트 간격으로 전투 소모량 조절</t>
  </si>
  <si>
    <t>중상 | 전투·판단·자원 관리</t>
  </si>
  <si>
    <t>붕괴하는 계단 통과하기</t>
  </si>
  <si>
    <t>붕괴 지형과 적의 공격 예고가 이동 경로를 제한해 안전한 타이밍을 판단해야 함</t>
  </si>
  <si>
    <t>공격 예고 범위를 본 뒤 안전 지점에서 대기하고 이동 가능한 순간에 다음 엄폐물까지 이동함</t>
  </si>
  <si>
    <t>2/10 – 주요 난이도 요인: 공격 예고 시간·안전 지점 간 거리·지형 붕괴 속도</t>
  </si>
  <si>
    <t>목표 지점의 도착 트리거 진입</t>
  </si>
  <si>
    <t>낙하 공격 3회 피격 또는 체력 0 시 직전 체크포인트 재시작</t>
  </si>
  <si>
    <t>연속 실패 시 공격 예고 시간 증가·안전 지점 추가 표시</t>
  </si>
  <si>
    <t>아이를 안전구역까지 호위하기</t>
  </si>
  <si>
    <t>정전과 낙하물 때문에 아이의 이동이 자주 멈추고 혼란한 주민들 사이에서 경로가 막힘</t>
  </si>
  <si>
    <t>아이보다 반 걸음 앞에서 안전한 경로를 확보하고 낙하물 예고가 끝난 뒤 함께 이동함</t>
  </si>
  <si>
    <t>4/10 – 주요 난이도 요인: 호위 거리·낙하물 주기·군중 이동 방해</t>
  </si>
  <si>
    <t>아이와 함께 안전 지점 3곳 통과</t>
  </si>
  <si>
    <t>아이와 거리 초과 또는 낙하물 3회 피격 시 마지막 안전 지점부터 재시작</t>
  </si>
  <si>
    <t>아이 이동속도 향상·안전 경로 화살표 표시</t>
  </si>
  <si>
    <t>호위 대상과 거리 유지 → 위험 구간 선제 정리</t>
  </si>
  <si>
    <t>[구조한 아이] +5%</t>
  </si>
  <si>
    <t>괴물과 접촉해 소멸시키기</t>
  </si>
  <si>
    <t>자동 연출 속에서 괴물 소멸의 원인과 주인공의 반응을 짧은 시간 안에 이해해야 함</t>
  </si>
  <si>
    <t>연출 속 괴물의 반응과 주인공의 손에 나타나는 선의 효과를 확인함</t>
  </si>
  <si>
    <t>1/10 – 주요 난이도 요인: 연출 길이·원인 정보의 은폐 정도</t>
  </si>
  <si>
    <t>괴물 소멸 연출 종료 후 이동 가능 상태 전환</t>
  </si>
  <si>
    <t>다시 보기와 장면별 일시정지 제공</t>
  </si>
  <si>
    <t>+2</t>
  </si>
  <si>
    <t>1-A | 아파트·생존 튜토리얼 핵심 목표 완료 · 권장 Lv.2</t>
  </si>
  <si>
    <t>선의 접촉 소멸·상태 UI 해금</t>
  </si>
  <si>
    <t>적용 | 스테이지 종료 시 1회 결산</t>
  </si>
  <si>
    <t>기본 점수 - 피격 1회당 20점 - 재시작 1회당 100점 - 기준 시간 10% 초과당 50점 + 선택 목표 보너스</t>
  </si>
  <si>
    <t>무피격 각성</t>
  </si>
  <si>
    <t>대피소에 도착하기</t>
  </si>
  <si>
    <t>1-B | 대피소·전투 훈련</t>
  </si>
  <si>
    <t>1-A | 아파트·생존 튜토리얼 결산 완료 · 권장 Lv.3</t>
  </si>
  <si>
    <t>고등급자의 전투 관찰하기</t>
  </si>
  <si>
    <t>기본 공격 훈련하기</t>
  </si>
  <si>
    <t>공격·회피·스태미나 입력을 정해진 순서와 타이밍에 맞춰 반복해야 함</t>
  </si>
  <si>
    <t>안내되는 입력을 한 단계씩 수행하고 성공 판정이 확인된 뒤 다음 조작으로 넘어감</t>
  </si>
  <si>
    <t>2/10 – 주요 난이도 요인: 입력 수·타이밍 허용 범위·연속 성공 횟수</t>
  </si>
  <si>
    <t>지정 조작 3회 성공</t>
  </si>
  <si>
    <t>연속 3회 실패 시 현재 훈련 단계부터 다시 진행</t>
  </si>
  <si>
    <t>입력 타이밍 완화·느린 시범 재생·자동 조작 안내</t>
  </si>
  <si>
    <t>기본 공격·연속 공격 해금</t>
  </si>
  <si>
    <t>기초 조작·공격·회피</t>
  </si>
  <si>
    <t>회피와 스태미나 훈련하기</t>
  </si>
  <si>
    <t>회피·스태미나 해금</t>
  </si>
  <si>
    <t>약점 표식 확인하기</t>
  </si>
  <si>
    <t>약점 표식 해금</t>
  </si>
  <si>
    <t>훈련용 변이체 3마리 처치하기</t>
  </si>
  <si>
    <t>여러 적이 동시에 접근하며 근거리·원거리 공격이 겹쳐 표적 우선순위를 빠르게 바꿔야 함</t>
  </si>
  <si>
    <t>원거리·지원형 적을 먼저 처치하고 회피 후 생기는 빈틈에 기본 공격과 선의 스킬을 연계함</t>
  </si>
  <si>
    <t>4/10 – 주요 난이도 요인: 동시 적 수·공격 유형 수·회피 빈도</t>
  </si>
  <si>
    <t>지정 구역의 적 3마리 처치</t>
  </si>
  <si>
    <t>체력 0 시 전투 시작 지점에서 재시작</t>
  </si>
  <si>
    <t>연속 실패 시 적 체력 10% 감소·회복 아이템 추가 배치</t>
  </si>
  <si>
    <t>선의 충격파 습득하기</t>
  </si>
  <si>
    <t>선의 충격파 해금</t>
  </si>
  <si>
    <t>첫 장비 슬롯 설정하기</t>
  </si>
  <si>
    <t>장비 효과가 서로 연계되어 현재 전투 역할과 다음 구간에 맞는 조합을 판단해야 함</t>
  </si>
  <si>
    <t>다음 스테이지의 적 속성·전투 역할을 확인해 공격, 생존, 자원 회복 장비를 균형 있게 선택함</t>
  </si>
  <si>
    <t>1/10 – 주요 난이도 요인: 선택지 수·효과 연계성·추천 정보 명확성</t>
  </si>
  <si>
    <t>필수 장비·스킬 슬롯 3개 설정 후 저장</t>
  </si>
  <si>
    <t>추천 장비 자동 표시·현재 장비와 효과 비교</t>
  </si>
  <si>
    <t>1-B | 대피소·전투 훈련 핵심 목표 완료 · 권장 Lv.4</t>
  </si>
  <si>
    <t>장비 프리셋·아이템 시트 연동</t>
  </si>
  <si>
    <t>완벽한 훈련</t>
  </si>
  <si>
    <t>아파트 구조대에 합류하기</t>
  </si>
  <si>
    <t>1-C | 아파트 구조 작전</t>
  </si>
  <si>
    <t>1-B | 대피소·전투 훈련 결산 완료 · 권장 Lv.5</t>
  </si>
  <si>
    <t>기본 전투·다수전</t>
  </si>
  <si>
    <t>복도 변이체 무리 처치하기</t>
  </si>
  <si>
    <t>지정 구역의 적 4마리 처치</t>
  </si>
  <si>
    <t>[아파트 주민] +3%</t>
  </si>
  <si>
    <t>갇힌 주민을 지키며 문 개방하기</t>
  </si>
  <si>
    <t>여러 방향에서 적이 몰려오고 방어 대상의 내구도도 함께 관리해야 함</t>
  </si>
  <si>
    <t>위험도가 높은 진입로부터 차단하고 광역 스킬은 웨이브가 겹치는 순간에 사용함</t>
  </si>
  <si>
    <t>5/10 – 주요 난이도 요인: 진입로 수·웨이브 수·방어 대상 내구도</t>
  </si>
  <si>
    <t>방어 목표를 유지하며 3개 웨이브 종료</t>
  </si>
  <si>
    <t>방어 대상 내구도 0 또는 플레이어 체력 0 시 웨이브 재시작</t>
  </si>
  <si>
    <t>재도전 시 방어 대상 내구도 증가·첫 웨이브 적 수 감소</t>
  </si>
  <si>
    <t>[아파트 주민] +5%</t>
  </si>
  <si>
    <t>지하 주차장 강습체 처치하기</t>
  </si>
  <si>
    <t>높은 강인도와 연계 패턴을 가진 정예 적이 일반 적을 소환해 공격 창이 짧음</t>
  </si>
  <si>
    <t>강인도 게이지를 먼저 무너뜨리고 패턴 종료 후 노출되는 약점에 고위력 스킬을 집중함</t>
  </si>
  <si>
    <t>6/10 – 주요 난이도 요인: 패턴 수·강인도·약점 노출 시간</t>
  </si>
  <si>
    <t>정예 적의 체력을 0으로 만들고 전투 구역 정리</t>
  </si>
  <si>
    <t>체력 0 시 정예 전투 시작 지점에서 재시작</t>
  </si>
  <si>
    <t>패턴 예고 강화·강인도 회복 속도 감소</t>
  </si>
  <si>
    <t>옥상 탈출로 확보하기</t>
  </si>
  <si>
    <t>닫힌 문지기 처치하기</t>
  </si>
  <si>
    <t>철문 방패·직선 돌진·충격파가 반복되어 정면 공격만으로는 방어막을 제거하기 어려움</t>
  </si>
  <si>
    <t>돌진 경로에 파손 가능한 문을 두고 유도해 방어막을 3회 파괴한 뒤 노출된 핵을 집중 공격함</t>
  </si>
  <si>
    <t>8/10 – 돌진 유도·장애물 위치·핵 노출 시간을 함께 판단해야 하는 첫 보스</t>
  </si>
  <si>
    <t>돌진 유도로 철문 방패 3단계 파괴 후 닫힌 문지기의 체력을 0으로 만듦</t>
  </si>
  <si>
    <t>체력 0 시 현재 보스 페이즈 시작 지점에서 재시작</t>
  </si>
  <si>
    <t>돌진 경로 표시 강화·방패 파괴 횟수 감소·핵 노출 시간 증가</t>
  </si>
  <si>
    <t>돌진 유도 → 철문 방패 파괴 → 핵 집중 공격</t>
  </si>
  <si>
    <t>+3</t>
  </si>
  <si>
    <t>닫힌 문지기 처치하기 완료 · 권장 Lv.6</t>
  </si>
  <si>
    <t>페이즈 체크포인트·약점 노출 시간·회복 구간으로 보스 체류 시간 조절</t>
  </si>
  <si>
    <t>높음 | 복합 전투·패턴 학습</t>
  </si>
  <si>
    <t>2챕터·보급로 작전·Lv.6 장비 해금</t>
  </si>
  <si>
    <t>보스 패턴 완전 파훼</t>
  </si>
  <si>
    <t>2 | 대피소 방어</t>
  </si>
  <si>
    <t>출정 장비 점검하기</t>
  </si>
  <si>
    <t>2/10 – 주요 난이도 요인: 선택지 수·효과 연계성·추천 정보 명확성</t>
  </si>
  <si>
    <t>2-A | 보급로 확보</t>
  </si>
  <si>
    <t>[구조대] +3%</t>
  </si>
  <si>
    <t>1-C | 아파트 구조 작전 결산 완료 · 권장 Lv.6</t>
  </si>
  <si>
    <t>회복약과 투척 도구 선택하기</t>
  </si>
  <si>
    <t>폐상가 보급로에 진입하기</t>
  </si>
  <si>
    <t>3/10 – 주요 난이도 요인: 공격 예고 시간·안전 지점 간 거리·지형 붕괴 속도</t>
  </si>
  <si>
    <t>매복 변이체 처치하기</t>
  </si>
  <si>
    <t>5/10 – 주요 난이도 요인: 동시 적 수·공격 유형 수·회피 빈도</t>
  </si>
  <si>
    <t>지정 구역의 적 5마리 처치</t>
  </si>
  <si>
    <t>포식형 괴물의 추격 피하기</t>
  </si>
  <si>
    <t>추격 거리 유지 → 장애물 회피 → 도주 경로 차단</t>
  </si>
  <si>
    <t>의약품 상자를 지키기</t>
  </si>
  <si>
    <t>6/10 – 주요 난이도 요인: 진입로 수·웨이브 수·방어 대상 내구도</t>
  </si>
  <si>
    <t>부상자를 대피소까지 호위하기</t>
  </si>
  <si>
    <t>호위 대상이 공격에 취약하고 이동을 멈추는 구간마다 적 증원이 발생함</t>
  </si>
  <si>
    <t>호위 대상보다 앞서 이동해 적을 끌어내고 위험 구간에서는 방어 스킬로 이동 시간을 확보함</t>
  </si>
  <si>
    <t>5/10 – 주요 난이도 요인: 호위 거리·적 증원 수·호위 대상 생존력</t>
  </si>
  <si>
    <t>호위 대상과 함께 3개 안전 지점 통과</t>
  </si>
  <si>
    <t>호위 대상 체력 0 또는 플레이어와 거리 초과 시 마지막 지점부터 재시작</t>
  </si>
  <si>
    <t>호위 대상 방어력 증가·위험 구간 이동 속도 향상</t>
  </si>
  <si>
    <t>보급로 정찰대장 처치하기</t>
  </si>
  <si>
    <t>7/10 – 주요 난이도 요인: 패턴 수·강인도·약점 노출 시간</t>
  </si>
  <si>
    <t>강인도 파괴 → 위험 패턴 회피 → 약점 노출 구간 집중 공격</t>
  </si>
  <si>
    <t>2-A | 보급로 확보 핵심 목표 완료 · 권장 Lv.8</t>
  </si>
  <si>
    <t>강인도·패턴 수·체력 보정으로 전투 반복 시간을 조절</t>
  </si>
  <si>
    <t>대피소 방어전·정예 훈련 해금</t>
  </si>
  <si>
    <t>재시작 없이 클리어</t>
  </si>
  <si>
    <t>대피소 경보에 대응하기</t>
  </si>
  <si>
    <t>2/10 – 주요 난이도 요인: 정보량·장면 전환 속도·감정적 부담</t>
  </si>
  <si>
    <t>2-B | 대피소 공성전</t>
  </si>
  <si>
    <t>[대피소 주민] +3%</t>
  </si>
  <si>
    <t>2-A | 보급로 확보 결산 완료 · 권장 Lv.8</t>
  </si>
  <si>
    <t>웨이브 방어·정예전</t>
  </si>
  <si>
    <t>방어 인원과 포탑 배치하기</t>
  </si>
  <si>
    <t>진입로 우선순위 설정 → 웨이브 겹침 시 광역기 사용</t>
  </si>
  <si>
    <t>1차 침입 웨이브 막기</t>
  </si>
  <si>
    <t>방어 목표를 유지하며 1개 웨이브 종료</t>
  </si>
  <si>
    <t>동쪽 출입구 지원하기</t>
  </si>
  <si>
    <t>침식 벌레 둥지 파괴하기</t>
  </si>
  <si>
    <t>2차 침입 웨이브 막기</t>
  </si>
  <si>
    <t>방어 목표를 유지하며 2개 웨이브 종료</t>
  </si>
  <si>
    <t>비상 발전기 보호하기</t>
  </si>
  <si>
    <t>시민 대피 시간을 확보하기</t>
  </si>
  <si>
    <t>[대피소 주민] +5%</t>
  </si>
  <si>
    <t>공성형 괴물 처치하기</t>
  </si>
  <si>
    <t>체력 구간마다 패턴과 전장 구조가 바뀌며 회피·약점 공격·자원 관리가 동시에 요구됨</t>
  </si>
  <si>
    <t>패턴 예고와 체력 단계 전환을 관찰해 회피 자원을 남기고 약점 노출 구간에 궁극기를 사용함</t>
  </si>
  <si>
    <t>9/10 – 주요 난이도 요인: 페이즈 수·패턴 복합도·자원 관리 압박</t>
  </si>
  <si>
    <t>보스의 모든 페이즈를 돌파하고 최종 체력을 0으로 만듦</t>
  </si>
  <si>
    <t>페이즈 체크포인트·패턴 예고 강화·회복 아이템 보충</t>
  </si>
  <si>
    <t>2-B | 대피소 공성전 핵심 목표 완료 · 권장 Lv.10</t>
  </si>
  <si>
    <t>상가 지구 탈환·세트 장비 해금</t>
  </si>
  <si>
    <t>방어 대상 무손상</t>
  </si>
  <si>
    <t>파손된 방어선 복구하기</t>
  </si>
  <si>
    <t>2-C | 상가 지구 탈환</t>
  </si>
  <si>
    <t>2-B | 대피소 공성전 결산 완료 · 권장 Lv.10</t>
  </si>
  <si>
    <t>파티 연계 스킬 설정하기</t>
  </si>
  <si>
    <t>상가 골목 순찰하기</t>
  </si>
  <si>
    <t>괴물 둥지 3곳 제거하기</t>
  </si>
  <si>
    <t>괴물 둥지 3곳의 핵을 모두 파괴</t>
  </si>
  <si>
    <t>감염된 구조대원 제압하기</t>
  </si>
  <si>
    <t>상가 지구 재탈환하기</t>
  </si>
  <si>
    <t>융합된 괴물 처치하기</t>
  </si>
  <si>
    <t>여러 변이체가 결합한 몸체가 근거리 팔·원거리 핵·재생 조직을 번갈아 활성화해 공격 우선순위가 계속 바뀜</t>
  </si>
  <si>
    <t>재생 조직을 먼저 차단한 뒤 원거리 핵을 파괴하고, 몸체가 분리되는 순간 광역 공격으로 각 부위를 동시에 제압함</t>
  </si>
  <si>
    <t>9/10 – 활성 부위 전환·재생 차단·다중 표적 관리가 겹치는 두 번째 보스</t>
  </si>
  <si>
    <t>재생 조직·원거리 핵·본체를 순서대로 파괴해 융합된 괴물의 체력을 0으로 만듦</t>
  </si>
  <si>
    <t>활성 부위 색상 강조·재생 속도 감소·분리 상태 지속 시간 증가</t>
  </si>
  <si>
    <t>재생 조직 차단 → 활성 부위 파괴 → 분리체 동시 제압</t>
  </si>
  <si>
    <t>+4</t>
  </si>
  <si>
    <t>융합된 괴물 처치하기 완료 · 권장 Lv.12</t>
  </si>
  <si>
    <t>3챕터·토벌대 콘텐츠·Lv.12 장비 해금</t>
  </si>
  <si>
    <t>3 | 고등급자 토벌대</t>
  </si>
  <si>
    <t>선의 측정 결과 확인하기</t>
  </si>
  <si>
    <t>3-A | 지하철 토벌 작전</t>
  </si>
  <si>
    <t>[토벌대] +3%</t>
  </si>
  <si>
    <t>2-C | 상가 지구 탈환 결산 완료 · 권장 Lv.12</t>
  </si>
  <si>
    <t>역할 우선순위·복합 전투</t>
  </si>
  <si>
    <t>고등급자 토벌대 편성하기</t>
  </si>
  <si>
    <t>파티 역할 분담 훈련하기</t>
  </si>
  <si>
    <t>4/10 – 주요 난이도 요인: 입력 수·타이밍 허용 범위·연속 성공 횟수</t>
  </si>
  <si>
    <t>폐쇄된 지하철역에 진입하기</t>
  </si>
  <si>
    <t>승강장 변이체 무리 처치하기</t>
  </si>
  <si>
    <t>지정 구역의 적 6마리 처치</t>
  </si>
  <si>
    <t>열차 내부 인질 구출하기</t>
  </si>
  <si>
    <t>고속 돌진체 차단하기</t>
  </si>
  <si>
    <t>플랫폼을 3분간 방어하기</t>
  </si>
  <si>
    <t>플랫폼 방어 게이지를 3분 동안 유지</t>
  </si>
  <si>
    <t>지하철 균열핵 파괴하기</t>
  </si>
  <si>
    <t>3-A | 지하철 토벌 작전 핵심 목표 완료 · 권장 Lv.14</t>
  </si>
  <si>
    <t>병원 구호 작전·지원 스킬 해금</t>
  </si>
  <si>
    <t>승급 장비 선택하기</t>
  </si>
  <si>
    <t>3-B | 병원 구호 작전</t>
  </si>
  <si>
    <t>[병원 생존자] +3%</t>
  </si>
  <si>
    <t>3-A | 지하철 토벌 작전 결산 완료 · 권장 Lv.14</t>
  </si>
  <si>
    <t>병원 구호 작전 시작하기</t>
  </si>
  <si>
    <t>응급실 입구 확보하기</t>
  </si>
  <si>
    <t>환자 운반로 방어하기</t>
  </si>
  <si>
    <t>독성 변이체 처치하기</t>
  </si>
  <si>
    <t>옥상 헬기장 확보하기</t>
  </si>
  <si>
    <t>의료진 탈출 호위하기</t>
  </si>
  <si>
    <t>병원 균열 수호체 처치하기</t>
  </si>
  <si>
    <t>10/10 – 주요 난이도 요인: 페이즈 수·패턴 복합도·자원 관리 압박</t>
  </si>
  <si>
    <t>토벌대의 피로와 불만 확인하기</t>
  </si>
  <si>
    <t>+5</t>
  </si>
  <si>
    <t>[토벌대] -5%</t>
  </si>
  <si>
    <t>3-B | 병원 구호 작전 핵심 목표 완료 · 권장 Lv.16</t>
  </si>
  <si>
    <t>단독 토벌·고난도 도전 해금</t>
  </si>
  <si>
    <t>전원 구조</t>
  </si>
  <si>
    <t>동료들의 출동 거부 확인하기</t>
  </si>
  <si>
    <t>3-C | 단독 토벌 전환</t>
  </si>
  <si>
    <t>3-B | 병원 구호 작전 결산 완료 · 권장 Lv.16</t>
  </si>
  <si>
    <t>단독 토벌·자원 관리</t>
  </si>
  <si>
    <t>단독 토벌 장비 재설정하기</t>
  </si>
  <si>
    <t>야간 골목 변이체 소탕하기</t>
  </si>
  <si>
    <t>시민 구조와 전투를 병행하기</t>
  </si>
  <si>
    <t>강한 변이체 3연전 돌파하기</t>
  </si>
  <si>
    <t>정예 변이체 3마리를 연속 처치하고 생존</t>
  </si>
  <si>
    <t>무너진 고가도로에서 추격하기</t>
  </si>
  <si>
    <t>6/10 – 주요 난이도 요인: 동시 적 수·공격 유형 수·회피 빈도</t>
  </si>
  <si>
    <t>갈채를 먹는 자 처치하기</t>
  </si>
  <si>
    <t>주변 시민의 환호가 쌓일수록 공격력과 속도가 증가하고, 환호를 끊으려 하면 광역 반격을 사용함</t>
  </si>
  <si>
    <t>환호 장치를 우선 파괴해 갈채 중첩을 낮추고, 광역 반격 직후 약점이 드러날 때 고위력 스킬을 사용함</t>
  </si>
  <si>
    <t>10/10 – 강화 중첩·장치 파괴·광역 반격 타이밍을 동시에 관리하는 세 번째 보스</t>
  </si>
  <si>
    <t>환호 장치 3개 파괴 후 갈채를 먹는 자의 강화 중첩을 제거하고 체력을 0으로 만듦</t>
  </si>
  <si>
    <t>갈채 중첩 속도 감소·반격 예고 강화·장치 내구도 감소</t>
  </si>
  <si>
    <t>갈채 중첩 억제 → 환호 장치 파괴 → 반격 후 약점 공격</t>
  </si>
  <si>
    <t>4챕터·폐교 던전·Lv.18 장비 해금</t>
  </si>
  <si>
    <t>영웅화 보도와 의무 출동 확인하기</t>
  </si>
  <si>
    <t>+7</t>
  </si>
  <si>
    <t>[도시 시민] +10% / [토벌대] -5%</t>
  </si>
  <si>
    <t>3-C | 단독 토벌 전환 핵심 목표 완료 · 권장 Lv.18</t>
  </si>
  <si>
    <t>4 | 폐교 던전</t>
  </si>
  <si>
    <t>폐교 운동장에 진입하기</t>
  </si>
  <si>
    <t>4/10 – 주요 난이도 요인: 공격 예고 시간·안전 지점 간 거리·지형 붕괴 속도</t>
  </si>
  <si>
    <t>4-A | 폐교 본관 1층</t>
  </si>
  <si>
    <t>3-C | 단독 토벌 전환 결산 완료 · 권장 Lv.18</t>
  </si>
  <si>
    <t>던전 탐색·환경 전투</t>
  </si>
  <si>
    <t>운동장 잔류체 처치하기</t>
  </si>
  <si>
    <t>정문 봉인 장치 해제하기</t>
  </si>
  <si>
    <t>전투 압박 속에서 단서 순서와 장치 상태를 기억해 정확한 입력을 해야 함</t>
  </si>
  <si>
    <t>장치별 단서를 기록하고 적을 잠시 정리한 뒤 안전한 시간에 입력 순서를 완성함</t>
  </si>
  <si>
    <t>5/10 – 주요 난이도 요인: 단서 수·입력 순서·전투 압박</t>
  </si>
  <si>
    <t>필수 장치 또는 단서 4개를 올바른 순서로 작동</t>
  </si>
  <si>
    <t>오답 3회 누적 시 적 증원 발생하고 장치 상태 초기화</t>
  </si>
  <si>
    <t>오답 후 사용하지 않은 단서 강조·입력 제한시간 증가</t>
  </si>
  <si>
    <t>본관 1층 정찰하기</t>
  </si>
  <si>
    <t>4/10 – 주요 난이도 요인: 탐색 범위·필수 조사 수·적 순찰 밀도</t>
  </si>
  <si>
    <t>필수 조사 지점 5곳 확인</t>
  </si>
  <si>
    <t>교실 환영체 무리 처치하기</t>
  </si>
  <si>
    <t>지정 구역의 적 7마리 처치</t>
  </si>
  <si>
    <t>사물함 함정 지대 돌파하기</t>
  </si>
  <si>
    <t>1층 감시자 처치하기</t>
  </si>
  <si>
    <t>8/10 – 주요 난이도 요인: 패턴 수·강인도·약점 노출 시간</t>
  </si>
  <si>
    <t>[폐교 생존자 기록] +3%</t>
  </si>
  <si>
    <t>4-A | 폐교 본관 1층 핵심 목표 완료 · 권장 Lv.20</t>
  </si>
  <si>
    <t>폐교 2층·추격 도전 해금</t>
  </si>
  <si>
    <t>비밀 기록 전부 발견</t>
  </si>
  <si>
    <t>2층 계단을 방어하기</t>
  </si>
  <si>
    <t>7/10 – 주요 난이도 요인: 진입로 수·웨이브 수·방어 대상 내구도</t>
  </si>
  <si>
    <t>4-B | 폐교 본관 2층</t>
  </si>
  <si>
    <t>4-A | 폐교 본관 1층 결산 완료 · 권장 Lv.20</t>
  </si>
  <si>
    <t>친구의 기억 조각 조사하기</t>
  </si>
  <si>
    <t>학생 환영체 연속전 돌파하기</t>
  </si>
  <si>
    <t>가짜 구조 요청 판별하기</t>
  </si>
  <si>
    <t>복도 추격자 처치하기</t>
  </si>
  <si>
    <t>음악실 공명 퍼즐 해결하기</t>
  </si>
  <si>
    <t>2층 지배자 처치하기</t>
  </si>
  <si>
    <t>4-B | 폐교 본관 2층 핵심 목표 완료 · 권장 Lv.21</t>
  </si>
  <si>
    <t>폐교 3층·환경 무기 제작 해금</t>
  </si>
  <si>
    <t>3층 봉쇄구역에 진입하기</t>
  </si>
  <si>
    <t>4-C | 폐교 본관 3층</t>
  </si>
  <si>
    <t>4-B | 폐교 본관 2층 결산 완료 · 권장 Lv.22</t>
  </si>
  <si>
    <t>아군 환영을 구분하기</t>
  </si>
  <si>
    <t>위장 환영체 처치하기</t>
  </si>
  <si>
    <t>방송실 송신기 방어하기</t>
  </si>
  <si>
    <t>방어 목표를 유지하며 4개 웨이브 종료</t>
  </si>
  <si>
    <t>교무실 기록 회수하기</t>
  </si>
  <si>
    <t>폭주 교사형 괴물 처치하기</t>
  </si>
  <si>
    <t>강당 열쇠 획득하기</t>
  </si>
  <si>
    <t>4-C | 폐교 본관 3층 핵심 목표 완료 · 권장 Lv.23</t>
  </si>
  <si>
    <t>폐교 강당·보스 전용 프리셋 해금</t>
  </si>
  <si>
    <t>강당 앞에서 최종 정비하기</t>
  </si>
  <si>
    <t>3/10 – 주요 난이도 요인: 선택지 수·효과 연계성·추천 정보 명확성</t>
  </si>
  <si>
    <t>4-D | 폐교 강당</t>
  </si>
  <si>
    <t>4-C | 폐교 본관 3층 결산 완료 · 권장 Lv.23</t>
  </si>
  <si>
    <t>보스 기믹·공격 중지 판단</t>
  </si>
  <si>
    <t>강당 잔류체 1차 웨이브 막기</t>
  </si>
  <si>
    <t>강당 잔류체 2차 웨이브 막기</t>
  </si>
  <si>
    <t>친구가 변이한 괴물과 조우하기</t>
  </si>
  <si>
    <t>폐교의 보스 1페이즈 돌파하기</t>
  </si>
  <si>
    <t>친구의 기억을 재현한 분신과 괴물형 공격이 동시에 나타나 진짜 본체와 공격 가능한 순간을 구분해야 함</t>
  </si>
  <si>
    <t>기억 분신의 대사를 단서로 진짜 공격 순서를 판별하고, 농구공 반사로 방어막을 끊은 뒤 본체를 공격함</t>
  </si>
  <si>
    <t>10/10 – 기억 단서 판별·투사체 반사·보스 패턴 대응이 결합된 네 번째 보스 1페이즈</t>
  </si>
  <si>
    <t>기억 분신 2회 판별과 농구공 반사 3회 성공 후 폐교의 보스 1페이즈 종료</t>
  </si>
  <si>
    <t>진짜 분신 음성 강조·반사 판정 완화·실패 시 방어막 회복량 감소</t>
  </si>
  <si>
    <t>기억 분신 판별 → 농구공 반사 → 방어막 해제</t>
  </si>
  <si>
    <t>[남겨진 친구] +10%</t>
  </si>
  <si>
    <t>폐교의 보스 2페이즈 돌파하기</t>
  </si>
  <si>
    <t>인간 모습으로 돌아온 친구가 공격과 구조 신호를 번갈아 보내 공격을 계속할지 멈출지 판단해야 함</t>
  </si>
  <si>
    <t>공격 예고와 구조 신호를 구분해 공격 가능한 구간에만 피해를 주고, 마지막에는 공격을 멈춘 채 접근해 포옹 기믹으로 종료함</t>
  </si>
  <si>
    <t>10/10 – 공격 중지 판단·생존 회피·감정적 선택이 결합된 네 번째 보스 2페이즈</t>
  </si>
  <si>
    <t>폭주 패턴을 버틴 뒤 공격 중지 상태로 친구에게 접근해 포옹 입력 성공</t>
  </si>
  <si>
    <t>구조 신호 표시 강화·공격 중지 후 받는 피해 감소·접근 체크포인트 제공</t>
  </si>
  <si>
    <t>공격 가능 구간 판별 → 공격 중지 → 포옹 접근</t>
  </si>
  <si>
    <t>[남겨진 친구] +15%</t>
  </si>
  <si>
    <t>포옹 선택으로 전투 종료하기</t>
  </si>
  <si>
    <t>선택 결과가 전투 난이도와 결말에 직접 영향을 주지만 되돌릴 수 없음</t>
  </si>
  <si>
    <t>수집한 기록과 동료 상태를 비교해 이후 전투 변화와 결말 결과를 확인한 뒤 선택함</t>
  </si>
  <si>
    <t>2/10 – 주요 난이도 요인: 결과 비가역성·정보량·감정적 부담</t>
  </si>
  <si>
    <t>최종 선택지를 확인하고 선택 입력 확정</t>
  </si>
  <si>
    <t>선택 전 결과 범위 요약·자동 저장</t>
  </si>
  <si>
    <t>-8</t>
  </si>
  <si>
    <t>[남겨진 친구] +20%</t>
  </si>
  <si>
    <t>4-D | 폐교 강당 핵심 목표 완료 · 권장 Lv.25</t>
  </si>
  <si>
    <t>5챕터·최종 방어전·친구의 유품 장비 해금</t>
  </si>
  <si>
    <t>5 | 균열 최종전</t>
  </si>
  <si>
    <t>도시 전역의 균열 폭주 확인하기</t>
  </si>
  <si>
    <t>5-A | 도시 최종 방어전</t>
  </si>
  <si>
    <t>4-D | 폐교 강당 결산 완료 · 권장 Lv.25</t>
  </si>
  <si>
    <t>최종 방어·연속 전투</t>
  </si>
  <si>
    <t>최종 토벌 명령 수락하기</t>
  </si>
  <si>
    <t>생존자 연합 전투 구성을 설정하기</t>
  </si>
  <si>
    <t>도심 진입로 확보하기</t>
  </si>
  <si>
    <t>7/10 – 주요 난이도 요인: 동시 적 수·공격 유형 수·회피 빈도</t>
  </si>
  <si>
    <t>다중 균열을 동시에 방어하기</t>
  </si>
  <si>
    <t>8/10 – 주요 난이도 요인: 진입로 수·웨이브 수·방어 대상 내구도</t>
  </si>
  <si>
    <t>선의 계량자의 문지기 처치하기</t>
  </si>
  <si>
    <t>최종 균열 입구를 봉쇄하며 방어 자세와 밀쳐내기를 반복해 제한된 전장 밖으로 떨어질 위험이 큼</t>
  </si>
  <si>
    <t>밀쳐내기 직후 생기는 빈틈에 강인도를 깎고, 가장자리에서 벗어난 뒤 중앙 약점을 집중 공격함</t>
  </si>
  <si>
    <t>9/10 – 좁은 전장·강인도 파괴·낙하 위험을 관리하는 최종전 중간 보스</t>
  </si>
  <si>
    <t>강인도 2회 파괴 후 선의 계량자의 문지기 체력을 0으로 만듦</t>
  </si>
  <si>
    <t>낙하 방지 벽 추가·강인도 회복 속도 감소·밀쳐내기 예고 강화</t>
  </si>
  <si>
    <t>밀쳐내기 회피 → 강인도 파괴 → 중앙 약점 집중</t>
  </si>
  <si>
    <t>+6</t>
  </si>
  <si>
    <t>[도시 시민] +5%</t>
  </si>
  <si>
    <t>선의 계량자의 문지기 처치하기 완료 · 권장 Lv.26</t>
  </si>
  <si>
    <t>균열 내부·최종 장비 강화 해금</t>
  </si>
  <si>
    <t>균열 내부에 진입하기</t>
  </si>
  <si>
    <t>5/10 – 주요 난이도 요인: 공격 예고 시간·안전 지점 간 거리·지형 붕괴 속도</t>
  </si>
  <si>
    <t>5-B | 균열 내부</t>
  </si>
  <si>
    <t>5-A | 도시 최종 방어전 결산 완료 · 권장 Lv.27</t>
  </si>
  <si>
    <t>붕괴 지형을 건너기</t>
  </si>
  <si>
    <t>원초 변이체 무리 처치하기</t>
  </si>
  <si>
    <t>선의 흡수체 처치하기</t>
  </si>
  <si>
    <t>9/10 – 주요 난이도 요인: 패턴 수·강인도·약점 노출 시간</t>
  </si>
  <si>
    <t>기억 미로에서 탈출하기</t>
  </si>
  <si>
    <t>6/10 – 주요 난이도 요인: 단서 수·입력 순서·전투 압박</t>
  </si>
  <si>
    <t>동료 환영과 연속전 치르기</t>
  </si>
  <si>
    <t>균열 심층문 개방하기</t>
  </si>
  <si>
    <t>[동료] +5%</t>
  </si>
  <si>
    <t>5-B | 균열 내부 핵심 목표 완료 · 권장 Lv.28</t>
  </si>
  <si>
    <t>균열 핵·최종 보스 프리셋 해금</t>
  </si>
  <si>
    <t>차한해의 출생 진실 확인하기</t>
  </si>
  <si>
    <t>5-C | 균열 핵</t>
  </si>
  <si>
    <t>5-B | 균열 내부 결산 완료 · 권장 Lv.28</t>
  </si>
  <si>
    <t>최종 보스 종합 숙련</t>
  </si>
  <si>
    <t>선의 계량자 1페이즈 돌파하기</t>
  </si>
  <si>
    <t>플레이어의 공격 일부를 반사하고 같은 속성 공격을 연속 사용하면 반사율이 증가함</t>
  </si>
  <si>
    <t>공격 속성을 번갈아 사용해 반사 중첩을 억제하고, 반사 종료 직후 약점에 공격을 집중함</t>
  </si>
  <si>
    <t>10/10 – 공격 속성 전환·반사 중첩·약점 타이밍 관리가 필요한 최종 보스 1페이즈</t>
  </si>
  <si>
    <t>반사 중첩을 3회 이상 낮은 상태로 유지하며 선의 계량자 1페이즈 체력을 0으로 만듦</t>
  </si>
  <si>
    <t>반사 색상 구분 강화·중첩 지속 시간 감소·약점 노출 시간 증가</t>
  </si>
  <si>
    <t>속성 전환 → 반사 중첩 억제 → 약점 공격</t>
  </si>
  <si>
    <t>선의 계량자 2페이즈 돌파하기</t>
  </si>
  <si>
    <t>인벤토리·회복·일시정지 UI를 차단한 상태에서 소환된 변이체 무리와 보스 패턴을 동시에 상대해야 함</t>
  </si>
  <si>
    <t>UI 차단 전 장비를 정비하고 소환체의 지원형 개체를 먼저 제거한 뒤 보스 공격 사이에 회복 구슬을 확보함</t>
  </si>
  <si>
    <t>10/10 – UI 차단·소환체 우선순위·회복 자원 관리가 결합된 최종 보스 2페이즈</t>
  </si>
  <si>
    <t>소환 웨이브 3회 정리 후 선의 계량자 2페이즈 체력을 0으로 만듦</t>
  </si>
  <si>
    <t>지원형 소환체 수 감소·회복 구슬 추가·UI 차단 지속 시간 감소</t>
  </si>
  <si>
    <t>UI 차단 대비 → 지원형 소환체 우선 처치 → 회복 구슬 확보</t>
  </si>
  <si>
    <t>선의 계량자의 자아 마모 폭주 억제하기</t>
  </si>
  <si>
    <t>자아 마모도가 최대치에 가까워지며 입력 지연·화면 왜곡·HP 고정 효과가 순차적으로 발생함</t>
  </si>
  <si>
    <t>화면 중심의 박동 신호에 맞춰 안정화 장치를 작동하고, 공격보다 회피와 장치 보호를 우선해 폭주 게이지를 낮춤</t>
  </si>
  <si>
    <t>9/10 – 화면 방해·입력 지연·장치 방어가 겹치는 최종 보스 전환 구간</t>
  </si>
  <si>
    <t>안정화 장치 4개를 유지하며 폭주 게이지를 0으로 낮춤</t>
  </si>
  <si>
    <t>화면 왜곡 강도 감소·입력 보정·장치 내구도 증가</t>
  </si>
  <si>
    <t>안정화 장치 방어 → 폭주 게이지 감소</t>
  </si>
  <si>
    <t>+10</t>
  </si>
  <si>
    <t>선의 계량자 3페이즈 돌파하기</t>
  </si>
  <si>
    <t>플레이어 HP가 1로 고정된 상태에서 연속 판정 공격이 이어지고 한 번의 피격도 치명적임</t>
  </si>
  <si>
    <t>공격 예고 순서를 기억해 연속 회피하고, 마지막 판정 직후 생성되는 핵에 단 한 번의 결정타를 적중시킴</t>
  </si>
  <si>
    <t>10/10 – HP 1 고정·연속 회피·결정타 타이밍을 요구하는 최종 보스 3페이즈</t>
  </si>
  <si>
    <t>최종 판정 연속 공격을 모두 회피하고 선의 계량자의 핵에 결정타 적중</t>
  </si>
  <si>
    <t>연속 공격 간격 증가·실패 시 해당 연속 구간부터 재시작·결정타 판정 범위 확대</t>
  </si>
  <si>
    <t>HP 1 고정 연속 회피 → 최종 핵 결정타</t>
  </si>
  <si>
    <t>소멸 선택지 확인하기</t>
  </si>
  <si>
    <t>최종 동기화 입력 실행하기</t>
  </si>
  <si>
    <t>-5</t>
  </si>
  <si>
    <t>[도시 시민] +10%</t>
  </si>
  <si>
    <t>5-C | 균열 핵 핵심 목표 완료 · 권장 Lv.30</t>
  </si>
  <si>
    <t>결말 분기·후일담 해금</t>
  </si>
  <si>
    <t>최종 판정 무피격</t>
  </si>
  <si>
    <t>균열과 몬스터 소멸 확인하기</t>
  </si>
  <si>
    <t>5-D | 결말</t>
  </si>
  <si>
    <t>5-C | 균열 핵 결산 완료 · 권장 Lv.30</t>
  </si>
  <si>
    <t>결말·플레이 결과 확인</t>
  </si>
  <si>
    <t>생존자들의 후일담 확인하기</t>
  </si>
  <si>
    <t>엔딩 크레딧 감상하기</t>
  </si>
  <si>
    <t>5-D | 결말 핵심 목표 완료 · 권장 Lv.30</t>
  </si>
  <si>
    <t>전투 중심 버전 「넌 착해!」의 레벨 성장·PC DATA·아이템·몬스터·보스 난이도에 영향을 주는 주요 조정 요소를 원형으로 정리</t>
  </si>
  <si>
    <t>큰 원은 전투 전반의 핵심 팩터이며, 작은 원은 몬스터·스킬·스테이지 단위에서 조정하는 세부 팩터임</t>
  </si>
  <si>
    <t>전투 중심 밸런스 문서 작성 기준</t>
  </si>
  <si>
    <t>항목</t>
  </si>
  <si>
    <t>작성 방식</t>
  </si>
  <si>
    <t>값/형식</t>
  </si>
  <si>
    <t>전투 중심 버전 적용 기준</t>
  </si>
  <si>
    <t>이동·공격·회피·스킬 연계에 필요한 조작과 판단 난이도</t>
  </si>
  <si>
    <t>1~10 숫자</t>
  </si>
  <si>
    <t>1은 확인·설정, 10은 다단계 보스 패턴과 복합 입력</t>
  </si>
  <si>
    <t>전투·성장·보상·연출을 통해 기대하는 재미 목표값</t>
  </si>
  <si>
    <t>일반 전투 6~8, 정예·보스·결정적 연출 9~10</t>
  </si>
  <si>
    <t>게임 시작부터 엔딩까지 해금되는 모든 내용을 빠짐없이 기록</t>
  </si>
  <si>
    <t>1~123 연속 번호</t>
  </si>
  <si>
    <t>전투가 없는 이동·정비·대화도 전투 흐름을 연결하는 콘텐츠로 포함</t>
  </si>
  <si>
    <t>전투 성장과 장비·스킬 해금 기준</t>
  </si>
  <si>
    <t>1~30</t>
  </si>
  <si>
    <t>모든 레벨이 PC DATA·몬스터·아이템 시트에 나타나도록 배치</t>
  </si>
  <si>
    <t>제목만 읽어도 플레이어 행동이 보이도록 작성</t>
  </si>
  <si>
    <t>행동형 제목</t>
  </si>
  <si>
    <t>예: 닫힌 문지기 처치하기, 플랫폼을 3분간 방어하기</t>
  </si>
  <si>
    <t>목표를 방해하는 적 패턴·지형·시간·자원·호위 요소</t>
  </si>
  <si>
    <t>구체적 서술</t>
  </si>
  <si>
    <t>동시 적 수, 강인도, 약점 노출, 방어 대상 내구도 등</t>
  </si>
  <si>
    <t>플레이어가 관찰·판단·조작해야 하는 해결 절차</t>
  </si>
  <si>
    <t>구체적 플레이 절차</t>
  </si>
  <si>
    <t>표적 우선순위, 회피 타이밍, 약점 공격, 자원 관리</t>
  </si>
  <si>
    <t>난이도 값과 그 값을 만드는 원인을 함께 기록</t>
  </si>
  <si>
    <t>숫자/10 + 원인</t>
  </si>
  <si>
    <t>패턴 수·동시 적 수·제한시간·체크포인트 간격 등</t>
  </si>
  <si>
    <t>적·웨이브·장치·페이즈 등 완료에 필요한 단위 수</t>
  </si>
  <si>
    <t>정수</t>
  </si>
  <si>
    <t>일반 적 6마리, 방어 3웨이브, 장치 4개, 보스 2페이즈</t>
  </si>
  <si>
    <t>시스템이 완료를 판정할 수 있는 명확한 조건</t>
  </si>
  <si>
    <t>구체적 판정 조건</t>
  </si>
  <si>
    <t>체력 0, 웨이브 종료, 호위 대상 도착, 입력 완료</t>
  </si>
  <si>
    <t>실패 조건과 재시작 범위</t>
  </si>
  <si>
    <t>구체적 조건 또는 -</t>
  </si>
  <si>
    <t>체력 0, 방어 대상 파괴, 거리 초과, 오답 누적</t>
  </si>
  <si>
    <t>미들 유저의 해당 콘텐츠 완료 예상 시간</t>
  </si>
  <si>
    <t>Excel 시간값</t>
  </si>
  <si>
    <t>전체 미들 유저 기준 합계 5시간</t>
  </si>
  <si>
    <t>유저 유형별 시간</t>
  </si>
  <si>
    <t>숙련도에 따른 라이트·미들·헤비 완료 시간</t>
  </si>
  <si>
    <t>라이트 약 6시간 9분, 미들 5시간, 헤비 약 4시간 6분</t>
  </si>
  <si>
    <t>보스 전투 시간</t>
  </si>
  <si>
    <t>첫 보스 5분 이상, 이후 보스는 더 긴 학습·공략 시간을 확보</t>
  </si>
  <si>
    <t>닫힌 문지기 5분30초 / 융합된 괴물 8분30초 / 갈채를 먹는 자 13분30초 / 폐교의 보스 22분30초 / 선의 계량자 24분</t>
  </si>
  <si>
    <t>막힌 플레이어를 위한 힌트·수치 보정·체크포인트</t>
  </si>
  <si>
    <t>필요한 경우 작성</t>
  </si>
  <si>
    <t>적 체력 감소, 패턴 예고 강화, 회복 아이템, 판정 완화</t>
  </si>
  <si>
    <t>콘텐츠가 진행되는 맵·전투 구역</t>
  </si>
  <si>
    <t>구역 코드 + 장소</t>
  </si>
  <si>
    <t>17개 스테이지로 구분</t>
  </si>
  <si>
    <t>콘텐츠 진행 포인트</t>
  </si>
  <si>
    <t>상위 콘텐츠 해금 흐름을 수치화</t>
  </si>
  <si>
    <t>획득량·누적값</t>
  </si>
  <si>
    <t>개별 획득량과 누적값을 분리하며 최종 누적 10,000</t>
  </si>
  <si>
    <t>레벨업 필요 경험치</t>
  </si>
  <si>
    <t>현재 레벨에서 다음 레벨로 넘어가기 위한 요구 경험치</t>
  </si>
  <si>
    <t>100+25×Lv+6×Lv²</t>
  </si>
  <si>
    <t>레벨이 오를수록 완만하게 증가</t>
  </si>
  <si>
    <t>몬스터 경험치·전투시간</t>
  </si>
  <si>
    <t>1체 처치 보상과 평균 처치 시간을 기록</t>
  </si>
  <si>
    <t>정수·초</t>
  </si>
  <si>
    <t>일반 &lt; 정예 &lt; 보스 순으로 보상과 전투 시간이 증가</t>
  </si>
  <si>
    <t>레벨업 전투시간·처치 수</t>
  </si>
  <si>
    <t>필요 경험치를 전투로 채우는 평균량</t>
  </si>
  <si>
    <t>수식</t>
  </si>
  <si>
    <t>처치 수=필요 경험치÷몬스터 경험치, 전투시간=처치 수×1체 전투시간</t>
  </si>
  <si>
    <t>행의 전투 공략을 짧은 단계로 요약</t>
  </si>
  <si>
    <t>화살표 연결 문장</t>
  </si>
  <si>
    <t>보스는 고유 기믹을 반드시 별도로 작성</t>
  </si>
  <si>
    <t>자아마모도·인연</t>
  </si>
  <si>
    <t>전투 결과가 서사 상태에 미치는 변화</t>
  </si>
  <si>
    <t>% 또는 —</t>
  </si>
  <si>
    <t>전투 중심 버전에서도 결말·지원·보상 변화와 연결</t>
  </si>
  <si>
    <t>다음 콘텐츠를 해금하는 필수 조건</t>
  </si>
  <si>
    <t>콘텐츠·레벨·보스 조건</t>
  </si>
  <si>
    <t>직전 콘텐츠, 스테이지 결산, 권장 레벨을 함께 기록</t>
  </si>
  <si>
    <t>반복·체류 시간을 조절하는 장치</t>
  </si>
  <si>
    <t>구체적 조절 방법</t>
  </si>
  <si>
    <t>적 수·웨이브·체크포인트·힌트·스킵 기능</t>
  </si>
  <si>
    <t>해당 구간의 활동량과 집중도를 표현</t>
  </si>
  <si>
    <t>낮음/중간/중상/높음</t>
  </si>
  <si>
    <t>대화·탐색·일반전·복합전 구간을 구분</t>
  </si>
  <si>
    <t>스킬·장비·도전 콘텐츠의 해금 시점</t>
  </si>
  <si>
    <t>해금 내용 또는 —</t>
  </si>
  <si>
    <t>PC DATA·아이템 시트의 최초 획득 시점과 연결</t>
  </si>
  <si>
    <t>플레이어에게 요구되는 전투 학습 단계</t>
  </si>
  <si>
    <t>단계명</t>
  </si>
  <si>
    <t>기초 조작→다수전→정예전→던전→보스 기믹→최종 종합</t>
  </si>
  <si>
    <t>스테이지 마지막 행에서 S/A/B/C 등급을 결산</t>
  </si>
  <si>
    <t>S=100%, A=80%, B=60%, C=50%</t>
  </si>
  <si>
    <t>S 점수를 기준으로 나머지 등급은 수식 계산</t>
  </si>
  <si>
    <t>PC DATA(대차대조표)</t>
  </si>
  <si>
    <t>모든 콘텐츠 순서에서 현재 공격·방어·스킬·장비 상태 확인</t>
  </si>
  <si>
    <t>1~123 전체 작성</t>
  </si>
  <si>
    <t>장비·스킬 변화는 최초 획득 시점에만 기록</t>
  </si>
  <si>
    <t>아이템 시트</t>
  </si>
  <si>
    <t>장비·소모품의 사용 조건과 전투 수치를 관리</t>
  </si>
  <si>
    <t>퀘스트·일회성 전용 아이템 제외</t>
  </si>
  <si>
    <t>사용 조건에 콘텐츠 제한·사용 횟수를 함께 작성</t>
  </si>
  <si>
    <t>몬스터 시트</t>
  </si>
  <si>
    <t>모든 콘텐츠 순서의 몬스터 등장 여부와 전투 수치 관리</t>
  </si>
  <si>
    <t>미등장 콘텐츠도 ‘해당 없음’으로 남겨 구조를 유지</t>
  </si>
  <si>
    <t>문서 범위</t>
  </si>
  <si>
    <t>전투 중심 별도 버전의 시작부터 엔딩까지 전체 작성</t>
  </si>
  <si>
    <t>5개 챕터·123개 콘텐츠·Lv.1~30</t>
  </si>
  <si>
    <t>PC DATA·아이템·몬스터·변경 이력까지 포함</t>
  </si>
  <si>
    <t>전투 중심 버전 전체 밸런스 곡선 요약</t>
  </si>
  <si>
    <t>총 콘텐츠 수</t>
  </si>
  <si>
    <t>평균 플레이 난이도</t>
  </si>
  <si>
    <t>평균 플레이 흥미도</t>
  </si>
  <si>
    <t>미들 총 플레이 시간</t>
  </si>
  <si>
    <t>최대 레벨</t>
  </si>
  <si>
    <t>구간</t>
  </si>
  <si>
    <t>콘텐츠 수</t>
  </si>
  <si>
    <t>최고 플레이 난이도</t>
  </si>
  <si>
    <t>미들 플레이 시간</t>
  </si>
  <si>
    <t>전투 콘텐츠 비율</t>
  </si>
  <si>
    <t>전투 중심 버전 「넌 착해!」 PC DATA(대차대조표)</t>
  </si>
  <si>
    <t>모든 콘텐츠 진행 순서를 작성하며, 장비·스킬 변화는 최초 획득 또는 교체 시점에만 기록함. 최종 공격력·방어력은 기본 수치와 장비 합계의 수식으로 계산함.</t>
  </si>
  <si>
    <t>콘텐츠명</t>
  </si>
  <si>
    <t>플레이어 고유명(CLASS)</t>
  </si>
  <si>
    <t>전투 상태</t>
  </si>
  <si>
    <t>기본 공격력</t>
  </si>
  <si>
    <t>장비 공격력 합계</t>
  </si>
  <si>
    <t>최종 공격력</t>
  </si>
  <si>
    <t>공격력 변화(최초·교체)</t>
  </si>
  <si>
    <t>기본 방어력</t>
  </si>
  <si>
    <t>장비 방어력 합계</t>
  </si>
  <si>
    <t>최종 방어력</t>
  </si>
  <si>
    <t>방어력 변화(획득·교체·파손)</t>
  </si>
  <si>
    <t>스킬(최초 해금)</t>
  </si>
  <si>
    <t>현재 핵심 장비</t>
  </si>
  <si>
    <t>변경 근거·현재 상태</t>
  </si>
  <si>
    <t>차한해</t>
  </si>
  <si>
    <t>전투 시스템 미개방</t>
  </si>
  <si>
    <t>무기: 없음 / 방어구: 없음</t>
  </si>
  <si>
    <t>Lv.1 기본 성장 유지</t>
  </si>
  <si>
    <t>Lv.2 기본 성장 유지</t>
  </si>
  <si>
    <t>선의 각성·제한적 대응</t>
  </si>
  <si>
    <t>선의 접촉 소멸</t>
  </si>
  <si>
    <t>스킬: 선의 접촉 소멸</t>
  </si>
  <si>
    <t>Lv.3 기본 성장 유지</t>
  </si>
  <si>
    <t>전투 가능</t>
  </si>
  <si>
    <t>훈련용 철봉 +20 (최초 획득)</t>
  </si>
  <si>
    <t>기본 연격</t>
  </si>
  <si>
    <t>무기: 훈련용 철봉 / 방어구: 없음</t>
  </si>
  <si>
    <t>훈련용 철봉 +20 (최초 획득) · 스킬: 기본 연격</t>
  </si>
  <si>
    <t>회피</t>
  </si>
  <si>
    <t>스킬: 회피</t>
  </si>
  <si>
    <t>약점 표식</t>
  </si>
  <si>
    <t>스킬: 약점 표식</t>
  </si>
  <si>
    <t>Lv.4 기본 성장 유지</t>
  </si>
  <si>
    <t>선의 충격파</t>
  </si>
  <si>
    <t>스킬: 선의 충격파</t>
  </si>
  <si>
    <t>전투 가능·비전투 콘텐츠</t>
  </si>
  <si>
    <t>구조대 경량 방호복 +15 (최초 획득)</t>
  </si>
  <si>
    <t>무기: 훈련용 철봉 / 방어구: 구조대 경량 방호복</t>
  </si>
  <si>
    <t>Lv.5 기본 성장 유지</t>
  </si>
  <si>
    <t>강인도 파괴</t>
  </si>
  <si>
    <t>스킬: 강인도 파괴</t>
  </si>
  <si>
    <t>Lv.6 기본 성장 유지</t>
  </si>
  <si>
    <t>보스 전투</t>
  </si>
  <si>
    <t>훈련용 철봉 → 구조대 전투봉 (+35)</t>
  </si>
  <si>
    <t>무기: 구조대 전투봉 / 방어구: 구조대 경량 방호복</t>
  </si>
  <si>
    <t>Lv.7 기본 성장 유지</t>
  </si>
  <si>
    <t>방어 태세</t>
  </si>
  <si>
    <t>스킬: 방어 태세</t>
  </si>
  <si>
    <t>Lv.8 기본 성장 유지</t>
  </si>
  <si>
    <t>구조대 경량 방호복 → 충격 흡수 조끼 (+25)</t>
  </si>
  <si>
    <t>무기: 구조대 전투봉 / 방어구: 충격 흡수 조끼</t>
  </si>
  <si>
    <t>Lv.9 기본 성장 유지</t>
  </si>
  <si>
    <t>Lv.10 기본 성장 유지</t>
  </si>
  <si>
    <t>광역 방출</t>
  </si>
  <si>
    <t>스킬: 광역 방출</t>
  </si>
  <si>
    <t>구조대 전투봉 → 공성 파쇄봉 (+55)</t>
  </si>
  <si>
    <t>무기: 공성 파쇄봉 / 방어구: 충격 흡수 조끼</t>
  </si>
  <si>
    <t>Lv.11 기본 성장 유지</t>
  </si>
  <si>
    <t>Lv.12 기본 성장 유지</t>
  </si>
  <si>
    <t>공성 파쇄봉 → 토벌대 공명검 (+80)</t>
  </si>
  <si>
    <t>공명 베기</t>
  </si>
  <si>
    <t>무기: 토벌대 공명검 / 방어구: 충격 흡수 조끼</t>
  </si>
  <si>
    <t>공성 파쇄봉 → 토벌대 공명검 (+80) · 스킬: 공명 베기</t>
  </si>
  <si>
    <t>Lv.13 기본 성장 유지</t>
  </si>
  <si>
    <t>Lv.14 기본 성장 유지</t>
  </si>
  <si>
    <t>구조 신호</t>
  </si>
  <si>
    <t>스킬: 구조 신호</t>
  </si>
  <si>
    <t>충격 흡수 조끼 → 방역 전투 코트 (+40)</t>
  </si>
  <si>
    <t>무기: 토벌대 공명검 / 방어구: 방역 전투 코트</t>
  </si>
  <si>
    <t>Lv.15 기본 성장 유지</t>
  </si>
  <si>
    <t>Lv.16 기본 성장 유지</t>
  </si>
  <si>
    <t>응급 보호막</t>
  </si>
  <si>
    <t>스킬: 응급 보호막</t>
  </si>
  <si>
    <t>토벌대 공명검 → 단독 토벌 장갑 (+95)</t>
  </si>
  <si>
    <t>단독 집중</t>
  </si>
  <si>
    <t>무기: 단독 토벌 장갑 / 방어구: 방역 전투 코트</t>
  </si>
  <si>
    <t>토벌대 공명검 → 단독 토벌 장갑 (+95) · 스킬: 단독 집중</t>
  </si>
  <si>
    <t>Lv.17 기본 성장 유지</t>
  </si>
  <si>
    <t>Lv.18 기본 성장 유지</t>
  </si>
  <si>
    <t>방역 전투 코트 → 폐교 진입 방호복 (+55)</t>
  </si>
  <si>
    <t>환경 무기 숙련</t>
  </si>
  <si>
    <t>무기: 단독 토벌 장갑 / 방어구: 폐교 진입 방호복</t>
  </si>
  <si>
    <t>방역 전투 코트 → 폐교 진입 방호복 (+55) · 스킬: 환경 무기 숙련</t>
  </si>
  <si>
    <t>Lv.19 기본 성장 유지</t>
  </si>
  <si>
    <t>Lv.20 기본 성장 유지</t>
  </si>
  <si>
    <t>Lv.21 기본 성장 유지</t>
  </si>
  <si>
    <t>반사 투척</t>
  </si>
  <si>
    <t>스킬: 반사 투척</t>
  </si>
  <si>
    <t>단독 토벌 장갑 → 철제 교탁 다리 (+110)</t>
  </si>
  <si>
    <t>무기: 철제 교탁 다리 / 방어구: 폐교 진입 방호복</t>
  </si>
  <si>
    <t>Lv.22 기본 성장 유지</t>
  </si>
  <si>
    <t>Lv.23 기본 성장 유지</t>
  </si>
  <si>
    <t>공격 중지 생존</t>
  </si>
  <si>
    <t>스킬: 공격 중지 생존</t>
  </si>
  <si>
    <t>철제 교탁 다리 → 보랏빛 농구공 (+120)</t>
  </si>
  <si>
    <t>무기: 보랏빛 농구공 / 방어구: 폐교 진입 방호복</t>
  </si>
  <si>
    <t>Lv.24 기본 성장 유지</t>
  </si>
  <si>
    <t>Lv.25 기본 성장 유지</t>
  </si>
  <si>
    <t>폐교 진입 방호복 → 균열 차폐 외투 (+70)</t>
  </si>
  <si>
    <t>균열 차폐</t>
  </si>
  <si>
    <t>무기: 보랏빛 농구공 / 방어구: 균열 차폐 외투</t>
  </si>
  <si>
    <t>폐교 진입 방호복 → 균열 차폐 외투 (+70) · 스킬: 균열 차폐</t>
  </si>
  <si>
    <t>Lv.26 기본 성장 유지</t>
  </si>
  <si>
    <t>보랏빛 농구공 → 선의 증폭 장치 (+150)</t>
  </si>
  <si>
    <t>무기: 선의 증폭 장치 / 방어구: 균열 차폐 외투</t>
  </si>
  <si>
    <t>Lv.27 기본 성장 유지</t>
  </si>
  <si>
    <t>Lv.28 기본 성장 유지</t>
  </si>
  <si>
    <t>공명 부담 관리</t>
  </si>
  <si>
    <t>스킬: 공명 부담 관리</t>
  </si>
  <si>
    <t>최종 대응 전투화 +20 (추가 장착)</t>
  </si>
  <si>
    <t>무기: 선의 증폭 장치 / 방어구: 균열 차폐 외투 / 신발: 최종 대응 전투화</t>
  </si>
  <si>
    <t>Lv.29 기본 성장 유지</t>
  </si>
  <si>
    <t>최종 판정 회피</t>
  </si>
  <si>
    <t>스킬: 최종 판정 회피</t>
  </si>
  <si>
    <t>Lv.30 기본 성장 유지</t>
  </si>
  <si>
    <t>전투 중심 버전 「넌 착해!」 아이템 밸런스 시트</t>
  </si>
  <si>
    <t>퀘스트 전용·한 번만 존재하는 연출 아이템은 제외함. 사용 조건에는 레벨·콘텐츠 제한·사용 횟수를 함께 기록하며, 장비 획득 순서는 PC DATA와 연동함.</t>
  </si>
  <si>
    <t>아이템명</t>
  </si>
  <si>
    <t>아이템 타입</t>
  </si>
  <si>
    <t>아이템 이미지</t>
  </si>
  <si>
    <t>사용 가능 CLASS</t>
  </si>
  <si>
    <t>지급 기준</t>
  </si>
  <si>
    <t>지급 조건</t>
  </si>
  <si>
    <t>귀속 여부</t>
  </si>
  <si>
    <t>사용 조건</t>
  </si>
  <si>
    <t>공격력</t>
  </si>
  <si>
    <t>공격력 보정</t>
  </si>
  <si>
    <t>방어력</t>
  </si>
  <si>
    <t>방어력 보정</t>
  </si>
  <si>
    <t>기타 STATUS</t>
  </si>
  <si>
    <t>세트 이름</t>
  </si>
  <si>
    <t>세트 효과</t>
  </si>
  <si>
    <t>속성 종류</t>
  </si>
  <si>
    <t>수치</t>
  </si>
  <si>
    <t>최소 공격력</t>
  </si>
  <si>
    <t>최대 공격력</t>
  </si>
  <si>
    <t>최초 획득 순서</t>
  </si>
  <si>
    <t>비고</t>
  </si>
  <si>
    <t>훈련용 철봉</t>
  </si>
  <si>
    <t>무기</t>
  </si>
  <si>
    <t>철봉 아이콘</t>
  </si>
  <si>
    <t>CLASS: 선의 전투자</t>
  </si>
  <si>
    <t>튜토리얼</t>
  </si>
  <si>
    <t>기본 공격 훈련 시작</t>
  </si>
  <si>
    <t>획득 시 귀속</t>
  </si>
  <si>
    <t>Lv.3 이상 · 근거리 전투에서 상시 사용 가능</t>
  </si>
  <si>
    <t>기본 연격 피해 +5%</t>
  </si>
  <si>
    <t>경직 유발 +5%</t>
  </si>
  <si>
    <t>관리국 표준 대응 세트</t>
  </si>
  <si>
    <t>2세트: 회피 스태미나 소모 -5% / 3세트: 받는 피해 -5%</t>
  </si>
  <si>
    <t>충격</t>
  </si>
  <si>
    <t>PC DATA 최초 무기</t>
  </si>
  <si>
    <t>구조대 경량 방호복</t>
  </si>
  <si>
    <t>상의 방어구</t>
  </si>
  <si>
    <t>방호복 아이콘</t>
  </si>
  <si>
    <t>콘텐츠</t>
  </si>
  <si>
    <t>첫 장비 슬롯 설정 완료</t>
  </si>
  <si>
    <t>Lv.4 이상 · 구조·호위·일반 전투에서 상시 착용</t>
  </si>
  <si>
    <t>받는 물리 피해 -4%</t>
  </si>
  <si>
    <t>이동속도 감소 없음</t>
  </si>
  <si>
    <t>물리 저항</t>
  </si>
  <si>
    <t>초기 생존 장비</t>
  </si>
  <si>
    <t>관리국 무전 이어피스</t>
  </si>
  <si>
    <t>액세서리</t>
  </si>
  <si>
    <t>이어피스 아이콘</t>
  </si>
  <si>
    <t>CLASS: 관리국 협력 전투자</t>
  </si>
  <si>
    <t>아파트 구조대 합류</t>
  </si>
  <si>
    <t>관리국 통신망이 연결된 출동·구조 콘텐츠에서 사용 가능</t>
  </si>
  <si>
    <t>공격 예고 판독 시간 +0.3초</t>
  </si>
  <si>
    <t>전술 정보</t>
  </si>
  <si>
    <t>보스 예고 보조</t>
  </si>
  <si>
    <t>구조대 전투봉</t>
  </si>
  <si>
    <t>전투봉 아이콘</t>
  </si>
  <si>
    <t>스테이지 보상</t>
  </si>
  <si>
    <t>아파트 구조 작전 완료</t>
  </si>
  <si>
    <t>Lv.6 이상 · 근거리·다수전 콘텐츠에서 사용 가능</t>
  </si>
  <si>
    <t>광역 타격 범위 +8%</t>
  </si>
  <si>
    <t>구조 대상 근처 공격력 +5%</t>
  </si>
  <si>
    <t>구조대 방호 세트</t>
  </si>
  <si>
    <t>2세트: 호위 대상 받는 피해 -8%</t>
  </si>
  <si>
    <t>훈련용 철봉 교체</t>
  </si>
  <si>
    <t>충격 흡수 조끼</t>
  </si>
  <si>
    <t>조끼 아이콘</t>
  </si>
  <si>
    <t>대피소 공성전 준비 완료</t>
  </si>
  <si>
    <t>Lv.8 이상 · 방어전·공성전에서 상시 착용</t>
  </si>
  <si>
    <t>넉백 거리 -15%</t>
  </si>
  <si>
    <t>방어 대상 근처 받는 피해 -5%</t>
  </si>
  <si>
    <t>충격 저항</t>
  </si>
  <si>
    <t>구조대 경량 방호복 교체</t>
  </si>
  <si>
    <t>응급 회복 스프레이</t>
  </si>
  <si>
    <t>소모품</t>
  </si>
  <si>
    <t>스프레이 아이콘</t>
  </si>
  <si>
    <t>모든 전투자</t>
  </si>
  <si>
    <t>상점·보급</t>
  </si>
  <si>
    <t>대피소 보급 상점 해금</t>
  </si>
  <si>
    <t>거래 가능</t>
  </si>
  <si>
    <t>전투 중 1회 사용 · 사용 후 20초 재사용 불가</t>
  </si>
  <si>
    <t>최대 체력의 30% 회복</t>
  </si>
  <si>
    <t>회복</t>
  </si>
  <si>
    <t>반복 구매 가능</t>
  </si>
  <si>
    <t>공성 파쇄봉</t>
  </si>
  <si>
    <t>파쇄봉 아이콘</t>
  </si>
  <si>
    <t>대피소 공성전 완료</t>
  </si>
  <si>
    <t>Lv.10 이상 · 강인도·방어막 보유 적에게 사용 가능</t>
  </si>
  <si>
    <t>강인도 피해 +15%</t>
  </si>
  <si>
    <t>방어막 대상 추가 피해 +10%</t>
  </si>
  <si>
    <t>공성 대응 세트</t>
  </si>
  <si>
    <t>2세트: 강인도 파괴 후 공격력 +8%</t>
  </si>
  <si>
    <t>파쇄</t>
  </si>
  <si>
    <t>구조대 전투봉 교체</t>
  </si>
  <si>
    <t>방어 파동 발생기</t>
  </si>
  <si>
    <t>보조 장비</t>
  </si>
  <si>
    <t>발생기 아이콘</t>
  </si>
  <si>
    <t>제작</t>
  </si>
  <si>
    <t>공성형 괴물의 핵 파편 3개 확보</t>
  </si>
  <si>
    <t>방어전에서 1회 설치 · 설치 후 해당 전투 종료까지 유지</t>
  </si>
  <si>
    <t>설치 반경 받는 피해 -8%</t>
  </si>
  <si>
    <t>방어 대상 내구도 +10%</t>
  </si>
  <si>
    <t>보호막</t>
  </si>
  <si>
    <t>설치형 장비</t>
  </si>
  <si>
    <t>토벌대 공명검</t>
  </si>
  <si>
    <t>공명검 아이콘</t>
  </si>
  <si>
    <t>CLASS: 고등급 토벌 전투자</t>
  </si>
  <si>
    <t>융합된 괴물 처치</t>
  </si>
  <si>
    <t>Lv.12 이상 · 정예·보스 전투에서 사용 가능</t>
  </si>
  <si>
    <t>약점 피해 +12%</t>
  </si>
  <si>
    <t>공명 게이지 획득량 +10%</t>
  </si>
  <si>
    <t>토벌대 공명 세트</t>
  </si>
  <si>
    <t>2세트: 스킬 재사용 대기시간 -5% / 3세트: 약점 피해 +8%</t>
  </si>
  <si>
    <t>공명</t>
  </si>
  <si>
    <t>공성 파쇄봉 교체</t>
  </si>
  <si>
    <t>방역 전투 코트</t>
  </si>
  <si>
    <t>전투 코트 아이콘</t>
  </si>
  <si>
    <t>병원 격리 구역 진입</t>
  </si>
  <si>
    <t>Lv.14 이상 · 오염·지속 피해 구역에서 상시 착용</t>
  </si>
  <si>
    <t>오염 피해 -15%</t>
  </si>
  <si>
    <t>상태 이상 지속 시간 -10%</t>
  </si>
  <si>
    <t>오염 저항</t>
  </si>
  <si>
    <t>충격 흡수 조끼 교체</t>
  </si>
  <si>
    <t>구조 신호기</t>
  </si>
  <si>
    <t>신호기 아이콘</t>
  </si>
  <si>
    <t>병원 생존자 전원 구조</t>
  </si>
  <si>
    <t>호위·구조 콘텐츠에서 1회 사용 · 주변 구조 대상 이동속도 10초 증가</t>
  </si>
  <si>
    <t>구조 대상 이동속도 +15%</t>
  </si>
  <si>
    <t>지원</t>
  </si>
  <si>
    <t>구조 스킬 연계</t>
  </si>
  <si>
    <t>단독 토벌 장갑</t>
  </si>
  <si>
    <t>장갑 무기</t>
  </si>
  <si>
    <t>장갑 아이콘</t>
  </si>
  <si>
    <t>단독 토벌 명령 수락</t>
  </si>
  <si>
    <t>Lv.16 이상 · 동료 없이 진행하는 전투에서 사용 가능</t>
  </si>
  <si>
    <t>체력 50% 이하 공격력 +10%</t>
  </si>
  <si>
    <t>회피 직후 치명타율 +8%</t>
  </si>
  <si>
    <t>단독 토벌 세트</t>
  </si>
  <si>
    <t>2세트: 동료 미동행 시 받는 피해 -8%</t>
  </si>
  <si>
    <t>토벌대 공명검 교체</t>
  </si>
  <si>
    <t>공명 탐지기</t>
  </si>
  <si>
    <t>탐지기 아이콘</t>
  </si>
  <si>
    <t>균열핵 잔류 신호 5개 분석</t>
  </si>
  <si>
    <t>탐색·던전 콘텐츠에서 상시 사용 가능</t>
  </si>
  <si>
    <t>숨은 약점·함정 감지 거리 +20%</t>
  </si>
  <si>
    <t>탐지</t>
  </si>
  <si>
    <t>폐교 탐색 보조</t>
  </si>
  <si>
    <t>폐교 진입 방호복</t>
  </si>
  <si>
    <t>폐교 방호복 아이콘</t>
  </si>
  <si>
    <t>갈채를 먹는 자 처치</t>
  </si>
  <si>
    <t>Lv.18 이상 · 폐교·실내 던전 전투에서 상시 착용</t>
  </si>
  <si>
    <t>함정 피해 -12%</t>
  </si>
  <si>
    <t>어두운 구역 시야 +15%</t>
  </si>
  <si>
    <t>폐교 생존 세트</t>
  </si>
  <si>
    <t>2세트: 환경 무기 피해 +10%</t>
  </si>
  <si>
    <t>함정 저항</t>
  </si>
  <si>
    <t>방역 전투 코트 교체</t>
  </si>
  <si>
    <t>철제 교탁 다리</t>
  </si>
  <si>
    <t>교탁 다리 아이콘</t>
  </si>
  <si>
    <t>현장 획득</t>
  </si>
  <si>
    <t>폐교 3층 교실 장애물 파괴</t>
  </si>
  <si>
    <t>획득한 폐교 구역의 전투에서 사용 가능 · 내구도 소진 시 사용 불가</t>
  </si>
  <si>
    <t>환경 무기 피해 +20%</t>
  </si>
  <si>
    <t>강공격 경직 +15%</t>
  </si>
  <si>
    <t>현장 무기</t>
  </si>
  <si>
    <t>보랏빛 농구공</t>
  </si>
  <si>
    <t>투척 무기</t>
  </si>
  <si>
    <t>농구공 아이콘</t>
  </si>
  <si>
    <t>CLASS: 차한해 전용</t>
  </si>
  <si>
    <t>보스 기믹</t>
  </si>
  <si>
    <t>폐교 강당 공명 확인</t>
  </si>
  <si>
    <t>폐교의 보스 전투에서 투척·반사 가능 · 회수 후 재사용</t>
  </si>
  <si>
    <t>반사 성공 시 방어막 피해 +30%</t>
  </si>
  <si>
    <t>기억 분신 판별 보조</t>
  </si>
  <si>
    <t>기억 공명 세트</t>
  </si>
  <si>
    <t>2세트: 공격 중지 상태 받는 피해 -15%</t>
  </si>
  <si>
    <t>폐교의 보스 핵심 기믹</t>
  </si>
  <si>
    <t>기억 펜던트</t>
  </si>
  <si>
    <t>펜던트 아이콘</t>
  </si>
  <si>
    <t>보스 보상</t>
  </si>
  <si>
    <t>폐교의 보스 포옹 기믹 완료</t>
  </si>
  <si>
    <t>비전투·최종 보스 전환 구간에서 상시 적용</t>
  </si>
  <si>
    <t>자아 마모 증가량 -10%</t>
  </si>
  <si>
    <t>정신 저항</t>
  </si>
  <si>
    <t>균열 차폐 외투</t>
  </si>
  <si>
    <t>차폐 외투 아이콘</t>
  </si>
  <si>
    <t>도시 최종 방어전 시작</t>
  </si>
  <si>
    <t>Lv.25 이상 · 균열 내부·최종 방어전에서 상시 착용</t>
  </si>
  <si>
    <t>균열 피해 -18%</t>
  </si>
  <si>
    <t>자아 마모 증가량 -5%</t>
  </si>
  <si>
    <t>최종 균열 대응 세트</t>
  </si>
  <si>
    <t>2세트: 반사 피해 -10% / 3세트: HP 1 고정 구간 회피 판정 +0.1초</t>
  </si>
  <si>
    <t>균열 저항</t>
  </si>
  <si>
    <t>폐교 진입 방호복 교체</t>
  </si>
  <si>
    <t>선의 증폭 장치</t>
  </si>
  <si>
    <t>특수 무기</t>
  </si>
  <si>
    <t>증폭 장치 아이콘</t>
  </si>
  <si>
    <t>선의 계량자의 문지기 처치</t>
  </si>
  <si>
    <t>Lv.27 이상 · 균열 내부와 최종 보스 전투에서 사용 가능</t>
  </si>
  <si>
    <t>공명 스킬 피해 +20%</t>
  </si>
  <si>
    <t>반사 중첩 감소량 +1</t>
  </si>
  <si>
    <t>최종 주력 무기</t>
  </si>
  <si>
    <t>최종 대응 전투화</t>
  </si>
  <si>
    <t>신발 방어구</t>
  </si>
  <si>
    <t>전투화 아이콘</t>
  </si>
  <si>
    <t>균열 핵 진입 준비 완료</t>
  </si>
  <si>
    <t>Lv.28 이상 · 최종 보스 전투에서 상시 착용</t>
  </si>
  <si>
    <t>회피 스태미나 소모 -12%</t>
  </si>
  <si>
    <t>연속 회피 판정 +0.1초</t>
  </si>
  <si>
    <t>기동</t>
  </si>
  <si>
    <t>최종 판정 대응</t>
  </si>
  <si>
    <t>공명 안정제</t>
  </si>
  <si>
    <t>안정제 아이콘</t>
  </si>
  <si>
    <t>균열 내부 보급 지점 해금</t>
  </si>
  <si>
    <t>전투 중 1회 사용 · 자아 마모 폭주 구간에서만 사용 가능</t>
  </si>
  <si>
    <t>폭주 게이지 20% 감소</t>
  </si>
  <si>
    <t>안정</t>
  </si>
  <si>
    <t>긴급 보호막 캡슐</t>
  </si>
  <si>
    <t>캡슐 아이콘</t>
  </si>
  <si>
    <t>제작·보급</t>
  </si>
  <si>
    <t>최종 방어전 재료 3종 확보</t>
  </si>
  <si>
    <t>전투 중 1회 사용 · 5초간 피해 1회 무효화</t>
  </si>
  <si>
    <t>피해 1회 무효</t>
  </si>
  <si>
    <t>보스 실수 완충</t>
  </si>
  <si>
    <t>전투 중심 게임 몬스터 밸런스 시트</t>
  </si>
  <si>
    <t>몬스터 타입별 콘텐츠 수</t>
  </si>
  <si>
    <t>기준: 레벨 1~30 및 콘텐츠 진행 순서 1~123 전체를 작성함. 몬스터 미등장 구간도 공란으로 두지 않으며, 공격력·방어력은 기본값과 STATUS 보정값을 합산함. 스킬 발동률 합계는 전투 개체 기준 100%로 관리함.</t>
  </si>
  <si>
    <t>몬스터 타입</t>
  </si>
  <si>
    <t>몬스터 이름</t>
  </si>
  <si>
    <t>몬스터 이미지</t>
  </si>
  <si>
    <t>세부 전투 역할</t>
  </si>
  <si>
    <t>선공 여부</t>
  </si>
  <si>
    <t>AI 행동 패턴</t>
  </si>
  <si>
    <t>생명력</t>
  </si>
  <si>
    <t>공격력 합산 STATUS</t>
  </si>
  <si>
    <t>방어력 합산 STATUS</t>
  </si>
  <si>
    <t>스킬1</t>
  </si>
  <si>
    <t>발동률1</t>
  </si>
  <si>
    <t>스킬2</t>
  </si>
  <si>
    <t>발동률2</t>
  </si>
  <si>
    <t>스킬3</t>
  </si>
  <si>
    <t>발동률3</t>
  </si>
  <si>
    <t>스킬4</t>
  </si>
  <si>
    <t>발동률4</t>
  </si>
  <si>
    <t>발동률 합계</t>
  </si>
  <si>
    <t>예상 전투 시간</t>
  </si>
  <si>
    <t>등장 수</t>
  </si>
  <si>
    <t>전투 해결 방식</t>
  </si>
  <si>
    <t>경험치 보상</t>
  </si>
  <si>
    <t>드롭·보상 아이템</t>
  </si>
  <si>
    <t>미등장</t>
  </si>
  <si>
    <t>해당 없음</t>
  </si>
  <si>
    <t>해당 콘텐츠에 몬스터 없음</t>
  </si>
  <si>
    <t>전투 없음</t>
  </si>
  <si>
    <t>이동·대화·정비 콘텐츠</t>
  </si>
  <si>
    <t>초기 변이체</t>
  </si>
  <si>
    <t>일반 변이체</t>
  </si>
  <si>
    <t>강화 변이체</t>
  </si>
  <si>
    <t>무리 선도체</t>
  </si>
  <si>
    <t>전신 이미지 삽입 예정</t>
  </si>
  <si>
    <t>훈련·기초 근거리</t>
  </si>
  <si>
    <t>조건부 선공</t>
  </si>
  <si>
    <t>공격 전조가 길고 1회 공격 후 충분한 빈틈을 제공함</t>
  </si>
  <si>
    <t>역할·패턴 보정</t>
  </si>
  <si>
    <t>외피·강인도 보정</t>
  </si>
  <si>
    <t>느린 할퀴기</t>
  </si>
  <si>
    <t>짧은 밀치기</t>
  </si>
  <si>
    <t>배회</t>
  </si>
  <si>
    <t>1-A | 아파트·생존 튜토리얼 / Lv.2 기준. 스킬 발동률 합계 100%.</t>
  </si>
  <si>
    <t>정예 변이체</t>
  </si>
  <si>
    <t>구역 보스</t>
  </si>
  <si>
    <t>호위 대상을 노리는 추격체</t>
  </si>
  <si>
    <t>추격·제어</t>
  </si>
  <si>
    <t>호위 대상을 우선 추적하고 플레이어의 공격을 받으면 목표를 전환함</t>
  </si>
  <si>
    <t>챕터 보스</t>
  </si>
  <si>
    <t>전투 구역 변이체</t>
  </si>
  <si>
    <t>1-B | 대피소·전투 훈련 / Lv.3 기준. 스킬 발동률 합계 100%.</t>
  </si>
  <si>
    <t>1-B | 대피소·전투 훈련 / Lv.4 기준. 스킬 발동률 합계 100%.</t>
  </si>
  <si>
    <t>훈련용 변이체 3마리</t>
  </si>
  <si>
    <t>복도 변이체 무리</t>
  </si>
  <si>
    <t>선공</t>
  </si>
  <si>
    <t>1-C | 아파트 구조 작전 / Lv.5 기준. 스킬 발동률 합계 100%.</t>
  </si>
  <si>
    <t>근거리 딜러</t>
  </si>
  <si>
    <t>플레이어를 추적해 기본 공격 2~3회를 사용하고 회피 후 짧은 경직 상태가 됨</t>
  </si>
  <si>
    <t>기본 할퀴기</t>
  </si>
  <si>
    <t>짧은 돌진</t>
  </si>
  <si>
    <t>주변 살피기</t>
  </si>
  <si>
    <t>1-C | 아파트 구조 작전 / Lv.6 기준. 스킬 발동률 합계 100%.</t>
  </si>
  <si>
    <t>닫힌 문지기</t>
  </si>
  <si>
    <t>환경 기믹 보스</t>
  </si>
  <si>
    <t>체력 구간과 기믹 성공 여부에 따라 패턴·전장·약점 상태를 전환함</t>
  </si>
  <si>
    <t>철문 돌진</t>
  </si>
  <si>
    <t>봉쇄 충격파</t>
  </si>
  <si>
    <t>시민 밀어내기</t>
  </si>
  <si>
    <t>방어 핵 노출</t>
  </si>
  <si>
    <t>매복 변이체</t>
  </si>
  <si>
    <t>2-A | 보급로 확보 / Lv.7 기준. 스킬 발동률 합계 100%.</t>
  </si>
  <si>
    <t>기동 딜러</t>
  </si>
  <si>
    <t>도주 경로를 따라 이동하다가 거리가 좁혀지면 후방 견제 공격을 사용함</t>
  </si>
  <si>
    <t>2-A | 보급로 확보 / Lv.8 기준. 스킬 발동률 합계 100%.</t>
  </si>
  <si>
    <t>보급로 확보 무리 선도체</t>
  </si>
  <si>
    <t>강인도·지휘</t>
  </si>
  <si>
    <t>부하의 진형을 유지하며 강인도 파괴 전에는 공격 빈틈을 짧게 유지함</t>
  </si>
  <si>
    <t>지휘 명령</t>
  </si>
  <si>
    <t>강인도 돌진</t>
  </si>
  <si>
    <t>부하 재배치</t>
  </si>
  <si>
    <t>광역 밀치기</t>
  </si>
  <si>
    <t>방어 파동 발생기 재료</t>
  </si>
  <si>
    <t>대피소 공성전 침입 변이체</t>
  </si>
  <si>
    <t>웨이브 딜러·진입로 압박</t>
  </si>
  <si>
    <t>여러 진입로에서 순차 등장하며 방어 대상과 플레이어 중 가까운 목표를 공격함</t>
  </si>
  <si>
    <t>2-B | 대피소 공성전 / Lv.8 기준. 스킬 발동률 합계 100%.</t>
  </si>
  <si>
    <t>2-B | 대피소 공성전 / Lv.9 기준. 스킬 발동률 합계 100%.</t>
  </si>
  <si>
    <t>2-B | 대피소 공성전 / Lv.10 기준. 스킬 발동률 합계 100%.</t>
  </si>
  <si>
    <t>공성형 괴물</t>
  </si>
  <si>
    <t>상가 지구 탈환 침입 변이체</t>
  </si>
  <si>
    <t>2-C | 상가 지구 탈환 / Lv.10 기준. 스킬 발동률 합계 100%.</t>
  </si>
  <si>
    <t>2-C | 상가 지구 탈환 / Lv.11 기준. 스킬 발동률 합계 100%.</t>
  </si>
  <si>
    <t>융합된 괴물</t>
  </si>
  <si>
    <t>다중 부위·재생 보스</t>
  </si>
  <si>
    <t>재생 조직</t>
  </si>
  <si>
    <t>원거리 핵 포격</t>
  </si>
  <si>
    <t>융합 팔 휩쓸기</t>
  </si>
  <si>
    <t>분리체 소환</t>
  </si>
  <si>
    <t>2-C | 상가 지구 탈환 / Lv.12 기준. 스킬 발동률 합계 100%.</t>
  </si>
  <si>
    <t>3-A | 지하철 토벌 작전 / Lv.12 기준. 스킬 발동률 합계 100%.</t>
  </si>
  <si>
    <t>승강장 변이체 무리</t>
  </si>
  <si>
    <t>3-A | 지하철 토벌 작전 / Lv.13 기준. 스킬 발동률 합계 100%.</t>
  </si>
  <si>
    <t>지하철 토벌 작전 침입 변이체</t>
  </si>
  <si>
    <t>3-A | 지하철 토벌 작전 / Lv.14 기준. 스킬 발동률 합계 100%.</t>
  </si>
  <si>
    <t>3-B | 병원 구호 작전 / Lv.15 기준. 스킬 발동률 합계 100%.</t>
  </si>
  <si>
    <t>병원 구호 작전 침입 변이체</t>
  </si>
  <si>
    <t>독성 변이체</t>
  </si>
  <si>
    <t>연속 타격</t>
  </si>
  <si>
    <t>범위 휩쓸기</t>
  </si>
  <si>
    <t>강화 돌진</t>
  </si>
  <si>
    <t>3-B | 병원 구호 작전 / Lv.16 기준. 스킬 발동률 합계 100%.</t>
  </si>
  <si>
    <t>병원 균열 수호체</t>
  </si>
  <si>
    <t>복합 패턴 딜러</t>
  </si>
  <si>
    <t>근거리 연계 후 원거리 견제를 섞고 체력 50% 이하에서 공격 주기를 단축함</t>
  </si>
  <si>
    <t>응급 보호막 재료</t>
  </si>
  <si>
    <t>3-C | 단독 토벌 전환 / Lv.17 기준. 스킬 발동률 합계 100%.</t>
  </si>
  <si>
    <t>강한 변이체 3연전</t>
  </si>
  <si>
    <t>도주하는 변이체</t>
  </si>
  <si>
    <t>3-C | 단독 토벌 전환 / Lv.18 기준. 스킬 발동률 합계 100%.</t>
  </si>
  <si>
    <t>갈채를 먹는 자</t>
  </si>
  <si>
    <t>강화 중첩·장치 보스</t>
  </si>
  <si>
    <t>갈채 흡수</t>
  </si>
  <si>
    <t>환호 폭발</t>
  </si>
  <si>
    <t>광역 반격</t>
  </si>
  <si>
    <t>박수 속박</t>
  </si>
  <si>
    <t>4-A | 폐교 본관 1층 / Lv.19 기준. 스킬 발동률 합계 100%.</t>
  </si>
  <si>
    <t>4-A | 폐교 본관 1층 / Lv.20 기준. 스킬 발동률 합계 100%.</t>
  </si>
  <si>
    <t>1층 감시자</t>
  </si>
  <si>
    <t>공명 탐지기 재료</t>
  </si>
  <si>
    <t>폐교 본관 2층 침입 변이체</t>
  </si>
  <si>
    <t>4-B | 폐교 본관 2층 / Lv.20 기준. 스킬 발동률 합계 100%.</t>
  </si>
  <si>
    <t>4-B | 폐교 본관 2층 / Lv.21 기준. 스킬 발동률 합계 100%.</t>
  </si>
  <si>
    <t>2층 지배자</t>
  </si>
  <si>
    <t>4-C | 폐교 본관 3층 / Lv.22 기준. 스킬 발동률 합계 100%.</t>
  </si>
  <si>
    <t>폐교 본관 3층 침입 변이체</t>
  </si>
  <si>
    <t>폭주 교사형 괴물</t>
  </si>
  <si>
    <t>4-C | 폐교 본관 3층 / Lv.23 기준. 스킬 발동률 합계 100%.</t>
  </si>
  <si>
    <t>폐교 강당 침입 변이체</t>
  </si>
  <si>
    <t>4-D | 폐교 강당 / Lv.24 기준. 스킬 발동률 합계 100%.</t>
  </si>
  <si>
    <t>폐교의 보스</t>
  </si>
  <si>
    <t>기억 판별·투사체 반사</t>
  </si>
  <si>
    <t>기억 분신</t>
  </si>
  <si>
    <t>농구공 반사</t>
  </si>
  <si>
    <t>괴물형 돌진</t>
  </si>
  <si>
    <t>방어막 재생</t>
  </si>
  <si>
    <t>공격 중지·생존 보스</t>
  </si>
  <si>
    <t>감정 폭주</t>
  </si>
  <si>
    <t>손 뻗기</t>
  </si>
  <si>
    <t>포옹 거부</t>
  </si>
  <si>
    <t>4-D | 폐교 강당 / Lv.25 기준. 스킬 발동률 합계 100%.</t>
  </si>
  <si>
    <t>5-A | 도시 최종 방어전 / Lv.25 기준. 스킬 발동률 합계 100%.</t>
  </si>
  <si>
    <t>5-A | 도시 최종 방어전 / Lv.26 기준. 스킬 발동률 합계 100%.</t>
  </si>
  <si>
    <t>도시 최종 방어전 침입 변이체</t>
  </si>
  <si>
    <t>선의 계량자의 문지기</t>
  </si>
  <si>
    <t>밀쳐내기·강인도 탱커</t>
  </si>
  <si>
    <t>전장 가장자리를 압박하고 밀쳐내기 후 중앙 방어 자세로 전환함</t>
  </si>
  <si>
    <t>출구 봉쇄</t>
  </si>
  <si>
    <t>집단 밀치기</t>
  </si>
  <si>
    <t>강인도 회복</t>
  </si>
  <si>
    <t>직접 타격</t>
  </si>
  <si>
    <t>원초 변이체 무리</t>
  </si>
  <si>
    <t>5-B | 균열 내부 / Lv.27 기준. 스킬 발동률 합계 100%.</t>
  </si>
  <si>
    <t>5-B | 균열 내부 / Lv.28 기준. 스킬 발동률 합계 100%.</t>
  </si>
  <si>
    <t>선의 계량자</t>
  </si>
  <si>
    <t>반사·속성 전환</t>
  </si>
  <si>
    <t>반사</t>
  </si>
  <si>
    <t>속성 판정</t>
  </si>
  <si>
    <t>약점 봉쇄</t>
  </si>
  <si>
    <t>판정 파동</t>
  </si>
  <si>
    <t>5-C | 균열 핵 / Lv.29 기준. 스킬 발동률 합계 100%.</t>
  </si>
  <si>
    <t>UI 차단·소환</t>
  </si>
  <si>
    <t>UI 차단</t>
  </si>
  <si>
    <t>군집 소환</t>
  </si>
  <si>
    <t>회복 봉쇄</t>
  </si>
  <si>
    <t>반사 확장</t>
  </si>
  <si>
    <t>장치 방어·상태 이상</t>
  </si>
  <si>
    <t>자아 마모 폭주</t>
  </si>
  <si>
    <t>화면 왜곡</t>
  </si>
  <si>
    <t>입력 지연</t>
  </si>
  <si>
    <t>안정화 장치 공격</t>
  </si>
  <si>
    <t>HP 1·연속 회피</t>
  </si>
  <si>
    <t>최종 판정</t>
  </si>
  <si>
    <t>HP 1 고정</t>
  </si>
  <si>
    <t>연속 심판</t>
  </si>
  <si>
    <t>핵 노출</t>
  </si>
  <si>
    <t>최종 결말 해금</t>
  </si>
  <si>
    <t>전투 중심 게임 밸런스 기획서 변경 이력</t>
  </si>
  <si>
    <t>본 문서는 기존 내러티브 중심 밸런스 기획서와 별도로 관리되는 전투 중심 버전임. 최근까지 확정한 작성 기준과 시트 구조를 반영하되, 성장·전투·보스 공략의 비중을 중심으로 재설계함.</t>
  </si>
  <si>
    <t>버전</t>
  </si>
  <si>
    <t>변경일</t>
  </si>
  <si>
    <t>변경 대상</t>
  </si>
  <si>
    <t>변경 전</t>
  </si>
  <si>
    <t>변경 후</t>
  </si>
  <si>
    <t>변경 이유</t>
  </si>
  <si>
    <t>기대 효과</t>
  </si>
  <si>
    <t>v2.0</t>
  </si>
  <si>
    <t>2026-08-03</t>
  </si>
  <si>
    <t>총 플레이 시간</t>
  </si>
  <si>
    <t>기존 콘텐츠 시간 합계</t>
  </si>
  <si>
    <t>미들 유저 기준 정확히 5시간</t>
  </si>
  <si>
    <t>최근 확정한 전체 플레이 볼륨 기준 반영</t>
  </si>
  <si>
    <t>전투·성장·정비 구간의 전체 리듬을 동일 기준으로 검토 가능</t>
  </si>
  <si>
    <t>보스전 시간</t>
  </si>
  <si>
    <t>보스별 시간 기준 불통일</t>
  </si>
  <si>
    <t>첫 보스 5분 30초, 이후 8분 30초·13분 30초·22분 30초·24분으로 단계 상승</t>
  </si>
  <si>
    <t>첫 보스 5분 이상 및 이후 보스전 장기화 원칙 반영</t>
  </si>
  <si>
    <t>보스별 학습 누적과 후반 전투의 절정감 강화</t>
  </si>
  <si>
    <t>보스 명칭·기믹</t>
  </si>
  <si>
    <t>일반적인 보스 표기</t>
  </si>
  <si>
    <t>닫힌 문지기·융합된 괴물·갈채를 먹는 자·폐교의 보스·선의 계량자로 구체화</t>
  </si>
  <si>
    <t>몬스터 시트와 밸런스 문서의 명칭 통일</t>
  </si>
  <si>
    <t>시트 간 추적성과 공략 의도 명확화</t>
  </si>
  <si>
    <t>레벨 성장</t>
  </si>
  <si>
    <t>콘텐츠 순서 중심</t>
  </si>
  <si>
    <t>1~30레벨을 123개 콘텐츠 전체에 배치</t>
  </si>
  <si>
    <t>전투 중심 게임의 성장 구조 명시</t>
  </si>
  <si>
    <t>PC·몬스터·아이템 수치의 기준 축 확보</t>
  </si>
  <si>
    <t>기존 누적값</t>
  </si>
  <si>
    <t>최종 누적 10,000 및 개별 획득량 분리</t>
  </si>
  <si>
    <t>누적값과 실제 보상량을 구분</t>
  </si>
  <si>
    <t>성장 속도와 콘텐츠 해금량을 함께 조정 가능</t>
  </si>
  <si>
    <t>필요 경험치</t>
  </si>
  <si>
    <t>기준 불명확</t>
  </si>
  <si>
    <t>100+25×레벨+6×레벨² 공식 적용</t>
  </si>
  <si>
    <t>레벨별 성장 요구량을 일정한 규칙으로 관리</t>
  </si>
  <si>
    <t>경험치 곡선과 반복 전투량을 정량 검토 가능</t>
  </si>
  <si>
    <t>유저 유형 시간</t>
  </si>
  <si>
    <t>미들 기준 중심</t>
  </si>
  <si>
    <t>라이트·미들·헤비 예상 시간 분리</t>
  </si>
  <si>
    <t>숙련도에 따른 전투·탐색 시간 차이 반영</t>
  </si>
  <si>
    <t>난이도 보정과 목표 클리어 시간 비교 가능</t>
  </si>
  <si>
    <t>밸런스 문서 항목</t>
  </si>
  <si>
    <t>기본 22개 항목</t>
  </si>
  <si>
    <t>핵심 전투 기믹·관문·소모 조절·밀도·숙련 단계·점수 등 추가</t>
  </si>
  <si>
    <t>최근까지 보완한 밸런스 항목 통합</t>
  </si>
  <si>
    <t>콘텐츠별 전투 의도와 조절 변수를 한 시트에서 확인</t>
  </si>
  <si>
    <t>PC DATA</t>
  </si>
  <si>
    <t>별도 시트 없음</t>
  </si>
  <si>
    <t>123개 콘텐츠 전체 대차대조표 추가</t>
  </si>
  <si>
    <t>플레이어 수치·장비·스킬 변화를 콘텐츠 순서별 관리</t>
  </si>
  <si>
    <t>공격력·방어력 변화의 누락과 중복 방지</t>
  </si>
  <si>
    <t>아이템</t>
  </si>
  <si>
    <t>재사용 장비·소모품 22종의 사용 조건·귀속·STATUS·세트·공격 범위 추가</t>
  </si>
  <si>
    <t>전투 성장과 장비 획득 구조 관리</t>
  </si>
  <si>
    <t>PC DATA와 아이템 효과를 상호 검증 가능</t>
  </si>
  <si>
    <t>몬스터</t>
  </si>
  <si>
    <t>123개 콘텐츠 전 구간의 몬스터 등장 여부·AI·능력치·스킬·보상 작성</t>
  </si>
  <si>
    <t>대차대조표 방식으로 미등장 구간까지 포함</t>
  </si>
  <si>
    <t>콘텐츠 추가·삭제 시 몬스터 배치 누락 방지</t>
  </si>
  <si>
    <t>밸런스 곡선·작성 기준</t>
  </si>
  <si>
    <t>기존 기본 기준</t>
  </si>
  <si>
    <t>레벨·포인트·경험치·전투 비율·5시간 기준으로 갱신</t>
  </si>
  <si>
    <t>문서 전체의 수치 기준 통일</t>
  </si>
  <si>
    <t>변경 시 영향을 받는 시트와 수식을 빠르게 파악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</si>
</sst>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[h]&quot;시간 &quot;m&quot;분 &quot;s&quot;초&quot;"/>
    <numFmt numFmtId="178" formatCode="[m]&quot;분 &quot;ss&quot;초&quot;"/>
    <numFmt numFmtId="179" formatCode="[h]&quot;시간 &quot;m&quot;분&quot;"/>
    <numFmt numFmtId="180" formatCode="0.##"/>
  </numFmts>
  <fonts count="11">
    <font>
      <sz val="11"/>
      <color rgb="FF000000"/>
      <name val="Carlito"/>
    </font>
    <font>
      <sz val="11"/>
      <color rgb="FF000000"/>
      <name val="Carlito"/>
    </font>
    <font>
      <b/>
      <sz val="16"/>
      <color rgb="FF000000"/>
      <name val="Carlito"/>
    </font>
    <font>
      <sz val="10"/>
      <color rgb="FF000000"/>
      <name val="Carlito"/>
    </font>
    <font>
      <b/>
      <sz val="11"/>
      <color rgb="FF000000"/>
      <name val="Carlito"/>
    </font>
    <font>
      <b/>
      <sz val="12"/>
      <color rgb="FF000000"/>
      <name val="Carlito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024878"/>
        <bgColor indexed="64"/>
      </patternFill>
    </fill>
  </fills>
  <borders count="22">
    <border>
      <left/>
      <right/>
      <top/>
      <bottom/>
      <diagonal/>
    </border>
    <border>
      <left style="thin">
        <color rgb="FFC8D1DC"/>
      </left>
      <right/>
      <top style="thin">
        <color rgb="FFC8D1DC"/>
      </top>
      <bottom/>
      <diagonal/>
    </border>
    <border>
      <left/>
      <right/>
      <top style="thin">
        <color rgb="FFC8D1DC"/>
      </top>
      <bottom/>
      <diagonal/>
    </border>
    <border>
      <left/>
      <right style="thin">
        <color rgb="FFC8D1DC"/>
      </right>
      <top style="thin">
        <color rgb="FFC8D1DC"/>
      </top>
      <bottom/>
      <diagonal/>
    </border>
    <border>
      <left style="thin">
        <color rgb="FFC8D1DC"/>
      </left>
      <right/>
      <top/>
      <bottom/>
      <diagonal/>
    </border>
    <border>
      <left/>
      <right style="thin">
        <color rgb="FFC8D1DC"/>
      </right>
      <top/>
      <bottom/>
      <diagonal/>
    </border>
    <border>
      <left style="thin">
        <color rgb="FFC8D1DC"/>
      </left>
      <right/>
      <top/>
      <bottom style="thin">
        <color rgb="FFC8D1DC"/>
      </bottom>
      <diagonal/>
    </border>
    <border>
      <left/>
      <right/>
      <top/>
      <bottom style="thin">
        <color rgb="FFC8D1DC"/>
      </bottom>
      <diagonal/>
    </border>
    <border>
      <left/>
      <right style="thin">
        <color rgb="FFC8D1DC"/>
      </right>
      <top/>
      <bottom style="thin">
        <color rgb="FFC8D1D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C8D1DC"/>
      </right>
      <top style="thin">
        <color rgb="FFC8D1DC"/>
      </top>
      <bottom/>
      <diagonal/>
    </border>
    <border>
      <left/>
      <right style="thin">
        <color rgb="FFC8D1DC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>
      <alignment vertical="center"/>
    </xf>
  </cellStyleXfs>
  <cellXfs count="98">
    <xf numFmtId="0" fontId="0" fillId="0" borderId="0" xfId="0" applyNumberFormat="1" applyAlignment="1"/>
    <xf numFmtId="0" fontId="0" fillId="0" borderId="0" xfId="0" applyNumberFormat="1" applyFont="1" applyAlignment="1">
      <alignment horizontal="left" vertical="center"/>
    </xf>
    <xf numFmtId="0" fontId="0" fillId="0" borderId="9" xfId="1" applyNumberFormat="1" applyFont="1" applyBorder="1" applyAlignment="1">
      <alignment vertical="center" wrapText="1"/>
    </xf>
    <xf numFmtId="0" fontId="0" fillId="0" borderId="9" xfId="0" applyNumberFormat="1" applyFont="1" applyBorder="1" applyAlignment="1">
      <alignment horizontal="left" vertical="center" wrapText="1"/>
    </xf>
    <xf numFmtId="0" fontId="0" fillId="0" borderId="10" xfId="0" applyNumberFormat="1" applyFont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1" fontId="3" fillId="2" borderId="0" xfId="0" applyNumberFormat="1" applyFont="1" applyFill="1" applyBorder="1" applyAlignment="1">
      <alignment wrapText="1"/>
    </xf>
    <xf numFmtId="0" fontId="0" fillId="3" borderId="0" xfId="0" applyNumberFormat="1" applyFont="1" applyFill="1" applyBorder="1" applyAlignment="1">
      <alignment wrapText="1"/>
    </xf>
    <xf numFmtId="1" fontId="0" fillId="3" borderId="0" xfId="0" applyNumberFormat="1" applyFont="1" applyFill="1" applyBorder="1" applyAlignment="1">
      <alignment wrapText="1"/>
    </xf>
    <xf numFmtId="2" fontId="0" fillId="3" borderId="0" xfId="0" applyNumberFormat="1" applyFont="1" applyFill="1" applyBorder="1" applyAlignment="1">
      <alignment wrapText="1"/>
    </xf>
    <xf numFmtId="2" fontId="0" fillId="0" borderId="1" xfId="0" applyNumberFormat="1" applyFont="1" applyFill="1" applyBorder="1" applyAlignment="1">
      <alignment vertical="top" wrapText="1"/>
    </xf>
    <xf numFmtId="2" fontId="0" fillId="0" borderId="2" xfId="0" applyNumberFormat="1" applyFont="1" applyFill="1" applyBorder="1" applyAlignment="1">
      <alignment vertical="top" wrapText="1"/>
    </xf>
    <xf numFmtId="2" fontId="0" fillId="0" borderId="9" xfId="0" applyNumberFormat="1" applyFont="1" applyFill="1" applyBorder="1" applyAlignment="1">
      <alignment vertical="center" wrapText="1"/>
    </xf>
    <xf numFmtId="2" fontId="0" fillId="0" borderId="10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wrapText="1"/>
    </xf>
    <xf numFmtId="0" fontId="0" fillId="0" borderId="3" xfId="0" applyNumberFormat="1" applyFont="1" applyFill="1" applyBorder="1" applyAlignment="1">
      <alignment wrapText="1"/>
    </xf>
    <xf numFmtId="2" fontId="0" fillId="0" borderId="6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179" fontId="0" fillId="0" borderId="0" xfId="0" applyNumberFormat="1" applyFont="1" applyFill="1" applyBorder="1" applyAlignment="1">
      <alignment wrapText="1"/>
    </xf>
    <xf numFmtId="1" fontId="0" fillId="0" borderId="5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1" fontId="0" fillId="0" borderId="8" xfId="0" applyNumberFormat="1" applyFont="1" applyFill="1" applyBorder="1" applyAlignment="1">
      <alignment wrapText="1"/>
    </xf>
    <xf numFmtId="1" fontId="0" fillId="0" borderId="2" xfId="0" applyNumberFormat="1" applyFont="1" applyFill="1" applyBorder="1" applyAlignment="1">
      <alignment wrapText="1"/>
    </xf>
    <xf numFmtId="9" fontId="0" fillId="0" borderId="0" xfId="0" applyNumberFormat="1" applyFont="1" applyFill="1" applyBorder="1" applyAlignment="1">
      <alignment wrapText="1"/>
    </xf>
    <xf numFmtId="176" fontId="0" fillId="0" borderId="0" xfId="0" applyNumberFormat="1" applyFont="1" applyFill="1" applyBorder="1" applyAlignment="1">
      <alignment wrapText="1"/>
    </xf>
    <xf numFmtId="1" fontId="0" fillId="0" borderId="7" xfId="0" applyNumberFormat="1" applyFont="1" applyFill="1" applyBorder="1" applyAlignment="1">
      <alignment wrapText="1"/>
    </xf>
    <xf numFmtId="1" fontId="2" fillId="2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 applyAlignment="1">
      <alignment vertical="center" wrapText="1"/>
    </xf>
    <xf numFmtId="0" fontId="4" fillId="5" borderId="0" xfId="0" applyNumberFormat="1" applyFont="1" applyFill="1" applyBorder="1" applyAlignment="1">
      <alignment horizontal="center" vertical="center" wrapText="1"/>
    </xf>
    <xf numFmtId="1" fontId="0" fillId="4" borderId="0" xfId="0" applyNumberFormat="1" applyFont="1" applyFill="1" applyBorder="1" applyAlignment="1">
      <alignment vertical="center" wrapText="1"/>
    </xf>
    <xf numFmtId="180" fontId="0" fillId="4" borderId="0" xfId="0" applyNumberFormat="1" applyFont="1" applyFill="1" applyBorder="1" applyAlignment="1">
      <alignment vertical="center" wrapText="1"/>
    </xf>
    <xf numFmtId="0" fontId="0" fillId="0" borderId="13" xfId="0" applyNumberFormat="1" applyFont="1" applyFill="1" applyBorder="1" applyAlignment="1">
      <alignment vertical="center" wrapText="1"/>
    </xf>
    <xf numFmtId="0" fontId="0" fillId="0" borderId="0" xfId="0" applyNumberFormat="1" applyFont="1" applyFill="1" applyAlignment="1">
      <alignment vertical="center" wrapText="1"/>
    </xf>
    <xf numFmtId="0" fontId="0" fillId="0" borderId="14" xfId="0" applyNumberFormat="1" applyFont="1" applyFill="1" applyBorder="1" applyAlignment="1">
      <alignment vertical="center" wrapText="1"/>
    </xf>
    <xf numFmtId="0" fontId="4" fillId="5" borderId="18" xfId="0" applyNumberFormat="1" applyFont="1" applyFill="1" applyBorder="1" applyAlignment="1">
      <alignment horizontal="center" vertical="center" wrapText="1"/>
    </xf>
    <xf numFmtId="0" fontId="4" fillId="5" borderId="19" xfId="0" applyNumberFormat="1" applyFont="1" applyFill="1" applyBorder="1" applyAlignment="1">
      <alignment horizontal="center" vertical="center" wrapText="1"/>
    </xf>
    <xf numFmtId="0" fontId="4" fillId="5" borderId="20" xfId="0" applyNumberFormat="1" applyFont="1" applyFill="1" applyBorder="1" applyAlignment="1">
      <alignment horizontal="center" vertical="center" wrapText="1"/>
    </xf>
    <xf numFmtId="0" fontId="0" fillId="0" borderId="1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0" borderId="14" xfId="0" applyNumberFormat="1" applyFont="1" applyFill="1" applyBorder="1" applyAlignment="1">
      <alignment horizontal="center" vertical="center" wrapText="1"/>
    </xf>
    <xf numFmtId="0" fontId="0" fillId="0" borderId="15" xfId="0" applyNumberFormat="1" applyFont="1" applyFill="1" applyBorder="1" applyAlignment="1">
      <alignment horizontal="center" vertical="center" wrapText="1"/>
    </xf>
    <xf numFmtId="0" fontId="0" fillId="0" borderId="16" xfId="0" applyNumberFormat="1" applyFont="1" applyFill="1" applyBorder="1" applyAlignment="1">
      <alignment horizontal="center" vertical="center" wrapText="1"/>
    </xf>
    <xf numFmtId="0" fontId="0" fillId="0" borderId="1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horizontal="left" vertical="center" wrapText="1"/>
    </xf>
    <xf numFmtId="0" fontId="0" fillId="0" borderId="16" xfId="0" applyNumberFormat="1" applyFont="1" applyFill="1" applyBorder="1" applyAlignment="1">
      <alignment horizontal="left" vertical="center" wrapText="1"/>
    </xf>
    <xf numFmtId="0" fontId="0" fillId="0" borderId="14" xfId="0" applyNumberFormat="1" applyFont="1" applyFill="1" applyBorder="1" applyAlignment="1">
      <alignment horizontal="left" vertical="center" wrapText="1"/>
    </xf>
    <xf numFmtId="0" fontId="0" fillId="0" borderId="17" xfId="0" applyNumberFormat="1" applyFont="1" applyFill="1" applyBorder="1" applyAlignment="1">
      <alignment horizontal="left" vertical="center" wrapText="1"/>
    </xf>
    <xf numFmtId="1" fontId="0" fillId="0" borderId="0" xfId="0" applyNumberFormat="1" applyFont="1" applyFill="1" applyAlignment="1">
      <alignment horizontal="center" vertical="center" wrapText="1"/>
    </xf>
    <xf numFmtId="1" fontId="0" fillId="0" borderId="16" xfId="0" applyNumberFormat="1" applyFont="1" applyFill="1" applyBorder="1" applyAlignment="1">
      <alignment horizontal="center" vertical="center" wrapText="1"/>
    </xf>
    <xf numFmtId="178" fontId="0" fillId="0" borderId="0" xfId="0" applyNumberFormat="1" applyFont="1" applyFill="1" applyAlignment="1">
      <alignment horizontal="center" vertical="center" wrapText="1"/>
    </xf>
    <xf numFmtId="178" fontId="0" fillId="0" borderId="16" xfId="0" applyNumberFormat="1" applyFont="1" applyFill="1" applyBorder="1" applyAlignment="1">
      <alignment horizontal="center" vertical="center" wrapText="1"/>
    </xf>
    <xf numFmtId="177" fontId="0" fillId="0" borderId="0" xfId="0" applyNumberFormat="1" applyFont="1" applyFill="1" applyBorder="1" applyAlignment="1"/>
    <xf numFmtId="177" fontId="3" fillId="2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horizontal="center" vertical="center" wrapText="1"/>
    </xf>
    <xf numFmtId="0" fontId="0" fillId="6" borderId="0" xfId="0" applyNumberFormat="1" applyFont="1" applyFill="1" applyBorder="1" applyAlignment="1">
      <alignment horizontal="left" vertical="center" wrapText="1"/>
    </xf>
    <xf numFmtId="0" fontId="5" fillId="5" borderId="18" xfId="0" applyNumberFormat="1" applyFont="1" applyFill="1" applyBorder="1" applyAlignment="1">
      <alignment horizontal="center" vertical="center" wrapText="1"/>
    </xf>
    <xf numFmtId="0" fontId="5" fillId="5" borderId="19" xfId="0" applyNumberFormat="1" applyFont="1" applyFill="1" applyBorder="1" applyAlignment="1">
      <alignment horizontal="center" vertical="center" wrapText="1"/>
    </xf>
    <xf numFmtId="0" fontId="5" fillId="5" borderId="20" xfId="0" applyNumberFormat="1" applyFont="1" applyFill="1" applyBorder="1" applyAlignment="1">
      <alignment horizontal="center" vertical="center" wrapText="1"/>
    </xf>
    <xf numFmtId="0" fontId="0" fillId="6" borderId="18" xfId="0" applyNumberFormat="1" applyFont="1" applyFill="1" applyBorder="1" applyAlignment="1">
      <alignment horizontal="left" vertical="center" wrapText="1"/>
    </xf>
    <xf numFmtId="0" fontId="0" fillId="6" borderId="19" xfId="0" applyNumberFormat="1" applyFont="1" applyFill="1" applyBorder="1" applyAlignment="1">
      <alignment horizontal="left" vertical="center" wrapText="1"/>
    </xf>
    <xf numFmtId="0" fontId="0" fillId="6" borderId="20" xfId="0" applyNumberFormat="1" applyFont="1" applyFill="1" applyBorder="1" applyAlignment="1">
      <alignment horizontal="left" vertical="center" wrapText="1"/>
    </xf>
    <xf numFmtId="0" fontId="4" fillId="5" borderId="18" xfId="0" applyNumberFormat="1" applyFont="1" applyFill="1" applyBorder="1" applyAlignment="1">
      <alignment horizontal="center" vertical="center" wrapText="1"/>
    </xf>
    <xf numFmtId="0" fontId="4" fillId="5" borderId="2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vertical="center" wrapText="1"/>
    </xf>
    <xf numFmtId="0" fontId="0" fillId="0" borderId="11" xfId="0" applyNumberFormat="1" applyFont="1" applyFill="1" applyBorder="1" applyAlignment="1">
      <alignment vertical="center" wrapText="1"/>
    </xf>
    <xf numFmtId="0" fontId="0" fillId="0" borderId="0" xfId="0" applyNumberFormat="1" applyAlignment="1">
      <alignment vertical="center"/>
    </xf>
    <xf numFmtId="0" fontId="0" fillId="0" borderId="11" xfId="0" applyNumberFormat="1" applyFont="1" applyFill="1" applyBorder="1" applyAlignment="1">
      <alignment horizontal="center" vertical="center" wrapText="1"/>
    </xf>
    <xf numFmtId="0" fontId="0" fillId="0" borderId="12" xfId="0" applyNumberFormat="1" applyFont="1" applyFill="1" applyBorder="1" applyAlignment="1">
      <alignment vertical="center" wrapText="1"/>
    </xf>
    <xf numFmtId="0" fontId="0" fillId="0" borderId="20" xfId="0" applyNumberFormat="1" applyBorder="1" applyAlignment="1">
      <alignment vertical="center"/>
    </xf>
    <xf numFmtId="0" fontId="7" fillId="3" borderId="21" xfId="0" applyNumberFormat="1" applyFont="1" applyFill="1" applyBorder="1" applyAlignment="1">
      <alignment vertical="center" wrapText="1"/>
    </xf>
    <xf numFmtId="1" fontId="7" fillId="3" borderId="21" xfId="0" applyNumberFormat="1" applyFont="1" applyFill="1" applyBorder="1" applyAlignment="1">
      <alignment horizontal="left" vertical="center" wrapText="1"/>
    </xf>
    <xf numFmtId="0" fontId="7" fillId="3" borderId="21" xfId="0" applyNumberFormat="1" applyFont="1" applyFill="1" applyBorder="1" applyAlignment="1">
      <alignment horizontal="left" vertical="center" wrapText="1"/>
    </xf>
    <xf numFmtId="178" fontId="7" fillId="3" borderId="21" xfId="0" applyNumberFormat="1" applyFont="1" applyFill="1" applyBorder="1" applyAlignment="1">
      <alignment horizontal="left" vertical="center" wrapText="1"/>
    </xf>
    <xf numFmtId="177" fontId="7" fillId="3" borderId="21" xfId="0" applyNumberFormat="1" applyFont="1" applyFill="1" applyBorder="1" applyAlignment="1">
      <alignment vertical="center" wrapText="1"/>
    </xf>
    <xf numFmtId="1" fontId="7" fillId="3" borderId="21" xfId="0" applyNumberFormat="1" applyFont="1" applyFill="1" applyBorder="1" applyAlignment="1">
      <alignment vertical="center" wrapText="1"/>
    </xf>
    <xf numFmtId="1" fontId="6" fillId="2" borderId="21" xfId="0" applyNumberFormat="1" applyFont="1" applyFill="1" applyBorder="1" applyAlignment="1">
      <alignment vertical="center" wrapText="1"/>
    </xf>
    <xf numFmtId="0" fontId="6" fillId="2" borderId="21" xfId="0" applyNumberFormat="1" applyFont="1" applyFill="1" applyBorder="1" applyAlignment="1">
      <alignment vertical="center" wrapText="1"/>
    </xf>
    <xf numFmtId="178" fontId="6" fillId="2" borderId="21" xfId="0" applyNumberFormat="1" applyFont="1" applyFill="1" applyBorder="1" applyAlignment="1">
      <alignment vertical="center" wrapText="1"/>
    </xf>
    <xf numFmtId="178" fontId="7" fillId="0" borderId="21" xfId="0" applyNumberFormat="1" applyFont="1" applyFill="1" applyBorder="1" applyAlignment="1">
      <alignment vertical="center" wrapText="1"/>
    </xf>
    <xf numFmtId="0" fontId="7" fillId="0" borderId="21" xfId="0" applyNumberFormat="1" applyFont="1" applyFill="1" applyBorder="1" applyAlignment="1">
      <alignment vertical="center" wrapText="1"/>
    </xf>
    <xf numFmtId="1" fontId="7" fillId="0" borderId="21" xfId="0" applyNumberFormat="1" applyFont="1" applyFill="1" applyBorder="1" applyAlignment="1">
      <alignment vertical="center" wrapText="1"/>
    </xf>
    <xf numFmtId="177" fontId="7" fillId="0" borderId="21" xfId="0" applyNumberFormat="1" applyFont="1" applyFill="1" applyBorder="1" applyAlignment="1">
      <alignment vertical="center" wrapText="1"/>
    </xf>
    <xf numFmtId="0" fontId="9" fillId="7" borderId="21" xfId="0" applyNumberFormat="1" applyFont="1" applyFill="1" applyBorder="1" applyAlignment="1">
      <alignment horizontal="center" vertical="center" wrapText="1"/>
    </xf>
    <xf numFmtId="0" fontId="10" fillId="7" borderId="21" xfId="0" applyNumberFormat="1" applyFont="1" applyFill="1" applyBorder="1" applyAlignment="1">
      <alignment horizontal="center" vertical="center" wrapText="1"/>
    </xf>
  </cellXfs>
  <cellStyles count="3">
    <cellStyle name="Normal" xfId="1"/>
    <cellStyle name="표준" xfId="0" builtinId="0"/>
    <cellStyle name="표준 2" xfId="2"/>
  </cellStyles>
  <dxfs count="2">
    <dxf>
      <font>
        <b/>
        <color rgb="FF9C0006"/>
      </font>
      <fill>
        <patternFill patternType="solid">
          <bgColor rgb="FFF4CCCC"/>
        </patternFill>
      </fill>
    </dxf>
    <dxf>
      <font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colors>
    <mruColors>
      <color rgb="FF0248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/>
              <a:t>게임 시작부터 엔딩까지의 플레이 난이도·흥미도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플레이 난이도</c:v>
          </c:tx>
          <c:cat>
            <c:numRef>
              <c:f>'밸런스 곡선'!$A$15:$A$137</c:f>
              <c:numCache>
                <c:formatCode>0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cat>
          <c:val>
            <c:numRef>
              <c:f>'밸런스 곡선'!$B$15:$B$137</c:f>
              <c:numCache>
                <c:formatCode>0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4</c:v>
                </c:pt>
                <c:pt idx="21">
                  <c:v>8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5</c:v>
                </c:pt>
                <c:pt idx="29">
                  <c:v>7</c:v>
                </c:pt>
                <c:pt idx="30">
                  <c:v>2</c:v>
                </c:pt>
                <c:pt idx="31">
                  <c:v>2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9</c:v>
                </c:pt>
                <c:pt idx="39">
                  <c:v>2</c:v>
                </c:pt>
                <c:pt idx="40">
                  <c:v>2</c:v>
                </c:pt>
                <c:pt idx="41">
                  <c:v>5</c:v>
                </c:pt>
                <c:pt idx="42">
                  <c:v>5</c:v>
                </c:pt>
                <c:pt idx="43">
                  <c:v>7</c:v>
                </c:pt>
                <c:pt idx="44">
                  <c:v>6</c:v>
                </c:pt>
                <c:pt idx="45">
                  <c:v>9</c:v>
                </c:pt>
                <c:pt idx="46">
                  <c:v>2</c:v>
                </c:pt>
                <c:pt idx="47">
                  <c:v>2</c:v>
                </c:pt>
                <c:pt idx="48">
                  <c:v>4</c:v>
                </c:pt>
                <c:pt idx="49">
                  <c:v>3</c:v>
                </c:pt>
                <c:pt idx="50">
                  <c:v>5</c:v>
                </c:pt>
                <c:pt idx="51">
                  <c:v>5</c:v>
                </c:pt>
                <c:pt idx="52">
                  <c:v>7</c:v>
                </c:pt>
                <c:pt idx="53">
                  <c:v>6</c:v>
                </c:pt>
                <c:pt idx="54">
                  <c:v>9</c:v>
                </c:pt>
                <c:pt idx="55">
                  <c:v>2</c:v>
                </c:pt>
                <c:pt idx="56">
                  <c:v>2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5</c:v>
                </c:pt>
                <c:pt idx="61">
                  <c:v>5</c:v>
                </c:pt>
                <c:pt idx="62">
                  <c:v>10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6</c:v>
                </c:pt>
                <c:pt idx="70">
                  <c:v>9</c:v>
                </c:pt>
                <c:pt idx="71">
                  <c:v>2</c:v>
                </c:pt>
                <c:pt idx="72">
                  <c:v>4</c:v>
                </c:pt>
                <c:pt idx="73">
                  <c:v>6</c:v>
                </c:pt>
                <c:pt idx="74">
                  <c:v>5</c:v>
                </c:pt>
                <c:pt idx="75">
                  <c:v>4</c:v>
                </c:pt>
                <c:pt idx="76">
                  <c:v>6</c:v>
                </c:pt>
                <c:pt idx="77">
                  <c:v>4</c:v>
                </c:pt>
                <c:pt idx="78">
                  <c:v>8</c:v>
                </c:pt>
                <c:pt idx="79">
                  <c:v>7</c:v>
                </c:pt>
                <c:pt idx="80">
                  <c:v>4</c:v>
                </c:pt>
                <c:pt idx="81">
                  <c:v>6</c:v>
                </c:pt>
                <c:pt idx="82">
                  <c:v>5</c:v>
                </c:pt>
                <c:pt idx="83">
                  <c:v>8</c:v>
                </c:pt>
                <c:pt idx="84">
                  <c:v>5</c:v>
                </c:pt>
                <c:pt idx="85">
                  <c:v>10</c:v>
                </c:pt>
                <c:pt idx="86">
                  <c:v>4</c:v>
                </c:pt>
                <c:pt idx="87">
                  <c:v>5</c:v>
                </c:pt>
                <c:pt idx="88">
                  <c:v>6</c:v>
                </c:pt>
                <c:pt idx="89">
                  <c:v>7</c:v>
                </c:pt>
                <c:pt idx="90">
                  <c:v>4</c:v>
                </c:pt>
                <c:pt idx="91">
                  <c:v>8</c:v>
                </c:pt>
                <c:pt idx="92">
                  <c:v>5</c:v>
                </c:pt>
                <c:pt idx="93">
                  <c:v>3</c:v>
                </c:pt>
                <c:pt idx="94">
                  <c:v>7</c:v>
                </c:pt>
                <c:pt idx="95">
                  <c:v>7</c:v>
                </c:pt>
                <c:pt idx="96">
                  <c:v>2</c:v>
                </c:pt>
                <c:pt idx="97">
                  <c:v>10</c:v>
                </c:pt>
                <c:pt idx="98">
                  <c:v>10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3</c:v>
                </c:pt>
                <c:pt idx="103">
                  <c:v>7</c:v>
                </c:pt>
                <c:pt idx="104">
                  <c:v>8</c:v>
                </c:pt>
                <c:pt idx="105">
                  <c:v>10</c:v>
                </c:pt>
                <c:pt idx="106">
                  <c:v>5</c:v>
                </c:pt>
                <c:pt idx="107">
                  <c:v>5</c:v>
                </c:pt>
                <c:pt idx="108">
                  <c:v>7</c:v>
                </c:pt>
                <c:pt idx="109">
                  <c:v>9</c:v>
                </c:pt>
                <c:pt idx="110">
                  <c:v>6</c:v>
                </c:pt>
                <c:pt idx="111">
                  <c:v>9</c:v>
                </c:pt>
                <c:pt idx="112">
                  <c:v>6</c:v>
                </c:pt>
                <c:pt idx="113">
                  <c:v>2</c:v>
                </c:pt>
                <c:pt idx="114">
                  <c:v>10</c:v>
                </c:pt>
                <c:pt idx="115">
                  <c:v>10</c:v>
                </c:pt>
                <c:pt idx="116">
                  <c:v>8</c:v>
                </c:pt>
                <c:pt idx="117">
                  <c:v>10</c:v>
                </c:pt>
                <c:pt idx="118">
                  <c:v>2</c:v>
                </c:pt>
                <c:pt idx="119">
                  <c:v>6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9-4D18-B4BD-FC66598AB4FD}"/>
            </c:ext>
          </c:extLst>
        </c:ser>
        <c:ser>
          <c:idx val="1"/>
          <c:order val="1"/>
          <c:tx>
            <c:v>플레이 흥미도</c:v>
          </c:tx>
          <c:cat>
            <c:numRef>
              <c:f>'밸런스 곡선'!$A$15:$A$137</c:f>
              <c:numCache>
                <c:formatCode>0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cat>
          <c:val>
            <c:numRef>
              <c:f>'밸런스 곡선'!$C$15:$C$137</c:f>
              <c:numCache>
                <c:formatCode>0</c:formatCode>
                <c:ptCount val="123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8</c:v>
                </c:pt>
                <c:pt idx="21">
                  <c:v>10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10</c:v>
                </c:pt>
                <c:pt idx="30">
                  <c:v>7</c:v>
                </c:pt>
                <c:pt idx="31">
                  <c:v>7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10</c:v>
                </c:pt>
                <c:pt idx="39">
                  <c:v>7</c:v>
                </c:pt>
                <c:pt idx="40">
                  <c:v>7</c:v>
                </c:pt>
                <c:pt idx="41">
                  <c:v>9</c:v>
                </c:pt>
                <c:pt idx="42">
                  <c:v>9</c:v>
                </c:pt>
                <c:pt idx="43">
                  <c:v>10</c:v>
                </c:pt>
                <c:pt idx="44">
                  <c:v>9</c:v>
                </c:pt>
                <c:pt idx="45">
                  <c:v>10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7</c:v>
                </c:pt>
                <c:pt idx="50">
                  <c:v>9</c:v>
                </c:pt>
                <c:pt idx="51">
                  <c:v>9</c:v>
                </c:pt>
                <c:pt idx="52">
                  <c:v>10</c:v>
                </c:pt>
                <c:pt idx="53">
                  <c:v>9</c:v>
                </c:pt>
                <c:pt idx="54">
                  <c:v>10</c:v>
                </c:pt>
                <c:pt idx="55">
                  <c:v>7</c:v>
                </c:pt>
                <c:pt idx="56">
                  <c:v>7</c:v>
                </c:pt>
                <c:pt idx="57">
                  <c:v>9</c:v>
                </c:pt>
                <c:pt idx="58">
                  <c:v>9</c:v>
                </c:pt>
                <c:pt idx="59">
                  <c:v>10</c:v>
                </c:pt>
                <c:pt idx="60">
                  <c:v>9</c:v>
                </c:pt>
                <c:pt idx="61">
                  <c:v>9</c:v>
                </c:pt>
                <c:pt idx="62">
                  <c:v>10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9</c:v>
                </c:pt>
                <c:pt idx="67">
                  <c:v>9</c:v>
                </c:pt>
                <c:pt idx="68">
                  <c:v>10</c:v>
                </c:pt>
                <c:pt idx="69">
                  <c:v>9</c:v>
                </c:pt>
                <c:pt idx="70">
                  <c:v>10</c:v>
                </c:pt>
                <c:pt idx="71">
                  <c:v>7</c:v>
                </c:pt>
                <c:pt idx="72">
                  <c:v>8</c:v>
                </c:pt>
                <c:pt idx="73">
                  <c:v>10</c:v>
                </c:pt>
                <c:pt idx="74">
                  <c:v>9</c:v>
                </c:pt>
                <c:pt idx="75">
                  <c:v>9</c:v>
                </c:pt>
                <c:pt idx="76">
                  <c:v>10</c:v>
                </c:pt>
                <c:pt idx="77">
                  <c:v>8</c:v>
                </c:pt>
                <c:pt idx="78">
                  <c:v>10</c:v>
                </c:pt>
                <c:pt idx="79">
                  <c:v>10</c:v>
                </c:pt>
                <c:pt idx="80">
                  <c:v>9</c:v>
                </c:pt>
                <c:pt idx="81">
                  <c:v>10</c:v>
                </c:pt>
                <c:pt idx="82">
                  <c:v>9</c:v>
                </c:pt>
                <c:pt idx="83">
                  <c:v>10</c:v>
                </c:pt>
                <c:pt idx="84">
                  <c:v>9</c:v>
                </c:pt>
                <c:pt idx="85">
                  <c:v>10</c:v>
                </c:pt>
                <c:pt idx="86">
                  <c:v>8</c:v>
                </c:pt>
                <c:pt idx="87">
                  <c:v>9</c:v>
                </c:pt>
                <c:pt idx="88">
                  <c:v>10</c:v>
                </c:pt>
                <c:pt idx="89">
                  <c:v>10</c:v>
                </c:pt>
                <c:pt idx="90">
                  <c:v>9</c:v>
                </c:pt>
                <c:pt idx="91">
                  <c:v>10</c:v>
                </c:pt>
                <c:pt idx="92">
                  <c:v>9</c:v>
                </c:pt>
                <c:pt idx="93">
                  <c:v>8</c:v>
                </c:pt>
                <c:pt idx="94">
                  <c:v>10</c:v>
                </c:pt>
                <c:pt idx="95">
                  <c:v>10</c:v>
                </c:pt>
                <c:pt idx="96">
                  <c:v>8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9</c:v>
                </c:pt>
                <c:pt idx="107">
                  <c:v>9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9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9</c:v>
                </c:pt>
                <c:pt idx="121">
                  <c:v>9</c:v>
                </c:pt>
                <c:pt idx="1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9-4D18-B4BD-FC66598AB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/>
                  <a:t>콘텐츠 진행 순서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LblSkip val="1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/>
                  <a:t>1~10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/>
              <a:t>콘텐츠 진행 포인트별 레벨업 필요 경험치 곡선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 레벨업을 위한 필요 경험치</c:v>
          </c:tx>
          <c:cat>
            <c:numRef>
              <c:f>'밸런스 곡선'!$E$15:$E$137</c:f>
              <c:numCache>
                <c:formatCode>0</c:formatCode>
                <c:ptCount val="123"/>
                <c:pt idx="0">
                  <c:v>20</c:v>
                </c:pt>
                <c:pt idx="1">
                  <c:v>60</c:v>
                </c:pt>
                <c:pt idx="2">
                  <c:v>80</c:v>
                </c:pt>
                <c:pt idx="3">
                  <c:v>120</c:v>
                </c:pt>
                <c:pt idx="4">
                  <c:v>170</c:v>
                </c:pt>
                <c:pt idx="5">
                  <c:v>200</c:v>
                </c:pt>
                <c:pt idx="6">
                  <c:v>260</c:v>
                </c:pt>
                <c:pt idx="7">
                  <c:v>290</c:v>
                </c:pt>
                <c:pt idx="8">
                  <c:v>320</c:v>
                </c:pt>
                <c:pt idx="9">
                  <c:v>340</c:v>
                </c:pt>
                <c:pt idx="10">
                  <c:v>380</c:v>
                </c:pt>
                <c:pt idx="11">
                  <c:v>420</c:v>
                </c:pt>
                <c:pt idx="12">
                  <c:v>460</c:v>
                </c:pt>
                <c:pt idx="13">
                  <c:v>530</c:v>
                </c:pt>
                <c:pt idx="14">
                  <c:v>570</c:v>
                </c:pt>
                <c:pt idx="15">
                  <c:v>600</c:v>
                </c:pt>
                <c:pt idx="16">
                  <c:v>620</c:v>
                </c:pt>
                <c:pt idx="17">
                  <c:v>690</c:v>
                </c:pt>
                <c:pt idx="18">
                  <c:v>770</c:v>
                </c:pt>
                <c:pt idx="19">
                  <c:v>870</c:v>
                </c:pt>
                <c:pt idx="20" formatCode="General">
                  <c:v>940</c:v>
                </c:pt>
                <c:pt idx="21" formatCode="General">
                  <c:v>1110</c:v>
                </c:pt>
                <c:pt idx="22" formatCode="General">
                  <c:v>1150</c:v>
                </c:pt>
                <c:pt idx="23" formatCode="General">
                  <c:v>1190</c:v>
                </c:pt>
                <c:pt idx="24" formatCode="General">
                  <c:v>1230</c:v>
                </c:pt>
                <c:pt idx="25" formatCode="General">
                  <c:v>1300</c:v>
                </c:pt>
                <c:pt idx="26" formatCode="General">
                  <c:v>1370</c:v>
                </c:pt>
                <c:pt idx="27" formatCode="General">
                  <c:v>1460</c:v>
                </c:pt>
                <c:pt idx="28" formatCode="General">
                  <c:v>1530</c:v>
                </c:pt>
                <c:pt idx="29" formatCode="General">
                  <c:v>1640</c:v>
                </c:pt>
                <c:pt idx="30" formatCode="General">
                  <c:v>1670</c:v>
                </c:pt>
                <c:pt idx="31" formatCode="General">
                  <c:v>1710</c:v>
                </c:pt>
                <c:pt idx="32" formatCode="General">
                  <c:v>1800</c:v>
                </c:pt>
                <c:pt idx="33" formatCode="General">
                  <c:v>1870</c:v>
                </c:pt>
                <c:pt idx="34" formatCode="General">
                  <c:v>1940</c:v>
                </c:pt>
                <c:pt idx="35" formatCode="General">
                  <c:v>2030</c:v>
                </c:pt>
                <c:pt idx="36" formatCode="General">
                  <c:v>2120</c:v>
                </c:pt>
                <c:pt idx="37" formatCode="General">
                  <c:v>2190</c:v>
                </c:pt>
                <c:pt idx="38" formatCode="General">
                  <c:v>2350</c:v>
                </c:pt>
                <c:pt idx="39" formatCode="General">
                  <c:v>2390</c:v>
                </c:pt>
                <c:pt idx="40" formatCode="General">
                  <c:v>2430</c:v>
                </c:pt>
                <c:pt idx="41" formatCode="General">
                  <c:v>2500</c:v>
                </c:pt>
                <c:pt idx="42" formatCode="General">
                  <c:v>2570</c:v>
                </c:pt>
                <c:pt idx="43" formatCode="General">
                  <c:v>2680</c:v>
                </c:pt>
                <c:pt idx="44" formatCode="General">
                  <c:v>2770</c:v>
                </c:pt>
                <c:pt idx="45" formatCode="General">
                  <c:v>2960</c:v>
                </c:pt>
                <c:pt idx="46" formatCode="General">
                  <c:v>2990</c:v>
                </c:pt>
                <c:pt idx="47" formatCode="General">
                  <c:v>3020</c:v>
                </c:pt>
                <c:pt idx="48" formatCode="General">
                  <c:v>3070</c:v>
                </c:pt>
                <c:pt idx="49" formatCode="General">
                  <c:v>3110</c:v>
                </c:pt>
                <c:pt idx="50" formatCode="General">
                  <c:v>3190</c:v>
                </c:pt>
                <c:pt idx="51" formatCode="General">
                  <c:v>3270</c:v>
                </c:pt>
                <c:pt idx="52" formatCode="General">
                  <c:v>3390</c:v>
                </c:pt>
                <c:pt idx="53" formatCode="General">
                  <c:v>3490</c:v>
                </c:pt>
                <c:pt idx="54" formatCode="General">
                  <c:v>3670</c:v>
                </c:pt>
                <c:pt idx="55" formatCode="General">
                  <c:v>3710</c:v>
                </c:pt>
                <c:pt idx="56" formatCode="General">
                  <c:v>3740</c:v>
                </c:pt>
                <c:pt idx="57" formatCode="General">
                  <c:v>3820</c:v>
                </c:pt>
                <c:pt idx="58" formatCode="General">
                  <c:v>3920</c:v>
                </c:pt>
                <c:pt idx="59" formatCode="General">
                  <c:v>4040</c:v>
                </c:pt>
                <c:pt idx="60" formatCode="General">
                  <c:v>4120</c:v>
                </c:pt>
                <c:pt idx="61" formatCode="General">
                  <c:v>4200</c:v>
                </c:pt>
                <c:pt idx="62" formatCode="General">
                  <c:v>4380</c:v>
                </c:pt>
                <c:pt idx="63" formatCode="General">
                  <c:v>4410</c:v>
                </c:pt>
                <c:pt idx="64" formatCode="General">
                  <c:v>4440</c:v>
                </c:pt>
                <c:pt idx="65" formatCode="General">
                  <c:v>4480</c:v>
                </c:pt>
                <c:pt idx="66" formatCode="General">
                  <c:v>4560</c:v>
                </c:pt>
                <c:pt idx="67" formatCode="General">
                  <c:v>4660</c:v>
                </c:pt>
                <c:pt idx="68" formatCode="General">
                  <c:v>4780</c:v>
                </c:pt>
                <c:pt idx="69" formatCode="General">
                  <c:v>4860</c:v>
                </c:pt>
                <c:pt idx="70" formatCode="General">
                  <c:v>5040</c:v>
                </c:pt>
                <c:pt idx="71" formatCode="General">
                  <c:v>5070</c:v>
                </c:pt>
                <c:pt idx="72" formatCode="General">
                  <c:v>5110</c:v>
                </c:pt>
                <c:pt idx="73" formatCode="General">
                  <c:v>5200</c:v>
                </c:pt>
                <c:pt idx="74" formatCode="General">
                  <c:v>5280</c:v>
                </c:pt>
                <c:pt idx="75" formatCode="General">
                  <c:v>5340</c:v>
                </c:pt>
                <c:pt idx="76" formatCode="General">
                  <c:v>5430</c:v>
                </c:pt>
                <c:pt idx="77" formatCode="General">
                  <c:v>5470</c:v>
                </c:pt>
                <c:pt idx="78" formatCode="General">
                  <c:v>5600</c:v>
                </c:pt>
                <c:pt idx="79" formatCode="General">
                  <c:v>5710</c:v>
                </c:pt>
                <c:pt idx="80" formatCode="General">
                  <c:v>5770</c:v>
                </c:pt>
                <c:pt idx="81" formatCode="General">
                  <c:v>5860</c:v>
                </c:pt>
                <c:pt idx="82" formatCode="General">
                  <c:v>5940</c:v>
                </c:pt>
                <c:pt idx="83" formatCode="General">
                  <c:v>6070</c:v>
                </c:pt>
                <c:pt idx="84" formatCode="General">
                  <c:v>6150</c:v>
                </c:pt>
                <c:pt idx="85" formatCode="General">
                  <c:v>6350</c:v>
                </c:pt>
                <c:pt idx="86" formatCode="General">
                  <c:v>6390</c:v>
                </c:pt>
                <c:pt idx="87" formatCode="General">
                  <c:v>6470</c:v>
                </c:pt>
                <c:pt idx="88" formatCode="General">
                  <c:v>6560</c:v>
                </c:pt>
                <c:pt idx="89" formatCode="General">
                  <c:v>6670</c:v>
                </c:pt>
                <c:pt idx="90" formatCode="General">
                  <c:v>6730</c:v>
                </c:pt>
                <c:pt idx="91" formatCode="General">
                  <c:v>6860</c:v>
                </c:pt>
                <c:pt idx="92" formatCode="General">
                  <c:v>6940</c:v>
                </c:pt>
                <c:pt idx="93" formatCode="General">
                  <c:v>6980</c:v>
                </c:pt>
                <c:pt idx="94" formatCode="General">
                  <c:v>7090</c:v>
                </c:pt>
                <c:pt idx="95" formatCode="General">
                  <c:v>7200</c:v>
                </c:pt>
                <c:pt idx="96" formatCode="General">
                  <c:v>7230</c:v>
                </c:pt>
                <c:pt idx="97" formatCode="General">
                  <c:v>7430</c:v>
                </c:pt>
                <c:pt idx="98" formatCode="General">
                  <c:v>7630</c:v>
                </c:pt>
                <c:pt idx="99" formatCode="General">
                  <c:v>7690</c:v>
                </c:pt>
                <c:pt idx="100" formatCode="General">
                  <c:v>7730</c:v>
                </c:pt>
                <c:pt idx="101" formatCode="General">
                  <c:v>7770</c:v>
                </c:pt>
                <c:pt idx="102" formatCode="General">
                  <c:v>7820</c:v>
                </c:pt>
                <c:pt idx="103" formatCode="General">
                  <c:v>7920</c:v>
                </c:pt>
                <c:pt idx="104" formatCode="General">
                  <c:v>8040</c:v>
                </c:pt>
                <c:pt idx="105" formatCode="General">
                  <c:v>8260</c:v>
                </c:pt>
                <c:pt idx="106" formatCode="General">
                  <c:v>8310</c:v>
                </c:pt>
                <c:pt idx="107" formatCode="General">
                  <c:v>8360</c:v>
                </c:pt>
                <c:pt idx="108" formatCode="General">
                  <c:v>8460</c:v>
                </c:pt>
                <c:pt idx="109" formatCode="General">
                  <c:v>8600</c:v>
                </c:pt>
                <c:pt idx="110" formatCode="General">
                  <c:v>8680</c:v>
                </c:pt>
                <c:pt idx="111" formatCode="General">
                  <c:v>8820</c:v>
                </c:pt>
                <c:pt idx="112" formatCode="General">
                  <c:v>8900</c:v>
                </c:pt>
                <c:pt idx="113" formatCode="General">
                  <c:v>8940</c:v>
                </c:pt>
                <c:pt idx="114" formatCode="General">
                  <c:v>9160</c:v>
                </c:pt>
                <c:pt idx="115" formatCode="General">
                  <c:v>9380</c:v>
                </c:pt>
                <c:pt idx="116" formatCode="General">
                  <c:v>9500</c:v>
                </c:pt>
                <c:pt idx="117" formatCode="General">
                  <c:v>9720</c:v>
                </c:pt>
                <c:pt idx="118" formatCode="General">
                  <c:v>9780</c:v>
                </c:pt>
                <c:pt idx="119" formatCode="General">
                  <c:v>9880</c:v>
                </c:pt>
                <c:pt idx="120" formatCode="General">
                  <c:v>9920</c:v>
                </c:pt>
                <c:pt idx="121" formatCode="General">
                  <c:v>9960</c:v>
                </c:pt>
                <c:pt idx="122" formatCode="General">
                  <c:v>10000</c:v>
                </c:pt>
              </c:numCache>
            </c:numRef>
          </c:cat>
          <c:val>
            <c:numRef>
              <c:f>'밸런스 곡선'!$F$15:$F$137</c:f>
              <c:numCache>
                <c:formatCode>0.00</c:formatCode>
                <c:ptCount val="123"/>
                <c:pt idx="0">
                  <c:v>131</c:v>
                </c:pt>
                <c:pt idx="1">
                  <c:v>131</c:v>
                </c:pt>
                <c:pt idx="2">
                  <c:v>131</c:v>
                </c:pt>
                <c:pt idx="3">
                  <c:v>131</c:v>
                </c:pt>
                <c:pt idx="4">
                  <c:v>174</c:v>
                </c:pt>
                <c:pt idx="5">
                  <c:v>174</c:v>
                </c:pt>
                <c:pt idx="6">
                  <c:v>174</c:v>
                </c:pt>
                <c:pt idx="7">
                  <c:v>174</c:v>
                </c:pt>
                <c:pt idx="8">
                  <c:v>229</c:v>
                </c:pt>
                <c:pt idx="9">
                  <c:v>229</c:v>
                </c:pt>
                <c:pt idx="10">
                  <c:v>229</c:v>
                </c:pt>
                <c:pt idx="11">
                  <c:v>229</c:v>
                </c:pt>
                <c:pt idx="12">
                  <c:v>296</c:v>
                </c:pt>
                <c:pt idx="13">
                  <c:v>296</c:v>
                </c:pt>
                <c:pt idx="14">
                  <c:v>296</c:v>
                </c:pt>
                <c:pt idx="15">
                  <c:v>296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 formatCode="General">
                  <c:v>466</c:v>
                </c:pt>
                <c:pt idx="21" formatCode="General">
                  <c:v>466</c:v>
                </c:pt>
                <c:pt idx="22" formatCode="General">
                  <c:v>466</c:v>
                </c:pt>
                <c:pt idx="23" formatCode="General">
                  <c:v>466</c:v>
                </c:pt>
                <c:pt idx="24" formatCode="General">
                  <c:v>569</c:v>
                </c:pt>
                <c:pt idx="25" formatCode="General">
                  <c:v>569</c:v>
                </c:pt>
                <c:pt idx="26" formatCode="General">
                  <c:v>569</c:v>
                </c:pt>
                <c:pt idx="27" formatCode="General">
                  <c:v>569</c:v>
                </c:pt>
                <c:pt idx="28" formatCode="General">
                  <c:v>684</c:v>
                </c:pt>
                <c:pt idx="29" formatCode="General">
                  <c:v>684</c:v>
                </c:pt>
                <c:pt idx="30" formatCode="General">
                  <c:v>684</c:v>
                </c:pt>
                <c:pt idx="31" formatCode="General">
                  <c:v>684</c:v>
                </c:pt>
                <c:pt idx="32" formatCode="General">
                  <c:v>811</c:v>
                </c:pt>
                <c:pt idx="33" formatCode="General">
                  <c:v>811</c:v>
                </c:pt>
                <c:pt idx="34" formatCode="General">
                  <c:v>811</c:v>
                </c:pt>
                <c:pt idx="35" formatCode="General">
                  <c:v>811</c:v>
                </c:pt>
                <c:pt idx="36" formatCode="General">
                  <c:v>950</c:v>
                </c:pt>
                <c:pt idx="37" formatCode="General">
                  <c:v>950</c:v>
                </c:pt>
                <c:pt idx="38" formatCode="General">
                  <c:v>950</c:v>
                </c:pt>
                <c:pt idx="39" formatCode="General">
                  <c:v>950</c:v>
                </c:pt>
                <c:pt idx="40" formatCode="General">
                  <c:v>950</c:v>
                </c:pt>
                <c:pt idx="41" formatCode="General">
                  <c:v>1101</c:v>
                </c:pt>
                <c:pt idx="42" formatCode="General">
                  <c:v>1101</c:v>
                </c:pt>
                <c:pt idx="43" formatCode="General">
                  <c:v>1101</c:v>
                </c:pt>
                <c:pt idx="44" formatCode="General">
                  <c:v>1101</c:v>
                </c:pt>
                <c:pt idx="45" formatCode="General">
                  <c:v>1264</c:v>
                </c:pt>
                <c:pt idx="46" formatCode="General">
                  <c:v>1264</c:v>
                </c:pt>
                <c:pt idx="47" formatCode="General">
                  <c:v>1264</c:v>
                </c:pt>
                <c:pt idx="48" formatCode="General">
                  <c:v>1264</c:v>
                </c:pt>
                <c:pt idx="49" formatCode="General">
                  <c:v>1439</c:v>
                </c:pt>
                <c:pt idx="50" formatCode="General">
                  <c:v>1439</c:v>
                </c:pt>
                <c:pt idx="51" formatCode="General">
                  <c:v>1439</c:v>
                </c:pt>
                <c:pt idx="52" formatCode="General">
                  <c:v>1439</c:v>
                </c:pt>
                <c:pt idx="53" formatCode="General">
                  <c:v>1626</c:v>
                </c:pt>
                <c:pt idx="54" formatCode="General">
                  <c:v>1626</c:v>
                </c:pt>
                <c:pt idx="55" formatCode="General">
                  <c:v>1626</c:v>
                </c:pt>
                <c:pt idx="56" formatCode="General">
                  <c:v>1626</c:v>
                </c:pt>
                <c:pt idx="57" formatCode="General">
                  <c:v>1825</c:v>
                </c:pt>
                <c:pt idx="58" formatCode="General">
                  <c:v>1825</c:v>
                </c:pt>
                <c:pt idx="59" formatCode="General">
                  <c:v>1825</c:v>
                </c:pt>
                <c:pt idx="60" formatCode="General">
                  <c:v>1825</c:v>
                </c:pt>
                <c:pt idx="61" formatCode="General">
                  <c:v>2036</c:v>
                </c:pt>
                <c:pt idx="62" formatCode="General">
                  <c:v>2036</c:v>
                </c:pt>
                <c:pt idx="63" formatCode="General">
                  <c:v>2036</c:v>
                </c:pt>
                <c:pt idx="64" formatCode="General">
                  <c:v>2036</c:v>
                </c:pt>
                <c:pt idx="65" formatCode="General">
                  <c:v>2259</c:v>
                </c:pt>
                <c:pt idx="66" formatCode="General">
                  <c:v>2259</c:v>
                </c:pt>
                <c:pt idx="67" formatCode="General">
                  <c:v>2259</c:v>
                </c:pt>
                <c:pt idx="68" formatCode="General">
                  <c:v>2259</c:v>
                </c:pt>
                <c:pt idx="69" formatCode="General">
                  <c:v>2494</c:v>
                </c:pt>
                <c:pt idx="70" formatCode="General">
                  <c:v>2494</c:v>
                </c:pt>
                <c:pt idx="71" formatCode="General">
                  <c:v>2494</c:v>
                </c:pt>
                <c:pt idx="72" formatCode="General">
                  <c:v>2494</c:v>
                </c:pt>
                <c:pt idx="73" formatCode="General">
                  <c:v>2741</c:v>
                </c:pt>
                <c:pt idx="74" formatCode="General">
                  <c:v>2741</c:v>
                </c:pt>
                <c:pt idx="75" formatCode="General">
                  <c:v>2741</c:v>
                </c:pt>
                <c:pt idx="76" formatCode="General">
                  <c:v>2741</c:v>
                </c:pt>
                <c:pt idx="77" formatCode="General">
                  <c:v>3000</c:v>
                </c:pt>
                <c:pt idx="78" formatCode="General">
                  <c:v>3000</c:v>
                </c:pt>
                <c:pt idx="79" formatCode="General">
                  <c:v>3000</c:v>
                </c:pt>
                <c:pt idx="80" formatCode="General">
                  <c:v>3000</c:v>
                </c:pt>
                <c:pt idx="81" formatCode="General">
                  <c:v>3000</c:v>
                </c:pt>
                <c:pt idx="82" formatCode="General">
                  <c:v>3271</c:v>
                </c:pt>
                <c:pt idx="83" formatCode="General">
                  <c:v>3271</c:v>
                </c:pt>
                <c:pt idx="84" formatCode="General">
                  <c:v>3271</c:v>
                </c:pt>
                <c:pt idx="85" formatCode="General">
                  <c:v>3271</c:v>
                </c:pt>
                <c:pt idx="86" formatCode="General">
                  <c:v>3554</c:v>
                </c:pt>
                <c:pt idx="87" formatCode="General">
                  <c:v>3554</c:v>
                </c:pt>
                <c:pt idx="88" formatCode="General">
                  <c:v>3554</c:v>
                </c:pt>
                <c:pt idx="89" formatCode="General">
                  <c:v>3554</c:v>
                </c:pt>
                <c:pt idx="90" formatCode="General">
                  <c:v>3849</c:v>
                </c:pt>
                <c:pt idx="91" formatCode="General">
                  <c:v>3849</c:v>
                </c:pt>
                <c:pt idx="92" formatCode="General">
                  <c:v>3849</c:v>
                </c:pt>
                <c:pt idx="93" formatCode="General">
                  <c:v>3849</c:v>
                </c:pt>
                <c:pt idx="94" formatCode="General">
                  <c:v>4156</c:v>
                </c:pt>
                <c:pt idx="95" formatCode="General">
                  <c:v>4156</c:v>
                </c:pt>
                <c:pt idx="96" formatCode="General">
                  <c:v>4156</c:v>
                </c:pt>
                <c:pt idx="97" formatCode="General">
                  <c:v>4156</c:v>
                </c:pt>
                <c:pt idx="98" formatCode="General">
                  <c:v>4475</c:v>
                </c:pt>
                <c:pt idx="99" formatCode="General">
                  <c:v>4475</c:v>
                </c:pt>
                <c:pt idx="100" formatCode="General">
                  <c:v>4475</c:v>
                </c:pt>
                <c:pt idx="101" formatCode="General">
                  <c:v>4475</c:v>
                </c:pt>
                <c:pt idx="102" formatCode="General">
                  <c:v>4806</c:v>
                </c:pt>
                <c:pt idx="103" formatCode="General">
                  <c:v>4806</c:v>
                </c:pt>
                <c:pt idx="104" formatCode="General">
                  <c:v>4806</c:v>
                </c:pt>
                <c:pt idx="105" formatCode="General">
                  <c:v>4806</c:v>
                </c:pt>
                <c:pt idx="106" formatCode="General">
                  <c:v>5149</c:v>
                </c:pt>
                <c:pt idx="107" formatCode="General">
                  <c:v>5149</c:v>
                </c:pt>
                <c:pt idx="108" formatCode="General">
                  <c:v>5149</c:v>
                </c:pt>
                <c:pt idx="109" formatCode="General">
                  <c:v>5149</c:v>
                </c:pt>
                <c:pt idx="110" formatCode="General">
                  <c:v>5504</c:v>
                </c:pt>
                <c:pt idx="111" formatCode="General">
                  <c:v>5504</c:v>
                </c:pt>
                <c:pt idx="112" formatCode="General">
                  <c:v>5504</c:v>
                </c:pt>
                <c:pt idx="113" formatCode="General">
                  <c:v>5504</c:v>
                </c:pt>
                <c:pt idx="114" formatCode="General">
                  <c:v>5871</c:v>
                </c:pt>
                <c:pt idx="115" formatCode="General">
                  <c:v>5871</c:v>
                </c:pt>
                <c:pt idx="116" formatCode="General">
                  <c:v>5871</c:v>
                </c:pt>
                <c:pt idx="117" formatCode="General">
                  <c:v>5871</c:v>
                </c:pt>
                <c:pt idx="118" formatCode="General">
                  <c:v>6250</c:v>
                </c:pt>
                <c:pt idx="119" formatCode="General">
                  <c:v>6250</c:v>
                </c:pt>
                <c:pt idx="120" formatCode="General">
                  <c:v>6250</c:v>
                </c:pt>
                <c:pt idx="121" formatCode="General">
                  <c:v>6250</c:v>
                </c:pt>
                <c:pt idx="122" formatCode="General">
                  <c:v>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C-43FC-B80C-AFFC425C6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/>
                  <a:t>X 콘텐츠 진행 포인트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LblSkip val="1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/>
                  <a:t>Y 레벨업을 위한 필요 경험치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 macro="" textlink="">
      <xdr:nvSpPr>
        <xdr:cNvPr id="2" name="밸런스팩터_01"/>
        <xdr:cNvSpPr>
          <a:spLocks noGrp="1"/>
        </xdr:cNvSpPr>
      </xdr:nvSpPr>
      <xdr:spPr>
        <a:xfrm>
          <a:off x="13854545" y="9455727"/>
          <a:ext cx="5385954" cy="5264727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퀘스트 동선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레벨디자인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오브젝트 배치</a:t>
          </a:r>
          <a:endParaRPr/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 macro="" textlink="">
      <xdr:nvSpPr>
        <xdr:cNvPr id="3" name="밸런스팩터_02"/>
        <xdr:cNvSpPr>
          <a:spLocks noGrp="1"/>
        </xdr:cNvSpPr>
      </xdr:nvSpPr>
      <xdr:spPr>
        <a:xfrm>
          <a:off x="10079181" y="13092545"/>
          <a:ext cx="4416136" cy="432954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공원 쓰레기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개수·배치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분리수거 규칙</a:t>
          </a:r>
          <a:endParaRPr/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 macro="" textlink="">
      <xdr:nvSpPr>
        <xdr:cNvPr id="4" name="밸런스팩터_03"/>
        <xdr:cNvSpPr>
          <a:spLocks noGrp="1"/>
        </xdr:cNvSpPr>
      </xdr:nvSpPr>
      <xdr:spPr>
        <a:xfrm>
          <a:off x="19742728" y="10027227"/>
          <a:ext cx="4416136" cy="4312227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선의 감소량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자아 마모도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회복 수단</a:t>
          </a:r>
          <a:endParaRPr/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 macro="" textlink="">
      <xdr:nvSpPr>
        <xdr:cNvPr id="5" name="밸런스팩터_04"/>
        <xdr:cNvSpPr>
          <a:spLocks noGrp="1"/>
        </xdr:cNvSpPr>
      </xdr:nvSpPr>
      <xdr:spPr>
        <a:xfrm>
          <a:off x="18980726" y="5559136"/>
          <a:ext cx="4139045" cy="40351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몬스터 개수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공격 판정</a:t>
          </a:r>
          <a:endParaRPr/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 macro="" textlink="">
      <xdr:nvSpPr>
        <xdr:cNvPr id="6" name="밸런스팩터_05"/>
        <xdr:cNvSpPr>
          <a:spLocks noGrp="1"/>
        </xdr:cNvSpPr>
      </xdr:nvSpPr>
      <xdr:spPr>
        <a:xfrm>
          <a:off x="9040091" y="8918863"/>
          <a:ext cx="3948545" cy="38446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이벤트 템포</a:t>
          </a:r>
          <a:endParaRPr/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 macro="" textlink="">
      <xdr:nvSpPr>
        <xdr:cNvPr id="7" name="밸런스팩터_06"/>
        <xdr:cNvSpPr>
          <a:spLocks noGrp="1"/>
        </xdr:cNvSpPr>
      </xdr:nvSpPr>
      <xdr:spPr>
        <a:xfrm>
          <a:off x="15932728" y="3602182"/>
          <a:ext cx="2892136" cy="2822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PC 이동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 macro="" textlink="">
      <xdr:nvSpPr>
        <xdr:cNvPr id="8" name="밸런스팩터_07"/>
        <xdr:cNvSpPr>
          <a:spLocks noGrp="1"/>
        </xdr:cNvSpPr>
      </xdr:nvSpPr>
      <xdr:spPr>
        <a:xfrm>
          <a:off x="21197454" y="2892136"/>
          <a:ext cx="2597727" cy="25284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달리기 속도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지속시간</a:t>
          </a:r>
          <a:endParaRPr/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 macro="" textlink="">
      <xdr:nvSpPr>
        <xdr:cNvPr id="9" name="밸런스팩터_08"/>
        <xdr:cNvSpPr>
          <a:spLocks noGrp="1"/>
        </xdr:cNvSpPr>
      </xdr:nvSpPr>
      <xdr:spPr>
        <a:xfrm>
          <a:off x="24972818" y="3013363"/>
          <a:ext cx="2788227" cy="2736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맵</a:t>
          </a:r>
          <a:endParaRPr/>
        </a:p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크기</a:t>
          </a:r>
          <a:endParaRPr/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 macro="" textlink="">
      <xdr:nvSpPr>
        <xdr:cNvPr id="10" name="밸런스팩터_09"/>
        <xdr:cNvSpPr>
          <a:spLocks noGrp="1"/>
        </xdr:cNvSpPr>
      </xdr:nvSpPr>
      <xdr:spPr>
        <a:xfrm>
          <a:off x="8035636" y="1662545"/>
          <a:ext cx="2701636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카메라 시야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가시성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 macro="" textlink="">
      <xdr:nvSpPr>
        <xdr:cNvPr id="11" name="밸런스팩터_10"/>
        <xdr:cNvSpPr>
          <a:spLocks noGrp="1"/>
        </xdr:cNvSpPr>
      </xdr:nvSpPr>
      <xdr:spPr>
        <a:xfrm>
          <a:off x="6234545" y="8174182"/>
          <a:ext cx="2684318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트리거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위치</a:t>
          </a:r>
          <a:endParaRPr/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 macro="" textlink="">
      <xdr:nvSpPr>
        <xdr:cNvPr id="12" name="밸런스팩터_11"/>
        <xdr:cNvSpPr>
          <a:spLocks noGrp="1"/>
        </xdr:cNvSpPr>
      </xdr:nvSpPr>
      <xdr:spPr>
        <a:xfrm>
          <a:off x="6927272" y="12001500"/>
          <a:ext cx="2684318" cy="261504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상호작용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범위</a:t>
          </a:r>
          <a:endParaRPr/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 macro="" textlink="">
      <xdr:nvSpPr>
        <xdr:cNvPr id="13" name="밸런스팩터_12"/>
        <xdr:cNvSpPr>
          <a:spLocks noGrp="1"/>
        </xdr:cNvSpPr>
      </xdr:nvSpPr>
      <xdr:spPr>
        <a:xfrm>
          <a:off x="11083636" y="2701636"/>
          <a:ext cx="2684318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목표 표시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 macro="" textlink="">
      <xdr:nvSpPr>
        <xdr:cNvPr id="14" name="밸런스팩터_13"/>
        <xdr:cNvSpPr>
          <a:spLocks noGrp="1"/>
        </xdr:cNvSpPr>
      </xdr:nvSpPr>
      <xdr:spPr>
        <a:xfrm>
          <a:off x="8763000" y="6147954"/>
          <a:ext cx="2407227" cy="23379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NPC</a:t>
          </a:r>
          <a:endParaRPr/>
        </a:p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밀도</a:t>
          </a:r>
          <a:endParaRPr/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 macro="" textlink="">
      <xdr:nvSpPr>
        <xdr:cNvPr id="15" name="밸런스팩터_14"/>
        <xdr:cNvSpPr>
          <a:spLocks noGrp="1"/>
        </xdr:cNvSpPr>
      </xdr:nvSpPr>
      <xdr:spPr>
        <a:xfrm>
          <a:off x="7810500" y="15915409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미니게임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제한 시간</a:t>
          </a:r>
          <a:endParaRPr/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 macro="" textlink="">
      <xdr:nvSpPr>
        <xdr:cNvPr id="16" name="밸런스팩터_15"/>
        <xdr:cNvSpPr>
          <a:spLocks noGrp="1"/>
        </xdr:cNvSpPr>
      </xdr:nvSpPr>
      <xdr:spPr>
        <a:xfrm>
          <a:off x="14789728" y="15014864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미션 실패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패널티</a:t>
          </a:r>
          <a:endParaRPr/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 macro="" textlink="">
      <xdr:nvSpPr>
        <xdr:cNvPr id="17" name="밸런스팩터_16"/>
        <xdr:cNvSpPr>
          <a:spLocks noGrp="1"/>
        </xdr:cNvSpPr>
      </xdr:nvSpPr>
      <xdr:spPr>
        <a:xfrm>
          <a:off x="16140545" y="6909954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칭찬·보상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빈도</a:t>
          </a:r>
          <a:endParaRPr/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 macro="" textlink="">
      <xdr:nvSpPr>
        <xdr:cNvPr id="18" name="밸런스팩터_17"/>
        <xdr:cNvSpPr>
          <a:spLocks noGrp="1"/>
        </xdr:cNvSpPr>
      </xdr:nvSpPr>
      <xdr:spPr>
        <a:xfrm>
          <a:off x="14010409" y="1801091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체크포인트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간격</a:t>
          </a:r>
          <a:endParaRPr/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 macro="" textlink="">
      <xdr:nvSpPr>
        <xdr:cNvPr id="19" name="밸런스팩터_18"/>
        <xdr:cNvSpPr>
          <a:spLocks noGrp="1"/>
        </xdr:cNvSpPr>
      </xdr:nvSpPr>
      <xdr:spPr>
        <a:xfrm>
          <a:off x="18010910" y="18166772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선택지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영향도</a:t>
          </a:r>
          <a:endParaRPr/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 macro="" textlink="">
      <xdr:nvSpPr>
        <xdr:cNvPr id="20" name="밸런스팩터_19"/>
        <xdr:cNvSpPr>
          <a:spLocks noGrp="1"/>
        </xdr:cNvSpPr>
      </xdr:nvSpPr>
      <xdr:spPr>
        <a:xfrm>
          <a:off x="23587362" y="6061364"/>
          <a:ext cx="2597727" cy="25284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보스 패턴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 macro="" textlink="">
      <xdr:nvSpPr>
        <xdr:cNvPr id="21" name="밸런스팩터_20"/>
        <xdr:cNvSpPr>
          <a:spLocks noGrp="1"/>
        </xdr:cNvSpPr>
      </xdr:nvSpPr>
      <xdr:spPr>
        <a:xfrm>
          <a:off x="10061864" y="17526000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퍼즐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 macro="" textlink="">
      <xdr:nvSpPr>
        <xdr:cNvPr id="22" name="밸런스팩터_21"/>
        <xdr:cNvSpPr>
          <a:spLocks noGrp="1"/>
        </xdr:cNvSpPr>
      </xdr:nvSpPr>
      <xdr:spPr>
        <a:xfrm>
          <a:off x="24089590" y="8970818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균열 발생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타이밍</a:t>
          </a:r>
          <a:endParaRPr/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 macro="" textlink="">
      <xdr:nvSpPr>
        <xdr:cNvPr id="23" name="밸런스팩터_22"/>
        <xdr:cNvSpPr>
          <a:spLocks noGrp="1"/>
        </xdr:cNvSpPr>
      </xdr:nvSpPr>
      <xdr:spPr>
        <a:xfrm>
          <a:off x="3671454" y="4364181"/>
          <a:ext cx="2407227" cy="2355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회색 후드 NPC</a:t>
          </a:r>
          <a:endParaRPr/>
        </a:p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구분 난도</a:t>
          </a:r>
          <a:endParaRPr/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 macro="" textlink="">
      <xdr:nvSpPr>
        <xdr:cNvPr id="24" name="밸런스팩터_23"/>
        <xdr:cNvSpPr>
          <a:spLocks noGrp="1"/>
        </xdr:cNvSpPr>
      </xdr:nvSpPr>
      <xdr:spPr>
        <a:xfrm>
          <a:off x="3827318" y="9975273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편의점 재고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연출 타이밍</a:t>
          </a:r>
          <a:endParaRPr/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 macro="" textlink="">
      <xdr:nvSpPr>
        <xdr:cNvPr id="25" name="밸런스팩터_24"/>
        <xdr:cNvSpPr>
          <a:spLocks noGrp="1"/>
        </xdr:cNvSpPr>
      </xdr:nvSpPr>
      <xdr:spPr>
        <a:xfrm>
          <a:off x="3498272" y="7239000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물류 트럭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이동 속도</a:t>
          </a:r>
          <a:endParaRPr/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 macro="" textlink="">
      <xdr:nvSpPr>
        <xdr:cNvPr id="26" name="밸런스팩터_25"/>
        <xdr:cNvSpPr>
          <a:spLocks noGrp="1"/>
        </xdr:cNvSpPr>
      </xdr:nvSpPr>
      <xdr:spPr>
        <a:xfrm>
          <a:off x="6684818" y="4416136"/>
          <a:ext cx="2320636" cy="2251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오픈런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경쟁</a:t>
          </a:r>
          <a:endParaRPr/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 macro="" textlink="">
      <xdr:nvSpPr>
        <xdr:cNvPr id="27" name="밸런스팩터_26"/>
        <xdr:cNvSpPr>
          <a:spLocks noGrp="1"/>
        </xdr:cNvSpPr>
      </xdr:nvSpPr>
      <xdr:spPr>
        <a:xfrm>
          <a:off x="16746681" y="969818"/>
          <a:ext cx="2389909" cy="2355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사운드·시각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경고 강도</a:t>
          </a:r>
          <a:endParaRPr/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 macro="" textlink="">
      <xdr:nvSpPr>
        <xdr:cNvPr id="28" name="밸런스팩터_05"/>
        <xdr:cNvSpPr>
          <a:spLocks noGrp="1"/>
        </xdr:cNvSpPr>
      </xdr:nvSpPr>
      <xdr:spPr>
        <a:xfrm>
          <a:off x="17595272" y="14010409"/>
          <a:ext cx="3948545" cy="38619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대화 길이</a:t>
          </a:r>
          <a:endParaRPr/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 macro="" textlink="">
      <xdr:nvSpPr>
        <xdr:cNvPr id="29" name="밸런스팩터_05"/>
        <xdr:cNvSpPr>
          <a:spLocks noGrp="1"/>
        </xdr:cNvSpPr>
      </xdr:nvSpPr>
      <xdr:spPr>
        <a:xfrm>
          <a:off x="11966864" y="5541818"/>
          <a:ext cx="3931227" cy="38446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연출 밀도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18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8"/>
  <sheetViews>
    <sheetView tabSelected="1" topLeftCell="H1" zoomScale="70" zoomScaleNormal="70" workbookViewId="0">
      <selection activeCell="T2" sqref="T2"/>
    </sheetView>
  </sheetViews>
  <sheetFormatPr defaultColWidth="9" defaultRowHeight="14.25"/>
  <cols>
    <col min="1" max="1" width="13.875" style="78" customWidth="1"/>
    <col min="2" max="3" width="13.125" style="78" customWidth="1"/>
    <col min="4" max="4" width="13.375" style="78" customWidth="1"/>
    <col min="5" max="5" width="42" style="78" customWidth="1"/>
    <col min="6" max="6" width="38" style="78" customWidth="1"/>
    <col min="7" max="7" width="29.25" style="78" customWidth="1"/>
    <col min="8" max="8" width="28.125" style="78" customWidth="1"/>
    <col min="9" max="9" width="11.875" style="78" customWidth="1"/>
    <col min="10" max="10" width="15" style="78" customWidth="1"/>
    <col min="11" max="11" width="39.625" style="78" customWidth="1"/>
    <col min="12" max="12" width="18.625" style="78" customWidth="1"/>
    <col min="13" max="13" width="20.875" style="78" customWidth="1"/>
    <col min="14" max="14" width="18.75" style="78" customWidth="1"/>
    <col min="15" max="17" width="18.875" style="78" customWidth="1"/>
    <col min="18" max="18" width="19.5" style="78" customWidth="1"/>
    <col min="19" max="19" width="21.75" style="78" customWidth="1"/>
    <col min="20" max="20" width="19.5" style="78" customWidth="1"/>
    <col min="21" max="22" width="18.875" style="78" customWidth="1"/>
    <col min="23" max="23" width="10" style="79" customWidth="1"/>
    <col min="24" max="24" width="34" style="78" customWidth="1"/>
    <col min="25" max="25" width="18" style="78" customWidth="1"/>
    <col min="26" max="27" width="18" style="79" customWidth="1"/>
    <col min="28" max="28" width="16" style="79" customWidth="1"/>
    <col min="29" max="29" width="24" style="79" customWidth="1"/>
    <col min="30" max="30" width="28" style="79" customWidth="1"/>
    <col min="31" max="31" width="30" style="79" customWidth="1"/>
    <col min="32" max="32" width="24" style="79" customWidth="1"/>
    <col min="33" max="33" width="30" style="79" customWidth="1"/>
    <col min="34" max="35" width="24" style="79" customWidth="1"/>
    <col min="36" max="36" width="16" style="79" customWidth="1"/>
    <col min="37" max="37" width="40" style="79" customWidth="1"/>
    <col min="38" max="41" width="13" style="79" customWidth="1"/>
    <col min="42" max="42" width="16" style="79" customWidth="1"/>
    <col min="43" max="43" width="24" style="79" customWidth="1"/>
    <col min="44" max="47" width="22" style="79" customWidth="1"/>
    <col min="48" max="16384" width="9" style="78"/>
  </cols>
  <sheetData>
    <row r="1" spans="1:47" ht="36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7" t="s">
        <v>1</v>
      </c>
      <c r="Q1" s="77" t="s">
        <v>2</v>
      </c>
      <c r="R1" s="76" t="s">
        <v>3</v>
      </c>
      <c r="S1" s="76"/>
      <c r="T1" s="76"/>
      <c r="U1" s="76"/>
      <c r="V1" s="76"/>
      <c r="W1" s="76" t="s">
        <v>4</v>
      </c>
      <c r="X1" s="76" t="s">
        <v>5</v>
      </c>
      <c r="Y1" s="76" t="s">
        <v>6</v>
      </c>
      <c r="Z1" s="76"/>
      <c r="AA1" s="76"/>
      <c r="AB1" s="76" t="s">
        <v>7</v>
      </c>
      <c r="AC1" s="76"/>
      <c r="AD1" s="76" t="s">
        <v>8</v>
      </c>
      <c r="AE1" s="76"/>
      <c r="AF1" s="76"/>
      <c r="AG1" s="76"/>
      <c r="AH1" s="76"/>
      <c r="AI1" s="76" t="s">
        <v>9</v>
      </c>
      <c r="AJ1" s="76"/>
      <c r="AK1" s="76"/>
      <c r="AL1" s="76"/>
      <c r="AM1" s="76"/>
      <c r="AN1" s="76"/>
      <c r="AO1" s="76"/>
      <c r="AP1" s="76"/>
      <c r="AQ1" s="76"/>
      <c r="AR1" s="76" t="s">
        <v>10</v>
      </c>
      <c r="AS1" s="76"/>
      <c r="AT1" s="76"/>
      <c r="AU1" s="76"/>
    </row>
    <row r="2" spans="1:47" ht="36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7">
        <v>100</v>
      </c>
      <c r="Q2" s="77">
        <v>25</v>
      </c>
      <c r="R2" s="76">
        <v>6</v>
      </c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</row>
    <row r="3" spans="1:47" ht="35.2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7"/>
      <c r="Q3" s="77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</row>
    <row r="4" spans="1:47" s="80" customFormat="1" ht="42" customHeight="1">
      <c r="A4" s="96" t="s">
        <v>11</v>
      </c>
      <c r="B4" s="96" t="s">
        <v>12</v>
      </c>
      <c r="C4" s="96" t="s">
        <v>13</v>
      </c>
      <c r="D4" s="96" t="s">
        <v>14</v>
      </c>
      <c r="E4" s="96" t="s">
        <v>15</v>
      </c>
      <c r="F4" s="96" t="s">
        <v>16</v>
      </c>
      <c r="G4" s="96" t="s">
        <v>17</v>
      </c>
      <c r="H4" s="96" t="s">
        <v>18</v>
      </c>
      <c r="I4" s="96" t="s">
        <v>19</v>
      </c>
      <c r="J4" s="96" t="s">
        <v>20</v>
      </c>
      <c r="K4" s="96" t="s">
        <v>21</v>
      </c>
      <c r="L4" s="96" t="s">
        <v>22</v>
      </c>
      <c r="M4" s="96" t="s">
        <v>23</v>
      </c>
      <c r="N4" s="96" t="s">
        <v>24</v>
      </c>
      <c r="O4" s="96" t="s">
        <v>25</v>
      </c>
      <c r="P4" s="96" t="s">
        <v>26</v>
      </c>
      <c r="Q4" s="96" t="s">
        <v>27</v>
      </c>
      <c r="R4" s="96" t="s">
        <v>28</v>
      </c>
      <c r="S4" s="96" t="s">
        <v>29</v>
      </c>
      <c r="T4" s="96" t="s">
        <v>30</v>
      </c>
      <c r="U4" s="96" t="s">
        <v>31</v>
      </c>
      <c r="V4" s="96" t="s">
        <v>32</v>
      </c>
      <c r="W4" s="96" t="s">
        <v>33</v>
      </c>
      <c r="X4" s="96" t="s">
        <v>34</v>
      </c>
      <c r="Y4" s="96" t="s">
        <v>35</v>
      </c>
      <c r="Z4" s="97" t="s">
        <v>36</v>
      </c>
      <c r="AA4" s="97" t="s">
        <v>37</v>
      </c>
      <c r="AB4" s="97" t="s">
        <v>38</v>
      </c>
      <c r="AC4" s="97" t="s">
        <v>39</v>
      </c>
      <c r="AD4" s="97" t="s">
        <v>40</v>
      </c>
      <c r="AE4" s="97" t="s">
        <v>41</v>
      </c>
      <c r="AF4" s="97" t="s">
        <v>42</v>
      </c>
      <c r="AG4" s="97" t="s">
        <v>43</v>
      </c>
      <c r="AH4" s="97" t="s">
        <v>44</v>
      </c>
      <c r="AI4" s="97" t="s">
        <v>45</v>
      </c>
      <c r="AJ4" s="97" t="s">
        <v>46</v>
      </c>
      <c r="AK4" s="97" t="s">
        <v>47</v>
      </c>
      <c r="AL4" s="97" t="s">
        <v>48</v>
      </c>
      <c r="AM4" s="97" t="s">
        <v>49</v>
      </c>
      <c r="AN4" s="97" t="s">
        <v>50</v>
      </c>
      <c r="AO4" s="97" t="s">
        <v>51</v>
      </c>
      <c r="AP4" s="97" t="s">
        <v>52</v>
      </c>
      <c r="AQ4" s="97" t="s">
        <v>53</v>
      </c>
      <c r="AR4" s="97" t="s">
        <v>54</v>
      </c>
      <c r="AS4" s="97" t="s">
        <v>55</v>
      </c>
      <c r="AT4" s="97" t="s">
        <v>56</v>
      </c>
      <c r="AU4" s="97" t="s">
        <v>57</v>
      </c>
    </row>
    <row r="5" spans="1:47" ht="81.95" customHeight="1">
      <c r="A5" s="83" t="s">
        <v>58</v>
      </c>
      <c r="B5" s="84">
        <v>1</v>
      </c>
      <c r="C5" s="84">
        <v>1</v>
      </c>
      <c r="D5" s="84">
        <v>5</v>
      </c>
      <c r="E5" s="83" t="s">
        <v>59</v>
      </c>
      <c r="F5" s="83" t="s">
        <v>60</v>
      </c>
      <c r="G5" s="83" t="s">
        <v>61</v>
      </c>
      <c r="H5" s="85" t="s">
        <v>62</v>
      </c>
      <c r="I5" s="84">
        <v>1</v>
      </c>
      <c r="J5" s="83" t="s">
        <v>63</v>
      </c>
      <c r="K5" s="83" t="s">
        <v>64</v>
      </c>
      <c r="L5" s="86">
        <v>8.6805555555555551E-4</v>
      </c>
      <c r="M5" s="85" t="s">
        <v>65</v>
      </c>
      <c r="N5" s="87">
        <f>SUM($L$5:L5)</f>
        <v>8.6805555555555551E-4</v>
      </c>
      <c r="O5" s="83" t="s">
        <v>66</v>
      </c>
      <c r="P5" s="88">
        <v>20</v>
      </c>
      <c r="Q5" s="88">
        <f>P5</f>
        <v>20</v>
      </c>
      <c r="R5" s="88">
        <f>ROUND($P$2+$Q$2*W5+$R$2*W5^2,0)</f>
        <v>131</v>
      </c>
      <c r="S5" s="88"/>
      <c r="T5" s="88"/>
      <c r="U5" s="88" t="str">
        <f t="shared" ref="U5:U36" si="0">IF(OR(S5="",T5=""),"",ROUNDUP(R5/S5,0)*T5)</f>
        <v/>
      </c>
      <c r="V5" s="88" t="str">
        <f t="shared" ref="V5:V36" si="1">IF(S5="","",ROUNDUP(R5/S5,0))</f>
        <v/>
      </c>
      <c r="W5" s="89">
        <v>1</v>
      </c>
      <c r="X5" s="90" t="s">
        <v>67</v>
      </c>
      <c r="Y5" s="91">
        <f t="shared" ref="Y5:Y36" si="2">ROUND(L5*IF(S5&lt;&gt;"",1.25,1.15)*86400/5,0)*5/86400</f>
        <v>9.837962962962962E-4</v>
      </c>
      <c r="Z5" s="92">
        <f t="shared" ref="Z5:Z36" si="3">L5</f>
        <v>8.6805555555555551E-4</v>
      </c>
      <c r="AA5" s="92">
        <f t="shared" ref="AA5:AA36" si="4">ROUND(L5*IF(S5&lt;&gt;"",0.8,0.9)*86400/5,0)*5/86400</f>
        <v>8.1018518518518516E-4</v>
      </c>
      <c r="AB5" s="93" t="s">
        <v>68</v>
      </c>
      <c r="AC5" s="93" t="s">
        <v>68</v>
      </c>
      <c r="AD5" s="93" t="s">
        <v>69</v>
      </c>
      <c r="AE5" s="93" t="s">
        <v>70</v>
      </c>
      <c r="AF5" s="93" t="s">
        <v>71</v>
      </c>
      <c r="AG5" s="93" t="s">
        <v>68</v>
      </c>
      <c r="AH5" s="93" t="s">
        <v>72</v>
      </c>
      <c r="AI5" s="93" t="s">
        <v>73</v>
      </c>
      <c r="AJ5" s="94"/>
      <c r="AK5" s="94"/>
      <c r="AL5" s="94"/>
      <c r="AM5" s="94" t="str">
        <f t="shared" ref="AM5:AM36" si="5">IF(AL5="","",ROUND(AL5*0.8,0))</f>
        <v/>
      </c>
      <c r="AN5" s="94" t="str">
        <f t="shared" ref="AN5:AN36" si="6">IF(AL5="","",ROUND(AL5*0.6,0))</f>
        <v/>
      </c>
      <c r="AO5" s="94" t="str">
        <f t="shared" ref="AO5:AO36" si="7">IF(AL5="","",ROUND(AL5*0.5,0))</f>
        <v/>
      </c>
      <c r="AP5" s="94"/>
      <c r="AQ5" s="93"/>
      <c r="AR5" s="95"/>
      <c r="AS5" s="95"/>
      <c r="AT5" s="95"/>
      <c r="AU5" s="95"/>
    </row>
    <row r="6" spans="1:47" ht="81.95" customHeight="1">
      <c r="A6" s="83" t="s">
        <v>58</v>
      </c>
      <c r="B6" s="84">
        <v>2</v>
      </c>
      <c r="C6" s="84">
        <v>2</v>
      </c>
      <c r="D6" s="84">
        <v>7</v>
      </c>
      <c r="E6" s="83" t="s">
        <v>74</v>
      </c>
      <c r="F6" s="83" t="s">
        <v>75</v>
      </c>
      <c r="G6" s="83" t="s">
        <v>76</v>
      </c>
      <c r="H6" s="85" t="s">
        <v>77</v>
      </c>
      <c r="I6" s="84">
        <v>4</v>
      </c>
      <c r="J6" s="83" t="s">
        <v>78</v>
      </c>
      <c r="K6" s="83" t="s">
        <v>79</v>
      </c>
      <c r="L6" s="86">
        <v>7.5231481481481482E-4</v>
      </c>
      <c r="M6" s="85" t="s">
        <v>80</v>
      </c>
      <c r="N6" s="87">
        <f>SUM($L$5:L6)</f>
        <v>1.6203703703703703E-3</v>
      </c>
      <c r="O6" s="83" t="s">
        <v>66</v>
      </c>
      <c r="P6" s="88">
        <v>60</v>
      </c>
      <c r="Q6" s="88">
        <f t="shared" ref="Q6:Q37" si="8">P6-P5</f>
        <v>40</v>
      </c>
      <c r="R6" s="88">
        <f t="shared" ref="R6:R68" si="9">ROUND($P$2+$Q$2*W6+$R$2*W6^2,0)</f>
        <v>131</v>
      </c>
      <c r="S6" s="88"/>
      <c r="T6" s="88"/>
      <c r="U6" s="88" t="str">
        <f t="shared" si="0"/>
        <v/>
      </c>
      <c r="V6" s="88" t="str">
        <f t="shared" si="1"/>
        <v/>
      </c>
      <c r="W6" s="89">
        <v>1</v>
      </c>
      <c r="X6" s="90" t="s">
        <v>81</v>
      </c>
      <c r="Y6" s="91">
        <f t="shared" si="2"/>
        <v>8.6805555555555551E-4</v>
      </c>
      <c r="Z6" s="92">
        <f t="shared" si="3"/>
        <v>7.5231481481481482E-4</v>
      </c>
      <c r="AA6" s="92">
        <f t="shared" si="4"/>
        <v>6.9444444444444447E-4</v>
      </c>
      <c r="AB6" s="93" t="s">
        <v>68</v>
      </c>
      <c r="AC6" s="93" t="s">
        <v>68</v>
      </c>
      <c r="AD6" s="93" t="s">
        <v>82</v>
      </c>
      <c r="AE6" s="93" t="s">
        <v>83</v>
      </c>
      <c r="AF6" s="93" t="s">
        <v>84</v>
      </c>
      <c r="AG6" s="93" t="s">
        <v>68</v>
      </c>
      <c r="AH6" s="93" t="s">
        <v>72</v>
      </c>
      <c r="AI6" s="93" t="s">
        <v>73</v>
      </c>
      <c r="AJ6" s="94"/>
      <c r="AK6" s="94"/>
      <c r="AL6" s="94"/>
      <c r="AM6" s="94" t="str">
        <f t="shared" si="5"/>
        <v/>
      </c>
      <c r="AN6" s="94" t="str">
        <f t="shared" si="6"/>
        <v/>
      </c>
      <c r="AO6" s="94" t="str">
        <f t="shared" si="7"/>
        <v/>
      </c>
      <c r="AP6" s="94"/>
      <c r="AQ6" s="93"/>
      <c r="AR6" s="95"/>
      <c r="AS6" s="95"/>
      <c r="AT6" s="95"/>
      <c r="AU6" s="95"/>
    </row>
    <row r="7" spans="1:47" ht="81.95" customHeight="1">
      <c r="A7" s="83" t="s">
        <v>58</v>
      </c>
      <c r="B7" s="84">
        <v>3</v>
      </c>
      <c r="C7" s="84">
        <v>1</v>
      </c>
      <c r="D7" s="84">
        <v>5</v>
      </c>
      <c r="E7" s="83" t="s">
        <v>85</v>
      </c>
      <c r="F7" s="83" t="s">
        <v>60</v>
      </c>
      <c r="G7" s="83" t="s">
        <v>61</v>
      </c>
      <c r="H7" s="85" t="s">
        <v>62</v>
      </c>
      <c r="I7" s="84">
        <v>1</v>
      </c>
      <c r="J7" s="83" t="s">
        <v>63</v>
      </c>
      <c r="K7" s="83" t="s">
        <v>64</v>
      </c>
      <c r="L7" s="86">
        <v>5.7870370370370378E-4</v>
      </c>
      <c r="M7" s="85" t="s">
        <v>65</v>
      </c>
      <c r="N7" s="87">
        <f t="shared" ref="N7:N37" si="10">SUM($L$5:L7)</f>
        <v>2.1990740740740742E-3</v>
      </c>
      <c r="O7" s="83" t="s">
        <v>66</v>
      </c>
      <c r="P7" s="88">
        <v>80</v>
      </c>
      <c r="Q7" s="88">
        <f t="shared" si="8"/>
        <v>20</v>
      </c>
      <c r="R7" s="88">
        <f t="shared" si="9"/>
        <v>131</v>
      </c>
      <c r="S7" s="88"/>
      <c r="T7" s="88"/>
      <c r="U7" s="88" t="str">
        <f t="shared" si="0"/>
        <v/>
      </c>
      <c r="V7" s="88" t="str">
        <f t="shared" si="1"/>
        <v/>
      </c>
      <c r="W7" s="89">
        <v>1</v>
      </c>
      <c r="X7" s="90" t="s">
        <v>86</v>
      </c>
      <c r="Y7" s="91">
        <f t="shared" si="2"/>
        <v>6.9444444444444447E-4</v>
      </c>
      <c r="Z7" s="92">
        <f t="shared" si="3"/>
        <v>5.7870370370370378E-4</v>
      </c>
      <c r="AA7" s="92">
        <f t="shared" si="4"/>
        <v>5.2083333333333333E-4</v>
      </c>
      <c r="AB7" s="93" t="s">
        <v>68</v>
      </c>
      <c r="AC7" s="93" t="s">
        <v>68</v>
      </c>
      <c r="AD7" s="93" t="s">
        <v>82</v>
      </c>
      <c r="AE7" s="93" t="s">
        <v>87</v>
      </c>
      <c r="AF7" s="93" t="s">
        <v>88</v>
      </c>
      <c r="AG7" s="93" t="s">
        <v>68</v>
      </c>
      <c r="AH7" s="93" t="s">
        <v>72</v>
      </c>
      <c r="AI7" s="93" t="s">
        <v>73</v>
      </c>
      <c r="AJ7" s="94"/>
      <c r="AK7" s="94"/>
      <c r="AL7" s="94"/>
      <c r="AM7" s="94" t="str">
        <f t="shared" si="5"/>
        <v/>
      </c>
      <c r="AN7" s="94" t="str">
        <f t="shared" si="6"/>
        <v/>
      </c>
      <c r="AO7" s="94" t="str">
        <f t="shared" si="7"/>
        <v/>
      </c>
      <c r="AP7" s="94"/>
      <c r="AQ7" s="93"/>
      <c r="AR7" s="95"/>
      <c r="AS7" s="95"/>
      <c r="AT7" s="95"/>
      <c r="AU7" s="95"/>
    </row>
    <row r="8" spans="1:47" ht="81.95" customHeight="1">
      <c r="A8" s="83" t="s">
        <v>58</v>
      </c>
      <c r="B8" s="84">
        <v>4</v>
      </c>
      <c r="C8" s="84">
        <v>2</v>
      </c>
      <c r="D8" s="84">
        <v>7</v>
      </c>
      <c r="E8" s="83" t="s">
        <v>89</v>
      </c>
      <c r="F8" s="83" t="s">
        <v>75</v>
      </c>
      <c r="G8" s="83" t="s">
        <v>76</v>
      </c>
      <c r="H8" s="85" t="s">
        <v>77</v>
      </c>
      <c r="I8" s="84">
        <v>4</v>
      </c>
      <c r="J8" s="83" t="s">
        <v>78</v>
      </c>
      <c r="K8" s="83" t="s">
        <v>79</v>
      </c>
      <c r="L8" s="86">
        <v>7.5231481481481482E-4</v>
      </c>
      <c r="M8" s="85" t="s">
        <v>80</v>
      </c>
      <c r="N8" s="87">
        <f t="shared" si="10"/>
        <v>2.9513888888888888E-3</v>
      </c>
      <c r="O8" s="83" t="s">
        <v>66</v>
      </c>
      <c r="P8" s="88">
        <v>120</v>
      </c>
      <c r="Q8" s="88">
        <f t="shared" si="8"/>
        <v>40</v>
      </c>
      <c r="R8" s="88">
        <f t="shared" si="9"/>
        <v>131</v>
      </c>
      <c r="S8" s="88"/>
      <c r="T8" s="88"/>
      <c r="U8" s="88" t="str">
        <f t="shared" si="0"/>
        <v/>
      </c>
      <c r="V8" s="88" t="str">
        <f t="shared" si="1"/>
        <v/>
      </c>
      <c r="W8" s="89">
        <v>1</v>
      </c>
      <c r="X8" s="90" t="s">
        <v>81</v>
      </c>
      <c r="Y8" s="91">
        <f t="shared" si="2"/>
        <v>8.6805555555555551E-4</v>
      </c>
      <c r="Z8" s="92">
        <f t="shared" si="3"/>
        <v>7.5231481481481482E-4</v>
      </c>
      <c r="AA8" s="92">
        <f t="shared" si="4"/>
        <v>6.9444444444444447E-4</v>
      </c>
      <c r="AB8" s="93" t="s">
        <v>68</v>
      </c>
      <c r="AC8" s="93" t="s">
        <v>68</v>
      </c>
      <c r="AD8" s="93" t="s">
        <v>82</v>
      </c>
      <c r="AE8" s="93" t="s">
        <v>83</v>
      </c>
      <c r="AF8" s="93" t="s">
        <v>84</v>
      </c>
      <c r="AG8" s="93" t="s">
        <v>68</v>
      </c>
      <c r="AH8" s="93" t="s">
        <v>72</v>
      </c>
      <c r="AI8" s="93" t="s">
        <v>73</v>
      </c>
      <c r="AJ8" s="94"/>
      <c r="AK8" s="94"/>
      <c r="AL8" s="94"/>
      <c r="AM8" s="94" t="str">
        <f t="shared" si="5"/>
        <v/>
      </c>
      <c r="AN8" s="94" t="str">
        <f t="shared" si="6"/>
        <v/>
      </c>
      <c r="AO8" s="94" t="str">
        <f t="shared" si="7"/>
        <v/>
      </c>
      <c r="AP8" s="94"/>
      <c r="AQ8" s="93"/>
      <c r="AR8" s="95"/>
      <c r="AS8" s="95"/>
      <c r="AT8" s="95"/>
      <c r="AU8" s="95"/>
    </row>
    <row r="9" spans="1:47" ht="81.95" customHeight="1">
      <c r="A9" s="83" t="s">
        <v>58</v>
      </c>
      <c r="B9" s="84">
        <v>5</v>
      </c>
      <c r="C9" s="84">
        <v>4</v>
      </c>
      <c r="D9" s="84">
        <v>7</v>
      </c>
      <c r="E9" s="83" t="s">
        <v>90</v>
      </c>
      <c r="F9" s="83" t="s">
        <v>91</v>
      </c>
      <c r="G9" s="83" t="s">
        <v>92</v>
      </c>
      <c r="H9" s="85" t="s">
        <v>93</v>
      </c>
      <c r="I9" s="84">
        <v>3</v>
      </c>
      <c r="J9" s="83" t="s">
        <v>94</v>
      </c>
      <c r="K9" s="83" t="s">
        <v>95</v>
      </c>
      <c r="L9" s="86">
        <v>8.6805555555555551E-4</v>
      </c>
      <c r="M9" s="85" t="s">
        <v>96</v>
      </c>
      <c r="N9" s="87">
        <f t="shared" si="10"/>
        <v>3.8194444444444443E-3</v>
      </c>
      <c r="O9" s="83" t="s">
        <v>66</v>
      </c>
      <c r="P9" s="88">
        <v>170</v>
      </c>
      <c r="Q9" s="88">
        <f t="shared" si="8"/>
        <v>50</v>
      </c>
      <c r="R9" s="88">
        <f t="shared" si="9"/>
        <v>174</v>
      </c>
      <c r="S9" s="88">
        <v>20</v>
      </c>
      <c r="T9" s="88">
        <v>25</v>
      </c>
      <c r="U9" s="88">
        <f t="shared" si="0"/>
        <v>225</v>
      </c>
      <c r="V9" s="88">
        <f t="shared" si="1"/>
        <v>9</v>
      </c>
      <c r="W9" s="89">
        <v>2</v>
      </c>
      <c r="X9" s="90" t="s">
        <v>97</v>
      </c>
      <c r="Y9" s="91">
        <f t="shared" si="2"/>
        <v>1.0995370370370371E-3</v>
      </c>
      <c r="Z9" s="92">
        <f t="shared" si="3"/>
        <v>8.6805555555555551E-4</v>
      </c>
      <c r="AA9" s="92">
        <f t="shared" si="4"/>
        <v>6.9444444444444447E-4</v>
      </c>
      <c r="AB9" s="93" t="s">
        <v>68</v>
      </c>
      <c r="AC9" s="93" t="s">
        <v>68</v>
      </c>
      <c r="AD9" s="93" t="s">
        <v>82</v>
      </c>
      <c r="AE9" s="93" t="s">
        <v>98</v>
      </c>
      <c r="AF9" s="93" t="s">
        <v>99</v>
      </c>
      <c r="AG9" s="93" t="s">
        <v>68</v>
      </c>
      <c r="AH9" s="93" t="s">
        <v>72</v>
      </c>
      <c r="AI9" s="93" t="s">
        <v>73</v>
      </c>
      <c r="AJ9" s="94"/>
      <c r="AK9" s="94"/>
      <c r="AL9" s="94"/>
      <c r="AM9" s="94" t="str">
        <f t="shared" si="5"/>
        <v/>
      </c>
      <c r="AN9" s="94" t="str">
        <f t="shared" si="6"/>
        <v/>
      </c>
      <c r="AO9" s="94" t="str">
        <f t="shared" si="7"/>
        <v/>
      </c>
      <c r="AP9" s="94"/>
      <c r="AQ9" s="93"/>
      <c r="AR9" s="95"/>
      <c r="AS9" s="95"/>
      <c r="AT9" s="95"/>
      <c r="AU9" s="95"/>
    </row>
    <row r="10" spans="1:47" ht="81.95" customHeight="1">
      <c r="A10" s="83" t="s">
        <v>58</v>
      </c>
      <c r="B10" s="84">
        <v>6</v>
      </c>
      <c r="C10" s="84">
        <v>2</v>
      </c>
      <c r="D10" s="84">
        <v>6</v>
      </c>
      <c r="E10" s="83" t="s">
        <v>100</v>
      </c>
      <c r="F10" s="83" t="s">
        <v>101</v>
      </c>
      <c r="G10" s="83" t="s">
        <v>102</v>
      </c>
      <c r="H10" s="85" t="s">
        <v>103</v>
      </c>
      <c r="I10" s="84">
        <v>1</v>
      </c>
      <c r="J10" s="83" t="s">
        <v>104</v>
      </c>
      <c r="K10" s="83" t="s">
        <v>105</v>
      </c>
      <c r="L10" s="86">
        <v>5.2083333333333333E-4</v>
      </c>
      <c r="M10" s="85" t="s">
        <v>106</v>
      </c>
      <c r="N10" s="87">
        <f t="shared" si="10"/>
        <v>4.340277777777778E-3</v>
      </c>
      <c r="O10" s="83" t="s">
        <v>66</v>
      </c>
      <c r="P10" s="88">
        <v>200</v>
      </c>
      <c r="Q10" s="88">
        <f t="shared" si="8"/>
        <v>30</v>
      </c>
      <c r="R10" s="88">
        <f t="shared" si="9"/>
        <v>174</v>
      </c>
      <c r="S10" s="88"/>
      <c r="T10" s="88"/>
      <c r="U10" s="88" t="str">
        <f t="shared" si="0"/>
        <v/>
      </c>
      <c r="V10" s="88" t="str">
        <f t="shared" si="1"/>
        <v/>
      </c>
      <c r="W10" s="89">
        <v>2</v>
      </c>
      <c r="X10" s="90" t="s">
        <v>81</v>
      </c>
      <c r="Y10" s="91">
        <f t="shared" si="2"/>
        <v>5.7870370370370367E-4</v>
      </c>
      <c r="Z10" s="92">
        <f t="shared" si="3"/>
        <v>5.2083333333333333E-4</v>
      </c>
      <c r="AA10" s="92">
        <f t="shared" si="4"/>
        <v>4.6296296296296298E-4</v>
      </c>
      <c r="AB10" s="93" t="s">
        <v>68</v>
      </c>
      <c r="AC10" s="93" t="s">
        <v>68</v>
      </c>
      <c r="AD10" s="93" t="s">
        <v>82</v>
      </c>
      <c r="AE10" s="93" t="s">
        <v>83</v>
      </c>
      <c r="AF10" s="93" t="s">
        <v>84</v>
      </c>
      <c r="AG10" s="93" t="s">
        <v>68</v>
      </c>
      <c r="AH10" s="93" t="s">
        <v>72</v>
      </c>
      <c r="AI10" s="93" t="s">
        <v>73</v>
      </c>
      <c r="AJ10" s="94"/>
      <c r="AK10" s="94"/>
      <c r="AL10" s="94"/>
      <c r="AM10" s="94" t="str">
        <f t="shared" si="5"/>
        <v/>
      </c>
      <c r="AN10" s="94" t="str">
        <f t="shared" si="6"/>
        <v/>
      </c>
      <c r="AO10" s="94" t="str">
        <f t="shared" si="7"/>
        <v/>
      </c>
      <c r="AP10" s="94"/>
      <c r="AQ10" s="93"/>
      <c r="AR10" s="95"/>
      <c r="AS10" s="95"/>
      <c r="AT10" s="95"/>
      <c r="AU10" s="95"/>
    </row>
    <row r="11" spans="1:47" ht="81.95" customHeight="1">
      <c r="A11" s="83" t="s">
        <v>58</v>
      </c>
      <c r="B11" s="84">
        <v>7</v>
      </c>
      <c r="C11" s="84">
        <v>4</v>
      </c>
      <c r="D11" s="84">
        <v>8</v>
      </c>
      <c r="E11" s="83" t="s">
        <v>107</v>
      </c>
      <c r="F11" s="83" t="s">
        <v>108</v>
      </c>
      <c r="G11" s="83" t="s">
        <v>109</v>
      </c>
      <c r="H11" s="85" t="s">
        <v>110</v>
      </c>
      <c r="I11" s="84">
        <v>3</v>
      </c>
      <c r="J11" s="83" t="s">
        <v>111</v>
      </c>
      <c r="K11" s="83" t="s">
        <v>112</v>
      </c>
      <c r="L11" s="86">
        <v>1.273148148148148E-3</v>
      </c>
      <c r="M11" s="85" t="s">
        <v>113</v>
      </c>
      <c r="N11" s="87">
        <f t="shared" si="10"/>
        <v>5.6134259259259262E-3</v>
      </c>
      <c r="O11" s="83" t="s">
        <v>66</v>
      </c>
      <c r="P11" s="88">
        <v>260</v>
      </c>
      <c r="Q11" s="88">
        <f t="shared" si="8"/>
        <v>60</v>
      </c>
      <c r="R11" s="88">
        <f t="shared" si="9"/>
        <v>174</v>
      </c>
      <c r="S11" s="88">
        <v>20</v>
      </c>
      <c r="T11" s="88">
        <v>37</v>
      </c>
      <c r="U11" s="88">
        <f t="shared" si="0"/>
        <v>333</v>
      </c>
      <c r="V11" s="88">
        <f t="shared" si="1"/>
        <v>9</v>
      </c>
      <c r="W11" s="89">
        <v>2</v>
      </c>
      <c r="X11" s="90" t="s">
        <v>114</v>
      </c>
      <c r="Y11" s="91">
        <f t="shared" si="2"/>
        <v>1.6203703703703703E-3</v>
      </c>
      <c r="Z11" s="92">
        <f t="shared" si="3"/>
        <v>1.273148148148148E-3</v>
      </c>
      <c r="AA11" s="92">
        <f t="shared" si="4"/>
        <v>1.0416666666666667E-3</v>
      </c>
      <c r="AB11" s="93" t="s">
        <v>68</v>
      </c>
      <c r="AC11" s="93" t="s">
        <v>115</v>
      </c>
      <c r="AD11" s="93" t="s">
        <v>82</v>
      </c>
      <c r="AE11" s="93" t="s">
        <v>98</v>
      </c>
      <c r="AF11" s="93" t="s">
        <v>99</v>
      </c>
      <c r="AG11" s="93" t="s">
        <v>68</v>
      </c>
      <c r="AH11" s="93" t="s">
        <v>72</v>
      </c>
      <c r="AI11" s="93" t="s">
        <v>73</v>
      </c>
      <c r="AJ11" s="94"/>
      <c r="AK11" s="94"/>
      <c r="AL11" s="94"/>
      <c r="AM11" s="94" t="str">
        <f t="shared" si="5"/>
        <v/>
      </c>
      <c r="AN11" s="94" t="str">
        <f t="shared" si="6"/>
        <v/>
      </c>
      <c r="AO11" s="94" t="str">
        <f t="shared" si="7"/>
        <v/>
      </c>
      <c r="AP11" s="94"/>
      <c r="AQ11" s="93"/>
      <c r="AR11" s="95"/>
      <c r="AS11" s="95"/>
      <c r="AT11" s="95"/>
      <c r="AU11" s="95"/>
    </row>
    <row r="12" spans="1:47" ht="81.95" customHeight="1">
      <c r="A12" s="83" t="s">
        <v>58</v>
      </c>
      <c r="B12" s="84">
        <v>8</v>
      </c>
      <c r="C12" s="84">
        <v>1</v>
      </c>
      <c r="D12" s="84">
        <v>9</v>
      </c>
      <c r="E12" s="83" t="s">
        <v>116</v>
      </c>
      <c r="F12" s="83" t="s">
        <v>117</v>
      </c>
      <c r="G12" s="83" t="s">
        <v>118</v>
      </c>
      <c r="H12" s="85" t="s">
        <v>119</v>
      </c>
      <c r="I12" s="84">
        <v>1</v>
      </c>
      <c r="J12" s="83" t="s">
        <v>120</v>
      </c>
      <c r="K12" s="83" t="s">
        <v>64</v>
      </c>
      <c r="L12" s="86">
        <v>3.4722222222222224E-4</v>
      </c>
      <c r="M12" s="85" t="s">
        <v>121</v>
      </c>
      <c r="N12" s="87">
        <f t="shared" si="10"/>
        <v>5.9606481481481481E-3</v>
      </c>
      <c r="O12" s="83" t="s">
        <v>66</v>
      </c>
      <c r="P12" s="88">
        <v>290</v>
      </c>
      <c r="Q12" s="88">
        <f t="shared" si="8"/>
        <v>30</v>
      </c>
      <c r="R12" s="88">
        <f t="shared" si="9"/>
        <v>174</v>
      </c>
      <c r="S12" s="88">
        <v>16</v>
      </c>
      <c r="T12" s="88">
        <v>30</v>
      </c>
      <c r="U12" s="88">
        <f t="shared" si="0"/>
        <v>330</v>
      </c>
      <c r="V12" s="88">
        <f t="shared" si="1"/>
        <v>11</v>
      </c>
      <c r="W12" s="89">
        <v>2</v>
      </c>
      <c r="X12" s="90" t="s">
        <v>97</v>
      </c>
      <c r="Y12" s="91">
        <f t="shared" si="2"/>
        <v>4.6296296296296298E-4</v>
      </c>
      <c r="Z12" s="92">
        <f t="shared" si="3"/>
        <v>3.4722222222222224E-4</v>
      </c>
      <c r="AA12" s="92">
        <f t="shared" si="4"/>
        <v>2.8935185185185184E-4</v>
      </c>
      <c r="AB12" s="93" t="s">
        <v>122</v>
      </c>
      <c r="AC12" s="93" t="s">
        <v>68</v>
      </c>
      <c r="AD12" s="93" t="s">
        <v>123</v>
      </c>
      <c r="AE12" s="93" t="s">
        <v>98</v>
      </c>
      <c r="AF12" s="93" t="s">
        <v>99</v>
      </c>
      <c r="AG12" s="93" t="s">
        <v>124</v>
      </c>
      <c r="AH12" s="93" t="s">
        <v>72</v>
      </c>
      <c r="AI12" s="93" t="s">
        <v>125</v>
      </c>
      <c r="AJ12" s="94">
        <v>1000</v>
      </c>
      <c r="AK12" s="94" t="s">
        <v>126</v>
      </c>
      <c r="AL12" s="94">
        <v>1000</v>
      </c>
      <c r="AM12" s="94">
        <f t="shared" si="5"/>
        <v>800</v>
      </c>
      <c r="AN12" s="94">
        <f t="shared" si="6"/>
        <v>600</v>
      </c>
      <c r="AO12" s="94">
        <f t="shared" si="7"/>
        <v>500</v>
      </c>
      <c r="AP12" s="94">
        <v>0</v>
      </c>
      <c r="AQ12" s="93" t="s">
        <v>127</v>
      </c>
      <c r="AR12" s="95">
        <f>SUM(Z5:Z12)</f>
        <v>5.9606481481481481E-3</v>
      </c>
      <c r="AS12" s="95">
        <f>SUM(Y5:Y12)</f>
        <v>7.175925925925925E-3</v>
      </c>
      <c r="AT12" s="95">
        <f>SUM(Z5:Z12)</f>
        <v>5.9606481481481481E-3</v>
      </c>
      <c r="AU12" s="95">
        <f>SUM(AA5:AA12)</f>
        <v>5.2083333333333339E-3</v>
      </c>
    </row>
    <row r="13" spans="1:47" ht="81.95" customHeight="1">
      <c r="A13" s="83" t="s">
        <v>58</v>
      </c>
      <c r="B13" s="84">
        <v>9</v>
      </c>
      <c r="C13" s="84">
        <v>2</v>
      </c>
      <c r="D13" s="84">
        <v>6</v>
      </c>
      <c r="E13" s="83" t="s">
        <v>128</v>
      </c>
      <c r="F13" s="83" t="s">
        <v>101</v>
      </c>
      <c r="G13" s="83" t="s">
        <v>102</v>
      </c>
      <c r="H13" s="85" t="s">
        <v>103</v>
      </c>
      <c r="I13" s="84">
        <v>1</v>
      </c>
      <c r="J13" s="83" t="s">
        <v>104</v>
      </c>
      <c r="K13" s="83" t="s">
        <v>105</v>
      </c>
      <c r="L13" s="86">
        <v>5.2083333333333333E-4</v>
      </c>
      <c r="M13" s="85" t="s">
        <v>106</v>
      </c>
      <c r="N13" s="87">
        <f t="shared" si="10"/>
        <v>6.4814814814814813E-3</v>
      </c>
      <c r="O13" s="83" t="s">
        <v>129</v>
      </c>
      <c r="P13" s="88">
        <v>320</v>
      </c>
      <c r="Q13" s="88">
        <f t="shared" si="8"/>
        <v>30</v>
      </c>
      <c r="R13" s="88">
        <f t="shared" si="9"/>
        <v>229</v>
      </c>
      <c r="S13" s="88"/>
      <c r="T13" s="88"/>
      <c r="U13" s="88" t="str">
        <f t="shared" si="0"/>
        <v/>
      </c>
      <c r="V13" s="88" t="str">
        <f t="shared" si="1"/>
        <v/>
      </c>
      <c r="W13" s="89">
        <v>3</v>
      </c>
      <c r="X13" s="90" t="s">
        <v>81</v>
      </c>
      <c r="Y13" s="91">
        <f t="shared" si="2"/>
        <v>5.7870370370370367E-4</v>
      </c>
      <c r="Z13" s="92">
        <f t="shared" si="3"/>
        <v>5.2083333333333333E-4</v>
      </c>
      <c r="AA13" s="92">
        <f t="shared" si="4"/>
        <v>4.6296296296296298E-4</v>
      </c>
      <c r="AB13" s="93" t="s">
        <v>68</v>
      </c>
      <c r="AC13" s="93" t="s">
        <v>68</v>
      </c>
      <c r="AD13" s="93" t="s">
        <v>130</v>
      </c>
      <c r="AE13" s="93" t="s">
        <v>83</v>
      </c>
      <c r="AF13" s="93" t="s">
        <v>84</v>
      </c>
      <c r="AG13" s="93" t="s">
        <v>68</v>
      </c>
      <c r="AH13" s="93" t="s">
        <v>72</v>
      </c>
      <c r="AI13" s="93" t="s">
        <v>73</v>
      </c>
      <c r="AJ13" s="94"/>
      <c r="AK13" s="94"/>
      <c r="AL13" s="94"/>
      <c r="AM13" s="94" t="str">
        <f t="shared" si="5"/>
        <v/>
      </c>
      <c r="AN13" s="94" t="str">
        <f t="shared" si="6"/>
        <v/>
      </c>
      <c r="AO13" s="94" t="str">
        <f t="shared" si="7"/>
        <v/>
      </c>
      <c r="AP13" s="94"/>
      <c r="AQ13" s="93"/>
      <c r="AR13" s="95"/>
      <c r="AS13" s="95"/>
      <c r="AT13" s="95"/>
      <c r="AU13" s="95"/>
    </row>
    <row r="14" spans="1:47" ht="81.95" customHeight="1">
      <c r="A14" s="83" t="s">
        <v>58</v>
      </c>
      <c r="B14" s="84">
        <v>10</v>
      </c>
      <c r="C14" s="84">
        <v>1</v>
      </c>
      <c r="D14" s="84">
        <v>6</v>
      </c>
      <c r="E14" s="83" t="s">
        <v>131</v>
      </c>
      <c r="F14" s="83" t="s">
        <v>60</v>
      </c>
      <c r="G14" s="83" t="s">
        <v>61</v>
      </c>
      <c r="H14" s="85" t="s">
        <v>62</v>
      </c>
      <c r="I14" s="84">
        <v>1</v>
      </c>
      <c r="J14" s="83" t="s">
        <v>63</v>
      </c>
      <c r="K14" s="83" t="s">
        <v>64</v>
      </c>
      <c r="L14" s="86">
        <v>5.7870370370370378E-4</v>
      </c>
      <c r="M14" s="85" t="s">
        <v>65</v>
      </c>
      <c r="N14" s="87">
        <f t="shared" si="10"/>
        <v>7.060185185185185E-3</v>
      </c>
      <c r="O14" s="83" t="s">
        <v>129</v>
      </c>
      <c r="P14" s="88">
        <v>340</v>
      </c>
      <c r="Q14" s="88">
        <f t="shared" si="8"/>
        <v>20</v>
      </c>
      <c r="R14" s="88">
        <f t="shared" si="9"/>
        <v>229</v>
      </c>
      <c r="S14" s="88">
        <v>21</v>
      </c>
      <c r="T14" s="88">
        <v>50</v>
      </c>
      <c r="U14" s="88">
        <f t="shared" si="0"/>
        <v>550</v>
      </c>
      <c r="V14" s="88">
        <f t="shared" si="1"/>
        <v>11</v>
      </c>
      <c r="W14" s="89">
        <v>3</v>
      </c>
      <c r="X14" s="90" t="s">
        <v>97</v>
      </c>
      <c r="Y14" s="91">
        <f t="shared" si="2"/>
        <v>7.5231481481481482E-4</v>
      </c>
      <c r="Z14" s="92">
        <f t="shared" si="3"/>
        <v>5.7870370370370378E-4</v>
      </c>
      <c r="AA14" s="92">
        <f t="shared" si="4"/>
        <v>4.6296296296296298E-4</v>
      </c>
      <c r="AB14" s="93" t="s">
        <v>68</v>
      </c>
      <c r="AC14" s="93" t="s">
        <v>68</v>
      </c>
      <c r="AD14" s="93" t="s">
        <v>82</v>
      </c>
      <c r="AE14" s="93" t="s">
        <v>98</v>
      </c>
      <c r="AF14" s="93" t="s">
        <v>99</v>
      </c>
      <c r="AG14" s="93" t="s">
        <v>68</v>
      </c>
      <c r="AH14" s="93" t="s">
        <v>72</v>
      </c>
      <c r="AI14" s="93" t="s">
        <v>73</v>
      </c>
      <c r="AJ14" s="94"/>
      <c r="AK14" s="94"/>
      <c r="AL14" s="94"/>
      <c r="AM14" s="94" t="str">
        <f t="shared" si="5"/>
        <v/>
      </c>
      <c r="AN14" s="94" t="str">
        <f t="shared" si="6"/>
        <v/>
      </c>
      <c r="AO14" s="94" t="str">
        <f t="shared" si="7"/>
        <v/>
      </c>
      <c r="AP14" s="94"/>
      <c r="AQ14" s="93"/>
      <c r="AR14" s="95"/>
      <c r="AS14" s="95"/>
      <c r="AT14" s="95"/>
      <c r="AU14" s="95"/>
    </row>
    <row r="15" spans="1:47" ht="81.95" customHeight="1">
      <c r="A15" s="83" t="s">
        <v>58</v>
      </c>
      <c r="B15" s="84">
        <v>11</v>
      </c>
      <c r="C15" s="84">
        <v>2</v>
      </c>
      <c r="D15" s="84">
        <v>7</v>
      </c>
      <c r="E15" s="83" t="s">
        <v>132</v>
      </c>
      <c r="F15" s="83" t="s">
        <v>133</v>
      </c>
      <c r="G15" s="83" t="s">
        <v>134</v>
      </c>
      <c r="H15" s="85" t="s">
        <v>135</v>
      </c>
      <c r="I15" s="84">
        <v>3</v>
      </c>
      <c r="J15" s="83" t="s">
        <v>136</v>
      </c>
      <c r="K15" s="83" t="s">
        <v>137</v>
      </c>
      <c r="L15" s="86">
        <v>7.5231481481481482E-4</v>
      </c>
      <c r="M15" s="85" t="s">
        <v>138</v>
      </c>
      <c r="N15" s="87">
        <f t="shared" si="10"/>
        <v>7.8125E-3</v>
      </c>
      <c r="O15" s="83" t="s">
        <v>129</v>
      </c>
      <c r="P15" s="88">
        <v>380</v>
      </c>
      <c r="Q15" s="88">
        <f t="shared" si="8"/>
        <v>40</v>
      </c>
      <c r="R15" s="88">
        <f t="shared" si="9"/>
        <v>229</v>
      </c>
      <c r="S15" s="88">
        <v>23</v>
      </c>
      <c r="T15" s="88">
        <v>22</v>
      </c>
      <c r="U15" s="88">
        <f t="shared" si="0"/>
        <v>220</v>
      </c>
      <c r="V15" s="88">
        <f t="shared" si="1"/>
        <v>10</v>
      </c>
      <c r="W15" s="89">
        <v>3</v>
      </c>
      <c r="X15" s="90" t="s">
        <v>97</v>
      </c>
      <c r="Y15" s="91">
        <f t="shared" si="2"/>
        <v>9.2592592592592596E-4</v>
      </c>
      <c r="Z15" s="92">
        <f t="shared" si="3"/>
        <v>7.5231481481481482E-4</v>
      </c>
      <c r="AA15" s="92">
        <f t="shared" si="4"/>
        <v>5.7870370370370367E-4</v>
      </c>
      <c r="AB15" s="93" t="s">
        <v>68</v>
      </c>
      <c r="AC15" s="93" t="s">
        <v>68</v>
      </c>
      <c r="AD15" s="93" t="s">
        <v>82</v>
      </c>
      <c r="AE15" s="93" t="s">
        <v>98</v>
      </c>
      <c r="AF15" s="93" t="s">
        <v>99</v>
      </c>
      <c r="AG15" s="93" t="s">
        <v>139</v>
      </c>
      <c r="AH15" s="93" t="s">
        <v>140</v>
      </c>
      <c r="AI15" s="93" t="s">
        <v>73</v>
      </c>
      <c r="AJ15" s="94"/>
      <c r="AK15" s="94"/>
      <c r="AL15" s="94"/>
      <c r="AM15" s="94" t="str">
        <f t="shared" si="5"/>
        <v/>
      </c>
      <c r="AN15" s="94" t="str">
        <f t="shared" si="6"/>
        <v/>
      </c>
      <c r="AO15" s="94" t="str">
        <f t="shared" si="7"/>
        <v/>
      </c>
      <c r="AP15" s="94"/>
      <c r="AQ15" s="93"/>
      <c r="AR15" s="95"/>
      <c r="AS15" s="95"/>
      <c r="AT15" s="95"/>
      <c r="AU15" s="95"/>
    </row>
    <row r="16" spans="1:47" ht="81.95" customHeight="1">
      <c r="A16" s="83" t="s">
        <v>58</v>
      </c>
      <c r="B16" s="84">
        <v>12</v>
      </c>
      <c r="C16" s="84">
        <v>2</v>
      </c>
      <c r="D16" s="84">
        <v>7</v>
      </c>
      <c r="E16" s="83" t="s">
        <v>141</v>
      </c>
      <c r="F16" s="83" t="s">
        <v>133</v>
      </c>
      <c r="G16" s="83" t="s">
        <v>134</v>
      </c>
      <c r="H16" s="85" t="s">
        <v>135</v>
      </c>
      <c r="I16" s="84">
        <v>3</v>
      </c>
      <c r="J16" s="83" t="s">
        <v>136</v>
      </c>
      <c r="K16" s="83" t="s">
        <v>137</v>
      </c>
      <c r="L16" s="86">
        <v>7.5231481481481482E-4</v>
      </c>
      <c r="M16" s="85" t="s">
        <v>138</v>
      </c>
      <c r="N16" s="87">
        <f t="shared" si="10"/>
        <v>8.564814814814815E-3</v>
      </c>
      <c r="O16" s="83" t="s">
        <v>129</v>
      </c>
      <c r="P16" s="88">
        <v>420</v>
      </c>
      <c r="Q16" s="88">
        <f t="shared" si="8"/>
        <v>40</v>
      </c>
      <c r="R16" s="88">
        <f t="shared" si="9"/>
        <v>229</v>
      </c>
      <c r="S16" s="88">
        <v>23</v>
      </c>
      <c r="T16" s="88">
        <v>22</v>
      </c>
      <c r="U16" s="88">
        <f t="shared" si="0"/>
        <v>220</v>
      </c>
      <c r="V16" s="88">
        <f t="shared" si="1"/>
        <v>10</v>
      </c>
      <c r="W16" s="89">
        <v>3</v>
      </c>
      <c r="X16" s="90" t="s">
        <v>97</v>
      </c>
      <c r="Y16" s="91">
        <f t="shared" si="2"/>
        <v>9.2592592592592596E-4</v>
      </c>
      <c r="Z16" s="92">
        <f t="shared" si="3"/>
        <v>7.5231481481481482E-4</v>
      </c>
      <c r="AA16" s="92">
        <f t="shared" si="4"/>
        <v>5.7870370370370367E-4</v>
      </c>
      <c r="AB16" s="93" t="s">
        <v>68</v>
      </c>
      <c r="AC16" s="93" t="s">
        <v>68</v>
      </c>
      <c r="AD16" s="93" t="s">
        <v>82</v>
      </c>
      <c r="AE16" s="93" t="s">
        <v>98</v>
      </c>
      <c r="AF16" s="93" t="s">
        <v>99</v>
      </c>
      <c r="AG16" s="93" t="s">
        <v>142</v>
      </c>
      <c r="AH16" s="93" t="s">
        <v>140</v>
      </c>
      <c r="AI16" s="93" t="s">
        <v>73</v>
      </c>
      <c r="AJ16" s="94"/>
      <c r="AK16" s="94"/>
      <c r="AL16" s="94"/>
      <c r="AM16" s="94" t="str">
        <f t="shared" si="5"/>
        <v/>
      </c>
      <c r="AN16" s="94" t="str">
        <f t="shared" si="6"/>
        <v/>
      </c>
      <c r="AO16" s="94" t="str">
        <f t="shared" si="7"/>
        <v/>
      </c>
      <c r="AP16" s="94"/>
      <c r="AQ16" s="93"/>
      <c r="AR16" s="95"/>
      <c r="AS16" s="95"/>
      <c r="AT16" s="95"/>
      <c r="AU16" s="95"/>
    </row>
    <row r="17" spans="1:47" ht="81.95" customHeight="1">
      <c r="A17" s="83" t="s">
        <v>58</v>
      </c>
      <c r="B17" s="84">
        <v>13</v>
      </c>
      <c r="C17" s="84">
        <v>2</v>
      </c>
      <c r="D17" s="84">
        <v>7</v>
      </c>
      <c r="E17" s="83" t="s">
        <v>143</v>
      </c>
      <c r="F17" s="83" t="s">
        <v>133</v>
      </c>
      <c r="G17" s="83" t="s">
        <v>134</v>
      </c>
      <c r="H17" s="85" t="s">
        <v>135</v>
      </c>
      <c r="I17" s="84">
        <v>3</v>
      </c>
      <c r="J17" s="83" t="s">
        <v>136</v>
      </c>
      <c r="K17" s="83" t="s">
        <v>137</v>
      </c>
      <c r="L17" s="86">
        <v>7.5231481481481482E-4</v>
      </c>
      <c r="M17" s="85" t="s">
        <v>138</v>
      </c>
      <c r="N17" s="87">
        <f t="shared" si="10"/>
        <v>9.3171296296296301E-3</v>
      </c>
      <c r="O17" s="83" t="s">
        <v>129</v>
      </c>
      <c r="P17" s="88">
        <v>460</v>
      </c>
      <c r="Q17" s="88">
        <f t="shared" si="8"/>
        <v>40</v>
      </c>
      <c r="R17" s="88">
        <f t="shared" si="9"/>
        <v>296</v>
      </c>
      <c r="S17" s="88">
        <v>30</v>
      </c>
      <c r="T17" s="88">
        <v>22</v>
      </c>
      <c r="U17" s="88">
        <f t="shared" si="0"/>
        <v>220</v>
      </c>
      <c r="V17" s="88">
        <f t="shared" si="1"/>
        <v>10</v>
      </c>
      <c r="W17" s="89">
        <v>4</v>
      </c>
      <c r="X17" s="90" t="s">
        <v>97</v>
      </c>
      <c r="Y17" s="91">
        <f t="shared" si="2"/>
        <v>9.2592592592592596E-4</v>
      </c>
      <c r="Z17" s="92">
        <f t="shared" si="3"/>
        <v>7.5231481481481482E-4</v>
      </c>
      <c r="AA17" s="92">
        <f t="shared" si="4"/>
        <v>5.7870370370370367E-4</v>
      </c>
      <c r="AB17" s="93" t="s">
        <v>68</v>
      </c>
      <c r="AC17" s="93" t="s">
        <v>68</v>
      </c>
      <c r="AD17" s="93" t="s">
        <v>82</v>
      </c>
      <c r="AE17" s="93" t="s">
        <v>98</v>
      </c>
      <c r="AF17" s="93" t="s">
        <v>99</v>
      </c>
      <c r="AG17" s="93" t="s">
        <v>144</v>
      </c>
      <c r="AH17" s="93" t="s">
        <v>140</v>
      </c>
      <c r="AI17" s="93" t="s">
        <v>73</v>
      </c>
      <c r="AJ17" s="94"/>
      <c r="AK17" s="94"/>
      <c r="AL17" s="94"/>
      <c r="AM17" s="94" t="str">
        <f t="shared" si="5"/>
        <v/>
      </c>
      <c r="AN17" s="94" t="str">
        <f t="shared" si="6"/>
        <v/>
      </c>
      <c r="AO17" s="94" t="str">
        <f t="shared" si="7"/>
        <v/>
      </c>
      <c r="AP17" s="94"/>
      <c r="AQ17" s="93"/>
      <c r="AR17" s="95"/>
      <c r="AS17" s="95"/>
      <c r="AT17" s="95"/>
      <c r="AU17" s="95"/>
    </row>
    <row r="18" spans="1:47" ht="81.95" customHeight="1">
      <c r="A18" s="83" t="s">
        <v>58</v>
      </c>
      <c r="B18" s="84">
        <v>14</v>
      </c>
      <c r="C18" s="84">
        <v>4</v>
      </c>
      <c r="D18" s="84">
        <v>8</v>
      </c>
      <c r="E18" s="83" t="s">
        <v>145</v>
      </c>
      <c r="F18" s="83" t="s">
        <v>146</v>
      </c>
      <c r="G18" s="83" t="s">
        <v>147</v>
      </c>
      <c r="H18" s="85" t="s">
        <v>148</v>
      </c>
      <c r="I18" s="84">
        <v>3</v>
      </c>
      <c r="J18" s="83" t="s">
        <v>149</v>
      </c>
      <c r="K18" s="83" t="s">
        <v>150</v>
      </c>
      <c r="L18" s="86">
        <v>1.0995370370370369E-3</v>
      </c>
      <c r="M18" s="85" t="s">
        <v>151</v>
      </c>
      <c r="N18" s="87">
        <f t="shared" si="10"/>
        <v>1.0416666666666668E-2</v>
      </c>
      <c r="O18" s="83" t="s">
        <v>129</v>
      </c>
      <c r="P18" s="88">
        <v>530</v>
      </c>
      <c r="Q18" s="88">
        <f t="shared" si="8"/>
        <v>70</v>
      </c>
      <c r="R18" s="88">
        <f t="shared" si="9"/>
        <v>296</v>
      </c>
      <c r="S18" s="88">
        <v>33</v>
      </c>
      <c r="T18" s="88">
        <v>32</v>
      </c>
      <c r="U18" s="88">
        <f t="shared" si="0"/>
        <v>288</v>
      </c>
      <c r="V18" s="88">
        <f t="shared" si="1"/>
        <v>9</v>
      </c>
      <c r="W18" s="89">
        <v>4</v>
      </c>
      <c r="X18" s="90" t="s">
        <v>97</v>
      </c>
      <c r="Y18" s="91">
        <f t="shared" si="2"/>
        <v>1.3888888888888889E-3</v>
      </c>
      <c r="Z18" s="92">
        <f t="shared" si="3"/>
        <v>1.0995370370370369E-3</v>
      </c>
      <c r="AA18" s="92">
        <f t="shared" si="4"/>
        <v>8.6805555555555551E-4</v>
      </c>
      <c r="AB18" s="93" t="s">
        <v>68</v>
      </c>
      <c r="AC18" s="93" t="s">
        <v>68</v>
      </c>
      <c r="AD18" s="93" t="s">
        <v>82</v>
      </c>
      <c r="AE18" s="93" t="s">
        <v>98</v>
      </c>
      <c r="AF18" s="93" t="s">
        <v>99</v>
      </c>
      <c r="AG18" s="93" t="s">
        <v>68</v>
      </c>
      <c r="AH18" s="93" t="s">
        <v>140</v>
      </c>
      <c r="AI18" s="93" t="s">
        <v>73</v>
      </c>
      <c r="AJ18" s="94"/>
      <c r="AK18" s="94"/>
      <c r="AL18" s="94"/>
      <c r="AM18" s="94" t="str">
        <f t="shared" si="5"/>
        <v/>
      </c>
      <c r="AN18" s="94" t="str">
        <f t="shared" si="6"/>
        <v/>
      </c>
      <c r="AO18" s="94" t="str">
        <f t="shared" si="7"/>
        <v/>
      </c>
      <c r="AP18" s="94"/>
      <c r="AQ18" s="93"/>
      <c r="AR18" s="95"/>
      <c r="AS18" s="95"/>
      <c r="AT18" s="95"/>
      <c r="AU18" s="95"/>
    </row>
    <row r="19" spans="1:47" ht="81.95" customHeight="1">
      <c r="A19" s="83" t="s">
        <v>58</v>
      </c>
      <c r="B19" s="84">
        <v>15</v>
      </c>
      <c r="C19" s="84">
        <v>2</v>
      </c>
      <c r="D19" s="84">
        <v>7</v>
      </c>
      <c r="E19" s="83" t="s">
        <v>152</v>
      </c>
      <c r="F19" s="83" t="s">
        <v>133</v>
      </c>
      <c r="G19" s="83" t="s">
        <v>134</v>
      </c>
      <c r="H19" s="85" t="s">
        <v>135</v>
      </c>
      <c r="I19" s="84">
        <v>3</v>
      </c>
      <c r="J19" s="83" t="s">
        <v>136</v>
      </c>
      <c r="K19" s="83" t="s">
        <v>137</v>
      </c>
      <c r="L19" s="86">
        <v>7.5231481481481482E-4</v>
      </c>
      <c r="M19" s="85" t="s">
        <v>138</v>
      </c>
      <c r="N19" s="87">
        <f t="shared" si="10"/>
        <v>1.1168981481481483E-2</v>
      </c>
      <c r="O19" s="83" t="s">
        <v>129</v>
      </c>
      <c r="P19" s="88">
        <v>570</v>
      </c>
      <c r="Q19" s="88">
        <f t="shared" si="8"/>
        <v>40</v>
      </c>
      <c r="R19" s="88">
        <f t="shared" si="9"/>
        <v>296</v>
      </c>
      <c r="S19" s="88">
        <v>30</v>
      </c>
      <c r="T19" s="88">
        <v>22</v>
      </c>
      <c r="U19" s="88">
        <f t="shared" si="0"/>
        <v>220</v>
      </c>
      <c r="V19" s="88">
        <f t="shared" si="1"/>
        <v>10</v>
      </c>
      <c r="W19" s="89">
        <v>4</v>
      </c>
      <c r="X19" s="90" t="s">
        <v>97</v>
      </c>
      <c r="Y19" s="91">
        <f t="shared" si="2"/>
        <v>9.2592592592592596E-4</v>
      </c>
      <c r="Z19" s="92">
        <f t="shared" si="3"/>
        <v>7.5231481481481482E-4</v>
      </c>
      <c r="AA19" s="92">
        <f t="shared" si="4"/>
        <v>5.7870370370370367E-4</v>
      </c>
      <c r="AB19" s="93" t="s">
        <v>68</v>
      </c>
      <c r="AC19" s="93" t="s">
        <v>68</v>
      </c>
      <c r="AD19" s="93" t="s">
        <v>82</v>
      </c>
      <c r="AE19" s="93" t="s">
        <v>98</v>
      </c>
      <c r="AF19" s="93" t="s">
        <v>99</v>
      </c>
      <c r="AG19" s="93" t="s">
        <v>153</v>
      </c>
      <c r="AH19" s="93" t="s">
        <v>140</v>
      </c>
      <c r="AI19" s="93" t="s">
        <v>73</v>
      </c>
      <c r="AJ19" s="94"/>
      <c r="AK19" s="94"/>
      <c r="AL19" s="94"/>
      <c r="AM19" s="94" t="str">
        <f t="shared" si="5"/>
        <v/>
      </c>
      <c r="AN19" s="94" t="str">
        <f t="shared" si="6"/>
        <v/>
      </c>
      <c r="AO19" s="94" t="str">
        <f t="shared" si="7"/>
        <v/>
      </c>
      <c r="AP19" s="94"/>
      <c r="AQ19" s="93"/>
      <c r="AR19" s="95"/>
      <c r="AS19" s="95"/>
      <c r="AT19" s="95"/>
      <c r="AU19" s="95"/>
    </row>
    <row r="20" spans="1:47" ht="81.95" customHeight="1">
      <c r="A20" s="83" t="s">
        <v>58</v>
      </c>
      <c r="B20" s="84">
        <v>16</v>
      </c>
      <c r="C20" s="84">
        <v>1</v>
      </c>
      <c r="D20" s="84">
        <v>6</v>
      </c>
      <c r="E20" s="83" t="s">
        <v>154</v>
      </c>
      <c r="F20" s="83" t="s">
        <v>155</v>
      </c>
      <c r="G20" s="83" t="s">
        <v>156</v>
      </c>
      <c r="H20" s="85" t="s">
        <v>157</v>
      </c>
      <c r="I20" s="84">
        <v>3</v>
      </c>
      <c r="J20" s="83" t="s">
        <v>158</v>
      </c>
      <c r="K20" s="83" t="s">
        <v>64</v>
      </c>
      <c r="L20" s="86">
        <v>5.2083333333333333E-4</v>
      </c>
      <c r="M20" s="85" t="s">
        <v>159</v>
      </c>
      <c r="N20" s="87">
        <f t="shared" si="10"/>
        <v>1.1689814814814816E-2</v>
      </c>
      <c r="O20" s="83" t="s">
        <v>129</v>
      </c>
      <c r="P20" s="88">
        <v>600</v>
      </c>
      <c r="Q20" s="88">
        <f t="shared" si="8"/>
        <v>30</v>
      </c>
      <c r="R20" s="88">
        <f t="shared" si="9"/>
        <v>296</v>
      </c>
      <c r="S20" s="88"/>
      <c r="T20" s="88"/>
      <c r="U20" s="88" t="str">
        <f t="shared" si="0"/>
        <v/>
      </c>
      <c r="V20" s="88" t="str">
        <f t="shared" si="1"/>
        <v/>
      </c>
      <c r="W20" s="89">
        <v>4</v>
      </c>
      <c r="X20" s="90" t="s">
        <v>86</v>
      </c>
      <c r="Y20" s="91">
        <f t="shared" si="2"/>
        <v>5.7870370370370367E-4</v>
      </c>
      <c r="Z20" s="92">
        <f t="shared" si="3"/>
        <v>5.2083333333333333E-4</v>
      </c>
      <c r="AA20" s="92">
        <f t="shared" si="4"/>
        <v>4.6296296296296298E-4</v>
      </c>
      <c r="AB20" s="93" t="s">
        <v>68</v>
      </c>
      <c r="AC20" s="93" t="s">
        <v>68</v>
      </c>
      <c r="AD20" s="93" t="s">
        <v>160</v>
      </c>
      <c r="AE20" s="93" t="s">
        <v>87</v>
      </c>
      <c r="AF20" s="93" t="s">
        <v>88</v>
      </c>
      <c r="AG20" s="93" t="s">
        <v>161</v>
      </c>
      <c r="AH20" s="93" t="s">
        <v>140</v>
      </c>
      <c r="AI20" s="93" t="s">
        <v>125</v>
      </c>
      <c r="AJ20" s="94">
        <v>1100</v>
      </c>
      <c r="AK20" s="94" t="s">
        <v>126</v>
      </c>
      <c r="AL20" s="94">
        <v>1100</v>
      </c>
      <c r="AM20" s="94">
        <f t="shared" si="5"/>
        <v>880</v>
      </c>
      <c r="AN20" s="94">
        <f t="shared" si="6"/>
        <v>660</v>
      </c>
      <c r="AO20" s="94">
        <f t="shared" si="7"/>
        <v>550</v>
      </c>
      <c r="AP20" s="94">
        <v>0</v>
      </c>
      <c r="AQ20" s="93" t="s">
        <v>162</v>
      </c>
      <c r="AR20" s="95">
        <f>SUM(Z13:Z20)</f>
        <v>5.7291666666666671E-3</v>
      </c>
      <c r="AS20" s="95">
        <f>SUM(Y13:Y20)</f>
        <v>7.0023148148148145E-3</v>
      </c>
      <c r="AT20" s="95">
        <f>SUM(Z13:Z20)</f>
        <v>5.7291666666666671E-3</v>
      </c>
      <c r="AU20" s="95">
        <f>SUM(AA13:AA20)</f>
        <v>4.5717592592592589E-3</v>
      </c>
    </row>
    <row r="21" spans="1:47" ht="81.95" customHeight="1">
      <c r="A21" s="83" t="s">
        <v>58</v>
      </c>
      <c r="B21" s="84">
        <v>17</v>
      </c>
      <c r="C21" s="84">
        <v>1</v>
      </c>
      <c r="D21" s="84">
        <v>6</v>
      </c>
      <c r="E21" s="83" t="s">
        <v>163</v>
      </c>
      <c r="F21" s="83" t="s">
        <v>60</v>
      </c>
      <c r="G21" s="83" t="s">
        <v>61</v>
      </c>
      <c r="H21" s="85" t="s">
        <v>62</v>
      </c>
      <c r="I21" s="84">
        <v>1</v>
      </c>
      <c r="J21" s="83" t="s">
        <v>63</v>
      </c>
      <c r="K21" s="83" t="s">
        <v>64</v>
      </c>
      <c r="L21" s="86">
        <v>5.7870370370370378E-4</v>
      </c>
      <c r="M21" s="85" t="s">
        <v>65</v>
      </c>
      <c r="N21" s="87">
        <f t="shared" si="10"/>
        <v>1.2268518518518521E-2</v>
      </c>
      <c r="O21" s="83" t="s">
        <v>164</v>
      </c>
      <c r="P21" s="88">
        <v>620</v>
      </c>
      <c r="Q21" s="88">
        <f t="shared" si="8"/>
        <v>20</v>
      </c>
      <c r="R21" s="88">
        <f t="shared" si="9"/>
        <v>375</v>
      </c>
      <c r="S21" s="88"/>
      <c r="T21" s="88"/>
      <c r="U21" s="88" t="str">
        <f t="shared" si="0"/>
        <v/>
      </c>
      <c r="V21" s="88" t="str">
        <f t="shared" si="1"/>
        <v/>
      </c>
      <c r="W21" s="89">
        <v>5</v>
      </c>
      <c r="X21" s="90" t="s">
        <v>86</v>
      </c>
      <c r="Y21" s="91">
        <f t="shared" si="2"/>
        <v>6.9444444444444447E-4</v>
      </c>
      <c r="Z21" s="92">
        <f t="shared" si="3"/>
        <v>5.7870370370370378E-4</v>
      </c>
      <c r="AA21" s="92">
        <f t="shared" si="4"/>
        <v>5.2083333333333333E-4</v>
      </c>
      <c r="AB21" s="93" t="s">
        <v>68</v>
      </c>
      <c r="AC21" s="93" t="s">
        <v>68</v>
      </c>
      <c r="AD21" s="93" t="s">
        <v>165</v>
      </c>
      <c r="AE21" s="93" t="s">
        <v>87</v>
      </c>
      <c r="AF21" s="93" t="s">
        <v>88</v>
      </c>
      <c r="AG21" s="93" t="s">
        <v>68</v>
      </c>
      <c r="AH21" s="93" t="s">
        <v>166</v>
      </c>
      <c r="AI21" s="93" t="s">
        <v>73</v>
      </c>
      <c r="AJ21" s="94"/>
      <c r="AK21" s="94"/>
      <c r="AL21" s="94"/>
      <c r="AM21" s="94" t="str">
        <f t="shared" si="5"/>
        <v/>
      </c>
      <c r="AN21" s="94" t="str">
        <f t="shared" si="6"/>
        <v/>
      </c>
      <c r="AO21" s="94" t="str">
        <f t="shared" si="7"/>
        <v/>
      </c>
      <c r="AP21" s="94"/>
      <c r="AQ21" s="93"/>
      <c r="AR21" s="95"/>
      <c r="AS21" s="95"/>
      <c r="AT21" s="95"/>
      <c r="AU21" s="95"/>
    </row>
    <row r="22" spans="1:47" ht="81.95" customHeight="1">
      <c r="A22" s="83" t="s">
        <v>58</v>
      </c>
      <c r="B22" s="84">
        <v>18</v>
      </c>
      <c r="C22" s="84">
        <v>4</v>
      </c>
      <c r="D22" s="84">
        <v>8</v>
      </c>
      <c r="E22" s="83" t="s">
        <v>167</v>
      </c>
      <c r="F22" s="83" t="s">
        <v>146</v>
      </c>
      <c r="G22" s="83" t="s">
        <v>147</v>
      </c>
      <c r="H22" s="85" t="s">
        <v>148</v>
      </c>
      <c r="I22" s="84">
        <v>4</v>
      </c>
      <c r="J22" s="83" t="s">
        <v>168</v>
      </c>
      <c r="K22" s="83" t="s">
        <v>150</v>
      </c>
      <c r="L22" s="86">
        <v>1.0995370370370369E-3</v>
      </c>
      <c r="M22" s="85" t="s">
        <v>151</v>
      </c>
      <c r="N22" s="87">
        <f t="shared" si="10"/>
        <v>1.3368055555555557E-2</v>
      </c>
      <c r="O22" s="83" t="s">
        <v>164</v>
      </c>
      <c r="P22" s="88">
        <v>690</v>
      </c>
      <c r="Q22" s="88">
        <f t="shared" si="8"/>
        <v>70</v>
      </c>
      <c r="R22" s="88">
        <f t="shared" si="9"/>
        <v>375</v>
      </c>
      <c r="S22" s="88">
        <v>42</v>
      </c>
      <c r="T22" s="88">
        <v>24</v>
      </c>
      <c r="U22" s="88">
        <f t="shared" si="0"/>
        <v>216</v>
      </c>
      <c r="V22" s="88">
        <f t="shared" si="1"/>
        <v>9</v>
      </c>
      <c r="W22" s="89">
        <v>5</v>
      </c>
      <c r="X22" s="90" t="s">
        <v>97</v>
      </c>
      <c r="Y22" s="91">
        <f t="shared" si="2"/>
        <v>1.3888888888888889E-3</v>
      </c>
      <c r="Z22" s="92">
        <f t="shared" si="3"/>
        <v>1.0995370370370369E-3</v>
      </c>
      <c r="AA22" s="92">
        <f t="shared" si="4"/>
        <v>8.6805555555555551E-4</v>
      </c>
      <c r="AB22" s="93" t="s">
        <v>68</v>
      </c>
      <c r="AC22" s="93" t="s">
        <v>169</v>
      </c>
      <c r="AD22" s="93" t="s">
        <v>82</v>
      </c>
      <c r="AE22" s="93" t="s">
        <v>98</v>
      </c>
      <c r="AF22" s="93" t="s">
        <v>99</v>
      </c>
      <c r="AG22" s="93" t="s">
        <v>68</v>
      </c>
      <c r="AH22" s="93" t="s">
        <v>166</v>
      </c>
      <c r="AI22" s="93" t="s">
        <v>73</v>
      </c>
      <c r="AJ22" s="94"/>
      <c r="AK22" s="94"/>
      <c r="AL22" s="94"/>
      <c r="AM22" s="94" t="str">
        <f t="shared" si="5"/>
        <v/>
      </c>
      <c r="AN22" s="94" t="str">
        <f t="shared" si="6"/>
        <v/>
      </c>
      <c r="AO22" s="94" t="str">
        <f t="shared" si="7"/>
        <v/>
      </c>
      <c r="AP22" s="94"/>
      <c r="AQ22" s="93"/>
      <c r="AR22" s="95"/>
      <c r="AS22" s="95"/>
      <c r="AT22" s="95"/>
      <c r="AU22" s="95"/>
    </row>
    <row r="23" spans="1:47" ht="81.95" customHeight="1">
      <c r="A23" s="83" t="s">
        <v>58</v>
      </c>
      <c r="B23" s="84">
        <v>19</v>
      </c>
      <c r="C23" s="84">
        <v>5</v>
      </c>
      <c r="D23" s="84">
        <v>8</v>
      </c>
      <c r="E23" s="83" t="s">
        <v>170</v>
      </c>
      <c r="F23" s="83" t="s">
        <v>171</v>
      </c>
      <c r="G23" s="83" t="s">
        <v>172</v>
      </c>
      <c r="H23" s="85" t="s">
        <v>173</v>
      </c>
      <c r="I23" s="84">
        <v>3</v>
      </c>
      <c r="J23" s="83" t="s">
        <v>174</v>
      </c>
      <c r="K23" s="83" t="s">
        <v>175</v>
      </c>
      <c r="L23" s="86">
        <v>1.5625000000000001E-3</v>
      </c>
      <c r="M23" s="85" t="s">
        <v>176</v>
      </c>
      <c r="N23" s="87">
        <f t="shared" si="10"/>
        <v>1.4930555555555556E-2</v>
      </c>
      <c r="O23" s="83" t="s">
        <v>164</v>
      </c>
      <c r="P23" s="88">
        <v>770</v>
      </c>
      <c r="Q23" s="88">
        <f t="shared" si="8"/>
        <v>80</v>
      </c>
      <c r="R23" s="88">
        <f t="shared" si="9"/>
        <v>375</v>
      </c>
      <c r="S23" s="88">
        <v>42</v>
      </c>
      <c r="T23" s="88">
        <v>45</v>
      </c>
      <c r="U23" s="88">
        <f t="shared" si="0"/>
        <v>405</v>
      </c>
      <c r="V23" s="88">
        <f t="shared" si="1"/>
        <v>9</v>
      </c>
      <c r="W23" s="89">
        <v>5</v>
      </c>
      <c r="X23" s="90" t="s">
        <v>97</v>
      </c>
      <c r="Y23" s="91">
        <f t="shared" si="2"/>
        <v>1.9675925925925924E-3</v>
      </c>
      <c r="Z23" s="92">
        <f t="shared" si="3"/>
        <v>1.5625000000000001E-3</v>
      </c>
      <c r="AA23" s="92">
        <f t="shared" si="4"/>
        <v>1.2731481481481483E-3</v>
      </c>
      <c r="AB23" s="93" t="s">
        <v>68</v>
      </c>
      <c r="AC23" s="93" t="s">
        <v>177</v>
      </c>
      <c r="AD23" s="93" t="s">
        <v>82</v>
      </c>
      <c r="AE23" s="93" t="s">
        <v>98</v>
      </c>
      <c r="AF23" s="93" t="s">
        <v>99</v>
      </c>
      <c r="AG23" s="93" t="s">
        <v>68</v>
      </c>
      <c r="AH23" s="93" t="s">
        <v>166</v>
      </c>
      <c r="AI23" s="93" t="s">
        <v>73</v>
      </c>
      <c r="AJ23" s="94"/>
      <c r="AK23" s="94"/>
      <c r="AL23" s="94"/>
      <c r="AM23" s="94" t="str">
        <f t="shared" si="5"/>
        <v/>
      </c>
      <c r="AN23" s="94" t="str">
        <f t="shared" si="6"/>
        <v/>
      </c>
      <c r="AO23" s="94" t="str">
        <f t="shared" si="7"/>
        <v/>
      </c>
      <c r="AP23" s="94"/>
      <c r="AQ23" s="93"/>
      <c r="AR23" s="95"/>
      <c r="AS23" s="95"/>
      <c r="AT23" s="95"/>
      <c r="AU23" s="95"/>
    </row>
    <row r="24" spans="1:47" ht="81.95" customHeight="1">
      <c r="A24" s="83" t="s">
        <v>58</v>
      </c>
      <c r="B24" s="84">
        <v>20</v>
      </c>
      <c r="C24" s="84">
        <v>6</v>
      </c>
      <c r="D24" s="84">
        <v>9</v>
      </c>
      <c r="E24" s="83" t="s">
        <v>178</v>
      </c>
      <c r="F24" s="83" t="s">
        <v>179</v>
      </c>
      <c r="G24" s="83" t="s">
        <v>180</v>
      </c>
      <c r="H24" s="85" t="s">
        <v>181</v>
      </c>
      <c r="I24" s="84">
        <v>1</v>
      </c>
      <c r="J24" s="83" t="s">
        <v>182</v>
      </c>
      <c r="K24" s="83" t="s">
        <v>183</v>
      </c>
      <c r="L24" s="86">
        <v>1.5625000000000001E-3</v>
      </c>
      <c r="M24" s="85" t="s">
        <v>184</v>
      </c>
      <c r="N24" s="87">
        <f t="shared" si="10"/>
        <v>1.6493055555555556E-2</v>
      </c>
      <c r="O24" s="83" t="s">
        <v>164</v>
      </c>
      <c r="P24" s="88">
        <v>870</v>
      </c>
      <c r="Q24" s="88">
        <f t="shared" si="8"/>
        <v>100</v>
      </c>
      <c r="R24" s="88">
        <f t="shared" si="9"/>
        <v>375</v>
      </c>
      <c r="S24" s="88">
        <v>47</v>
      </c>
      <c r="T24" s="88">
        <v>135</v>
      </c>
      <c r="U24" s="88">
        <f t="shared" si="0"/>
        <v>1080</v>
      </c>
      <c r="V24" s="88">
        <f t="shared" si="1"/>
        <v>8</v>
      </c>
      <c r="W24" s="89">
        <v>5</v>
      </c>
      <c r="X24" s="90" t="s">
        <v>97</v>
      </c>
      <c r="Y24" s="91">
        <f t="shared" si="2"/>
        <v>1.9675925925925924E-3</v>
      </c>
      <c r="Z24" s="92">
        <f t="shared" si="3"/>
        <v>1.5625000000000001E-3</v>
      </c>
      <c r="AA24" s="92">
        <f t="shared" si="4"/>
        <v>1.2731481481481483E-3</v>
      </c>
      <c r="AB24" s="93" t="s">
        <v>68</v>
      </c>
      <c r="AC24" s="93" t="s">
        <v>68</v>
      </c>
      <c r="AD24" s="93" t="s">
        <v>82</v>
      </c>
      <c r="AE24" s="93" t="s">
        <v>98</v>
      </c>
      <c r="AF24" s="93" t="s">
        <v>99</v>
      </c>
      <c r="AG24" s="93" t="s">
        <v>68</v>
      </c>
      <c r="AH24" s="93" t="s">
        <v>166</v>
      </c>
      <c r="AI24" s="93" t="s">
        <v>73</v>
      </c>
      <c r="AJ24" s="94"/>
      <c r="AK24" s="94"/>
      <c r="AL24" s="94"/>
      <c r="AM24" s="94" t="str">
        <f t="shared" si="5"/>
        <v/>
      </c>
      <c r="AN24" s="94" t="str">
        <f t="shared" si="6"/>
        <v/>
      </c>
      <c r="AO24" s="94" t="str">
        <f t="shared" si="7"/>
        <v/>
      </c>
      <c r="AP24" s="94"/>
      <c r="AQ24" s="93"/>
      <c r="AR24" s="95"/>
      <c r="AS24" s="95"/>
      <c r="AT24" s="95"/>
      <c r="AU24" s="95"/>
    </row>
    <row r="25" spans="1:47" ht="81.95" customHeight="1">
      <c r="A25" s="83" t="s">
        <v>58</v>
      </c>
      <c r="B25" s="84">
        <v>21</v>
      </c>
      <c r="C25" s="84">
        <v>4</v>
      </c>
      <c r="D25" s="84">
        <v>8</v>
      </c>
      <c r="E25" s="83" t="s">
        <v>185</v>
      </c>
      <c r="F25" s="83" t="s">
        <v>146</v>
      </c>
      <c r="G25" s="83" t="s">
        <v>147</v>
      </c>
      <c r="H25" s="85" t="s">
        <v>148</v>
      </c>
      <c r="I25" s="84">
        <v>4</v>
      </c>
      <c r="J25" s="83" t="s">
        <v>168</v>
      </c>
      <c r="K25" s="83" t="s">
        <v>150</v>
      </c>
      <c r="L25" s="86">
        <v>1.0995370370370369E-3</v>
      </c>
      <c r="M25" s="85" t="s">
        <v>151</v>
      </c>
      <c r="N25" s="87">
        <f t="shared" si="10"/>
        <v>1.7592592592592594E-2</v>
      </c>
      <c r="O25" s="83" t="s">
        <v>164</v>
      </c>
      <c r="P25" s="88">
        <v>940</v>
      </c>
      <c r="Q25" s="88">
        <f t="shared" si="8"/>
        <v>70</v>
      </c>
      <c r="R25" s="88">
        <f t="shared" si="9"/>
        <v>466</v>
      </c>
      <c r="S25" s="88">
        <v>52</v>
      </c>
      <c r="T25" s="88">
        <v>24</v>
      </c>
      <c r="U25" s="88">
        <f t="shared" si="0"/>
        <v>216</v>
      </c>
      <c r="V25" s="88">
        <f t="shared" si="1"/>
        <v>9</v>
      </c>
      <c r="W25" s="89">
        <v>6</v>
      </c>
      <c r="X25" s="90" t="s">
        <v>97</v>
      </c>
      <c r="Y25" s="91">
        <f t="shared" si="2"/>
        <v>1.3888888888888889E-3</v>
      </c>
      <c r="Z25" s="92">
        <f t="shared" si="3"/>
        <v>1.0995370370370369E-3</v>
      </c>
      <c r="AA25" s="92">
        <f t="shared" si="4"/>
        <v>8.6805555555555551E-4</v>
      </c>
      <c r="AB25" s="93" t="s">
        <v>68</v>
      </c>
      <c r="AC25" s="93" t="s">
        <v>68</v>
      </c>
      <c r="AD25" s="93" t="s">
        <v>82</v>
      </c>
      <c r="AE25" s="93" t="s">
        <v>98</v>
      </c>
      <c r="AF25" s="93" t="s">
        <v>99</v>
      </c>
      <c r="AG25" s="93" t="s">
        <v>68</v>
      </c>
      <c r="AH25" s="93" t="s">
        <v>166</v>
      </c>
      <c r="AI25" s="93" t="s">
        <v>73</v>
      </c>
      <c r="AJ25" s="94"/>
      <c r="AK25" s="94"/>
      <c r="AL25" s="94"/>
      <c r="AM25" s="94" t="str">
        <f t="shared" si="5"/>
        <v/>
      </c>
      <c r="AN25" s="94" t="str">
        <f t="shared" si="6"/>
        <v/>
      </c>
      <c r="AO25" s="94" t="str">
        <f t="shared" si="7"/>
        <v/>
      </c>
      <c r="AP25" s="94"/>
      <c r="AQ25" s="93"/>
      <c r="AR25" s="95"/>
      <c r="AS25" s="95"/>
      <c r="AT25" s="95"/>
      <c r="AU25" s="95"/>
    </row>
    <row r="26" spans="1:47" ht="81.95" customHeight="1">
      <c r="A26" s="83" t="s">
        <v>58</v>
      </c>
      <c r="B26" s="84">
        <v>22</v>
      </c>
      <c r="C26" s="84">
        <v>8</v>
      </c>
      <c r="D26" s="84">
        <v>10</v>
      </c>
      <c r="E26" s="83" t="s">
        <v>186</v>
      </c>
      <c r="F26" s="83" t="s">
        <v>187</v>
      </c>
      <c r="G26" s="83" t="s">
        <v>188</v>
      </c>
      <c r="H26" s="85" t="s">
        <v>189</v>
      </c>
      <c r="I26" s="84">
        <v>3</v>
      </c>
      <c r="J26" s="83" t="s">
        <v>190</v>
      </c>
      <c r="K26" s="83" t="s">
        <v>191</v>
      </c>
      <c r="L26" s="86">
        <v>3.8194444444444443E-3</v>
      </c>
      <c r="M26" s="85" t="s">
        <v>192</v>
      </c>
      <c r="N26" s="87">
        <f t="shared" si="10"/>
        <v>2.1412037037037038E-2</v>
      </c>
      <c r="O26" s="83" t="s">
        <v>164</v>
      </c>
      <c r="P26" s="88">
        <v>1110</v>
      </c>
      <c r="Q26" s="88">
        <f t="shared" si="8"/>
        <v>170</v>
      </c>
      <c r="R26" s="88">
        <f t="shared" si="9"/>
        <v>466</v>
      </c>
      <c r="S26" s="88">
        <v>466</v>
      </c>
      <c r="T26" s="88">
        <v>330</v>
      </c>
      <c r="U26" s="88">
        <f t="shared" si="0"/>
        <v>330</v>
      </c>
      <c r="V26" s="88">
        <f t="shared" si="1"/>
        <v>1</v>
      </c>
      <c r="W26" s="89">
        <v>6</v>
      </c>
      <c r="X26" s="90" t="s">
        <v>193</v>
      </c>
      <c r="Y26" s="91">
        <f t="shared" si="2"/>
        <v>4.8032407407407407E-3</v>
      </c>
      <c r="Z26" s="92">
        <f t="shared" si="3"/>
        <v>3.8194444444444443E-3</v>
      </c>
      <c r="AA26" s="92">
        <f t="shared" si="4"/>
        <v>3.0671296296296297E-3</v>
      </c>
      <c r="AB26" s="93" t="s">
        <v>194</v>
      </c>
      <c r="AC26" s="93" t="s">
        <v>68</v>
      </c>
      <c r="AD26" s="93" t="s">
        <v>195</v>
      </c>
      <c r="AE26" s="93" t="s">
        <v>196</v>
      </c>
      <c r="AF26" s="93" t="s">
        <v>197</v>
      </c>
      <c r="AG26" s="93" t="s">
        <v>198</v>
      </c>
      <c r="AH26" s="93" t="s">
        <v>166</v>
      </c>
      <c r="AI26" s="93" t="s">
        <v>125</v>
      </c>
      <c r="AJ26" s="94">
        <v>1200</v>
      </c>
      <c r="AK26" s="94" t="s">
        <v>126</v>
      </c>
      <c r="AL26" s="94">
        <v>1200</v>
      </c>
      <c r="AM26" s="94">
        <f t="shared" si="5"/>
        <v>960</v>
      </c>
      <c r="AN26" s="94">
        <f t="shared" si="6"/>
        <v>720</v>
      </c>
      <c r="AO26" s="94">
        <f t="shared" si="7"/>
        <v>600</v>
      </c>
      <c r="AP26" s="94">
        <v>0</v>
      </c>
      <c r="AQ26" s="93" t="s">
        <v>199</v>
      </c>
      <c r="AR26" s="95">
        <f>SUM(Z21:Z26)</f>
        <v>9.7222222222222224E-3</v>
      </c>
      <c r="AS26" s="95">
        <f>SUM(Y21:Y26)</f>
        <v>1.2210648148148148E-2</v>
      </c>
      <c r="AT26" s="95">
        <f>SUM(Z21:Z26)</f>
        <v>9.7222222222222224E-3</v>
      </c>
      <c r="AU26" s="95">
        <f>SUM(AA21:AA26)</f>
        <v>7.8703703703703713E-3</v>
      </c>
    </row>
    <row r="27" spans="1:47" ht="81.95" customHeight="1">
      <c r="A27" s="83" t="s">
        <v>200</v>
      </c>
      <c r="B27" s="84">
        <v>23</v>
      </c>
      <c r="C27" s="84">
        <v>2</v>
      </c>
      <c r="D27" s="84">
        <v>7</v>
      </c>
      <c r="E27" s="83" t="s">
        <v>201</v>
      </c>
      <c r="F27" s="83" t="s">
        <v>155</v>
      </c>
      <c r="G27" s="83" t="s">
        <v>156</v>
      </c>
      <c r="H27" s="85" t="s">
        <v>202</v>
      </c>
      <c r="I27" s="84">
        <v>3</v>
      </c>
      <c r="J27" s="83" t="s">
        <v>158</v>
      </c>
      <c r="K27" s="83" t="s">
        <v>64</v>
      </c>
      <c r="L27" s="86">
        <v>6.3657407407407402E-4</v>
      </c>
      <c r="M27" s="85" t="s">
        <v>159</v>
      </c>
      <c r="N27" s="87">
        <f t="shared" si="10"/>
        <v>2.2048611111111113E-2</v>
      </c>
      <c r="O27" s="83" t="s">
        <v>203</v>
      </c>
      <c r="P27" s="88">
        <v>1150</v>
      </c>
      <c r="Q27" s="88">
        <f t="shared" si="8"/>
        <v>40</v>
      </c>
      <c r="R27" s="88">
        <f t="shared" si="9"/>
        <v>466</v>
      </c>
      <c r="S27" s="88"/>
      <c r="T27" s="88"/>
      <c r="U27" s="88" t="str">
        <f t="shared" si="0"/>
        <v/>
      </c>
      <c r="V27" s="88" t="str">
        <f t="shared" si="1"/>
        <v/>
      </c>
      <c r="W27" s="89">
        <v>6</v>
      </c>
      <c r="X27" s="90" t="s">
        <v>86</v>
      </c>
      <c r="Y27" s="91">
        <f t="shared" si="2"/>
        <v>7.5231481481481482E-4</v>
      </c>
      <c r="Z27" s="92">
        <f t="shared" si="3"/>
        <v>6.3657407407407402E-4</v>
      </c>
      <c r="AA27" s="92">
        <f t="shared" si="4"/>
        <v>5.7870370370370367E-4</v>
      </c>
      <c r="AB27" s="93" t="s">
        <v>68</v>
      </c>
      <c r="AC27" s="93" t="s">
        <v>204</v>
      </c>
      <c r="AD27" s="93" t="s">
        <v>205</v>
      </c>
      <c r="AE27" s="93" t="s">
        <v>87</v>
      </c>
      <c r="AF27" s="93" t="s">
        <v>88</v>
      </c>
      <c r="AG27" s="93" t="s">
        <v>68</v>
      </c>
      <c r="AH27" s="93" t="s">
        <v>166</v>
      </c>
      <c r="AI27" s="93" t="s">
        <v>73</v>
      </c>
      <c r="AJ27" s="94"/>
      <c r="AK27" s="94"/>
      <c r="AL27" s="94"/>
      <c r="AM27" s="94" t="str">
        <f t="shared" si="5"/>
        <v/>
      </c>
      <c r="AN27" s="94" t="str">
        <f t="shared" si="6"/>
        <v/>
      </c>
      <c r="AO27" s="94" t="str">
        <f t="shared" si="7"/>
        <v/>
      </c>
      <c r="AP27" s="94"/>
      <c r="AQ27" s="93"/>
      <c r="AR27" s="95"/>
      <c r="AS27" s="95"/>
      <c r="AT27" s="95"/>
      <c r="AU27" s="95"/>
    </row>
    <row r="28" spans="1:47" ht="81.95" customHeight="1">
      <c r="A28" s="83" t="s">
        <v>200</v>
      </c>
      <c r="B28" s="84">
        <v>24</v>
      </c>
      <c r="C28" s="84">
        <v>2</v>
      </c>
      <c r="D28" s="84">
        <v>7</v>
      </c>
      <c r="E28" s="83" t="s">
        <v>206</v>
      </c>
      <c r="F28" s="83" t="s">
        <v>155</v>
      </c>
      <c r="G28" s="83" t="s">
        <v>156</v>
      </c>
      <c r="H28" s="85" t="s">
        <v>202</v>
      </c>
      <c r="I28" s="84">
        <v>3</v>
      </c>
      <c r="J28" s="83" t="s">
        <v>158</v>
      </c>
      <c r="K28" s="83" t="s">
        <v>64</v>
      </c>
      <c r="L28" s="86">
        <v>6.3657407407407402E-4</v>
      </c>
      <c r="M28" s="85" t="s">
        <v>159</v>
      </c>
      <c r="N28" s="87">
        <f t="shared" si="10"/>
        <v>2.2685185185185187E-2</v>
      </c>
      <c r="O28" s="83" t="s">
        <v>203</v>
      </c>
      <c r="P28" s="88">
        <v>1190</v>
      </c>
      <c r="Q28" s="88">
        <f t="shared" si="8"/>
        <v>40</v>
      </c>
      <c r="R28" s="88">
        <f t="shared" si="9"/>
        <v>466</v>
      </c>
      <c r="S28" s="88"/>
      <c r="T28" s="88"/>
      <c r="U28" s="88" t="str">
        <f t="shared" si="0"/>
        <v/>
      </c>
      <c r="V28" s="88" t="str">
        <f t="shared" si="1"/>
        <v/>
      </c>
      <c r="W28" s="89">
        <v>6</v>
      </c>
      <c r="X28" s="90" t="s">
        <v>67</v>
      </c>
      <c r="Y28" s="91">
        <f t="shared" si="2"/>
        <v>7.5231481481481482E-4</v>
      </c>
      <c r="Z28" s="92">
        <f t="shared" si="3"/>
        <v>6.3657407407407402E-4</v>
      </c>
      <c r="AA28" s="92">
        <f t="shared" si="4"/>
        <v>5.7870370370370367E-4</v>
      </c>
      <c r="AB28" s="93" t="s">
        <v>68</v>
      </c>
      <c r="AC28" s="93" t="s">
        <v>68</v>
      </c>
      <c r="AD28" s="93" t="s">
        <v>82</v>
      </c>
      <c r="AE28" s="93" t="s">
        <v>70</v>
      </c>
      <c r="AF28" s="93" t="s">
        <v>71</v>
      </c>
      <c r="AG28" s="93" t="s">
        <v>68</v>
      </c>
      <c r="AH28" s="93" t="s">
        <v>166</v>
      </c>
      <c r="AI28" s="93" t="s">
        <v>73</v>
      </c>
      <c r="AJ28" s="94"/>
      <c r="AK28" s="94"/>
      <c r="AL28" s="94"/>
      <c r="AM28" s="94" t="str">
        <f t="shared" si="5"/>
        <v/>
      </c>
      <c r="AN28" s="94" t="str">
        <f t="shared" si="6"/>
        <v/>
      </c>
      <c r="AO28" s="94" t="str">
        <f t="shared" si="7"/>
        <v/>
      </c>
      <c r="AP28" s="94"/>
      <c r="AQ28" s="93"/>
      <c r="AR28" s="95"/>
      <c r="AS28" s="95"/>
      <c r="AT28" s="95"/>
      <c r="AU28" s="95"/>
    </row>
    <row r="29" spans="1:47" ht="81.95" customHeight="1">
      <c r="A29" s="83" t="s">
        <v>200</v>
      </c>
      <c r="B29" s="84">
        <v>25</v>
      </c>
      <c r="C29" s="84">
        <v>3</v>
      </c>
      <c r="D29" s="84">
        <v>7</v>
      </c>
      <c r="E29" s="83" t="s">
        <v>207</v>
      </c>
      <c r="F29" s="83" t="s">
        <v>101</v>
      </c>
      <c r="G29" s="83" t="s">
        <v>102</v>
      </c>
      <c r="H29" s="85" t="s">
        <v>208</v>
      </c>
      <c r="I29" s="84">
        <v>1</v>
      </c>
      <c r="J29" s="83" t="s">
        <v>104</v>
      </c>
      <c r="K29" s="83" t="s">
        <v>105</v>
      </c>
      <c r="L29" s="86">
        <v>5.7870370370370378E-4</v>
      </c>
      <c r="M29" s="85" t="s">
        <v>106</v>
      </c>
      <c r="N29" s="87">
        <f t="shared" si="10"/>
        <v>2.326388888888889E-2</v>
      </c>
      <c r="O29" s="83" t="s">
        <v>203</v>
      </c>
      <c r="P29" s="88">
        <v>1230</v>
      </c>
      <c r="Q29" s="88">
        <f t="shared" si="8"/>
        <v>40</v>
      </c>
      <c r="R29" s="88">
        <f t="shared" si="9"/>
        <v>569</v>
      </c>
      <c r="S29" s="88"/>
      <c r="T29" s="88"/>
      <c r="U29" s="88" t="str">
        <f t="shared" si="0"/>
        <v/>
      </c>
      <c r="V29" s="88" t="str">
        <f t="shared" si="1"/>
        <v/>
      </c>
      <c r="W29" s="89">
        <v>7</v>
      </c>
      <c r="X29" s="90" t="s">
        <v>81</v>
      </c>
      <c r="Y29" s="91">
        <f t="shared" si="2"/>
        <v>6.9444444444444447E-4</v>
      </c>
      <c r="Z29" s="92">
        <f t="shared" si="3"/>
        <v>5.7870370370370378E-4</v>
      </c>
      <c r="AA29" s="92">
        <f t="shared" si="4"/>
        <v>5.2083333333333333E-4</v>
      </c>
      <c r="AB29" s="93" t="s">
        <v>68</v>
      </c>
      <c r="AC29" s="93" t="s">
        <v>68</v>
      </c>
      <c r="AD29" s="93" t="s">
        <v>82</v>
      </c>
      <c r="AE29" s="93" t="s">
        <v>83</v>
      </c>
      <c r="AF29" s="93" t="s">
        <v>84</v>
      </c>
      <c r="AG29" s="93" t="s">
        <v>68</v>
      </c>
      <c r="AH29" s="93" t="s">
        <v>166</v>
      </c>
      <c r="AI29" s="93" t="s">
        <v>73</v>
      </c>
      <c r="AJ29" s="94"/>
      <c r="AK29" s="94"/>
      <c r="AL29" s="94"/>
      <c r="AM29" s="94" t="str">
        <f t="shared" si="5"/>
        <v/>
      </c>
      <c r="AN29" s="94" t="str">
        <f t="shared" si="6"/>
        <v/>
      </c>
      <c r="AO29" s="94" t="str">
        <f t="shared" si="7"/>
        <v/>
      </c>
      <c r="AP29" s="94"/>
      <c r="AQ29" s="93"/>
      <c r="AR29" s="95"/>
      <c r="AS29" s="95"/>
      <c r="AT29" s="95"/>
      <c r="AU29" s="95"/>
    </row>
    <row r="30" spans="1:47" ht="81.95" customHeight="1">
      <c r="A30" s="83" t="s">
        <v>200</v>
      </c>
      <c r="B30" s="84">
        <v>26</v>
      </c>
      <c r="C30" s="84">
        <v>5</v>
      </c>
      <c r="D30" s="84">
        <v>9</v>
      </c>
      <c r="E30" s="83" t="s">
        <v>209</v>
      </c>
      <c r="F30" s="83" t="s">
        <v>146</v>
      </c>
      <c r="G30" s="83" t="s">
        <v>147</v>
      </c>
      <c r="H30" s="85" t="s">
        <v>210</v>
      </c>
      <c r="I30" s="84">
        <v>5</v>
      </c>
      <c r="J30" s="83" t="s">
        <v>211</v>
      </c>
      <c r="K30" s="83" t="s">
        <v>150</v>
      </c>
      <c r="L30" s="86">
        <v>1.2152777777777778E-3</v>
      </c>
      <c r="M30" s="85" t="s">
        <v>151</v>
      </c>
      <c r="N30" s="87">
        <f t="shared" si="10"/>
        <v>2.4479166666666666E-2</v>
      </c>
      <c r="O30" s="83" t="s">
        <v>203</v>
      </c>
      <c r="P30" s="88">
        <v>1300</v>
      </c>
      <c r="Q30" s="88">
        <f t="shared" si="8"/>
        <v>70</v>
      </c>
      <c r="R30" s="88">
        <f t="shared" si="9"/>
        <v>569</v>
      </c>
      <c r="S30" s="88">
        <v>64</v>
      </c>
      <c r="T30" s="88">
        <v>21</v>
      </c>
      <c r="U30" s="88">
        <f t="shared" si="0"/>
        <v>189</v>
      </c>
      <c r="V30" s="88">
        <f t="shared" si="1"/>
        <v>9</v>
      </c>
      <c r="W30" s="89">
        <v>7</v>
      </c>
      <c r="X30" s="90" t="s">
        <v>97</v>
      </c>
      <c r="Y30" s="91">
        <f t="shared" si="2"/>
        <v>1.5046296296296296E-3</v>
      </c>
      <c r="Z30" s="92">
        <f t="shared" si="3"/>
        <v>1.2152777777777778E-3</v>
      </c>
      <c r="AA30" s="92">
        <f t="shared" si="4"/>
        <v>9.837962962962962E-4</v>
      </c>
      <c r="AB30" s="93" t="s">
        <v>68</v>
      </c>
      <c r="AC30" s="93" t="s">
        <v>68</v>
      </c>
      <c r="AD30" s="93" t="s">
        <v>82</v>
      </c>
      <c r="AE30" s="93" t="s">
        <v>98</v>
      </c>
      <c r="AF30" s="93" t="s">
        <v>99</v>
      </c>
      <c r="AG30" s="93" t="s">
        <v>68</v>
      </c>
      <c r="AH30" s="93" t="s">
        <v>166</v>
      </c>
      <c r="AI30" s="93" t="s">
        <v>73</v>
      </c>
      <c r="AJ30" s="94"/>
      <c r="AK30" s="94"/>
      <c r="AL30" s="94"/>
      <c r="AM30" s="94" t="str">
        <f t="shared" si="5"/>
        <v/>
      </c>
      <c r="AN30" s="94" t="str">
        <f t="shared" si="6"/>
        <v/>
      </c>
      <c r="AO30" s="94" t="str">
        <f t="shared" si="7"/>
        <v/>
      </c>
      <c r="AP30" s="94"/>
      <c r="AQ30" s="93"/>
      <c r="AR30" s="95"/>
      <c r="AS30" s="95"/>
      <c r="AT30" s="95"/>
      <c r="AU30" s="95"/>
    </row>
    <row r="31" spans="1:47" ht="81.95" customHeight="1">
      <c r="A31" s="83" t="s">
        <v>200</v>
      </c>
      <c r="B31" s="84">
        <v>27</v>
      </c>
      <c r="C31" s="84">
        <v>5</v>
      </c>
      <c r="D31" s="84">
        <v>9</v>
      </c>
      <c r="E31" s="83" t="s">
        <v>212</v>
      </c>
      <c r="F31" s="83" t="s">
        <v>146</v>
      </c>
      <c r="G31" s="83" t="s">
        <v>147</v>
      </c>
      <c r="H31" s="85" t="s">
        <v>210</v>
      </c>
      <c r="I31" s="84">
        <v>5</v>
      </c>
      <c r="J31" s="83" t="s">
        <v>211</v>
      </c>
      <c r="K31" s="83" t="s">
        <v>150</v>
      </c>
      <c r="L31" s="86">
        <v>1.2152777777777778E-3</v>
      </c>
      <c r="M31" s="85" t="s">
        <v>151</v>
      </c>
      <c r="N31" s="87">
        <f t="shared" si="10"/>
        <v>2.5694444444444443E-2</v>
      </c>
      <c r="O31" s="83" t="s">
        <v>203</v>
      </c>
      <c r="P31" s="88">
        <v>1370</v>
      </c>
      <c r="Q31" s="88">
        <f t="shared" si="8"/>
        <v>70</v>
      </c>
      <c r="R31" s="88">
        <f t="shared" si="9"/>
        <v>569</v>
      </c>
      <c r="S31" s="88">
        <v>64</v>
      </c>
      <c r="T31" s="88">
        <v>21</v>
      </c>
      <c r="U31" s="88">
        <f t="shared" si="0"/>
        <v>189</v>
      </c>
      <c r="V31" s="88">
        <f t="shared" si="1"/>
        <v>9</v>
      </c>
      <c r="W31" s="89">
        <v>7</v>
      </c>
      <c r="X31" s="90" t="s">
        <v>213</v>
      </c>
      <c r="Y31" s="91">
        <f t="shared" si="2"/>
        <v>1.5046296296296296E-3</v>
      </c>
      <c r="Z31" s="92">
        <f t="shared" si="3"/>
        <v>1.2152777777777778E-3</v>
      </c>
      <c r="AA31" s="92">
        <f t="shared" si="4"/>
        <v>9.837962962962962E-4</v>
      </c>
      <c r="AB31" s="93" t="s">
        <v>68</v>
      </c>
      <c r="AC31" s="93" t="s">
        <v>68</v>
      </c>
      <c r="AD31" s="93" t="s">
        <v>82</v>
      </c>
      <c r="AE31" s="93" t="s">
        <v>98</v>
      </c>
      <c r="AF31" s="93" t="s">
        <v>99</v>
      </c>
      <c r="AG31" s="93" t="s">
        <v>68</v>
      </c>
      <c r="AH31" s="93" t="s">
        <v>166</v>
      </c>
      <c r="AI31" s="93" t="s">
        <v>73</v>
      </c>
      <c r="AJ31" s="94"/>
      <c r="AK31" s="94"/>
      <c r="AL31" s="94"/>
      <c r="AM31" s="94" t="str">
        <f t="shared" si="5"/>
        <v/>
      </c>
      <c r="AN31" s="94" t="str">
        <f t="shared" si="6"/>
        <v/>
      </c>
      <c r="AO31" s="94" t="str">
        <f t="shared" si="7"/>
        <v/>
      </c>
      <c r="AP31" s="94"/>
      <c r="AQ31" s="93"/>
      <c r="AR31" s="95"/>
      <c r="AS31" s="95"/>
      <c r="AT31" s="95"/>
      <c r="AU31" s="95"/>
    </row>
    <row r="32" spans="1:47" ht="81.95" customHeight="1">
      <c r="A32" s="83" t="s">
        <v>200</v>
      </c>
      <c r="B32" s="84">
        <v>28</v>
      </c>
      <c r="C32" s="84">
        <v>6</v>
      </c>
      <c r="D32" s="84">
        <v>9</v>
      </c>
      <c r="E32" s="83" t="s">
        <v>214</v>
      </c>
      <c r="F32" s="83" t="s">
        <v>171</v>
      </c>
      <c r="G32" s="83" t="s">
        <v>172</v>
      </c>
      <c r="H32" s="85" t="s">
        <v>215</v>
      </c>
      <c r="I32" s="84">
        <v>3</v>
      </c>
      <c r="J32" s="83" t="s">
        <v>174</v>
      </c>
      <c r="K32" s="83" t="s">
        <v>175</v>
      </c>
      <c r="L32" s="86">
        <v>1.6782407407407406E-3</v>
      </c>
      <c r="M32" s="85" t="s">
        <v>176</v>
      </c>
      <c r="N32" s="87">
        <f t="shared" si="10"/>
        <v>2.7372685185185184E-2</v>
      </c>
      <c r="O32" s="83" t="s">
        <v>203</v>
      </c>
      <c r="P32" s="88">
        <v>1460</v>
      </c>
      <c r="Q32" s="88">
        <f t="shared" si="8"/>
        <v>90</v>
      </c>
      <c r="R32" s="88">
        <f t="shared" si="9"/>
        <v>569</v>
      </c>
      <c r="S32" s="88">
        <v>72</v>
      </c>
      <c r="T32" s="88">
        <v>48</v>
      </c>
      <c r="U32" s="88">
        <f t="shared" si="0"/>
        <v>384</v>
      </c>
      <c r="V32" s="88">
        <f t="shared" si="1"/>
        <v>8</v>
      </c>
      <c r="W32" s="89">
        <v>7</v>
      </c>
      <c r="X32" s="90" t="s">
        <v>97</v>
      </c>
      <c r="Y32" s="91">
        <f t="shared" si="2"/>
        <v>2.0833333333333333E-3</v>
      </c>
      <c r="Z32" s="92">
        <f t="shared" si="3"/>
        <v>1.6782407407407406E-3</v>
      </c>
      <c r="AA32" s="92">
        <f t="shared" si="4"/>
        <v>1.3310185185185185E-3</v>
      </c>
      <c r="AB32" s="93" t="s">
        <v>68</v>
      </c>
      <c r="AC32" s="93" t="s">
        <v>68</v>
      </c>
      <c r="AD32" s="93" t="s">
        <v>82</v>
      </c>
      <c r="AE32" s="93" t="s">
        <v>98</v>
      </c>
      <c r="AF32" s="93" t="s">
        <v>99</v>
      </c>
      <c r="AG32" s="93" t="s">
        <v>68</v>
      </c>
      <c r="AH32" s="93" t="s">
        <v>166</v>
      </c>
      <c r="AI32" s="93" t="s">
        <v>73</v>
      </c>
      <c r="AJ32" s="94"/>
      <c r="AK32" s="94"/>
      <c r="AL32" s="94"/>
      <c r="AM32" s="94" t="str">
        <f t="shared" si="5"/>
        <v/>
      </c>
      <c r="AN32" s="94" t="str">
        <f t="shared" si="6"/>
        <v/>
      </c>
      <c r="AO32" s="94" t="str">
        <f t="shared" si="7"/>
        <v/>
      </c>
      <c r="AP32" s="94"/>
      <c r="AQ32" s="93"/>
      <c r="AR32" s="95"/>
      <c r="AS32" s="95"/>
      <c r="AT32" s="95"/>
      <c r="AU32" s="95"/>
    </row>
    <row r="33" spans="1:47" ht="81.95" customHeight="1">
      <c r="A33" s="83" t="s">
        <v>200</v>
      </c>
      <c r="B33" s="84">
        <v>29</v>
      </c>
      <c r="C33" s="84">
        <v>5</v>
      </c>
      <c r="D33" s="84">
        <v>9</v>
      </c>
      <c r="E33" s="83" t="s">
        <v>216</v>
      </c>
      <c r="F33" s="83" t="s">
        <v>217</v>
      </c>
      <c r="G33" s="83" t="s">
        <v>218</v>
      </c>
      <c r="H33" s="85" t="s">
        <v>219</v>
      </c>
      <c r="I33" s="84">
        <v>3</v>
      </c>
      <c r="J33" s="83" t="s">
        <v>220</v>
      </c>
      <c r="K33" s="83" t="s">
        <v>221</v>
      </c>
      <c r="L33" s="86">
        <v>1.5046296296296296E-3</v>
      </c>
      <c r="M33" s="85" t="s">
        <v>222</v>
      </c>
      <c r="N33" s="87">
        <f t="shared" si="10"/>
        <v>2.8877314814814814E-2</v>
      </c>
      <c r="O33" s="83" t="s">
        <v>203</v>
      </c>
      <c r="P33" s="88">
        <v>1530</v>
      </c>
      <c r="Q33" s="88">
        <f t="shared" si="8"/>
        <v>70</v>
      </c>
      <c r="R33" s="88">
        <f t="shared" si="9"/>
        <v>684</v>
      </c>
      <c r="S33" s="88">
        <v>76</v>
      </c>
      <c r="T33" s="88">
        <v>43</v>
      </c>
      <c r="U33" s="88">
        <f t="shared" si="0"/>
        <v>387</v>
      </c>
      <c r="V33" s="88">
        <f t="shared" si="1"/>
        <v>9</v>
      </c>
      <c r="W33" s="89">
        <v>8</v>
      </c>
      <c r="X33" s="90" t="s">
        <v>114</v>
      </c>
      <c r="Y33" s="91">
        <f t="shared" si="2"/>
        <v>1.9097222222222222E-3</v>
      </c>
      <c r="Z33" s="92">
        <f t="shared" si="3"/>
        <v>1.5046296296296296E-3</v>
      </c>
      <c r="AA33" s="92">
        <f t="shared" si="4"/>
        <v>1.2152777777777778E-3</v>
      </c>
      <c r="AB33" s="93" t="s">
        <v>68</v>
      </c>
      <c r="AC33" s="93" t="s">
        <v>68</v>
      </c>
      <c r="AD33" s="93" t="s">
        <v>82</v>
      </c>
      <c r="AE33" s="93" t="s">
        <v>98</v>
      </c>
      <c r="AF33" s="93" t="s">
        <v>99</v>
      </c>
      <c r="AG33" s="93" t="s">
        <v>68</v>
      </c>
      <c r="AH33" s="93" t="s">
        <v>166</v>
      </c>
      <c r="AI33" s="93" t="s">
        <v>73</v>
      </c>
      <c r="AJ33" s="94"/>
      <c r="AK33" s="94"/>
      <c r="AL33" s="94"/>
      <c r="AM33" s="94" t="str">
        <f t="shared" si="5"/>
        <v/>
      </c>
      <c r="AN33" s="94" t="str">
        <f t="shared" si="6"/>
        <v/>
      </c>
      <c r="AO33" s="94" t="str">
        <f t="shared" si="7"/>
        <v/>
      </c>
      <c r="AP33" s="94"/>
      <c r="AQ33" s="93"/>
      <c r="AR33" s="95"/>
      <c r="AS33" s="95"/>
      <c r="AT33" s="95"/>
      <c r="AU33" s="95"/>
    </row>
    <row r="34" spans="1:47" ht="81.95" customHeight="1">
      <c r="A34" s="83" t="s">
        <v>200</v>
      </c>
      <c r="B34" s="84">
        <v>30</v>
      </c>
      <c r="C34" s="84">
        <v>7</v>
      </c>
      <c r="D34" s="84">
        <v>10</v>
      </c>
      <c r="E34" s="83" t="s">
        <v>223</v>
      </c>
      <c r="F34" s="83" t="s">
        <v>179</v>
      </c>
      <c r="G34" s="83" t="s">
        <v>180</v>
      </c>
      <c r="H34" s="85" t="s">
        <v>224</v>
      </c>
      <c r="I34" s="84">
        <v>1</v>
      </c>
      <c r="J34" s="83" t="s">
        <v>182</v>
      </c>
      <c r="K34" s="83" t="s">
        <v>183</v>
      </c>
      <c r="L34" s="86">
        <v>1.6782407407407406E-3</v>
      </c>
      <c r="M34" s="85" t="s">
        <v>184</v>
      </c>
      <c r="N34" s="87">
        <f t="shared" si="10"/>
        <v>3.0555555555555555E-2</v>
      </c>
      <c r="O34" s="83" t="s">
        <v>203</v>
      </c>
      <c r="P34" s="88">
        <v>1640</v>
      </c>
      <c r="Q34" s="88">
        <f t="shared" si="8"/>
        <v>110</v>
      </c>
      <c r="R34" s="88">
        <f t="shared" si="9"/>
        <v>684</v>
      </c>
      <c r="S34" s="88">
        <v>228</v>
      </c>
      <c r="T34" s="88">
        <v>145</v>
      </c>
      <c r="U34" s="88">
        <f t="shared" si="0"/>
        <v>435</v>
      </c>
      <c r="V34" s="88">
        <f t="shared" si="1"/>
        <v>3</v>
      </c>
      <c r="W34" s="89">
        <v>8</v>
      </c>
      <c r="X34" s="90" t="s">
        <v>225</v>
      </c>
      <c r="Y34" s="91">
        <f t="shared" si="2"/>
        <v>2.0833333333333333E-3</v>
      </c>
      <c r="Z34" s="92">
        <f t="shared" si="3"/>
        <v>1.6782407407407406E-3</v>
      </c>
      <c r="AA34" s="92">
        <f t="shared" si="4"/>
        <v>1.3310185185185185E-3</v>
      </c>
      <c r="AB34" s="93" t="s">
        <v>122</v>
      </c>
      <c r="AC34" s="93" t="s">
        <v>68</v>
      </c>
      <c r="AD34" s="93" t="s">
        <v>226</v>
      </c>
      <c r="AE34" s="93" t="s">
        <v>227</v>
      </c>
      <c r="AF34" s="93" t="s">
        <v>197</v>
      </c>
      <c r="AG34" s="93" t="s">
        <v>228</v>
      </c>
      <c r="AH34" s="93" t="s">
        <v>166</v>
      </c>
      <c r="AI34" s="93" t="s">
        <v>125</v>
      </c>
      <c r="AJ34" s="94">
        <v>1300</v>
      </c>
      <c r="AK34" s="94" t="s">
        <v>126</v>
      </c>
      <c r="AL34" s="94">
        <v>1300</v>
      </c>
      <c r="AM34" s="94">
        <f t="shared" si="5"/>
        <v>1040</v>
      </c>
      <c r="AN34" s="94">
        <f t="shared" si="6"/>
        <v>780</v>
      </c>
      <c r="AO34" s="94">
        <f t="shared" si="7"/>
        <v>650</v>
      </c>
      <c r="AP34" s="94">
        <v>0</v>
      </c>
      <c r="AQ34" s="93" t="s">
        <v>229</v>
      </c>
      <c r="AR34" s="95">
        <f>SUM(Z27:Z34)</f>
        <v>9.1435185185185178E-3</v>
      </c>
      <c r="AS34" s="95">
        <f>SUM(Y27:Y34)</f>
        <v>1.1284722222222222E-2</v>
      </c>
      <c r="AT34" s="95">
        <f>SUM(Z27:Z34)</f>
        <v>9.1435185185185178E-3</v>
      </c>
      <c r="AU34" s="95">
        <f>SUM(AA27:AA34)</f>
        <v>7.5231481481481477E-3</v>
      </c>
    </row>
    <row r="35" spans="1:47" ht="81.95" customHeight="1">
      <c r="A35" s="83" t="s">
        <v>200</v>
      </c>
      <c r="B35" s="84">
        <v>31</v>
      </c>
      <c r="C35" s="84">
        <v>2</v>
      </c>
      <c r="D35" s="84">
        <v>7</v>
      </c>
      <c r="E35" s="83" t="s">
        <v>230</v>
      </c>
      <c r="F35" s="83" t="s">
        <v>60</v>
      </c>
      <c r="G35" s="83" t="s">
        <v>61</v>
      </c>
      <c r="H35" s="85" t="s">
        <v>231</v>
      </c>
      <c r="I35" s="84">
        <v>1</v>
      </c>
      <c r="J35" s="83" t="s">
        <v>63</v>
      </c>
      <c r="K35" s="83" t="s">
        <v>64</v>
      </c>
      <c r="L35" s="86">
        <v>6.9444444444444447E-4</v>
      </c>
      <c r="M35" s="85" t="s">
        <v>65</v>
      </c>
      <c r="N35" s="87">
        <f t="shared" si="10"/>
        <v>3.125E-2</v>
      </c>
      <c r="O35" s="83" t="s">
        <v>232</v>
      </c>
      <c r="P35" s="88">
        <v>1670</v>
      </c>
      <c r="Q35" s="88">
        <f t="shared" si="8"/>
        <v>30</v>
      </c>
      <c r="R35" s="88">
        <f t="shared" si="9"/>
        <v>684</v>
      </c>
      <c r="S35" s="88"/>
      <c r="T35" s="88"/>
      <c r="U35" s="88" t="str">
        <f t="shared" si="0"/>
        <v/>
      </c>
      <c r="V35" s="88" t="str">
        <f t="shared" si="1"/>
        <v/>
      </c>
      <c r="W35" s="89">
        <v>8</v>
      </c>
      <c r="X35" s="90" t="s">
        <v>86</v>
      </c>
      <c r="Y35" s="91">
        <f t="shared" si="2"/>
        <v>8.1018518518518516E-4</v>
      </c>
      <c r="Z35" s="92">
        <f t="shared" si="3"/>
        <v>6.9444444444444447E-4</v>
      </c>
      <c r="AA35" s="92">
        <f t="shared" si="4"/>
        <v>6.3657407407407413E-4</v>
      </c>
      <c r="AB35" s="93" t="s">
        <v>68</v>
      </c>
      <c r="AC35" s="93" t="s">
        <v>233</v>
      </c>
      <c r="AD35" s="93" t="s">
        <v>234</v>
      </c>
      <c r="AE35" s="93" t="s">
        <v>87</v>
      </c>
      <c r="AF35" s="93" t="s">
        <v>88</v>
      </c>
      <c r="AG35" s="93" t="s">
        <v>68</v>
      </c>
      <c r="AH35" s="93" t="s">
        <v>235</v>
      </c>
      <c r="AI35" s="93" t="s">
        <v>73</v>
      </c>
      <c r="AJ35" s="94"/>
      <c r="AK35" s="94"/>
      <c r="AL35" s="94"/>
      <c r="AM35" s="94" t="str">
        <f t="shared" si="5"/>
        <v/>
      </c>
      <c r="AN35" s="94" t="str">
        <f t="shared" si="6"/>
        <v/>
      </c>
      <c r="AO35" s="94" t="str">
        <f t="shared" si="7"/>
        <v/>
      </c>
      <c r="AP35" s="94"/>
      <c r="AQ35" s="93"/>
      <c r="AR35" s="95"/>
      <c r="AS35" s="95"/>
      <c r="AT35" s="95"/>
      <c r="AU35" s="95"/>
    </row>
    <row r="36" spans="1:47" ht="81.95" customHeight="1">
      <c r="A36" s="83" t="s">
        <v>200</v>
      </c>
      <c r="B36" s="84">
        <v>32</v>
      </c>
      <c r="C36" s="84">
        <v>2</v>
      </c>
      <c r="D36" s="84">
        <v>7</v>
      </c>
      <c r="E36" s="83" t="s">
        <v>236</v>
      </c>
      <c r="F36" s="83" t="s">
        <v>155</v>
      </c>
      <c r="G36" s="83" t="s">
        <v>156</v>
      </c>
      <c r="H36" s="85" t="s">
        <v>202</v>
      </c>
      <c r="I36" s="84">
        <v>3</v>
      </c>
      <c r="J36" s="83" t="s">
        <v>158</v>
      </c>
      <c r="K36" s="83" t="s">
        <v>64</v>
      </c>
      <c r="L36" s="86">
        <v>6.3657407407407402E-4</v>
      </c>
      <c r="M36" s="85" t="s">
        <v>159</v>
      </c>
      <c r="N36" s="87">
        <f t="shared" si="10"/>
        <v>3.1886574074074074E-2</v>
      </c>
      <c r="O36" s="83" t="s">
        <v>232</v>
      </c>
      <c r="P36" s="88">
        <v>1710</v>
      </c>
      <c r="Q36" s="88">
        <f t="shared" si="8"/>
        <v>40</v>
      </c>
      <c r="R36" s="88">
        <f t="shared" si="9"/>
        <v>684</v>
      </c>
      <c r="S36" s="88">
        <v>69</v>
      </c>
      <c r="T36" s="88">
        <v>18</v>
      </c>
      <c r="U36" s="88">
        <f t="shared" si="0"/>
        <v>180</v>
      </c>
      <c r="V36" s="88">
        <f t="shared" si="1"/>
        <v>10</v>
      </c>
      <c r="W36" s="89">
        <v>8</v>
      </c>
      <c r="X36" s="90" t="s">
        <v>237</v>
      </c>
      <c r="Y36" s="91">
        <f t="shared" si="2"/>
        <v>8.1018518518518516E-4</v>
      </c>
      <c r="Z36" s="92">
        <f t="shared" si="3"/>
        <v>6.3657407407407402E-4</v>
      </c>
      <c r="AA36" s="92">
        <f t="shared" si="4"/>
        <v>5.2083333333333333E-4</v>
      </c>
      <c r="AB36" s="93" t="s">
        <v>68</v>
      </c>
      <c r="AC36" s="93" t="s">
        <v>68</v>
      </c>
      <c r="AD36" s="93" t="s">
        <v>82</v>
      </c>
      <c r="AE36" s="93" t="s">
        <v>98</v>
      </c>
      <c r="AF36" s="93" t="s">
        <v>99</v>
      </c>
      <c r="AG36" s="93" t="s">
        <v>68</v>
      </c>
      <c r="AH36" s="93" t="s">
        <v>235</v>
      </c>
      <c r="AI36" s="93" t="s">
        <v>73</v>
      </c>
      <c r="AJ36" s="94"/>
      <c r="AK36" s="94"/>
      <c r="AL36" s="94"/>
      <c r="AM36" s="94" t="str">
        <f t="shared" si="5"/>
        <v/>
      </c>
      <c r="AN36" s="94" t="str">
        <f t="shared" si="6"/>
        <v/>
      </c>
      <c r="AO36" s="94" t="str">
        <f t="shared" si="7"/>
        <v/>
      </c>
      <c r="AP36" s="94"/>
      <c r="AQ36" s="93"/>
      <c r="AR36" s="95"/>
      <c r="AS36" s="95"/>
      <c r="AT36" s="95"/>
      <c r="AU36" s="95"/>
    </row>
    <row r="37" spans="1:47" ht="81.95" customHeight="1">
      <c r="A37" s="83" t="s">
        <v>200</v>
      </c>
      <c r="B37" s="84">
        <v>33</v>
      </c>
      <c r="C37" s="84">
        <v>6</v>
      </c>
      <c r="D37" s="84">
        <v>9</v>
      </c>
      <c r="E37" s="83" t="s">
        <v>238</v>
      </c>
      <c r="F37" s="83" t="s">
        <v>171</v>
      </c>
      <c r="G37" s="83" t="s">
        <v>172</v>
      </c>
      <c r="H37" s="85" t="s">
        <v>215</v>
      </c>
      <c r="I37" s="84">
        <v>1</v>
      </c>
      <c r="J37" s="83" t="s">
        <v>239</v>
      </c>
      <c r="K37" s="83" t="s">
        <v>175</v>
      </c>
      <c r="L37" s="86">
        <v>1.6782407407407406E-3</v>
      </c>
      <c r="M37" s="85" t="s">
        <v>176</v>
      </c>
      <c r="N37" s="87">
        <f t="shared" si="10"/>
        <v>3.3564814814814811E-2</v>
      </c>
      <c r="O37" s="83" t="s">
        <v>232</v>
      </c>
      <c r="P37" s="88">
        <v>1800</v>
      </c>
      <c r="Q37" s="88">
        <f t="shared" si="8"/>
        <v>90</v>
      </c>
      <c r="R37" s="88">
        <f t="shared" si="9"/>
        <v>811</v>
      </c>
      <c r="S37" s="88">
        <v>102</v>
      </c>
      <c r="T37" s="88">
        <v>145</v>
      </c>
      <c r="U37" s="88">
        <f t="shared" ref="U37:U68" si="11">IF(OR(S37="",T37=""),"",ROUNDUP(R37/S37,0)*T37)</f>
        <v>1160</v>
      </c>
      <c r="V37" s="88">
        <f t="shared" ref="V37:V68" si="12">IF(S37="","",ROUNDUP(R37/S37,0))</f>
        <v>8</v>
      </c>
      <c r="W37" s="89">
        <v>9</v>
      </c>
      <c r="X37" s="90" t="s">
        <v>237</v>
      </c>
      <c r="Y37" s="91">
        <f t="shared" ref="Y37:Y68" si="13">ROUND(L37*IF(S37&lt;&gt;"",1.25,1.15)*86400/5,0)*5/86400</f>
        <v>2.0833333333333333E-3</v>
      </c>
      <c r="Z37" s="92">
        <f t="shared" ref="Z37:Z68" si="14">L37</f>
        <v>1.6782407407407406E-3</v>
      </c>
      <c r="AA37" s="92">
        <f t="shared" ref="AA37:AA68" si="15">ROUND(L37*IF(S37&lt;&gt;"",0.8,0.9)*86400/5,0)*5/86400</f>
        <v>1.3310185185185185E-3</v>
      </c>
      <c r="AB37" s="93" t="s">
        <v>68</v>
      </c>
      <c r="AC37" s="93" t="s">
        <v>68</v>
      </c>
      <c r="AD37" s="93" t="s">
        <v>82</v>
      </c>
      <c r="AE37" s="93" t="s">
        <v>98</v>
      </c>
      <c r="AF37" s="93" t="s">
        <v>99</v>
      </c>
      <c r="AG37" s="93" t="s">
        <v>68</v>
      </c>
      <c r="AH37" s="93" t="s">
        <v>235</v>
      </c>
      <c r="AI37" s="93" t="s">
        <v>73</v>
      </c>
      <c r="AJ37" s="94"/>
      <c r="AK37" s="94"/>
      <c r="AL37" s="94"/>
      <c r="AM37" s="94" t="str">
        <f t="shared" ref="AM37:AM68" si="16">IF(AL37="","",ROUND(AL37*0.8,0))</f>
        <v/>
      </c>
      <c r="AN37" s="94" t="str">
        <f t="shared" ref="AN37:AN68" si="17">IF(AL37="","",ROUND(AL37*0.6,0))</f>
        <v/>
      </c>
      <c r="AO37" s="94" t="str">
        <f t="shared" ref="AO37:AO68" si="18">IF(AL37="","",ROUND(AL37*0.5,0))</f>
        <v/>
      </c>
      <c r="AP37" s="94"/>
      <c r="AQ37" s="93"/>
      <c r="AR37" s="95"/>
      <c r="AS37" s="95"/>
      <c r="AT37" s="95"/>
      <c r="AU37" s="95"/>
    </row>
    <row r="38" spans="1:47" ht="81.95" customHeight="1">
      <c r="A38" s="83" t="s">
        <v>200</v>
      </c>
      <c r="B38" s="84">
        <v>34</v>
      </c>
      <c r="C38" s="84">
        <v>5</v>
      </c>
      <c r="D38" s="84">
        <v>9</v>
      </c>
      <c r="E38" s="83" t="s">
        <v>240</v>
      </c>
      <c r="F38" s="83" t="s">
        <v>146</v>
      </c>
      <c r="G38" s="83" t="s">
        <v>147</v>
      </c>
      <c r="H38" s="85" t="s">
        <v>210</v>
      </c>
      <c r="I38" s="84">
        <v>5</v>
      </c>
      <c r="J38" s="83" t="s">
        <v>211</v>
      </c>
      <c r="K38" s="83" t="s">
        <v>150</v>
      </c>
      <c r="L38" s="86">
        <v>1.2152777777777778E-3</v>
      </c>
      <c r="M38" s="85" t="s">
        <v>151</v>
      </c>
      <c r="N38" s="87">
        <f t="shared" ref="N38:N69" si="19">SUM($L$5:L38)</f>
        <v>3.4780092592592592E-2</v>
      </c>
      <c r="O38" s="83" t="s">
        <v>232</v>
      </c>
      <c r="P38" s="88">
        <v>1870</v>
      </c>
      <c r="Q38" s="88">
        <f t="shared" ref="Q38:Q69" si="20">P38-P37</f>
        <v>70</v>
      </c>
      <c r="R38" s="88">
        <f t="shared" si="9"/>
        <v>811</v>
      </c>
      <c r="S38" s="88">
        <v>91</v>
      </c>
      <c r="T38" s="88">
        <v>21</v>
      </c>
      <c r="U38" s="88">
        <f t="shared" si="11"/>
        <v>189</v>
      </c>
      <c r="V38" s="88">
        <f t="shared" si="12"/>
        <v>9</v>
      </c>
      <c r="W38" s="89">
        <v>9</v>
      </c>
      <c r="X38" s="90" t="s">
        <v>97</v>
      </c>
      <c r="Y38" s="91">
        <f t="shared" si="13"/>
        <v>1.5046296296296296E-3</v>
      </c>
      <c r="Z38" s="92">
        <f t="shared" si="14"/>
        <v>1.2152777777777778E-3</v>
      </c>
      <c r="AA38" s="92">
        <f t="shared" si="15"/>
        <v>9.837962962962962E-4</v>
      </c>
      <c r="AB38" s="93" t="s">
        <v>68</v>
      </c>
      <c r="AC38" s="93" t="s">
        <v>68</v>
      </c>
      <c r="AD38" s="93" t="s">
        <v>82</v>
      </c>
      <c r="AE38" s="93" t="s">
        <v>98</v>
      </c>
      <c r="AF38" s="93" t="s">
        <v>99</v>
      </c>
      <c r="AG38" s="93" t="s">
        <v>68</v>
      </c>
      <c r="AH38" s="93" t="s">
        <v>235</v>
      </c>
      <c r="AI38" s="93" t="s">
        <v>73</v>
      </c>
      <c r="AJ38" s="94"/>
      <c r="AK38" s="94"/>
      <c r="AL38" s="94"/>
      <c r="AM38" s="94" t="str">
        <f t="shared" si="16"/>
        <v/>
      </c>
      <c r="AN38" s="94" t="str">
        <f t="shared" si="17"/>
        <v/>
      </c>
      <c r="AO38" s="94" t="str">
        <f t="shared" si="18"/>
        <v/>
      </c>
      <c r="AP38" s="94"/>
      <c r="AQ38" s="93"/>
      <c r="AR38" s="95"/>
      <c r="AS38" s="95"/>
      <c r="AT38" s="95"/>
      <c r="AU38" s="95"/>
    </row>
    <row r="39" spans="1:47" ht="81.95" customHeight="1">
      <c r="A39" s="83" t="s">
        <v>200</v>
      </c>
      <c r="B39" s="84">
        <v>35</v>
      </c>
      <c r="C39" s="84">
        <v>5</v>
      </c>
      <c r="D39" s="84">
        <v>9</v>
      </c>
      <c r="E39" s="83" t="s">
        <v>241</v>
      </c>
      <c r="F39" s="83" t="s">
        <v>146</v>
      </c>
      <c r="G39" s="83" t="s">
        <v>147</v>
      </c>
      <c r="H39" s="85" t="s">
        <v>210</v>
      </c>
      <c r="I39" s="84">
        <v>5</v>
      </c>
      <c r="J39" s="83" t="s">
        <v>211</v>
      </c>
      <c r="K39" s="83" t="s">
        <v>150</v>
      </c>
      <c r="L39" s="86">
        <v>1.2152777777777778E-3</v>
      </c>
      <c r="M39" s="85" t="s">
        <v>151</v>
      </c>
      <c r="N39" s="87">
        <f t="shared" si="19"/>
        <v>3.5995370370370372E-2</v>
      </c>
      <c r="O39" s="83" t="s">
        <v>232</v>
      </c>
      <c r="P39" s="88">
        <v>1940</v>
      </c>
      <c r="Q39" s="88">
        <f t="shared" si="20"/>
        <v>70</v>
      </c>
      <c r="R39" s="88">
        <f t="shared" si="9"/>
        <v>811</v>
      </c>
      <c r="S39" s="88">
        <v>91</v>
      </c>
      <c r="T39" s="88">
        <v>21</v>
      </c>
      <c r="U39" s="88">
        <f t="shared" si="11"/>
        <v>189</v>
      </c>
      <c r="V39" s="88">
        <f t="shared" si="12"/>
        <v>9</v>
      </c>
      <c r="W39" s="89">
        <v>9</v>
      </c>
      <c r="X39" s="90" t="s">
        <v>97</v>
      </c>
      <c r="Y39" s="91">
        <f t="shared" si="13"/>
        <v>1.5046296296296296E-3</v>
      </c>
      <c r="Z39" s="92">
        <f t="shared" si="14"/>
        <v>1.2152777777777778E-3</v>
      </c>
      <c r="AA39" s="92">
        <f t="shared" si="15"/>
        <v>9.837962962962962E-4</v>
      </c>
      <c r="AB39" s="93" t="s">
        <v>68</v>
      </c>
      <c r="AC39" s="93" t="s">
        <v>68</v>
      </c>
      <c r="AD39" s="93" t="s">
        <v>82</v>
      </c>
      <c r="AE39" s="93" t="s">
        <v>98</v>
      </c>
      <c r="AF39" s="93" t="s">
        <v>99</v>
      </c>
      <c r="AG39" s="93" t="s">
        <v>68</v>
      </c>
      <c r="AH39" s="93" t="s">
        <v>235</v>
      </c>
      <c r="AI39" s="93" t="s">
        <v>73</v>
      </c>
      <c r="AJ39" s="94"/>
      <c r="AK39" s="94"/>
      <c r="AL39" s="94"/>
      <c r="AM39" s="94" t="str">
        <f t="shared" si="16"/>
        <v/>
      </c>
      <c r="AN39" s="94" t="str">
        <f t="shared" si="17"/>
        <v/>
      </c>
      <c r="AO39" s="94" t="str">
        <f t="shared" si="18"/>
        <v/>
      </c>
      <c r="AP39" s="94"/>
      <c r="AQ39" s="93"/>
      <c r="AR39" s="95"/>
      <c r="AS39" s="95"/>
      <c r="AT39" s="95"/>
      <c r="AU39" s="95"/>
    </row>
    <row r="40" spans="1:47" ht="81.95" customHeight="1">
      <c r="A40" s="83" t="s">
        <v>200</v>
      </c>
      <c r="B40" s="84">
        <v>36</v>
      </c>
      <c r="C40" s="84">
        <v>6</v>
      </c>
      <c r="D40" s="84">
        <v>9</v>
      </c>
      <c r="E40" s="83" t="s">
        <v>242</v>
      </c>
      <c r="F40" s="83" t="s">
        <v>171</v>
      </c>
      <c r="G40" s="83" t="s">
        <v>172</v>
      </c>
      <c r="H40" s="85" t="s">
        <v>215</v>
      </c>
      <c r="I40" s="84">
        <v>2</v>
      </c>
      <c r="J40" s="83" t="s">
        <v>243</v>
      </c>
      <c r="K40" s="83" t="s">
        <v>175</v>
      </c>
      <c r="L40" s="86">
        <v>1.6782407407407406E-3</v>
      </c>
      <c r="M40" s="85" t="s">
        <v>176</v>
      </c>
      <c r="N40" s="87">
        <f t="shared" si="19"/>
        <v>3.7673611111111116E-2</v>
      </c>
      <c r="O40" s="83" t="s">
        <v>232</v>
      </c>
      <c r="P40" s="88">
        <v>2030</v>
      </c>
      <c r="Q40" s="88">
        <f t="shared" si="20"/>
        <v>90</v>
      </c>
      <c r="R40" s="88">
        <f t="shared" si="9"/>
        <v>811</v>
      </c>
      <c r="S40" s="88">
        <v>102</v>
      </c>
      <c r="T40" s="88">
        <v>72</v>
      </c>
      <c r="U40" s="88">
        <f t="shared" si="11"/>
        <v>576</v>
      </c>
      <c r="V40" s="88">
        <f t="shared" si="12"/>
        <v>8</v>
      </c>
      <c r="W40" s="89">
        <v>9</v>
      </c>
      <c r="X40" s="90" t="s">
        <v>237</v>
      </c>
      <c r="Y40" s="91">
        <f t="shared" si="13"/>
        <v>2.0833333333333333E-3</v>
      </c>
      <c r="Z40" s="92">
        <f t="shared" si="14"/>
        <v>1.6782407407407406E-3</v>
      </c>
      <c r="AA40" s="92">
        <f t="shared" si="15"/>
        <v>1.3310185185185185E-3</v>
      </c>
      <c r="AB40" s="93" t="s">
        <v>68</v>
      </c>
      <c r="AC40" s="93" t="s">
        <v>68</v>
      </c>
      <c r="AD40" s="93" t="s">
        <v>82</v>
      </c>
      <c r="AE40" s="93" t="s">
        <v>98</v>
      </c>
      <c r="AF40" s="93" t="s">
        <v>99</v>
      </c>
      <c r="AG40" s="93" t="s">
        <v>68</v>
      </c>
      <c r="AH40" s="93" t="s">
        <v>235</v>
      </c>
      <c r="AI40" s="93" t="s">
        <v>73</v>
      </c>
      <c r="AJ40" s="94"/>
      <c r="AK40" s="94"/>
      <c r="AL40" s="94"/>
      <c r="AM40" s="94" t="str">
        <f t="shared" si="16"/>
        <v/>
      </c>
      <c r="AN40" s="94" t="str">
        <f t="shared" si="17"/>
        <v/>
      </c>
      <c r="AO40" s="94" t="str">
        <f t="shared" si="18"/>
        <v/>
      </c>
      <c r="AP40" s="94"/>
      <c r="AQ40" s="93"/>
      <c r="AR40" s="95"/>
      <c r="AS40" s="95"/>
      <c r="AT40" s="95"/>
      <c r="AU40" s="95"/>
    </row>
    <row r="41" spans="1:47" ht="81.95" customHeight="1">
      <c r="A41" s="83" t="s">
        <v>200</v>
      </c>
      <c r="B41" s="84">
        <v>37</v>
      </c>
      <c r="C41" s="84">
        <v>6</v>
      </c>
      <c r="D41" s="84">
        <v>9</v>
      </c>
      <c r="E41" s="83" t="s">
        <v>244</v>
      </c>
      <c r="F41" s="83" t="s">
        <v>171</v>
      </c>
      <c r="G41" s="83" t="s">
        <v>172</v>
      </c>
      <c r="H41" s="85" t="s">
        <v>215</v>
      </c>
      <c r="I41" s="84">
        <v>3</v>
      </c>
      <c r="J41" s="83" t="s">
        <v>174</v>
      </c>
      <c r="K41" s="83" t="s">
        <v>175</v>
      </c>
      <c r="L41" s="86">
        <v>1.6782407407407406E-3</v>
      </c>
      <c r="M41" s="85" t="s">
        <v>176</v>
      </c>
      <c r="N41" s="87">
        <f t="shared" si="19"/>
        <v>3.935185185185186E-2</v>
      </c>
      <c r="O41" s="83" t="s">
        <v>232</v>
      </c>
      <c r="P41" s="88">
        <v>2120</v>
      </c>
      <c r="Q41" s="88">
        <f t="shared" si="20"/>
        <v>90</v>
      </c>
      <c r="R41" s="88">
        <f t="shared" si="9"/>
        <v>950</v>
      </c>
      <c r="S41" s="88">
        <v>119</v>
      </c>
      <c r="T41" s="88">
        <v>48</v>
      </c>
      <c r="U41" s="88">
        <f t="shared" si="11"/>
        <v>384</v>
      </c>
      <c r="V41" s="88">
        <f t="shared" si="12"/>
        <v>8</v>
      </c>
      <c r="W41" s="89">
        <v>10</v>
      </c>
      <c r="X41" s="90" t="s">
        <v>97</v>
      </c>
      <c r="Y41" s="91">
        <f t="shared" si="13"/>
        <v>2.0833333333333333E-3</v>
      </c>
      <c r="Z41" s="92">
        <f t="shared" si="14"/>
        <v>1.6782407407407406E-3</v>
      </c>
      <c r="AA41" s="92">
        <f t="shared" si="15"/>
        <v>1.3310185185185185E-3</v>
      </c>
      <c r="AB41" s="93" t="s">
        <v>68</v>
      </c>
      <c r="AC41" s="93" t="s">
        <v>68</v>
      </c>
      <c r="AD41" s="93" t="s">
        <v>82</v>
      </c>
      <c r="AE41" s="93" t="s">
        <v>98</v>
      </c>
      <c r="AF41" s="93" t="s">
        <v>99</v>
      </c>
      <c r="AG41" s="93" t="s">
        <v>68</v>
      </c>
      <c r="AH41" s="93" t="s">
        <v>235</v>
      </c>
      <c r="AI41" s="93" t="s">
        <v>73</v>
      </c>
      <c r="AJ41" s="94"/>
      <c r="AK41" s="94"/>
      <c r="AL41" s="94"/>
      <c r="AM41" s="94" t="str">
        <f t="shared" si="16"/>
        <v/>
      </c>
      <c r="AN41" s="94" t="str">
        <f t="shared" si="17"/>
        <v/>
      </c>
      <c r="AO41" s="94" t="str">
        <f t="shared" si="18"/>
        <v/>
      </c>
      <c r="AP41" s="94"/>
      <c r="AQ41" s="93"/>
      <c r="AR41" s="95"/>
      <c r="AS41" s="95"/>
      <c r="AT41" s="95"/>
      <c r="AU41" s="95"/>
    </row>
    <row r="42" spans="1:47" ht="81.95" customHeight="1">
      <c r="A42" s="83" t="s">
        <v>200</v>
      </c>
      <c r="B42" s="84">
        <v>38</v>
      </c>
      <c r="C42" s="84">
        <v>5</v>
      </c>
      <c r="D42" s="84">
        <v>9</v>
      </c>
      <c r="E42" s="83" t="s">
        <v>245</v>
      </c>
      <c r="F42" s="83" t="s">
        <v>217</v>
      </c>
      <c r="G42" s="83" t="s">
        <v>218</v>
      </c>
      <c r="H42" s="85" t="s">
        <v>219</v>
      </c>
      <c r="I42" s="84">
        <v>3</v>
      </c>
      <c r="J42" s="83" t="s">
        <v>220</v>
      </c>
      <c r="K42" s="83" t="s">
        <v>221</v>
      </c>
      <c r="L42" s="86">
        <v>1.5046296296296296E-3</v>
      </c>
      <c r="M42" s="85" t="s">
        <v>222</v>
      </c>
      <c r="N42" s="87">
        <f t="shared" si="19"/>
        <v>4.0856481481481487E-2</v>
      </c>
      <c r="O42" s="83" t="s">
        <v>232</v>
      </c>
      <c r="P42" s="88">
        <v>2190</v>
      </c>
      <c r="Q42" s="88">
        <f t="shared" si="20"/>
        <v>70</v>
      </c>
      <c r="R42" s="88">
        <f t="shared" si="9"/>
        <v>950</v>
      </c>
      <c r="S42" s="88">
        <v>106</v>
      </c>
      <c r="T42" s="88">
        <v>43</v>
      </c>
      <c r="U42" s="88">
        <f t="shared" si="11"/>
        <v>387</v>
      </c>
      <c r="V42" s="88">
        <f t="shared" si="12"/>
        <v>9</v>
      </c>
      <c r="W42" s="89">
        <v>10</v>
      </c>
      <c r="X42" s="90" t="s">
        <v>97</v>
      </c>
      <c r="Y42" s="91">
        <f t="shared" si="13"/>
        <v>1.9097222222222222E-3</v>
      </c>
      <c r="Z42" s="92">
        <f t="shared" si="14"/>
        <v>1.5046296296296296E-3</v>
      </c>
      <c r="AA42" s="92">
        <f t="shared" si="15"/>
        <v>1.2152777777777778E-3</v>
      </c>
      <c r="AB42" s="93" t="s">
        <v>68</v>
      </c>
      <c r="AC42" s="93" t="s">
        <v>246</v>
      </c>
      <c r="AD42" s="93" t="s">
        <v>82</v>
      </c>
      <c r="AE42" s="93" t="s">
        <v>98</v>
      </c>
      <c r="AF42" s="93" t="s">
        <v>99</v>
      </c>
      <c r="AG42" s="93" t="s">
        <v>68</v>
      </c>
      <c r="AH42" s="93" t="s">
        <v>235</v>
      </c>
      <c r="AI42" s="93" t="s">
        <v>73</v>
      </c>
      <c r="AJ42" s="94"/>
      <c r="AK42" s="94"/>
      <c r="AL42" s="94"/>
      <c r="AM42" s="94" t="str">
        <f t="shared" si="16"/>
        <v/>
      </c>
      <c r="AN42" s="94" t="str">
        <f t="shared" si="17"/>
        <v/>
      </c>
      <c r="AO42" s="94" t="str">
        <f t="shared" si="18"/>
        <v/>
      </c>
      <c r="AP42" s="94"/>
      <c r="AQ42" s="93"/>
      <c r="AR42" s="95"/>
      <c r="AS42" s="95"/>
      <c r="AT42" s="95"/>
      <c r="AU42" s="95"/>
    </row>
    <row r="43" spans="1:47" ht="81.95" customHeight="1">
      <c r="A43" s="83" t="s">
        <v>200</v>
      </c>
      <c r="B43" s="84">
        <v>39</v>
      </c>
      <c r="C43" s="84">
        <v>9</v>
      </c>
      <c r="D43" s="84">
        <v>10</v>
      </c>
      <c r="E43" s="83" t="s">
        <v>247</v>
      </c>
      <c r="F43" s="83" t="s">
        <v>248</v>
      </c>
      <c r="G43" s="83" t="s">
        <v>249</v>
      </c>
      <c r="H43" s="85" t="s">
        <v>250</v>
      </c>
      <c r="I43" s="84">
        <v>1</v>
      </c>
      <c r="J43" s="83" t="s">
        <v>251</v>
      </c>
      <c r="K43" s="83" t="s">
        <v>191</v>
      </c>
      <c r="L43" s="86">
        <v>2.7777777777777779E-3</v>
      </c>
      <c r="M43" s="85" t="s">
        <v>252</v>
      </c>
      <c r="N43" s="87">
        <f t="shared" si="19"/>
        <v>4.3634259259259262E-2</v>
      </c>
      <c r="O43" s="83" t="s">
        <v>232</v>
      </c>
      <c r="P43" s="88">
        <v>2350</v>
      </c>
      <c r="Q43" s="88">
        <f t="shared" si="20"/>
        <v>160</v>
      </c>
      <c r="R43" s="88">
        <f t="shared" si="9"/>
        <v>950</v>
      </c>
      <c r="S43" s="88">
        <v>317</v>
      </c>
      <c r="T43" s="88">
        <v>240</v>
      </c>
      <c r="U43" s="88">
        <f t="shared" si="11"/>
        <v>720</v>
      </c>
      <c r="V43" s="88">
        <f t="shared" si="12"/>
        <v>3</v>
      </c>
      <c r="W43" s="89">
        <v>10</v>
      </c>
      <c r="X43" s="90" t="s">
        <v>225</v>
      </c>
      <c r="Y43" s="91">
        <f t="shared" si="13"/>
        <v>3.472222222222222E-3</v>
      </c>
      <c r="Z43" s="92">
        <f t="shared" si="14"/>
        <v>2.7777777777777779E-3</v>
      </c>
      <c r="AA43" s="92">
        <f t="shared" si="15"/>
        <v>2.1990740740740742E-3</v>
      </c>
      <c r="AB43" s="93" t="s">
        <v>194</v>
      </c>
      <c r="AC43" s="93" t="s">
        <v>68</v>
      </c>
      <c r="AD43" s="93" t="s">
        <v>253</v>
      </c>
      <c r="AE43" s="93" t="s">
        <v>227</v>
      </c>
      <c r="AF43" s="93" t="s">
        <v>197</v>
      </c>
      <c r="AG43" s="93" t="s">
        <v>254</v>
      </c>
      <c r="AH43" s="93" t="s">
        <v>235</v>
      </c>
      <c r="AI43" s="93" t="s">
        <v>125</v>
      </c>
      <c r="AJ43" s="94">
        <v>1400</v>
      </c>
      <c r="AK43" s="94" t="s">
        <v>126</v>
      </c>
      <c r="AL43" s="94">
        <v>1400</v>
      </c>
      <c r="AM43" s="94">
        <f t="shared" si="16"/>
        <v>1120</v>
      </c>
      <c r="AN43" s="94">
        <f t="shared" si="17"/>
        <v>840</v>
      </c>
      <c r="AO43" s="94">
        <f t="shared" si="18"/>
        <v>700</v>
      </c>
      <c r="AP43" s="94">
        <v>0</v>
      </c>
      <c r="AQ43" s="93" t="s">
        <v>255</v>
      </c>
      <c r="AR43" s="95">
        <f>SUM(Z35:Z43)</f>
        <v>1.3078703703703703E-2</v>
      </c>
      <c r="AS43" s="95">
        <f>SUM(Y35:Y43)</f>
        <v>1.6261574074074074E-2</v>
      </c>
      <c r="AT43" s="95">
        <f>SUM(Z35:Z43)</f>
        <v>1.3078703703703703E-2</v>
      </c>
      <c r="AU43" s="95">
        <f>SUM(AA35:AA43)</f>
        <v>1.0532407407407407E-2</v>
      </c>
    </row>
    <row r="44" spans="1:47" ht="81.95" customHeight="1">
      <c r="A44" s="83" t="s">
        <v>200</v>
      </c>
      <c r="B44" s="84">
        <v>40</v>
      </c>
      <c r="C44" s="84">
        <v>2</v>
      </c>
      <c r="D44" s="84">
        <v>7</v>
      </c>
      <c r="E44" s="83" t="s">
        <v>256</v>
      </c>
      <c r="F44" s="83" t="s">
        <v>155</v>
      </c>
      <c r="G44" s="83" t="s">
        <v>156</v>
      </c>
      <c r="H44" s="85" t="s">
        <v>202</v>
      </c>
      <c r="I44" s="84">
        <v>3</v>
      </c>
      <c r="J44" s="83" t="s">
        <v>158</v>
      </c>
      <c r="K44" s="83" t="s">
        <v>64</v>
      </c>
      <c r="L44" s="86">
        <v>6.3657407407407402E-4</v>
      </c>
      <c r="M44" s="85" t="s">
        <v>159</v>
      </c>
      <c r="N44" s="87">
        <f t="shared" si="19"/>
        <v>4.4270833333333336E-2</v>
      </c>
      <c r="O44" s="83" t="s">
        <v>257</v>
      </c>
      <c r="P44" s="88">
        <v>2390</v>
      </c>
      <c r="Q44" s="88">
        <f t="shared" si="20"/>
        <v>40</v>
      </c>
      <c r="R44" s="88">
        <f t="shared" si="9"/>
        <v>950</v>
      </c>
      <c r="S44" s="88">
        <v>95</v>
      </c>
      <c r="T44" s="88">
        <v>18</v>
      </c>
      <c r="U44" s="88">
        <f t="shared" si="11"/>
        <v>180</v>
      </c>
      <c r="V44" s="88">
        <f t="shared" si="12"/>
        <v>10</v>
      </c>
      <c r="W44" s="89">
        <v>10</v>
      </c>
      <c r="X44" s="90" t="s">
        <v>237</v>
      </c>
      <c r="Y44" s="91">
        <f t="shared" si="13"/>
        <v>8.1018518518518516E-4</v>
      </c>
      <c r="Z44" s="92">
        <f t="shared" si="14"/>
        <v>6.3657407407407402E-4</v>
      </c>
      <c r="AA44" s="92">
        <f t="shared" si="15"/>
        <v>5.2083333333333333E-4</v>
      </c>
      <c r="AB44" s="93" t="s">
        <v>68</v>
      </c>
      <c r="AC44" s="93" t="s">
        <v>68</v>
      </c>
      <c r="AD44" s="93" t="s">
        <v>258</v>
      </c>
      <c r="AE44" s="93" t="s">
        <v>98</v>
      </c>
      <c r="AF44" s="93" t="s">
        <v>99</v>
      </c>
      <c r="AG44" s="93" t="s">
        <v>68</v>
      </c>
      <c r="AH44" s="93" t="s">
        <v>235</v>
      </c>
      <c r="AI44" s="93" t="s">
        <v>73</v>
      </c>
      <c r="AJ44" s="94"/>
      <c r="AK44" s="94"/>
      <c r="AL44" s="94"/>
      <c r="AM44" s="94" t="str">
        <f t="shared" si="16"/>
        <v/>
      </c>
      <c r="AN44" s="94" t="str">
        <f t="shared" si="17"/>
        <v/>
      </c>
      <c r="AO44" s="94" t="str">
        <f t="shared" si="18"/>
        <v/>
      </c>
      <c r="AP44" s="94"/>
      <c r="AQ44" s="93"/>
      <c r="AR44" s="95"/>
      <c r="AS44" s="95"/>
      <c r="AT44" s="95"/>
      <c r="AU44" s="95"/>
    </row>
    <row r="45" spans="1:47" ht="81.95" customHeight="1">
      <c r="A45" s="83" t="s">
        <v>200</v>
      </c>
      <c r="B45" s="84">
        <v>41</v>
      </c>
      <c r="C45" s="84">
        <v>2</v>
      </c>
      <c r="D45" s="84">
        <v>7</v>
      </c>
      <c r="E45" s="83" t="s">
        <v>259</v>
      </c>
      <c r="F45" s="83" t="s">
        <v>155</v>
      </c>
      <c r="G45" s="83" t="s">
        <v>156</v>
      </c>
      <c r="H45" s="85" t="s">
        <v>202</v>
      </c>
      <c r="I45" s="84">
        <v>3</v>
      </c>
      <c r="J45" s="83" t="s">
        <v>158</v>
      </c>
      <c r="K45" s="83" t="s">
        <v>64</v>
      </c>
      <c r="L45" s="86">
        <v>6.3657407407407402E-4</v>
      </c>
      <c r="M45" s="85" t="s">
        <v>159</v>
      </c>
      <c r="N45" s="87">
        <f t="shared" si="19"/>
        <v>4.490740740740741E-2</v>
      </c>
      <c r="O45" s="83" t="s">
        <v>257</v>
      </c>
      <c r="P45" s="88">
        <v>2430</v>
      </c>
      <c r="Q45" s="88">
        <f t="shared" si="20"/>
        <v>40</v>
      </c>
      <c r="R45" s="88">
        <f t="shared" si="9"/>
        <v>950</v>
      </c>
      <c r="S45" s="88"/>
      <c r="T45" s="88"/>
      <c r="U45" s="88" t="str">
        <f t="shared" si="11"/>
        <v/>
      </c>
      <c r="V45" s="88" t="str">
        <f t="shared" si="12"/>
        <v/>
      </c>
      <c r="W45" s="89">
        <v>10</v>
      </c>
      <c r="X45" s="90" t="s">
        <v>86</v>
      </c>
      <c r="Y45" s="91">
        <f t="shared" si="13"/>
        <v>7.5231481481481482E-4</v>
      </c>
      <c r="Z45" s="92">
        <f t="shared" si="14"/>
        <v>6.3657407407407402E-4</v>
      </c>
      <c r="AA45" s="92">
        <f t="shared" si="15"/>
        <v>5.7870370370370367E-4</v>
      </c>
      <c r="AB45" s="93" t="s">
        <v>68</v>
      </c>
      <c r="AC45" s="93" t="s">
        <v>68</v>
      </c>
      <c r="AD45" s="93" t="s">
        <v>82</v>
      </c>
      <c r="AE45" s="93" t="s">
        <v>87</v>
      </c>
      <c r="AF45" s="93" t="s">
        <v>88</v>
      </c>
      <c r="AG45" s="93" t="s">
        <v>68</v>
      </c>
      <c r="AH45" s="93" t="s">
        <v>235</v>
      </c>
      <c r="AI45" s="93" t="s">
        <v>73</v>
      </c>
      <c r="AJ45" s="94"/>
      <c r="AK45" s="94"/>
      <c r="AL45" s="94"/>
      <c r="AM45" s="94" t="str">
        <f t="shared" si="16"/>
        <v/>
      </c>
      <c r="AN45" s="94" t="str">
        <f t="shared" si="17"/>
        <v/>
      </c>
      <c r="AO45" s="94" t="str">
        <f t="shared" si="18"/>
        <v/>
      </c>
      <c r="AP45" s="94"/>
      <c r="AQ45" s="93"/>
      <c r="AR45" s="95"/>
      <c r="AS45" s="95"/>
      <c r="AT45" s="95"/>
      <c r="AU45" s="95"/>
    </row>
    <row r="46" spans="1:47" ht="81.95" customHeight="1">
      <c r="A46" s="83" t="s">
        <v>200</v>
      </c>
      <c r="B46" s="84">
        <v>42</v>
      </c>
      <c r="C46" s="84">
        <v>5</v>
      </c>
      <c r="D46" s="84">
        <v>9</v>
      </c>
      <c r="E46" s="83" t="s">
        <v>260</v>
      </c>
      <c r="F46" s="83" t="s">
        <v>146</v>
      </c>
      <c r="G46" s="83" t="s">
        <v>147</v>
      </c>
      <c r="H46" s="85" t="s">
        <v>210</v>
      </c>
      <c r="I46" s="84">
        <v>5</v>
      </c>
      <c r="J46" s="83" t="s">
        <v>211</v>
      </c>
      <c r="K46" s="83" t="s">
        <v>150</v>
      </c>
      <c r="L46" s="86">
        <v>1.273148148148148E-3</v>
      </c>
      <c r="M46" s="85" t="s">
        <v>151</v>
      </c>
      <c r="N46" s="87">
        <f t="shared" si="19"/>
        <v>4.6180555555555558E-2</v>
      </c>
      <c r="O46" s="83" t="s">
        <v>257</v>
      </c>
      <c r="P46" s="88">
        <v>2500</v>
      </c>
      <c r="Q46" s="88">
        <f t="shared" si="20"/>
        <v>70</v>
      </c>
      <c r="R46" s="88">
        <f t="shared" si="9"/>
        <v>1101</v>
      </c>
      <c r="S46" s="88">
        <v>123</v>
      </c>
      <c r="T46" s="88">
        <v>22</v>
      </c>
      <c r="U46" s="88">
        <f t="shared" si="11"/>
        <v>198</v>
      </c>
      <c r="V46" s="88">
        <f t="shared" si="12"/>
        <v>9</v>
      </c>
      <c r="W46" s="89">
        <v>11</v>
      </c>
      <c r="X46" s="90" t="s">
        <v>97</v>
      </c>
      <c r="Y46" s="91">
        <f t="shared" si="13"/>
        <v>1.6203703703703703E-3</v>
      </c>
      <c r="Z46" s="92">
        <f t="shared" si="14"/>
        <v>1.273148148148148E-3</v>
      </c>
      <c r="AA46" s="92">
        <f t="shared" si="15"/>
        <v>1.0416666666666667E-3</v>
      </c>
      <c r="AB46" s="93" t="s">
        <v>68</v>
      </c>
      <c r="AC46" s="93" t="s">
        <v>68</v>
      </c>
      <c r="AD46" s="93" t="s">
        <v>82</v>
      </c>
      <c r="AE46" s="93" t="s">
        <v>98</v>
      </c>
      <c r="AF46" s="93" t="s">
        <v>99</v>
      </c>
      <c r="AG46" s="93" t="s">
        <v>68</v>
      </c>
      <c r="AH46" s="93" t="s">
        <v>235</v>
      </c>
      <c r="AI46" s="93" t="s">
        <v>73</v>
      </c>
      <c r="AJ46" s="94"/>
      <c r="AK46" s="94"/>
      <c r="AL46" s="94"/>
      <c r="AM46" s="94" t="str">
        <f t="shared" si="16"/>
        <v/>
      </c>
      <c r="AN46" s="94" t="str">
        <f t="shared" si="17"/>
        <v/>
      </c>
      <c r="AO46" s="94" t="str">
        <f t="shared" si="18"/>
        <v/>
      </c>
      <c r="AP46" s="94"/>
      <c r="AQ46" s="93"/>
      <c r="AR46" s="95"/>
      <c r="AS46" s="95"/>
      <c r="AT46" s="95"/>
      <c r="AU46" s="95"/>
    </row>
    <row r="47" spans="1:47" ht="81.95" customHeight="1">
      <c r="A47" s="83" t="s">
        <v>200</v>
      </c>
      <c r="B47" s="84">
        <v>43</v>
      </c>
      <c r="C47" s="84">
        <v>5</v>
      </c>
      <c r="D47" s="84">
        <v>9</v>
      </c>
      <c r="E47" s="83" t="s">
        <v>261</v>
      </c>
      <c r="F47" s="83" t="s">
        <v>146</v>
      </c>
      <c r="G47" s="83" t="s">
        <v>147</v>
      </c>
      <c r="H47" s="85" t="s">
        <v>210</v>
      </c>
      <c r="I47" s="84">
        <v>3</v>
      </c>
      <c r="J47" s="83" t="s">
        <v>262</v>
      </c>
      <c r="K47" s="83" t="s">
        <v>150</v>
      </c>
      <c r="L47" s="86">
        <v>1.273148148148148E-3</v>
      </c>
      <c r="M47" s="85" t="s">
        <v>151</v>
      </c>
      <c r="N47" s="87">
        <f t="shared" si="19"/>
        <v>4.7453703703703706E-2</v>
      </c>
      <c r="O47" s="83" t="s">
        <v>257</v>
      </c>
      <c r="P47" s="88">
        <v>2570</v>
      </c>
      <c r="Q47" s="88">
        <f t="shared" si="20"/>
        <v>70</v>
      </c>
      <c r="R47" s="88">
        <f t="shared" si="9"/>
        <v>1101</v>
      </c>
      <c r="S47" s="88">
        <v>123</v>
      </c>
      <c r="T47" s="88">
        <v>37</v>
      </c>
      <c r="U47" s="88">
        <f t="shared" si="11"/>
        <v>333</v>
      </c>
      <c r="V47" s="88">
        <f t="shared" si="12"/>
        <v>9</v>
      </c>
      <c r="W47" s="89">
        <v>11</v>
      </c>
      <c r="X47" s="90" t="s">
        <v>97</v>
      </c>
      <c r="Y47" s="91">
        <f t="shared" si="13"/>
        <v>1.6203703703703703E-3</v>
      </c>
      <c r="Z47" s="92">
        <f t="shared" si="14"/>
        <v>1.273148148148148E-3</v>
      </c>
      <c r="AA47" s="92">
        <f t="shared" si="15"/>
        <v>1.0416666666666667E-3</v>
      </c>
      <c r="AB47" s="93" t="s">
        <v>68</v>
      </c>
      <c r="AC47" s="93" t="s">
        <v>68</v>
      </c>
      <c r="AD47" s="93" t="s">
        <v>82</v>
      </c>
      <c r="AE47" s="93" t="s">
        <v>98</v>
      </c>
      <c r="AF47" s="93" t="s">
        <v>99</v>
      </c>
      <c r="AG47" s="93" t="s">
        <v>68</v>
      </c>
      <c r="AH47" s="93" t="s">
        <v>235</v>
      </c>
      <c r="AI47" s="93" t="s">
        <v>73</v>
      </c>
      <c r="AJ47" s="94"/>
      <c r="AK47" s="94"/>
      <c r="AL47" s="94"/>
      <c r="AM47" s="94" t="str">
        <f t="shared" si="16"/>
        <v/>
      </c>
      <c r="AN47" s="94" t="str">
        <f t="shared" si="17"/>
        <v/>
      </c>
      <c r="AO47" s="94" t="str">
        <f t="shared" si="18"/>
        <v/>
      </c>
      <c r="AP47" s="94"/>
      <c r="AQ47" s="93"/>
      <c r="AR47" s="95"/>
      <c r="AS47" s="95"/>
      <c r="AT47" s="95"/>
      <c r="AU47" s="95"/>
    </row>
    <row r="48" spans="1:47" ht="81.95" customHeight="1">
      <c r="A48" s="83" t="s">
        <v>200</v>
      </c>
      <c r="B48" s="84">
        <v>44</v>
      </c>
      <c r="C48" s="84">
        <v>7</v>
      </c>
      <c r="D48" s="84">
        <v>10</v>
      </c>
      <c r="E48" s="83" t="s">
        <v>263</v>
      </c>
      <c r="F48" s="83" t="s">
        <v>179</v>
      </c>
      <c r="G48" s="83" t="s">
        <v>180</v>
      </c>
      <c r="H48" s="85" t="s">
        <v>224</v>
      </c>
      <c r="I48" s="84">
        <v>1</v>
      </c>
      <c r="J48" s="83" t="s">
        <v>182</v>
      </c>
      <c r="K48" s="83" t="s">
        <v>183</v>
      </c>
      <c r="L48" s="86">
        <v>1.736111111111111E-3</v>
      </c>
      <c r="M48" s="85" t="s">
        <v>184</v>
      </c>
      <c r="N48" s="87">
        <f t="shared" si="19"/>
        <v>4.9189814814814818E-2</v>
      </c>
      <c r="O48" s="83" t="s">
        <v>257</v>
      </c>
      <c r="P48" s="88">
        <v>2680</v>
      </c>
      <c r="Q48" s="88">
        <f t="shared" si="20"/>
        <v>110</v>
      </c>
      <c r="R48" s="88">
        <f t="shared" si="9"/>
        <v>1101</v>
      </c>
      <c r="S48" s="88">
        <v>138</v>
      </c>
      <c r="T48" s="88">
        <v>150</v>
      </c>
      <c r="U48" s="88">
        <f t="shared" si="11"/>
        <v>1200</v>
      </c>
      <c r="V48" s="88">
        <f t="shared" si="12"/>
        <v>8</v>
      </c>
      <c r="W48" s="89">
        <v>11</v>
      </c>
      <c r="X48" s="90" t="s">
        <v>97</v>
      </c>
      <c r="Y48" s="91">
        <f t="shared" si="13"/>
        <v>2.1990740740740742E-3</v>
      </c>
      <c r="Z48" s="92">
        <f t="shared" si="14"/>
        <v>1.736111111111111E-3</v>
      </c>
      <c r="AA48" s="92">
        <f t="shared" si="15"/>
        <v>1.3888888888888889E-3</v>
      </c>
      <c r="AB48" s="93" t="s">
        <v>68</v>
      </c>
      <c r="AC48" s="93" t="s">
        <v>68</v>
      </c>
      <c r="AD48" s="93" t="s">
        <v>82</v>
      </c>
      <c r="AE48" s="93" t="s">
        <v>98</v>
      </c>
      <c r="AF48" s="93" t="s">
        <v>99</v>
      </c>
      <c r="AG48" s="93" t="s">
        <v>68</v>
      </c>
      <c r="AH48" s="93" t="s">
        <v>235</v>
      </c>
      <c r="AI48" s="93" t="s">
        <v>73</v>
      </c>
      <c r="AJ48" s="94"/>
      <c r="AK48" s="94"/>
      <c r="AL48" s="94"/>
      <c r="AM48" s="94" t="str">
        <f t="shared" si="16"/>
        <v/>
      </c>
      <c r="AN48" s="94" t="str">
        <f t="shared" si="17"/>
        <v/>
      </c>
      <c r="AO48" s="94" t="str">
        <f t="shared" si="18"/>
        <v/>
      </c>
      <c r="AP48" s="94"/>
      <c r="AQ48" s="93"/>
      <c r="AR48" s="95"/>
      <c r="AS48" s="95"/>
      <c r="AT48" s="95"/>
      <c r="AU48" s="95"/>
    </row>
    <row r="49" spans="1:47" ht="81.95" customHeight="1">
      <c r="A49" s="83" t="s">
        <v>200</v>
      </c>
      <c r="B49" s="84">
        <v>45</v>
      </c>
      <c r="C49" s="84">
        <v>6</v>
      </c>
      <c r="D49" s="84">
        <v>9</v>
      </c>
      <c r="E49" s="83" t="s">
        <v>264</v>
      </c>
      <c r="F49" s="83" t="s">
        <v>171</v>
      </c>
      <c r="G49" s="83" t="s">
        <v>172</v>
      </c>
      <c r="H49" s="85" t="s">
        <v>215</v>
      </c>
      <c r="I49" s="84">
        <v>3</v>
      </c>
      <c r="J49" s="83" t="s">
        <v>174</v>
      </c>
      <c r="K49" s="83" t="s">
        <v>175</v>
      </c>
      <c r="L49" s="86">
        <v>1.736111111111111E-3</v>
      </c>
      <c r="M49" s="85" t="s">
        <v>176</v>
      </c>
      <c r="N49" s="87">
        <f t="shared" si="19"/>
        <v>5.092592592592593E-2</v>
      </c>
      <c r="O49" s="83" t="s">
        <v>257</v>
      </c>
      <c r="P49" s="88">
        <v>2770</v>
      </c>
      <c r="Q49" s="88">
        <f t="shared" si="20"/>
        <v>90</v>
      </c>
      <c r="R49" s="88">
        <f t="shared" si="9"/>
        <v>1101</v>
      </c>
      <c r="S49" s="88">
        <v>138</v>
      </c>
      <c r="T49" s="88">
        <v>50</v>
      </c>
      <c r="U49" s="88">
        <f t="shared" si="11"/>
        <v>400</v>
      </c>
      <c r="V49" s="88">
        <f t="shared" si="12"/>
        <v>8</v>
      </c>
      <c r="W49" s="89">
        <v>11</v>
      </c>
      <c r="X49" s="90" t="s">
        <v>97</v>
      </c>
      <c r="Y49" s="91">
        <f t="shared" si="13"/>
        <v>2.1990740740740742E-3</v>
      </c>
      <c r="Z49" s="92">
        <f t="shared" si="14"/>
        <v>1.736111111111111E-3</v>
      </c>
      <c r="AA49" s="92">
        <f t="shared" si="15"/>
        <v>1.3888888888888889E-3</v>
      </c>
      <c r="AB49" s="93" t="s">
        <v>68</v>
      </c>
      <c r="AC49" s="93" t="s">
        <v>68</v>
      </c>
      <c r="AD49" s="93" t="s">
        <v>82</v>
      </c>
      <c r="AE49" s="93" t="s">
        <v>98</v>
      </c>
      <c r="AF49" s="93" t="s">
        <v>99</v>
      </c>
      <c r="AG49" s="93" t="s">
        <v>68</v>
      </c>
      <c r="AH49" s="93" t="s">
        <v>235</v>
      </c>
      <c r="AI49" s="93" t="s">
        <v>73</v>
      </c>
      <c r="AJ49" s="94"/>
      <c r="AK49" s="94"/>
      <c r="AL49" s="94"/>
      <c r="AM49" s="94" t="str">
        <f t="shared" si="16"/>
        <v/>
      </c>
      <c r="AN49" s="94" t="str">
        <f t="shared" si="17"/>
        <v/>
      </c>
      <c r="AO49" s="94" t="str">
        <f t="shared" si="18"/>
        <v/>
      </c>
      <c r="AP49" s="94"/>
      <c r="AQ49" s="93"/>
      <c r="AR49" s="95"/>
      <c r="AS49" s="95"/>
      <c r="AT49" s="95"/>
      <c r="AU49" s="95"/>
    </row>
    <row r="50" spans="1:47" ht="81.95" customHeight="1">
      <c r="A50" s="83" t="s">
        <v>200</v>
      </c>
      <c r="B50" s="84">
        <v>46</v>
      </c>
      <c r="C50" s="84">
        <v>9</v>
      </c>
      <c r="D50" s="84">
        <v>10</v>
      </c>
      <c r="E50" s="83" t="s">
        <v>265</v>
      </c>
      <c r="F50" s="83" t="s">
        <v>266</v>
      </c>
      <c r="G50" s="83" t="s">
        <v>267</v>
      </c>
      <c r="H50" s="85" t="s">
        <v>268</v>
      </c>
      <c r="I50" s="84">
        <v>3</v>
      </c>
      <c r="J50" s="83" t="s">
        <v>269</v>
      </c>
      <c r="K50" s="83" t="s">
        <v>191</v>
      </c>
      <c r="L50" s="86">
        <v>5.9027777777777776E-3</v>
      </c>
      <c r="M50" s="85" t="s">
        <v>270</v>
      </c>
      <c r="N50" s="87">
        <f t="shared" si="19"/>
        <v>5.6828703703703708E-2</v>
      </c>
      <c r="O50" s="83" t="s">
        <v>257</v>
      </c>
      <c r="P50" s="88">
        <v>2960</v>
      </c>
      <c r="Q50" s="88">
        <f t="shared" si="20"/>
        <v>190</v>
      </c>
      <c r="R50" s="88">
        <f t="shared" si="9"/>
        <v>1264</v>
      </c>
      <c r="S50" s="88">
        <v>1264</v>
      </c>
      <c r="T50" s="88">
        <v>510</v>
      </c>
      <c r="U50" s="88">
        <f t="shared" si="11"/>
        <v>510</v>
      </c>
      <c r="V50" s="88">
        <f t="shared" si="12"/>
        <v>1</v>
      </c>
      <c r="W50" s="89">
        <v>12</v>
      </c>
      <c r="X50" s="90" t="s">
        <v>271</v>
      </c>
      <c r="Y50" s="91">
        <f t="shared" si="13"/>
        <v>7.4074074074074077E-3</v>
      </c>
      <c r="Z50" s="92">
        <f t="shared" si="14"/>
        <v>5.9027777777777776E-3</v>
      </c>
      <c r="AA50" s="92">
        <f t="shared" si="15"/>
        <v>4.7453703703703703E-3</v>
      </c>
      <c r="AB50" s="93" t="s">
        <v>272</v>
      </c>
      <c r="AC50" s="93" t="s">
        <v>68</v>
      </c>
      <c r="AD50" s="93" t="s">
        <v>273</v>
      </c>
      <c r="AE50" s="93" t="s">
        <v>196</v>
      </c>
      <c r="AF50" s="93" t="s">
        <v>197</v>
      </c>
      <c r="AG50" s="93" t="s">
        <v>274</v>
      </c>
      <c r="AH50" s="93" t="s">
        <v>235</v>
      </c>
      <c r="AI50" s="93" t="s">
        <v>125</v>
      </c>
      <c r="AJ50" s="94">
        <v>1500</v>
      </c>
      <c r="AK50" s="94" t="s">
        <v>126</v>
      </c>
      <c r="AL50" s="94">
        <v>1500</v>
      </c>
      <c r="AM50" s="94">
        <f t="shared" si="16"/>
        <v>1200</v>
      </c>
      <c r="AN50" s="94">
        <f t="shared" si="17"/>
        <v>900</v>
      </c>
      <c r="AO50" s="94">
        <f t="shared" si="18"/>
        <v>750</v>
      </c>
      <c r="AP50" s="94">
        <v>0</v>
      </c>
      <c r="AQ50" s="93" t="s">
        <v>199</v>
      </c>
      <c r="AR50" s="95">
        <f>SUM(Z44:Z50)</f>
        <v>1.3194444444444443E-2</v>
      </c>
      <c r="AS50" s="95">
        <f>SUM(Y44:Y50)</f>
        <v>1.6608796296296295E-2</v>
      </c>
      <c r="AT50" s="95">
        <f>SUM(Z44:Z50)</f>
        <v>1.3194444444444443E-2</v>
      </c>
      <c r="AU50" s="95">
        <f>SUM(AA44:AA50)</f>
        <v>1.0706018518518517E-2</v>
      </c>
    </row>
    <row r="51" spans="1:47" ht="81.95" customHeight="1">
      <c r="A51" s="83" t="s">
        <v>275</v>
      </c>
      <c r="B51" s="84">
        <v>47</v>
      </c>
      <c r="C51" s="84">
        <v>2</v>
      </c>
      <c r="D51" s="84">
        <v>7</v>
      </c>
      <c r="E51" s="83" t="s">
        <v>276</v>
      </c>
      <c r="F51" s="83" t="s">
        <v>60</v>
      </c>
      <c r="G51" s="83" t="s">
        <v>61</v>
      </c>
      <c r="H51" s="85" t="s">
        <v>231</v>
      </c>
      <c r="I51" s="84">
        <v>1</v>
      </c>
      <c r="J51" s="83" t="s">
        <v>63</v>
      </c>
      <c r="K51" s="83" t="s">
        <v>64</v>
      </c>
      <c r="L51" s="86">
        <v>1.0995370370370369E-3</v>
      </c>
      <c r="M51" s="85" t="s">
        <v>65</v>
      </c>
      <c r="N51" s="87">
        <f t="shared" si="19"/>
        <v>5.7928240740740745E-2</v>
      </c>
      <c r="O51" s="83" t="s">
        <v>277</v>
      </c>
      <c r="P51" s="88">
        <v>2990</v>
      </c>
      <c r="Q51" s="88">
        <f t="shared" si="20"/>
        <v>30</v>
      </c>
      <c r="R51" s="88">
        <f t="shared" si="9"/>
        <v>1264</v>
      </c>
      <c r="S51" s="88"/>
      <c r="T51" s="88"/>
      <c r="U51" s="88" t="str">
        <f t="shared" si="11"/>
        <v/>
      </c>
      <c r="V51" s="88" t="str">
        <f t="shared" si="12"/>
        <v/>
      </c>
      <c r="W51" s="89">
        <v>12</v>
      </c>
      <c r="X51" s="90" t="s">
        <v>67</v>
      </c>
      <c r="Y51" s="91">
        <f t="shared" si="13"/>
        <v>1.2731481481481483E-3</v>
      </c>
      <c r="Z51" s="92">
        <f t="shared" si="14"/>
        <v>1.0995370370370369E-3</v>
      </c>
      <c r="AA51" s="92">
        <f t="shared" si="15"/>
        <v>9.837962962962962E-4</v>
      </c>
      <c r="AB51" s="93" t="s">
        <v>68</v>
      </c>
      <c r="AC51" s="93" t="s">
        <v>278</v>
      </c>
      <c r="AD51" s="93" t="s">
        <v>279</v>
      </c>
      <c r="AE51" s="93" t="s">
        <v>70</v>
      </c>
      <c r="AF51" s="93" t="s">
        <v>71</v>
      </c>
      <c r="AG51" s="93" t="s">
        <v>68</v>
      </c>
      <c r="AH51" s="93" t="s">
        <v>280</v>
      </c>
      <c r="AI51" s="93" t="s">
        <v>73</v>
      </c>
      <c r="AJ51" s="94"/>
      <c r="AK51" s="94"/>
      <c r="AL51" s="94"/>
      <c r="AM51" s="94" t="str">
        <f t="shared" si="16"/>
        <v/>
      </c>
      <c r="AN51" s="94" t="str">
        <f t="shared" si="17"/>
        <v/>
      </c>
      <c r="AO51" s="94" t="str">
        <f t="shared" si="18"/>
        <v/>
      </c>
      <c r="AP51" s="94"/>
      <c r="AQ51" s="93"/>
      <c r="AR51" s="95"/>
      <c r="AS51" s="95"/>
      <c r="AT51" s="95"/>
      <c r="AU51" s="95"/>
    </row>
    <row r="52" spans="1:47" ht="81.95" customHeight="1">
      <c r="A52" s="83" t="s">
        <v>275</v>
      </c>
      <c r="B52" s="84">
        <v>48</v>
      </c>
      <c r="C52" s="84">
        <v>2</v>
      </c>
      <c r="D52" s="84">
        <v>7</v>
      </c>
      <c r="E52" s="83" t="s">
        <v>281</v>
      </c>
      <c r="F52" s="83" t="s">
        <v>60</v>
      </c>
      <c r="G52" s="83" t="s">
        <v>61</v>
      </c>
      <c r="H52" s="85" t="s">
        <v>231</v>
      </c>
      <c r="I52" s="84">
        <v>1</v>
      </c>
      <c r="J52" s="83" t="s">
        <v>63</v>
      </c>
      <c r="K52" s="83" t="s">
        <v>64</v>
      </c>
      <c r="L52" s="86">
        <v>8.1018518518518527E-4</v>
      </c>
      <c r="M52" s="85" t="s">
        <v>65</v>
      </c>
      <c r="N52" s="87">
        <f t="shared" si="19"/>
        <v>5.873842592592593E-2</v>
      </c>
      <c r="O52" s="83" t="s">
        <v>277</v>
      </c>
      <c r="P52" s="88">
        <v>3020</v>
      </c>
      <c r="Q52" s="88">
        <f t="shared" si="20"/>
        <v>30</v>
      </c>
      <c r="R52" s="88">
        <f t="shared" si="9"/>
        <v>1264</v>
      </c>
      <c r="S52" s="88">
        <v>127</v>
      </c>
      <c r="T52" s="88">
        <v>70</v>
      </c>
      <c r="U52" s="88">
        <f t="shared" si="11"/>
        <v>700</v>
      </c>
      <c r="V52" s="88">
        <f t="shared" si="12"/>
        <v>10</v>
      </c>
      <c r="W52" s="89">
        <v>12</v>
      </c>
      <c r="X52" s="90" t="s">
        <v>97</v>
      </c>
      <c r="Y52" s="91">
        <f t="shared" si="13"/>
        <v>1.0416666666666667E-3</v>
      </c>
      <c r="Z52" s="92">
        <f t="shared" si="14"/>
        <v>8.1018518518518527E-4</v>
      </c>
      <c r="AA52" s="92">
        <f t="shared" si="15"/>
        <v>6.3657407407407413E-4</v>
      </c>
      <c r="AB52" s="93" t="s">
        <v>68</v>
      </c>
      <c r="AC52" s="93" t="s">
        <v>68</v>
      </c>
      <c r="AD52" s="93" t="s">
        <v>82</v>
      </c>
      <c r="AE52" s="93" t="s">
        <v>98</v>
      </c>
      <c r="AF52" s="93" t="s">
        <v>99</v>
      </c>
      <c r="AG52" s="93" t="s">
        <v>68</v>
      </c>
      <c r="AH52" s="93" t="s">
        <v>280</v>
      </c>
      <c r="AI52" s="93" t="s">
        <v>73</v>
      </c>
      <c r="AJ52" s="94"/>
      <c r="AK52" s="94"/>
      <c r="AL52" s="94"/>
      <c r="AM52" s="94" t="str">
        <f t="shared" si="16"/>
        <v/>
      </c>
      <c r="AN52" s="94" t="str">
        <f t="shared" si="17"/>
        <v/>
      </c>
      <c r="AO52" s="94" t="str">
        <f t="shared" si="18"/>
        <v/>
      </c>
      <c r="AP52" s="94"/>
      <c r="AQ52" s="93"/>
      <c r="AR52" s="95"/>
      <c r="AS52" s="95"/>
      <c r="AT52" s="95"/>
      <c r="AU52" s="95"/>
    </row>
    <row r="53" spans="1:47" ht="81.95" customHeight="1">
      <c r="A53" s="83" t="s">
        <v>275</v>
      </c>
      <c r="B53" s="84">
        <v>49</v>
      </c>
      <c r="C53" s="84">
        <v>4</v>
      </c>
      <c r="D53" s="84">
        <v>8</v>
      </c>
      <c r="E53" s="83" t="s">
        <v>282</v>
      </c>
      <c r="F53" s="83" t="s">
        <v>133</v>
      </c>
      <c r="G53" s="83" t="s">
        <v>134</v>
      </c>
      <c r="H53" s="85" t="s">
        <v>283</v>
      </c>
      <c r="I53" s="84">
        <v>3</v>
      </c>
      <c r="J53" s="83" t="s">
        <v>136</v>
      </c>
      <c r="K53" s="83" t="s">
        <v>137</v>
      </c>
      <c r="L53" s="86">
        <v>9.2592592592592585E-4</v>
      </c>
      <c r="M53" s="85" t="s">
        <v>138</v>
      </c>
      <c r="N53" s="87">
        <f t="shared" si="19"/>
        <v>5.9664351851851857E-2</v>
      </c>
      <c r="O53" s="83" t="s">
        <v>277</v>
      </c>
      <c r="P53" s="88">
        <v>3070</v>
      </c>
      <c r="Q53" s="88">
        <f t="shared" si="20"/>
        <v>50</v>
      </c>
      <c r="R53" s="88">
        <f t="shared" si="9"/>
        <v>1264</v>
      </c>
      <c r="S53" s="88">
        <v>141</v>
      </c>
      <c r="T53" s="88">
        <v>27</v>
      </c>
      <c r="U53" s="88">
        <f t="shared" si="11"/>
        <v>243</v>
      </c>
      <c r="V53" s="88">
        <f t="shared" si="12"/>
        <v>9</v>
      </c>
      <c r="W53" s="89">
        <v>12</v>
      </c>
      <c r="X53" s="90" t="s">
        <v>97</v>
      </c>
      <c r="Y53" s="91">
        <f t="shared" si="13"/>
        <v>1.1574074074074073E-3</v>
      </c>
      <c r="Z53" s="92">
        <f t="shared" si="14"/>
        <v>9.2592592592592585E-4</v>
      </c>
      <c r="AA53" s="92">
        <f t="shared" si="15"/>
        <v>7.5231481481481482E-4</v>
      </c>
      <c r="AB53" s="93" t="s">
        <v>68</v>
      </c>
      <c r="AC53" s="93" t="s">
        <v>68</v>
      </c>
      <c r="AD53" s="93" t="s">
        <v>82</v>
      </c>
      <c r="AE53" s="93" t="s">
        <v>98</v>
      </c>
      <c r="AF53" s="93" t="s">
        <v>99</v>
      </c>
      <c r="AG53" s="93" t="s">
        <v>68</v>
      </c>
      <c r="AH53" s="93" t="s">
        <v>280</v>
      </c>
      <c r="AI53" s="93" t="s">
        <v>73</v>
      </c>
      <c r="AJ53" s="94"/>
      <c r="AK53" s="94"/>
      <c r="AL53" s="94"/>
      <c r="AM53" s="94" t="str">
        <f t="shared" si="16"/>
        <v/>
      </c>
      <c r="AN53" s="94" t="str">
        <f t="shared" si="17"/>
        <v/>
      </c>
      <c r="AO53" s="94" t="str">
        <f t="shared" si="18"/>
        <v/>
      </c>
      <c r="AP53" s="94"/>
      <c r="AQ53" s="93"/>
      <c r="AR53" s="95"/>
      <c r="AS53" s="95"/>
      <c r="AT53" s="95"/>
      <c r="AU53" s="95"/>
    </row>
    <row r="54" spans="1:47" ht="81.95" customHeight="1">
      <c r="A54" s="83" t="s">
        <v>275</v>
      </c>
      <c r="B54" s="84">
        <v>50</v>
      </c>
      <c r="C54" s="84">
        <v>3</v>
      </c>
      <c r="D54" s="84">
        <v>7</v>
      </c>
      <c r="E54" s="83" t="s">
        <v>284</v>
      </c>
      <c r="F54" s="83" t="s">
        <v>101</v>
      </c>
      <c r="G54" s="83" t="s">
        <v>102</v>
      </c>
      <c r="H54" s="85" t="s">
        <v>208</v>
      </c>
      <c r="I54" s="84">
        <v>1</v>
      </c>
      <c r="J54" s="83" t="s">
        <v>104</v>
      </c>
      <c r="K54" s="83" t="s">
        <v>105</v>
      </c>
      <c r="L54" s="86">
        <v>6.9444444444444447E-4</v>
      </c>
      <c r="M54" s="85" t="s">
        <v>106</v>
      </c>
      <c r="N54" s="87">
        <f t="shared" si="19"/>
        <v>6.0358796296296299E-2</v>
      </c>
      <c r="O54" s="83" t="s">
        <v>277</v>
      </c>
      <c r="P54" s="88">
        <v>3110</v>
      </c>
      <c r="Q54" s="88">
        <f t="shared" si="20"/>
        <v>40</v>
      </c>
      <c r="R54" s="88">
        <f t="shared" si="9"/>
        <v>1439</v>
      </c>
      <c r="S54" s="88"/>
      <c r="T54" s="88"/>
      <c r="U54" s="88" t="str">
        <f t="shared" si="11"/>
        <v/>
      </c>
      <c r="V54" s="88" t="str">
        <f t="shared" si="12"/>
        <v/>
      </c>
      <c r="W54" s="89">
        <v>13</v>
      </c>
      <c r="X54" s="90" t="s">
        <v>81</v>
      </c>
      <c r="Y54" s="91">
        <f t="shared" si="13"/>
        <v>8.1018518518518516E-4</v>
      </c>
      <c r="Z54" s="92">
        <f t="shared" si="14"/>
        <v>6.9444444444444447E-4</v>
      </c>
      <c r="AA54" s="92">
        <f t="shared" si="15"/>
        <v>6.3657407407407413E-4</v>
      </c>
      <c r="AB54" s="93" t="s">
        <v>68</v>
      </c>
      <c r="AC54" s="93" t="s">
        <v>68</v>
      </c>
      <c r="AD54" s="93" t="s">
        <v>82</v>
      </c>
      <c r="AE54" s="93" t="s">
        <v>83</v>
      </c>
      <c r="AF54" s="93" t="s">
        <v>84</v>
      </c>
      <c r="AG54" s="93" t="s">
        <v>68</v>
      </c>
      <c r="AH54" s="93" t="s">
        <v>280</v>
      </c>
      <c r="AI54" s="93" t="s">
        <v>73</v>
      </c>
      <c r="AJ54" s="94"/>
      <c r="AK54" s="94"/>
      <c r="AL54" s="94"/>
      <c r="AM54" s="94" t="str">
        <f t="shared" si="16"/>
        <v/>
      </c>
      <c r="AN54" s="94" t="str">
        <f t="shared" si="17"/>
        <v/>
      </c>
      <c r="AO54" s="94" t="str">
        <f t="shared" si="18"/>
        <v/>
      </c>
      <c r="AP54" s="94"/>
      <c r="AQ54" s="93"/>
      <c r="AR54" s="95"/>
      <c r="AS54" s="95"/>
      <c r="AT54" s="95"/>
      <c r="AU54" s="95"/>
    </row>
    <row r="55" spans="1:47" ht="81.95" customHeight="1">
      <c r="A55" s="83" t="s">
        <v>275</v>
      </c>
      <c r="B55" s="84">
        <v>51</v>
      </c>
      <c r="C55" s="84">
        <v>5</v>
      </c>
      <c r="D55" s="84">
        <v>9</v>
      </c>
      <c r="E55" s="83" t="s">
        <v>285</v>
      </c>
      <c r="F55" s="83" t="s">
        <v>146</v>
      </c>
      <c r="G55" s="83" t="s">
        <v>147</v>
      </c>
      <c r="H55" s="85" t="s">
        <v>210</v>
      </c>
      <c r="I55" s="84">
        <v>6</v>
      </c>
      <c r="J55" s="83" t="s">
        <v>286</v>
      </c>
      <c r="K55" s="83" t="s">
        <v>150</v>
      </c>
      <c r="L55" s="86">
        <v>1.3888888888888889E-3</v>
      </c>
      <c r="M55" s="85" t="s">
        <v>151</v>
      </c>
      <c r="N55" s="87">
        <f t="shared" si="19"/>
        <v>6.174768518518519E-2</v>
      </c>
      <c r="O55" s="83" t="s">
        <v>277</v>
      </c>
      <c r="P55" s="88">
        <v>3190</v>
      </c>
      <c r="Q55" s="88">
        <f t="shared" si="20"/>
        <v>80</v>
      </c>
      <c r="R55" s="88">
        <f t="shared" si="9"/>
        <v>1439</v>
      </c>
      <c r="S55" s="88">
        <v>160</v>
      </c>
      <c r="T55" s="88">
        <v>20</v>
      </c>
      <c r="U55" s="88">
        <f t="shared" si="11"/>
        <v>180</v>
      </c>
      <c r="V55" s="88">
        <f t="shared" si="12"/>
        <v>9</v>
      </c>
      <c r="W55" s="89">
        <v>13</v>
      </c>
      <c r="X55" s="90" t="s">
        <v>97</v>
      </c>
      <c r="Y55" s="91">
        <f t="shared" si="13"/>
        <v>1.736111111111111E-3</v>
      </c>
      <c r="Z55" s="92">
        <f t="shared" si="14"/>
        <v>1.3888888888888889E-3</v>
      </c>
      <c r="AA55" s="92">
        <f t="shared" si="15"/>
        <v>1.0995370370370371E-3</v>
      </c>
      <c r="AB55" s="93" t="s">
        <v>68</v>
      </c>
      <c r="AC55" s="93" t="s">
        <v>68</v>
      </c>
      <c r="AD55" s="93" t="s">
        <v>82</v>
      </c>
      <c r="AE55" s="93" t="s">
        <v>98</v>
      </c>
      <c r="AF55" s="93" t="s">
        <v>99</v>
      </c>
      <c r="AG55" s="93" t="s">
        <v>68</v>
      </c>
      <c r="AH55" s="93" t="s">
        <v>280</v>
      </c>
      <c r="AI55" s="93" t="s">
        <v>73</v>
      </c>
      <c r="AJ55" s="94"/>
      <c r="AK55" s="94"/>
      <c r="AL55" s="94"/>
      <c r="AM55" s="94" t="str">
        <f t="shared" si="16"/>
        <v/>
      </c>
      <c r="AN55" s="94" t="str">
        <f t="shared" si="17"/>
        <v/>
      </c>
      <c r="AO55" s="94" t="str">
        <f t="shared" si="18"/>
        <v/>
      </c>
      <c r="AP55" s="94"/>
      <c r="AQ55" s="93"/>
      <c r="AR55" s="95"/>
      <c r="AS55" s="95"/>
      <c r="AT55" s="95"/>
      <c r="AU55" s="95"/>
    </row>
    <row r="56" spans="1:47" ht="81.95" customHeight="1">
      <c r="A56" s="83" t="s">
        <v>275</v>
      </c>
      <c r="B56" s="84">
        <v>52</v>
      </c>
      <c r="C56" s="84">
        <v>5</v>
      </c>
      <c r="D56" s="84">
        <v>9</v>
      </c>
      <c r="E56" s="83" t="s">
        <v>287</v>
      </c>
      <c r="F56" s="83" t="s">
        <v>217</v>
      </c>
      <c r="G56" s="83" t="s">
        <v>218</v>
      </c>
      <c r="H56" s="85" t="s">
        <v>219</v>
      </c>
      <c r="I56" s="84">
        <v>3</v>
      </c>
      <c r="J56" s="83" t="s">
        <v>220</v>
      </c>
      <c r="K56" s="83" t="s">
        <v>221</v>
      </c>
      <c r="L56" s="86">
        <v>1.6203703703703705E-3</v>
      </c>
      <c r="M56" s="85" t="s">
        <v>222</v>
      </c>
      <c r="N56" s="87">
        <f t="shared" si="19"/>
        <v>6.3368055555555566E-2</v>
      </c>
      <c r="O56" s="83" t="s">
        <v>277</v>
      </c>
      <c r="P56" s="88">
        <v>3270</v>
      </c>
      <c r="Q56" s="88">
        <f t="shared" si="20"/>
        <v>80</v>
      </c>
      <c r="R56" s="88">
        <f t="shared" si="9"/>
        <v>1439</v>
      </c>
      <c r="S56" s="88">
        <v>160</v>
      </c>
      <c r="T56" s="88">
        <v>47</v>
      </c>
      <c r="U56" s="88">
        <f t="shared" si="11"/>
        <v>423</v>
      </c>
      <c r="V56" s="88">
        <f t="shared" si="12"/>
        <v>9</v>
      </c>
      <c r="W56" s="89">
        <v>13</v>
      </c>
      <c r="X56" s="90" t="s">
        <v>97</v>
      </c>
      <c r="Y56" s="91">
        <f t="shared" si="13"/>
        <v>2.0254629629629629E-3</v>
      </c>
      <c r="Z56" s="92">
        <f t="shared" si="14"/>
        <v>1.6203703703703705E-3</v>
      </c>
      <c r="AA56" s="92">
        <f t="shared" si="15"/>
        <v>1.2731481481481483E-3</v>
      </c>
      <c r="AB56" s="93" t="s">
        <v>68</v>
      </c>
      <c r="AC56" s="93" t="s">
        <v>68</v>
      </c>
      <c r="AD56" s="93" t="s">
        <v>82</v>
      </c>
      <c r="AE56" s="93" t="s">
        <v>98</v>
      </c>
      <c r="AF56" s="93" t="s">
        <v>99</v>
      </c>
      <c r="AG56" s="93" t="s">
        <v>68</v>
      </c>
      <c r="AH56" s="93" t="s">
        <v>280</v>
      </c>
      <c r="AI56" s="93" t="s">
        <v>73</v>
      </c>
      <c r="AJ56" s="94"/>
      <c r="AK56" s="94"/>
      <c r="AL56" s="94"/>
      <c r="AM56" s="94" t="str">
        <f t="shared" si="16"/>
        <v/>
      </c>
      <c r="AN56" s="94" t="str">
        <f t="shared" si="17"/>
        <v/>
      </c>
      <c r="AO56" s="94" t="str">
        <f t="shared" si="18"/>
        <v/>
      </c>
      <c r="AP56" s="94"/>
      <c r="AQ56" s="93"/>
      <c r="AR56" s="95"/>
      <c r="AS56" s="95"/>
      <c r="AT56" s="95"/>
      <c r="AU56" s="95"/>
    </row>
    <row r="57" spans="1:47" ht="81.95" customHeight="1">
      <c r="A57" s="83" t="s">
        <v>275</v>
      </c>
      <c r="B57" s="84">
        <v>53</v>
      </c>
      <c r="C57" s="84">
        <v>7</v>
      </c>
      <c r="D57" s="84">
        <v>10</v>
      </c>
      <c r="E57" s="83" t="s">
        <v>288</v>
      </c>
      <c r="F57" s="83" t="s">
        <v>179</v>
      </c>
      <c r="G57" s="83" t="s">
        <v>180</v>
      </c>
      <c r="H57" s="85" t="s">
        <v>224</v>
      </c>
      <c r="I57" s="84">
        <v>1</v>
      </c>
      <c r="J57" s="83" t="s">
        <v>182</v>
      </c>
      <c r="K57" s="83" t="s">
        <v>183</v>
      </c>
      <c r="L57" s="86">
        <v>1.8518518518518517E-3</v>
      </c>
      <c r="M57" s="85" t="s">
        <v>184</v>
      </c>
      <c r="N57" s="87">
        <f t="shared" si="19"/>
        <v>6.5219907407407421E-2</v>
      </c>
      <c r="O57" s="83" t="s">
        <v>277</v>
      </c>
      <c r="P57" s="88">
        <v>3390</v>
      </c>
      <c r="Q57" s="88">
        <f t="shared" si="20"/>
        <v>120</v>
      </c>
      <c r="R57" s="88">
        <f t="shared" si="9"/>
        <v>1439</v>
      </c>
      <c r="S57" s="88">
        <v>180</v>
      </c>
      <c r="T57" s="88">
        <v>160</v>
      </c>
      <c r="U57" s="88">
        <f t="shared" si="11"/>
        <v>1280</v>
      </c>
      <c r="V57" s="88">
        <f t="shared" si="12"/>
        <v>8</v>
      </c>
      <c r="W57" s="89">
        <v>13</v>
      </c>
      <c r="X57" s="90" t="s">
        <v>97</v>
      </c>
      <c r="Y57" s="91">
        <f t="shared" si="13"/>
        <v>2.3148148148148147E-3</v>
      </c>
      <c r="Z57" s="92">
        <f t="shared" si="14"/>
        <v>1.8518518518518517E-3</v>
      </c>
      <c r="AA57" s="92">
        <f t="shared" si="15"/>
        <v>1.5046296296296296E-3</v>
      </c>
      <c r="AB57" s="93" t="s">
        <v>68</v>
      </c>
      <c r="AC57" s="93" t="s">
        <v>68</v>
      </c>
      <c r="AD57" s="93" t="s">
        <v>82</v>
      </c>
      <c r="AE57" s="93" t="s">
        <v>98</v>
      </c>
      <c r="AF57" s="93" t="s">
        <v>99</v>
      </c>
      <c r="AG57" s="93" t="s">
        <v>68</v>
      </c>
      <c r="AH57" s="93" t="s">
        <v>280</v>
      </c>
      <c r="AI57" s="93" t="s">
        <v>73</v>
      </c>
      <c r="AJ57" s="94"/>
      <c r="AK57" s="94"/>
      <c r="AL57" s="94"/>
      <c r="AM57" s="94" t="str">
        <f t="shared" si="16"/>
        <v/>
      </c>
      <c r="AN57" s="94" t="str">
        <f t="shared" si="17"/>
        <v/>
      </c>
      <c r="AO57" s="94" t="str">
        <f t="shared" si="18"/>
        <v/>
      </c>
      <c r="AP57" s="94"/>
      <c r="AQ57" s="93"/>
      <c r="AR57" s="95"/>
      <c r="AS57" s="95"/>
      <c r="AT57" s="95"/>
      <c r="AU57" s="95"/>
    </row>
    <row r="58" spans="1:47" ht="81.95" customHeight="1">
      <c r="A58" s="83" t="s">
        <v>275</v>
      </c>
      <c r="B58" s="84">
        <v>54</v>
      </c>
      <c r="C58" s="84">
        <v>6</v>
      </c>
      <c r="D58" s="84">
        <v>9</v>
      </c>
      <c r="E58" s="83" t="s">
        <v>289</v>
      </c>
      <c r="F58" s="83" t="s">
        <v>171</v>
      </c>
      <c r="G58" s="83" t="s">
        <v>172</v>
      </c>
      <c r="H58" s="85" t="s">
        <v>215</v>
      </c>
      <c r="I58" s="84">
        <v>3</v>
      </c>
      <c r="J58" s="83" t="s">
        <v>290</v>
      </c>
      <c r="K58" s="83" t="s">
        <v>175</v>
      </c>
      <c r="L58" s="86">
        <v>1.8518518518518517E-3</v>
      </c>
      <c r="M58" s="85" t="s">
        <v>176</v>
      </c>
      <c r="N58" s="87">
        <f t="shared" si="19"/>
        <v>6.7071759259259275E-2</v>
      </c>
      <c r="O58" s="83" t="s">
        <v>277</v>
      </c>
      <c r="P58" s="88">
        <v>3490</v>
      </c>
      <c r="Q58" s="88">
        <f t="shared" si="20"/>
        <v>100</v>
      </c>
      <c r="R58" s="88">
        <f t="shared" si="9"/>
        <v>1626</v>
      </c>
      <c r="S58" s="88">
        <v>204</v>
      </c>
      <c r="T58" s="88">
        <v>53</v>
      </c>
      <c r="U58" s="88">
        <f t="shared" si="11"/>
        <v>424</v>
      </c>
      <c r="V58" s="88">
        <f t="shared" si="12"/>
        <v>8</v>
      </c>
      <c r="W58" s="89">
        <v>14</v>
      </c>
      <c r="X58" s="90" t="s">
        <v>237</v>
      </c>
      <c r="Y58" s="91">
        <f t="shared" si="13"/>
        <v>2.3148148148148147E-3</v>
      </c>
      <c r="Z58" s="92">
        <f t="shared" si="14"/>
        <v>1.8518518518518517E-3</v>
      </c>
      <c r="AA58" s="92">
        <f t="shared" si="15"/>
        <v>1.5046296296296296E-3</v>
      </c>
      <c r="AB58" s="93" t="s">
        <v>68</v>
      </c>
      <c r="AC58" s="93" t="s">
        <v>68</v>
      </c>
      <c r="AD58" s="93" t="s">
        <v>82</v>
      </c>
      <c r="AE58" s="93" t="s">
        <v>98</v>
      </c>
      <c r="AF58" s="93" t="s">
        <v>99</v>
      </c>
      <c r="AG58" s="93" t="s">
        <v>68</v>
      </c>
      <c r="AH58" s="93" t="s">
        <v>280</v>
      </c>
      <c r="AI58" s="93" t="s">
        <v>73</v>
      </c>
      <c r="AJ58" s="94"/>
      <c r="AK58" s="94"/>
      <c r="AL58" s="94"/>
      <c r="AM58" s="94" t="str">
        <f t="shared" si="16"/>
        <v/>
      </c>
      <c r="AN58" s="94" t="str">
        <f t="shared" si="17"/>
        <v/>
      </c>
      <c r="AO58" s="94" t="str">
        <f t="shared" si="18"/>
        <v/>
      </c>
      <c r="AP58" s="94"/>
      <c r="AQ58" s="93"/>
      <c r="AR58" s="95"/>
      <c r="AS58" s="95"/>
      <c r="AT58" s="95"/>
      <c r="AU58" s="95"/>
    </row>
    <row r="59" spans="1:47" ht="81.95" customHeight="1">
      <c r="A59" s="83" t="s">
        <v>275</v>
      </c>
      <c r="B59" s="84">
        <v>55</v>
      </c>
      <c r="C59" s="84">
        <v>9</v>
      </c>
      <c r="D59" s="84">
        <v>10</v>
      </c>
      <c r="E59" s="83" t="s">
        <v>291</v>
      </c>
      <c r="F59" s="83" t="s">
        <v>248</v>
      </c>
      <c r="G59" s="83" t="s">
        <v>249</v>
      </c>
      <c r="H59" s="85" t="s">
        <v>250</v>
      </c>
      <c r="I59" s="84">
        <v>1</v>
      </c>
      <c r="J59" s="83" t="s">
        <v>251</v>
      </c>
      <c r="K59" s="83" t="s">
        <v>191</v>
      </c>
      <c r="L59" s="86">
        <v>3.1828703703703702E-3</v>
      </c>
      <c r="M59" s="85" t="s">
        <v>252</v>
      </c>
      <c r="N59" s="87">
        <f t="shared" si="19"/>
        <v>7.0254629629629639E-2</v>
      </c>
      <c r="O59" s="83" t="s">
        <v>277</v>
      </c>
      <c r="P59" s="88">
        <v>3670</v>
      </c>
      <c r="Q59" s="88">
        <f t="shared" si="20"/>
        <v>180</v>
      </c>
      <c r="R59" s="88">
        <f t="shared" si="9"/>
        <v>1626</v>
      </c>
      <c r="S59" s="88">
        <v>233</v>
      </c>
      <c r="T59" s="88">
        <v>275</v>
      </c>
      <c r="U59" s="88">
        <f t="shared" si="11"/>
        <v>1925</v>
      </c>
      <c r="V59" s="88">
        <f t="shared" si="12"/>
        <v>7</v>
      </c>
      <c r="W59" s="89">
        <v>14</v>
      </c>
      <c r="X59" s="90" t="s">
        <v>97</v>
      </c>
      <c r="Y59" s="91">
        <f t="shared" si="13"/>
        <v>3.9930555555555552E-3</v>
      </c>
      <c r="Z59" s="92">
        <f t="shared" si="14"/>
        <v>3.1828703703703702E-3</v>
      </c>
      <c r="AA59" s="92">
        <f t="shared" si="15"/>
        <v>2.5462962962962965E-3</v>
      </c>
      <c r="AB59" s="93" t="s">
        <v>194</v>
      </c>
      <c r="AC59" s="93" t="s">
        <v>68</v>
      </c>
      <c r="AD59" s="93" t="s">
        <v>292</v>
      </c>
      <c r="AE59" s="93" t="s">
        <v>98</v>
      </c>
      <c r="AF59" s="93" t="s">
        <v>197</v>
      </c>
      <c r="AG59" s="93" t="s">
        <v>293</v>
      </c>
      <c r="AH59" s="93" t="s">
        <v>280</v>
      </c>
      <c r="AI59" s="93" t="s">
        <v>125</v>
      </c>
      <c r="AJ59" s="94">
        <v>1600</v>
      </c>
      <c r="AK59" s="94" t="s">
        <v>126</v>
      </c>
      <c r="AL59" s="94">
        <v>1600</v>
      </c>
      <c r="AM59" s="94">
        <f t="shared" si="16"/>
        <v>1280</v>
      </c>
      <c r="AN59" s="94">
        <f t="shared" si="17"/>
        <v>960</v>
      </c>
      <c r="AO59" s="94">
        <f t="shared" si="18"/>
        <v>800</v>
      </c>
      <c r="AP59" s="94">
        <v>0</v>
      </c>
      <c r="AQ59" s="93" t="s">
        <v>229</v>
      </c>
      <c r="AR59" s="95">
        <f>SUM(Z51:Z59)</f>
        <v>1.3425925925925924E-2</v>
      </c>
      <c r="AS59" s="95">
        <f>SUM(Y51:Y59)</f>
        <v>1.6666666666666666E-2</v>
      </c>
      <c r="AT59" s="95">
        <f>SUM(Z51:Z59)</f>
        <v>1.3425925925925924E-2</v>
      </c>
      <c r="AU59" s="95">
        <f>SUM(AA51:AA59)</f>
        <v>1.0937500000000001E-2</v>
      </c>
    </row>
    <row r="60" spans="1:47" ht="81.95" customHeight="1">
      <c r="A60" s="83" t="s">
        <v>275</v>
      </c>
      <c r="B60" s="84">
        <v>56</v>
      </c>
      <c r="C60" s="84">
        <v>2</v>
      </c>
      <c r="D60" s="84">
        <v>7</v>
      </c>
      <c r="E60" s="83" t="s">
        <v>294</v>
      </c>
      <c r="F60" s="83" t="s">
        <v>155</v>
      </c>
      <c r="G60" s="83" t="s">
        <v>156</v>
      </c>
      <c r="H60" s="85" t="s">
        <v>202</v>
      </c>
      <c r="I60" s="84">
        <v>3</v>
      </c>
      <c r="J60" s="83" t="s">
        <v>158</v>
      </c>
      <c r="K60" s="83" t="s">
        <v>64</v>
      </c>
      <c r="L60" s="86">
        <v>7.5231481481481482E-4</v>
      </c>
      <c r="M60" s="85" t="s">
        <v>159</v>
      </c>
      <c r="N60" s="87">
        <f t="shared" si="19"/>
        <v>7.1006944444444456E-2</v>
      </c>
      <c r="O60" s="83" t="s">
        <v>295</v>
      </c>
      <c r="P60" s="88">
        <v>3710</v>
      </c>
      <c r="Q60" s="88">
        <f t="shared" si="20"/>
        <v>40</v>
      </c>
      <c r="R60" s="88">
        <f t="shared" si="9"/>
        <v>1626</v>
      </c>
      <c r="S60" s="88"/>
      <c r="T60" s="88"/>
      <c r="U60" s="88" t="str">
        <f t="shared" si="11"/>
        <v/>
      </c>
      <c r="V60" s="88" t="str">
        <f t="shared" si="12"/>
        <v/>
      </c>
      <c r="W60" s="89">
        <v>14</v>
      </c>
      <c r="X60" s="90" t="s">
        <v>67</v>
      </c>
      <c r="Y60" s="91">
        <f t="shared" si="13"/>
        <v>8.6805555555555551E-4</v>
      </c>
      <c r="Z60" s="92">
        <f t="shared" si="14"/>
        <v>7.5231481481481482E-4</v>
      </c>
      <c r="AA60" s="92">
        <f t="shared" si="15"/>
        <v>6.9444444444444447E-4</v>
      </c>
      <c r="AB60" s="93" t="s">
        <v>68</v>
      </c>
      <c r="AC60" s="93" t="s">
        <v>296</v>
      </c>
      <c r="AD60" s="93" t="s">
        <v>297</v>
      </c>
      <c r="AE60" s="93" t="s">
        <v>70</v>
      </c>
      <c r="AF60" s="93" t="s">
        <v>71</v>
      </c>
      <c r="AG60" s="93" t="s">
        <v>68</v>
      </c>
      <c r="AH60" s="93" t="s">
        <v>280</v>
      </c>
      <c r="AI60" s="93" t="s">
        <v>73</v>
      </c>
      <c r="AJ60" s="94"/>
      <c r="AK60" s="94"/>
      <c r="AL60" s="94"/>
      <c r="AM60" s="94" t="str">
        <f t="shared" si="16"/>
        <v/>
      </c>
      <c r="AN60" s="94" t="str">
        <f t="shared" si="17"/>
        <v/>
      </c>
      <c r="AO60" s="94" t="str">
        <f t="shared" si="18"/>
        <v/>
      </c>
      <c r="AP60" s="94"/>
      <c r="AQ60" s="93"/>
      <c r="AR60" s="95"/>
      <c r="AS60" s="95"/>
      <c r="AT60" s="95"/>
      <c r="AU60" s="95"/>
    </row>
    <row r="61" spans="1:47" ht="81.95" customHeight="1">
      <c r="A61" s="83" t="s">
        <v>275</v>
      </c>
      <c r="B61" s="84">
        <v>57</v>
      </c>
      <c r="C61" s="84">
        <v>2</v>
      </c>
      <c r="D61" s="84">
        <v>7</v>
      </c>
      <c r="E61" s="83" t="s">
        <v>298</v>
      </c>
      <c r="F61" s="83" t="s">
        <v>60</v>
      </c>
      <c r="G61" s="83" t="s">
        <v>61</v>
      </c>
      <c r="H61" s="85" t="s">
        <v>231</v>
      </c>
      <c r="I61" s="84">
        <v>1</v>
      </c>
      <c r="J61" s="83" t="s">
        <v>63</v>
      </c>
      <c r="K61" s="83" t="s">
        <v>64</v>
      </c>
      <c r="L61" s="86">
        <v>8.1018518518518527E-4</v>
      </c>
      <c r="M61" s="85" t="s">
        <v>65</v>
      </c>
      <c r="N61" s="87">
        <f t="shared" si="19"/>
        <v>7.1817129629629647E-2</v>
      </c>
      <c r="O61" s="83" t="s">
        <v>295</v>
      </c>
      <c r="P61" s="88">
        <v>3740</v>
      </c>
      <c r="Q61" s="88">
        <f t="shared" si="20"/>
        <v>30</v>
      </c>
      <c r="R61" s="88">
        <f t="shared" si="9"/>
        <v>1626</v>
      </c>
      <c r="S61" s="88"/>
      <c r="T61" s="88"/>
      <c r="U61" s="88" t="str">
        <f t="shared" si="11"/>
        <v/>
      </c>
      <c r="V61" s="88" t="str">
        <f t="shared" si="12"/>
        <v/>
      </c>
      <c r="W61" s="89">
        <v>14</v>
      </c>
      <c r="X61" s="90" t="s">
        <v>86</v>
      </c>
      <c r="Y61" s="91">
        <f t="shared" si="13"/>
        <v>9.2592592592592596E-4</v>
      </c>
      <c r="Z61" s="92">
        <f t="shared" si="14"/>
        <v>8.1018518518518527E-4</v>
      </c>
      <c r="AA61" s="92">
        <f t="shared" si="15"/>
        <v>7.5231481481481482E-4</v>
      </c>
      <c r="AB61" s="93" t="s">
        <v>68</v>
      </c>
      <c r="AC61" s="93" t="s">
        <v>68</v>
      </c>
      <c r="AD61" s="93" t="s">
        <v>82</v>
      </c>
      <c r="AE61" s="93" t="s">
        <v>87</v>
      </c>
      <c r="AF61" s="93" t="s">
        <v>88</v>
      </c>
      <c r="AG61" s="93" t="s">
        <v>68</v>
      </c>
      <c r="AH61" s="93" t="s">
        <v>280</v>
      </c>
      <c r="AI61" s="93" t="s">
        <v>73</v>
      </c>
      <c r="AJ61" s="94"/>
      <c r="AK61" s="94"/>
      <c r="AL61" s="94"/>
      <c r="AM61" s="94" t="str">
        <f t="shared" si="16"/>
        <v/>
      </c>
      <c r="AN61" s="94" t="str">
        <f t="shared" si="17"/>
        <v/>
      </c>
      <c r="AO61" s="94" t="str">
        <f t="shared" si="18"/>
        <v/>
      </c>
      <c r="AP61" s="94"/>
      <c r="AQ61" s="93"/>
      <c r="AR61" s="95"/>
      <c r="AS61" s="95"/>
      <c r="AT61" s="95"/>
      <c r="AU61" s="95"/>
    </row>
    <row r="62" spans="1:47" ht="81.95" customHeight="1">
      <c r="A62" s="83" t="s">
        <v>275</v>
      </c>
      <c r="B62" s="84">
        <v>58</v>
      </c>
      <c r="C62" s="84">
        <v>5</v>
      </c>
      <c r="D62" s="84">
        <v>9</v>
      </c>
      <c r="E62" s="83" t="s">
        <v>299</v>
      </c>
      <c r="F62" s="83" t="s">
        <v>146</v>
      </c>
      <c r="G62" s="83" t="s">
        <v>147</v>
      </c>
      <c r="H62" s="85" t="s">
        <v>210</v>
      </c>
      <c r="I62" s="84">
        <v>6</v>
      </c>
      <c r="J62" s="83" t="s">
        <v>286</v>
      </c>
      <c r="K62" s="83" t="s">
        <v>150</v>
      </c>
      <c r="L62" s="86">
        <v>1.4467592592592594E-3</v>
      </c>
      <c r="M62" s="85" t="s">
        <v>151</v>
      </c>
      <c r="N62" s="87">
        <f t="shared" si="19"/>
        <v>7.3263888888888906E-2</v>
      </c>
      <c r="O62" s="83" t="s">
        <v>295</v>
      </c>
      <c r="P62" s="88">
        <v>3820</v>
      </c>
      <c r="Q62" s="88">
        <f t="shared" si="20"/>
        <v>80</v>
      </c>
      <c r="R62" s="88">
        <f t="shared" si="9"/>
        <v>1825</v>
      </c>
      <c r="S62" s="88">
        <v>203</v>
      </c>
      <c r="T62" s="88">
        <v>21</v>
      </c>
      <c r="U62" s="88">
        <f t="shared" si="11"/>
        <v>189</v>
      </c>
      <c r="V62" s="88">
        <f t="shared" si="12"/>
        <v>9</v>
      </c>
      <c r="W62" s="89">
        <v>15</v>
      </c>
      <c r="X62" s="90" t="s">
        <v>97</v>
      </c>
      <c r="Y62" s="91">
        <f t="shared" si="13"/>
        <v>1.7939814814814815E-3</v>
      </c>
      <c r="Z62" s="92">
        <f t="shared" si="14"/>
        <v>1.4467592592592594E-3</v>
      </c>
      <c r="AA62" s="92">
        <f t="shared" si="15"/>
        <v>1.1574074074074073E-3</v>
      </c>
      <c r="AB62" s="93" t="s">
        <v>68</v>
      </c>
      <c r="AC62" s="93" t="s">
        <v>68</v>
      </c>
      <c r="AD62" s="93" t="s">
        <v>82</v>
      </c>
      <c r="AE62" s="93" t="s">
        <v>98</v>
      </c>
      <c r="AF62" s="93" t="s">
        <v>99</v>
      </c>
      <c r="AG62" s="93" t="s">
        <v>68</v>
      </c>
      <c r="AH62" s="93" t="s">
        <v>280</v>
      </c>
      <c r="AI62" s="93" t="s">
        <v>73</v>
      </c>
      <c r="AJ62" s="94"/>
      <c r="AK62" s="94"/>
      <c r="AL62" s="94"/>
      <c r="AM62" s="94" t="str">
        <f t="shared" si="16"/>
        <v/>
      </c>
      <c r="AN62" s="94" t="str">
        <f t="shared" si="17"/>
        <v/>
      </c>
      <c r="AO62" s="94" t="str">
        <f t="shared" si="18"/>
        <v/>
      </c>
      <c r="AP62" s="94"/>
      <c r="AQ62" s="93"/>
      <c r="AR62" s="95"/>
      <c r="AS62" s="95"/>
      <c r="AT62" s="95"/>
      <c r="AU62" s="95"/>
    </row>
    <row r="63" spans="1:47" ht="81.95" customHeight="1">
      <c r="A63" s="83" t="s">
        <v>275</v>
      </c>
      <c r="B63" s="84">
        <v>59</v>
      </c>
      <c r="C63" s="84">
        <v>6</v>
      </c>
      <c r="D63" s="84">
        <v>9</v>
      </c>
      <c r="E63" s="83" t="s">
        <v>300</v>
      </c>
      <c r="F63" s="83" t="s">
        <v>171</v>
      </c>
      <c r="G63" s="83" t="s">
        <v>172</v>
      </c>
      <c r="H63" s="85" t="s">
        <v>215</v>
      </c>
      <c r="I63" s="84">
        <v>3</v>
      </c>
      <c r="J63" s="83" t="s">
        <v>174</v>
      </c>
      <c r="K63" s="83" t="s">
        <v>175</v>
      </c>
      <c r="L63" s="86">
        <v>1.9097222222222222E-3</v>
      </c>
      <c r="M63" s="85" t="s">
        <v>176</v>
      </c>
      <c r="N63" s="87">
        <f t="shared" si="19"/>
        <v>7.5173611111111122E-2</v>
      </c>
      <c r="O63" s="83" t="s">
        <v>295</v>
      </c>
      <c r="P63" s="88">
        <v>3920</v>
      </c>
      <c r="Q63" s="88">
        <f t="shared" si="20"/>
        <v>100</v>
      </c>
      <c r="R63" s="88">
        <f t="shared" si="9"/>
        <v>1825</v>
      </c>
      <c r="S63" s="88">
        <v>229</v>
      </c>
      <c r="T63" s="88">
        <v>55</v>
      </c>
      <c r="U63" s="88">
        <f t="shared" si="11"/>
        <v>440</v>
      </c>
      <c r="V63" s="88">
        <f t="shared" si="12"/>
        <v>8</v>
      </c>
      <c r="W63" s="89">
        <v>15</v>
      </c>
      <c r="X63" s="90" t="s">
        <v>237</v>
      </c>
      <c r="Y63" s="91">
        <f t="shared" si="13"/>
        <v>2.3726851851851851E-3</v>
      </c>
      <c r="Z63" s="92">
        <f t="shared" si="14"/>
        <v>1.9097222222222222E-3</v>
      </c>
      <c r="AA63" s="92">
        <f t="shared" si="15"/>
        <v>1.5046296296296296E-3</v>
      </c>
      <c r="AB63" s="93" t="s">
        <v>68</v>
      </c>
      <c r="AC63" s="93" t="s">
        <v>68</v>
      </c>
      <c r="AD63" s="93" t="s">
        <v>82</v>
      </c>
      <c r="AE63" s="93" t="s">
        <v>98</v>
      </c>
      <c r="AF63" s="93" t="s">
        <v>99</v>
      </c>
      <c r="AG63" s="93" t="s">
        <v>68</v>
      </c>
      <c r="AH63" s="93" t="s">
        <v>280</v>
      </c>
      <c r="AI63" s="93" t="s">
        <v>73</v>
      </c>
      <c r="AJ63" s="94"/>
      <c r="AK63" s="94"/>
      <c r="AL63" s="94"/>
      <c r="AM63" s="94" t="str">
        <f t="shared" si="16"/>
        <v/>
      </c>
      <c r="AN63" s="94" t="str">
        <f t="shared" si="17"/>
        <v/>
      </c>
      <c r="AO63" s="94" t="str">
        <f t="shared" si="18"/>
        <v/>
      </c>
      <c r="AP63" s="94"/>
      <c r="AQ63" s="93"/>
      <c r="AR63" s="95"/>
      <c r="AS63" s="95"/>
      <c r="AT63" s="95"/>
      <c r="AU63" s="95"/>
    </row>
    <row r="64" spans="1:47" ht="81.95" customHeight="1">
      <c r="A64" s="83" t="s">
        <v>275</v>
      </c>
      <c r="B64" s="84">
        <v>60</v>
      </c>
      <c r="C64" s="84">
        <v>7</v>
      </c>
      <c r="D64" s="84">
        <v>10</v>
      </c>
      <c r="E64" s="83" t="s">
        <v>301</v>
      </c>
      <c r="F64" s="83" t="s">
        <v>179</v>
      </c>
      <c r="G64" s="83" t="s">
        <v>180</v>
      </c>
      <c r="H64" s="85" t="s">
        <v>224</v>
      </c>
      <c r="I64" s="84">
        <v>1</v>
      </c>
      <c r="J64" s="83" t="s">
        <v>182</v>
      </c>
      <c r="K64" s="83" t="s">
        <v>183</v>
      </c>
      <c r="L64" s="86">
        <v>1.9097222222222222E-3</v>
      </c>
      <c r="M64" s="85" t="s">
        <v>184</v>
      </c>
      <c r="N64" s="87">
        <f t="shared" si="19"/>
        <v>7.7083333333333337E-2</v>
      </c>
      <c r="O64" s="83" t="s">
        <v>295</v>
      </c>
      <c r="P64" s="88">
        <v>4040</v>
      </c>
      <c r="Q64" s="88">
        <f t="shared" si="20"/>
        <v>120</v>
      </c>
      <c r="R64" s="88">
        <f t="shared" si="9"/>
        <v>1825</v>
      </c>
      <c r="S64" s="88">
        <v>229</v>
      </c>
      <c r="T64" s="88">
        <v>165</v>
      </c>
      <c r="U64" s="88">
        <f t="shared" si="11"/>
        <v>1320</v>
      </c>
      <c r="V64" s="88">
        <f t="shared" si="12"/>
        <v>8</v>
      </c>
      <c r="W64" s="89">
        <v>15</v>
      </c>
      <c r="X64" s="90" t="s">
        <v>97</v>
      </c>
      <c r="Y64" s="91">
        <f t="shared" si="13"/>
        <v>2.3726851851851851E-3</v>
      </c>
      <c r="Z64" s="92">
        <f t="shared" si="14"/>
        <v>1.9097222222222222E-3</v>
      </c>
      <c r="AA64" s="92">
        <f t="shared" si="15"/>
        <v>1.5046296296296296E-3</v>
      </c>
      <c r="AB64" s="93" t="s">
        <v>68</v>
      </c>
      <c r="AC64" s="93" t="s">
        <v>68</v>
      </c>
      <c r="AD64" s="93" t="s">
        <v>82</v>
      </c>
      <c r="AE64" s="93" t="s">
        <v>98</v>
      </c>
      <c r="AF64" s="93" t="s">
        <v>99</v>
      </c>
      <c r="AG64" s="93" t="s">
        <v>68</v>
      </c>
      <c r="AH64" s="93" t="s">
        <v>280</v>
      </c>
      <c r="AI64" s="93" t="s">
        <v>73</v>
      </c>
      <c r="AJ64" s="94"/>
      <c r="AK64" s="94"/>
      <c r="AL64" s="94"/>
      <c r="AM64" s="94" t="str">
        <f t="shared" si="16"/>
        <v/>
      </c>
      <c r="AN64" s="94" t="str">
        <f t="shared" si="17"/>
        <v/>
      </c>
      <c r="AO64" s="94" t="str">
        <f t="shared" si="18"/>
        <v/>
      </c>
      <c r="AP64" s="94"/>
      <c r="AQ64" s="93"/>
      <c r="AR64" s="95"/>
      <c r="AS64" s="95"/>
      <c r="AT64" s="95"/>
      <c r="AU64" s="95"/>
    </row>
    <row r="65" spans="1:47" ht="81.95" customHeight="1">
      <c r="A65" s="83" t="s">
        <v>275</v>
      </c>
      <c r="B65" s="84">
        <v>61</v>
      </c>
      <c r="C65" s="84">
        <v>5</v>
      </c>
      <c r="D65" s="84">
        <v>9</v>
      </c>
      <c r="E65" s="83" t="s">
        <v>302</v>
      </c>
      <c r="F65" s="83" t="s">
        <v>146</v>
      </c>
      <c r="G65" s="83" t="s">
        <v>147</v>
      </c>
      <c r="H65" s="85" t="s">
        <v>210</v>
      </c>
      <c r="I65" s="84">
        <v>6</v>
      </c>
      <c r="J65" s="83" t="s">
        <v>286</v>
      </c>
      <c r="K65" s="83" t="s">
        <v>150</v>
      </c>
      <c r="L65" s="86">
        <v>1.4467592592592594E-3</v>
      </c>
      <c r="M65" s="85" t="s">
        <v>151</v>
      </c>
      <c r="N65" s="87">
        <f t="shared" si="19"/>
        <v>7.8530092592592596E-2</v>
      </c>
      <c r="O65" s="83" t="s">
        <v>295</v>
      </c>
      <c r="P65" s="88">
        <v>4120</v>
      </c>
      <c r="Q65" s="88">
        <f t="shared" si="20"/>
        <v>80</v>
      </c>
      <c r="R65" s="88">
        <f t="shared" si="9"/>
        <v>1825</v>
      </c>
      <c r="S65" s="88">
        <v>203</v>
      </c>
      <c r="T65" s="88">
        <v>21</v>
      </c>
      <c r="U65" s="88">
        <f t="shared" si="11"/>
        <v>189</v>
      </c>
      <c r="V65" s="88">
        <f t="shared" si="12"/>
        <v>9</v>
      </c>
      <c r="W65" s="89">
        <v>15</v>
      </c>
      <c r="X65" s="90" t="s">
        <v>97</v>
      </c>
      <c r="Y65" s="91">
        <f t="shared" si="13"/>
        <v>1.7939814814814815E-3</v>
      </c>
      <c r="Z65" s="92">
        <f t="shared" si="14"/>
        <v>1.4467592592592594E-3</v>
      </c>
      <c r="AA65" s="92">
        <f t="shared" si="15"/>
        <v>1.1574074074074073E-3</v>
      </c>
      <c r="AB65" s="93" t="s">
        <v>68</v>
      </c>
      <c r="AC65" s="93" t="s">
        <v>68</v>
      </c>
      <c r="AD65" s="93" t="s">
        <v>82</v>
      </c>
      <c r="AE65" s="93" t="s">
        <v>98</v>
      </c>
      <c r="AF65" s="93" t="s">
        <v>99</v>
      </c>
      <c r="AG65" s="93" t="s">
        <v>68</v>
      </c>
      <c r="AH65" s="93" t="s">
        <v>280</v>
      </c>
      <c r="AI65" s="93" t="s">
        <v>73</v>
      </c>
      <c r="AJ65" s="94"/>
      <c r="AK65" s="94"/>
      <c r="AL65" s="94"/>
      <c r="AM65" s="94" t="str">
        <f t="shared" si="16"/>
        <v/>
      </c>
      <c r="AN65" s="94" t="str">
        <f t="shared" si="17"/>
        <v/>
      </c>
      <c r="AO65" s="94" t="str">
        <f t="shared" si="18"/>
        <v/>
      </c>
      <c r="AP65" s="94"/>
      <c r="AQ65" s="93"/>
      <c r="AR65" s="95"/>
      <c r="AS65" s="95"/>
      <c r="AT65" s="95"/>
      <c r="AU65" s="95"/>
    </row>
    <row r="66" spans="1:47" ht="81.95" customHeight="1">
      <c r="A66" s="83" t="s">
        <v>275</v>
      </c>
      <c r="B66" s="84">
        <v>62</v>
      </c>
      <c r="C66" s="84">
        <v>5</v>
      </c>
      <c r="D66" s="84">
        <v>9</v>
      </c>
      <c r="E66" s="83" t="s">
        <v>303</v>
      </c>
      <c r="F66" s="83" t="s">
        <v>217</v>
      </c>
      <c r="G66" s="83" t="s">
        <v>218</v>
      </c>
      <c r="H66" s="85" t="s">
        <v>219</v>
      </c>
      <c r="I66" s="84">
        <v>3</v>
      </c>
      <c r="J66" s="83" t="s">
        <v>220</v>
      </c>
      <c r="K66" s="83" t="s">
        <v>221</v>
      </c>
      <c r="L66" s="86">
        <v>1.6782407407407406E-3</v>
      </c>
      <c r="M66" s="85" t="s">
        <v>222</v>
      </c>
      <c r="N66" s="87">
        <f t="shared" si="19"/>
        <v>8.020833333333334E-2</v>
      </c>
      <c r="O66" s="83" t="s">
        <v>295</v>
      </c>
      <c r="P66" s="88">
        <v>4200</v>
      </c>
      <c r="Q66" s="88">
        <f t="shared" si="20"/>
        <v>80</v>
      </c>
      <c r="R66" s="88">
        <f t="shared" si="9"/>
        <v>2036</v>
      </c>
      <c r="S66" s="88">
        <v>227</v>
      </c>
      <c r="T66" s="88">
        <v>48</v>
      </c>
      <c r="U66" s="88">
        <f t="shared" si="11"/>
        <v>432</v>
      </c>
      <c r="V66" s="88">
        <f t="shared" si="12"/>
        <v>9</v>
      </c>
      <c r="W66" s="89">
        <v>16</v>
      </c>
      <c r="X66" s="90" t="s">
        <v>114</v>
      </c>
      <c r="Y66" s="91">
        <f t="shared" si="13"/>
        <v>2.0833333333333333E-3</v>
      </c>
      <c r="Z66" s="92">
        <f t="shared" si="14"/>
        <v>1.6782407407407406E-3</v>
      </c>
      <c r="AA66" s="92">
        <f t="shared" si="15"/>
        <v>1.3310185185185185E-3</v>
      </c>
      <c r="AB66" s="93" t="s">
        <v>68</v>
      </c>
      <c r="AC66" s="93" t="s">
        <v>68</v>
      </c>
      <c r="AD66" s="93" t="s">
        <v>82</v>
      </c>
      <c r="AE66" s="93" t="s">
        <v>98</v>
      </c>
      <c r="AF66" s="93" t="s">
        <v>99</v>
      </c>
      <c r="AG66" s="93" t="s">
        <v>68</v>
      </c>
      <c r="AH66" s="93" t="s">
        <v>280</v>
      </c>
      <c r="AI66" s="93" t="s">
        <v>73</v>
      </c>
      <c r="AJ66" s="94"/>
      <c r="AK66" s="94"/>
      <c r="AL66" s="94"/>
      <c r="AM66" s="94" t="str">
        <f t="shared" si="16"/>
        <v/>
      </c>
      <c r="AN66" s="94" t="str">
        <f t="shared" si="17"/>
        <v/>
      </c>
      <c r="AO66" s="94" t="str">
        <f t="shared" si="18"/>
        <v/>
      </c>
      <c r="AP66" s="94"/>
      <c r="AQ66" s="93"/>
      <c r="AR66" s="95"/>
      <c r="AS66" s="95"/>
      <c r="AT66" s="95"/>
      <c r="AU66" s="95"/>
    </row>
    <row r="67" spans="1:47" ht="81.95" customHeight="1">
      <c r="A67" s="83" t="s">
        <v>275</v>
      </c>
      <c r="B67" s="84">
        <v>63</v>
      </c>
      <c r="C67" s="84">
        <v>10</v>
      </c>
      <c r="D67" s="84">
        <v>10</v>
      </c>
      <c r="E67" s="83" t="s">
        <v>304</v>
      </c>
      <c r="F67" s="83" t="s">
        <v>248</v>
      </c>
      <c r="G67" s="83" t="s">
        <v>249</v>
      </c>
      <c r="H67" s="85" t="s">
        <v>305</v>
      </c>
      <c r="I67" s="84">
        <v>1</v>
      </c>
      <c r="J67" s="83" t="s">
        <v>251</v>
      </c>
      <c r="K67" s="83" t="s">
        <v>191</v>
      </c>
      <c r="L67" s="86">
        <v>3.1828703703703702E-3</v>
      </c>
      <c r="M67" s="85" t="s">
        <v>252</v>
      </c>
      <c r="N67" s="87">
        <f t="shared" si="19"/>
        <v>8.3391203703703703E-2</v>
      </c>
      <c r="O67" s="83" t="s">
        <v>295</v>
      </c>
      <c r="P67" s="88">
        <v>4380</v>
      </c>
      <c r="Q67" s="88">
        <f t="shared" si="20"/>
        <v>180</v>
      </c>
      <c r="R67" s="88">
        <f t="shared" si="9"/>
        <v>2036</v>
      </c>
      <c r="S67" s="88">
        <v>679</v>
      </c>
      <c r="T67" s="88">
        <v>275</v>
      </c>
      <c r="U67" s="88">
        <f t="shared" si="11"/>
        <v>825</v>
      </c>
      <c r="V67" s="88">
        <f t="shared" si="12"/>
        <v>3</v>
      </c>
      <c r="W67" s="89">
        <v>16</v>
      </c>
      <c r="X67" s="90" t="s">
        <v>225</v>
      </c>
      <c r="Y67" s="91">
        <f t="shared" si="13"/>
        <v>3.9930555555555552E-3</v>
      </c>
      <c r="Z67" s="92">
        <f t="shared" si="14"/>
        <v>3.1828703703703702E-3</v>
      </c>
      <c r="AA67" s="92">
        <f t="shared" si="15"/>
        <v>2.5462962962962965E-3</v>
      </c>
      <c r="AB67" s="93" t="s">
        <v>68</v>
      </c>
      <c r="AC67" s="93" t="s">
        <v>68</v>
      </c>
      <c r="AD67" s="93" t="s">
        <v>82</v>
      </c>
      <c r="AE67" s="93" t="s">
        <v>227</v>
      </c>
      <c r="AF67" s="93" t="s">
        <v>197</v>
      </c>
      <c r="AG67" s="93" t="s">
        <v>68</v>
      </c>
      <c r="AH67" s="93" t="s">
        <v>280</v>
      </c>
      <c r="AI67" s="93" t="s">
        <v>73</v>
      </c>
      <c r="AJ67" s="94"/>
      <c r="AK67" s="94"/>
      <c r="AL67" s="94"/>
      <c r="AM67" s="94" t="str">
        <f t="shared" si="16"/>
        <v/>
      </c>
      <c r="AN67" s="94" t="str">
        <f t="shared" si="17"/>
        <v/>
      </c>
      <c r="AO67" s="94" t="str">
        <f t="shared" si="18"/>
        <v/>
      </c>
      <c r="AP67" s="94"/>
      <c r="AQ67" s="93"/>
      <c r="AR67" s="95"/>
      <c r="AS67" s="95"/>
      <c r="AT67" s="95"/>
      <c r="AU67" s="95"/>
    </row>
    <row r="68" spans="1:47" ht="81.95" customHeight="1">
      <c r="A68" s="83" t="s">
        <v>275</v>
      </c>
      <c r="B68" s="84">
        <v>64</v>
      </c>
      <c r="C68" s="84">
        <v>2</v>
      </c>
      <c r="D68" s="84">
        <v>7</v>
      </c>
      <c r="E68" s="83" t="s">
        <v>306</v>
      </c>
      <c r="F68" s="83" t="s">
        <v>60</v>
      </c>
      <c r="G68" s="83" t="s">
        <v>61</v>
      </c>
      <c r="H68" s="85" t="s">
        <v>231</v>
      </c>
      <c r="I68" s="84">
        <v>1</v>
      </c>
      <c r="J68" s="83" t="s">
        <v>63</v>
      </c>
      <c r="K68" s="83" t="s">
        <v>64</v>
      </c>
      <c r="L68" s="86">
        <v>8.1018518518518527E-4</v>
      </c>
      <c r="M68" s="85" t="s">
        <v>65</v>
      </c>
      <c r="N68" s="87">
        <f t="shared" si="19"/>
        <v>8.4201388888888895E-2</v>
      </c>
      <c r="O68" s="83" t="s">
        <v>295</v>
      </c>
      <c r="P68" s="88">
        <v>4410</v>
      </c>
      <c r="Q68" s="88">
        <f t="shared" si="20"/>
        <v>30</v>
      </c>
      <c r="R68" s="88">
        <f t="shared" si="9"/>
        <v>2036</v>
      </c>
      <c r="S68" s="88">
        <v>204</v>
      </c>
      <c r="T68" s="88">
        <v>70</v>
      </c>
      <c r="U68" s="88">
        <f t="shared" si="11"/>
        <v>700</v>
      </c>
      <c r="V68" s="88">
        <f t="shared" si="12"/>
        <v>10</v>
      </c>
      <c r="W68" s="89">
        <v>16</v>
      </c>
      <c r="X68" s="90" t="s">
        <v>97</v>
      </c>
      <c r="Y68" s="91">
        <f t="shared" si="13"/>
        <v>1.0416666666666667E-3</v>
      </c>
      <c r="Z68" s="92">
        <f t="shared" si="14"/>
        <v>8.1018518518518527E-4</v>
      </c>
      <c r="AA68" s="92">
        <f t="shared" si="15"/>
        <v>6.3657407407407413E-4</v>
      </c>
      <c r="AB68" s="93" t="s">
        <v>307</v>
      </c>
      <c r="AC68" s="93" t="s">
        <v>308</v>
      </c>
      <c r="AD68" s="93" t="s">
        <v>309</v>
      </c>
      <c r="AE68" s="93" t="s">
        <v>98</v>
      </c>
      <c r="AF68" s="93" t="s">
        <v>99</v>
      </c>
      <c r="AG68" s="93" t="s">
        <v>310</v>
      </c>
      <c r="AH68" s="93" t="s">
        <v>280</v>
      </c>
      <c r="AI68" s="93" t="s">
        <v>125</v>
      </c>
      <c r="AJ68" s="94">
        <v>1700</v>
      </c>
      <c r="AK68" s="94" t="s">
        <v>126</v>
      </c>
      <c r="AL68" s="94">
        <v>1700</v>
      </c>
      <c r="AM68" s="94">
        <f t="shared" si="16"/>
        <v>1360</v>
      </c>
      <c r="AN68" s="94">
        <f t="shared" si="17"/>
        <v>1020</v>
      </c>
      <c r="AO68" s="94">
        <f t="shared" si="18"/>
        <v>850</v>
      </c>
      <c r="AP68" s="94">
        <v>0</v>
      </c>
      <c r="AQ68" s="93" t="s">
        <v>311</v>
      </c>
      <c r="AR68" s="95">
        <f>SUM(Z60:Z68)</f>
        <v>1.3946759259259259E-2</v>
      </c>
      <c r="AS68" s="95">
        <f>SUM(Y60:Y68)</f>
        <v>1.7245370370370369E-2</v>
      </c>
      <c r="AT68" s="95">
        <f>SUM(Z60:Z68)</f>
        <v>1.3946759259259259E-2</v>
      </c>
      <c r="AU68" s="95">
        <f>SUM(AA60:AA68)</f>
        <v>1.1284722222222222E-2</v>
      </c>
    </row>
    <row r="69" spans="1:47" ht="81.95" customHeight="1">
      <c r="A69" s="83" t="s">
        <v>275</v>
      </c>
      <c r="B69" s="84">
        <v>65</v>
      </c>
      <c r="C69" s="84">
        <v>2</v>
      </c>
      <c r="D69" s="84">
        <v>7</v>
      </c>
      <c r="E69" s="83" t="s">
        <v>312</v>
      </c>
      <c r="F69" s="83" t="s">
        <v>60</v>
      </c>
      <c r="G69" s="83" t="s">
        <v>61</v>
      </c>
      <c r="H69" s="85" t="s">
        <v>231</v>
      </c>
      <c r="I69" s="84">
        <v>1</v>
      </c>
      <c r="J69" s="83" t="s">
        <v>63</v>
      </c>
      <c r="K69" s="83" t="s">
        <v>64</v>
      </c>
      <c r="L69" s="86">
        <v>8.1018518518518527E-4</v>
      </c>
      <c r="M69" s="85" t="s">
        <v>65</v>
      </c>
      <c r="N69" s="87">
        <f t="shared" si="19"/>
        <v>8.5011574074074087E-2</v>
      </c>
      <c r="O69" s="83" t="s">
        <v>313</v>
      </c>
      <c r="P69" s="88">
        <v>4440</v>
      </c>
      <c r="Q69" s="88">
        <f t="shared" si="20"/>
        <v>30</v>
      </c>
      <c r="R69" s="88">
        <f t="shared" ref="R69:R123" si="21">ROUND($P$2+$Q$2*W69+$R$2*W69^2,0)</f>
        <v>2036</v>
      </c>
      <c r="S69" s="88"/>
      <c r="T69" s="88"/>
      <c r="U69" s="88" t="str">
        <f t="shared" ref="U69:U100" si="22">IF(OR(S69="",T69=""),"",ROUNDUP(R69/S69,0)*T69)</f>
        <v/>
      </c>
      <c r="V69" s="88" t="str">
        <f t="shared" ref="V69:V100" si="23">IF(S69="","",ROUNDUP(R69/S69,0))</f>
        <v/>
      </c>
      <c r="W69" s="89">
        <v>16</v>
      </c>
      <c r="X69" s="90" t="s">
        <v>67</v>
      </c>
      <c r="Y69" s="91">
        <f t="shared" ref="Y69:Y100" si="24">ROUND(L69*IF(S69&lt;&gt;"",1.25,1.15)*86400/5,0)*5/86400</f>
        <v>9.2592592592592596E-4</v>
      </c>
      <c r="Z69" s="92">
        <f t="shared" ref="Z69:Z100" si="25">L69</f>
        <v>8.1018518518518527E-4</v>
      </c>
      <c r="AA69" s="92">
        <f t="shared" ref="AA69:AA100" si="26">ROUND(L69*IF(S69&lt;&gt;"",0.8,0.9)*86400/5,0)*5/86400</f>
        <v>7.5231481481481482E-4</v>
      </c>
      <c r="AB69" s="93" t="s">
        <v>68</v>
      </c>
      <c r="AC69" s="93" t="s">
        <v>68</v>
      </c>
      <c r="AD69" s="93" t="s">
        <v>314</v>
      </c>
      <c r="AE69" s="93" t="s">
        <v>70</v>
      </c>
      <c r="AF69" s="93" t="s">
        <v>71</v>
      </c>
      <c r="AG69" s="93" t="s">
        <v>68</v>
      </c>
      <c r="AH69" s="93" t="s">
        <v>315</v>
      </c>
      <c r="AI69" s="93" t="s">
        <v>73</v>
      </c>
      <c r="AJ69" s="94"/>
      <c r="AK69" s="94"/>
      <c r="AL69" s="94"/>
      <c r="AM69" s="94" t="str">
        <f t="shared" ref="AM69:AM100" si="27">IF(AL69="","",ROUND(AL69*0.8,0))</f>
        <v/>
      </c>
      <c r="AN69" s="94" t="str">
        <f t="shared" ref="AN69:AN100" si="28">IF(AL69="","",ROUND(AL69*0.6,0))</f>
        <v/>
      </c>
      <c r="AO69" s="94" t="str">
        <f t="shared" ref="AO69:AO100" si="29">IF(AL69="","",ROUND(AL69*0.5,0))</f>
        <v/>
      </c>
      <c r="AP69" s="94"/>
      <c r="AQ69" s="93"/>
      <c r="AR69" s="95"/>
      <c r="AS69" s="95"/>
      <c r="AT69" s="95"/>
      <c r="AU69" s="95"/>
    </row>
    <row r="70" spans="1:47" ht="81.95" customHeight="1">
      <c r="A70" s="83" t="s">
        <v>275</v>
      </c>
      <c r="B70" s="84">
        <v>66</v>
      </c>
      <c r="C70" s="84">
        <v>2</v>
      </c>
      <c r="D70" s="84">
        <v>7</v>
      </c>
      <c r="E70" s="83" t="s">
        <v>316</v>
      </c>
      <c r="F70" s="83" t="s">
        <v>155</v>
      </c>
      <c r="G70" s="83" t="s">
        <v>156</v>
      </c>
      <c r="H70" s="85" t="s">
        <v>202</v>
      </c>
      <c r="I70" s="84">
        <v>3</v>
      </c>
      <c r="J70" s="83" t="s">
        <v>158</v>
      </c>
      <c r="K70" s="83" t="s">
        <v>64</v>
      </c>
      <c r="L70" s="86">
        <v>7.5231481481481482E-4</v>
      </c>
      <c r="M70" s="85" t="s">
        <v>159</v>
      </c>
      <c r="N70" s="87">
        <f t="shared" ref="N70:N101" si="30">SUM($L$5:L70)</f>
        <v>8.5763888888888903E-2</v>
      </c>
      <c r="O70" s="83" t="s">
        <v>313</v>
      </c>
      <c r="P70" s="88">
        <v>4480</v>
      </c>
      <c r="Q70" s="88">
        <f t="shared" ref="Q70:Q101" si="31">P70-P69</f>
        <v>40</v>
      </c>
      <c r="R70" s="88">
        <f t="shared" si="21"/>
        <v>2259</v>
      </c>
      <c r="S70" s="88">
        <v>226</v>
      </c>
      <c r="T70" s="88">
        <v>22</v>
      </c>
      <c r="U70" s="88">
        <f t="shared" si="22"/>
        <v>220</v>
      </c>
      <c r="V70" s="88">
        <f t="shared" si="23"/>
        <v>10</v>
      </c>
      <c r="W70" s="89">
        <v>17</v>
      </c>
      <c r="X70" s="90" t="s">
        <v>97</v>
      </c>
      <c r="Y70" s="91">
        <f t="shared" si="24"/>
        <v>9.2592592592592596E-4</v>
      </c>
      <c r="Z70" s="92">
        <f t="shared" si="25"/>
        <v>7.5231481481481482E-4</v>
      </c>
      <c r="AA70" s="92">
        <f t="shared" si="26"/>
        <v>5.7870370370370367E-4</v>
      </c>
      <c r="AB70" s="93" t="s">
        <v>68</v>
      </c>
      <c r="AC70" s="93" t="s">
        <v>68</v>
      </c>
      <c r="AD70" s="93" t="s">
        <v>82</v>
      </c>
      <c r="AE70" s="93" t="s">
        <v>98</v>
      </c>
      <c r="AF70" s="93" t="s">
        <v>99</v>
      </c>
      <c r="AG70" s="93" t="s">
        <v>68</v>
      </c>
      <c r="AH70" s="93" t="s">
        <v>315</v>
      </c>
      <c r="AI70" s="93" t="s">
        <v>73</v>
      </c>
      <c r="AJ70" s="94"/>
      <c r="AK70" s="94"/>
      <c r="AL70" s="94"/>
      <c r="AM70" s="94" t="str">
        <f t="shared" si="27"/>
        <v/>
      </c>
      <c r="AN70" s="94" t="str">
        <f t="shared" si="28"/>
        <v/>
      </c>
      <c r="AO70" s="94" t="str">
        <f t="shared" si="29"/>
        <v/>
      </c>
      <c r="AP70" s="94"/>
      <c r="AQ70" s="93"/>
      <c r="AR70" s="95"/>
      <c r="AS70" s="95"/>
      <c r="AT70" s="95"/>
      <c r="AU70" s="95"/>
    </row>
    <row r="71" spans="1:47" ht="81.95" customHeight="1">
      <c r="A71" s="83" t="s">
        <v>275</v>
      </c>
      <c r="B71" s="84">
        <v>67</v>
      </c>
      <c r="C71" s="84">
        <v>5</v>
      </c>
      <c r="D71" s="84">
        <v>9</v>
      </c>
      <c r="E71" s="83" t="s">
        <v>317</v>
      </c>
      <c r="F71" s="83" t="s">
        <v>146</v>
      </c>
      <c r="G71" s="83" t="s">
        <v>147</v>
      </c>
      <c r="H71" s="85" t="s">
        <v>210</v>
      </c>
      <c r="I71" s="84">
        <v>6</v>
      </c>
      <c r="J71" s="83" t="s">
        <v>286</v>
      </c>
      <c r="K71" s="83" t="s">
        <v>150</v>
      </c>
      <c r="L71" s="86">
        <v>1.4467592592592594E-3</v>
      </c>
      <c r="M71" s="85" t="s">
        <v>151</v>
      </c>
      <c r="N71" s="87">
        <f t="shared" si="30"/>
        <v>8.7210648148148162E-2</v>
      </c>
      <c r="O71" s="83" t="s">
        <v>313</v>
      </c>
      <c r="P71" s="88">
        <v>4560</v>
      </c>
      <c r="Q71" s="88">
        <f t="shared" si="31"/>
        <v>80</v>
      </c>
      <c r="R71" s="88">
        <f t="shared" si="21"/>
        <v>2259</v>
      </c>
      <c r="S71" s="88">
        <v>251</v>
      </c>
      <c r="T71" s="88">
        <v>21</v>
      </c>
      <c r="U71" s="88">
        <f t="shared" si="22"/>
        <v>189</v>
      </c>
      <c r="V71" s="88">
        <f t="shared" si="23"/>
        <v>9</v>
      </c>
      <c r="W71" s="89">
        <v>17</v>
      </c>
      <c r="X71" s="90" t="s">
        <v>97</v>
      </c>
      <c r="Y71" s="91">
        <f t="shared" si="24"/>
        <v>1.7939814814814815E-3</v>
      </c>
      <c r="Z71" s="92">
        <f t="shared" si="25"/>
        <v>1.4467592592592594E-3</v>
      </c>
      <c r="AA71" s="92">
        <f t="shared" si="26"/>
        <v>1.1574074074074073E-3</v>
      </c>
      <c r="AB71" s="93" t="s">
        <v>68</v>
      </c>
      <c r="AC71" s="93" t="s">
        <v>68</v>
      </c>
      <c r="AD71" s="93" t="s">
        <v>82</v>
      </c>
      <c r="AE71" s="93" t="s">
        <v>98</v>
      </c>
      <c r="AF71" s="93" t="s">
        <v>99</v>
      </c>
      <c r="AG71" s="93" t="s">
        <v>68</v>
      </c>
      <c r="AH71" s="93" t="s">
        <v>315</v>
      </c>
      <c r="AI71" s="93" t="s">
        <v>73</v>
      </c>
      <c r="AJ71" s="94"/>
      <c r="AK71" s="94"/>
      <c r="AL71" s="94"/>
      <c r="AM71" s="94" t="str">
        <f t="shared" si="27"/>
        <v/>
      </c>
      <c r="AN71" s="94" t="str">
        <f t="shared" si="28"/>
        <v/>
      </c>
      <c r="AO71" s="94" t="str">
        <f t="shared" si="29"/>
        <v/>
      </c>
      <c r="AP71" s="94"/>
      <c r="AQ71" s="93"/>
      <c r="AR71" s="95"/>
      <c r="AS71" s="95"/>
      <c r="AT71" s="95"/>
      <c r="AU71" s="95"/>
    </row>
    <row r="72" spans="1:47" ht="81.95" customHeight="1">
      <c r="A72" s="83" t="s">
        <v>275</v>
      </c>
      <c r="B72" s="84">
        <v>68</v>
      </c>
      <c r="C72" s="84">
        <v>6</v>
      </c>
      <c r="D72" s="84">
        <v>9</v>
      </c>
      <c r="E72" s="83" t="s">
        <v>318</v>
      </c>
      <c r="F72" s="83" t="s">
        <v>171</v>
      </c>
      <c r="G72" s="83" t="s">
        <v>172</v>
      </c>
      <c r="H72" s="85" t="s">
        <v>215</v>
      </c>
      <c r="I72" s="84">
        <v>3</v>
      </c>
      <c r="J72" s="83" t="s">
        <v>174</v>
      </c>
      <c r="K72" s="83" t="s">
        <v>175</v>
      </c>
      <c r="L72" s="86">
        <v>1.9097222222222222E-3</v>
      </c>
      <c r="M72" s="85" t="s">
        <v>176</v>
      </c>
      <c r="N72" s="87">
        <f t="shared" si="30"/>
        <v>8.9120370370370378E-2</v>
      </c>
      <c r="O72" s="83" t="s">
        <v>313</v>
      </c>
      <c r="P72" s="88">
        <v>4660</v>
      </c>
      <c r="Q72" s="88">
        <f t="shared" si="31"/>
        <v>100</v>
      </c>
      <c r="R72" s="88">
        <f t="shared" si="21"/>
        <v>2259</v>
      </c>
      <c r="S72" s="88">
        <v>283</v>
      </c>
      <c r="T72" s="88">
        <v>55</v>
      </c>
      <c r="U72" s="88">
        <f t="shared" si="22"/>
        <v>440</v>
      </c>
      <c r="V72" s="88">
        <f t="shared" si="23"/>
        <v>8</v>
      </c>
      <c r="W72" s="89">
        <v>17</v>
      </c>
      <c r="X72" s="90" t="s">
        <v>97</v>
      </c>
      <c r="Y72" s="91">
        <f t="shared" si="24"/>
        <v>2.3726851851851851E-3</v>
      </c>
      <c r="Z72" s="92">
        <f t="shared" si="25"/>
        <v>1.9097222222222222E-3</v>
      </c>
      <c r="AA72" s="92">
        <f t="shared" si="26"/>
        <v>1.5046296296296296E-3</v>
      </c>
      <c r="AB72" s="93" t="s">
        <v>68</v>
      </c>
      <c r="AC72" s="93" t="s">
        <v>68</v>
      </c>
      <c r="AD72" s="93" t="s">
        <v>82</v>
      </c>
      <c r="AE72" s="93" t="s">
        <v>98</v>
      </c>
      <c r="AF72" s="93" t="s">
        <v>99</v>
      </c>
      <c r="AG72" s="93" t="s">
        <v>68</v>
      </c>
      <c r="AH72" s="93" t="s">
        <v>315</v>
      </c>
      <c r="AI72" s="93" t="s">
        <v>73</v>
      </c>
      <c r="AJ72" s="94"/>
      <c r="AK72" s="94"/>
      <c r="AL72" s="94"/>
      <c r="AM72" s="94" t="str">
        <f t="shared" si="27"/>
        <v/>
      </c>
      <c r="AN72" s="94" t="str">
        <f t="shared" si="28"/>
        <v/>
      </c>
      <c r="AO72" s="94" t="str">
        <f t="shared" si="29"/>
        <v/>
      </c>
      <c r="AP72" s="94"/>
      <c r="AQ72" s="93"/>
      <c r="AR72" s="95"/>
      <c r="AS72" s="95"/>
      <c r="AT72" s="95"/>
      <c r="AU72" s="95"/>
    </row>
    <row r="73" spans="1:47" ht="81.95" customHeight="1">
      <c r="A73" s="83" t="s">
        <v>275</v>
      </c>
      <c r="B73" s="84">
        <v>69</v>
      </c>
      <c r="C73" s="84">
        <v>7</v>
      </c>
      <c r="D73" s="84">
        <v>10</v>
      </c>
      <c r="E73" s="83" t="s">
        <v>319</v>
      </c>
      <c r="F73" s="83" t="s">
        <v>179</v>
      </c>
      <c r="G73" s="83" t="s">
        <v>180</v>
      </c>
      <c r="H73" s="85" t="s">
        <v>224</v>
      </c>
      <c r="I73" s="84">
        <v>3</v>
      </c>
      <c r="J73" s="83" t="s">
        <v>320</v>
      </c>
      <c r="K73" s="83" t="s">
        <v>183</v>
      </c>
      <c r="L73" s="86">
        <v>1.9097222222222222E-3</v>
      </c>
      <c r="M73" s="85" t="s">
        <v>184</v>
      </c>
      <c r="N73" s="87">
        <f t="shared" si="30"/>
        <v>9.1030092592592593E-2</v>
      </c>
      <c r="O73" s="83" t="s">
        <v>313</v>
      </c>
      <c r="P73" s="88">
        <v>4780</v>
      </c>
      <c r="Q73" s="88">
        <f t="shared" si="31"/>
        <v>120</v>
      </c>
      <c r="R73" s="88">
        <f t="shared" si="21"/>
        <v>2259</v>
      </c>
      <c r="S73" s="88">
        <v>283</v>
      </c>
      <c r="T73" s="88">
        <v>55</v>
      </c>
      <c r="U73" s="88">
        <f t="shared" si="22"/>
        <v>440</v>
      </c>
      <c r="V73" s="88">
        <f t="shared" si="23"/>
        <v>8</v>
      </c>
      <c r="W73" s="89">
        <v>17</v>
      </c>
      <c r="X73" s="90" t="s">
        <v>97</v>
      </c>
      <c r="Y73" s="91">
        <f t="shared" si="24"/>
        <v>2.3726851851851851E-3</v>
      </c>
      <c r="Z73" s="92">
        <f t="shared" si="25"/>
        <v>1.9097222222222222E-3</v>
      </c>
      <c r="AA73" s="92">
        <f t="shared" si="26"/>
        <v>1.5046296296296296E-3</v>
      </c>
      <c r="AB73" s="93" t="s">
        <v>68</v>
      </c>
      <c r="AC73" s="93" t="s">
        <v>68</v>
      </c>
      <c r="AD73" s="93" t="s">
        <v>82</v>
      </c>
      <c r="AE73" s="93" t="s">
        <v>98</v>
      </c>
      <c r="AF73" s="93" t="s">
        <v>99</v>
      </c>
      <c r="AG73" s="93" t="s">
        <v>68</v>
      </c>
      <c r="AH73" s="93" t="s">
        <v>315</v>
      </c>
      <c r="AI73" s="93" t="s">
        <v>73</v>
      </c>
      <c r="AJ73" s="94"/>
      <c r="AK73" s="94"/>
      <c r="AL73" s="94"/>
      <c r="AM73" s="94" t="str">
        <f t="shared" si="27"/>
        <v/>
      </c>
      <c r="AN73" s="94" t="str">
        <f t="shared" si="28"/>
        <v/>
      </c>
      <c r="AO73" s="94" t="str">
        <f t="shared" si="29"/>
        <v/>
      </c>
      <c r="AP73" s="94"/>
      <c r="AQ73" s="93"/>
      <c r="AR73" s="95"/>
      <c r="AS73" s="95"/>
      <c r="AT73" s="95"/>
      <c r="AU73" s="95"/>
    </row>
    <row r="74" spans="1:47" ht="81.95" customHeight="1">
      <c r="A74" s="83" t="s">
        <v>275</v>
      </c>
      <c r="B74" s="84">
        <v>70</v>
      </c>
      <c r="C74" s="84">
        <v>6</v>
      </c>
      <c r="D74" s="84">
        <v>9</v>
      </c>
      <c r="E74" s="83" t="s">
        <v>321</v>
      </c>
      <c r="F74" s="83" t="s">
        <v>146</v>
      </c>
      <c r="G74" s="83" t="s">
        <v>147</v>
      </c>
      <c r="H74" s="85" t="s">
        <v>322</v>
      </c>
      <c r="I74" s="84">
        <v>6</v>
      </c>
      <c r="J74" s="83" t="s">
        <v>286</v>
      </c>
      <c r="K74" s="83" t="s">
        <v>150</v>
      </c>
      <c r="L74" s="86">
        <v>1.5046296296296296E-3</v>
      </c>
      <c r="M74" s="85" t="s">
        <v>151</v>
      </c>
      <c r="N74" s="87">
        <f t="shared" si="30"/>
        <v>9.2534722222222227E-2</v>
      </c>
      <c r="O74" s="83" t="s">
        <v>313</v>
      </c>
      <c r="P74" s="88">
        <v>4860</v>
      </c>
      <c r="Q74" s="88">
        <f t="shared" si="31"/>
        <v>80</v>
      </c>
      <c r="R74" s="88">
        <f t="shared" si="21"/>
        <v>2494</v>
      </c>
      <c r="S74" s="88">
        <f t="shared" ref="S74:S112" ca="1" si="32">IF(OR(V74="",V74=0),"",ROUND(R74/V74,2))</f>
        <v>312</v>
      </c>
      <c r="T74" s="88">
        <v>22</v>
      </c>
      <c r="U74" s="88">
        <f t="shared" ref="U74:U112" ca="1" si="33">IF(OR(S74="",T74=""),"",ROUNDUP(R74/S74,0)*T74)</f>
        <v>176</v>
      </c>
      <c r="V74" s="88">
        <f t="shared" ca="1" si="23"/>
        <v>8</v>
      </c>
      <c r="W74" s="89">
        <v>18</v>
      </c>
      <c r="X74" s="90" t="s">
        <v>213</v>
      </c>
      <c r="Y74" s="91">
        <f t="shared" ca="1" si="24"/>
        <v>1.9097222222222222E-3</v>
      </c>
      <c r="Z74" s="92">
        <f t="shared" si="25"/>
        <v>1.5046296296296296E-3</v>
      </c>
      <c r="AA74" s="92">
        <f t="shared" ca="1" si="26"/>
        <v>1.2152777777777778E-3</v>
      </c>
      <c r="AB74" s="93" t="s">
        <v>68</v>
      </c>
      <c r="AC74" s="93" t="s">
        <v>68</v>
      </c>
      <c r="AD74" s="93" t="s">
        <v>82</v>
      </c>
      <c r="AE74" s="93" t="s">
        <v>98</v>
      </c>
      <c r="AF74" s="93" t="s">
        <v>99</v>
      </c>
      <c r="AG74" s="93" t="s">
        <v>68</v>
      </c>
      <c r="AH74" s="93" t="s">
        <v>315</v>
      </c>
      <c r="AI74" s="93" t="s">
        <v>73</v>
      </c>
      <c r="AJ74" s="94"/>
      <c r="AK74" s="94"/>
      <c r="AL74" s="94"/>
      <c r="AM74" s="94" t="str">
        <f t="shared" si="27"/>
        <v/>
      </c>
      <c r="AN74" s="94" t="str">
        <f t="shared" si="28"/>
        <v/>
      </c>
      <c r="AO74" s="94" t="str">
        <f t="shared" si="29"/>
        <v/>
      </c>
      <c r="AP74" s="94"/>
      <c r="AQ74" s="93"/>
      <c r="AR74" s="95"/>
      <c r="AS74" s="95"/>
      <c r="AT74" s="95"/>
      <c r="AU74" s="95"/>
    </row>
    <row r="75" spans="1:47" ht="81.95" customHeight="1">
      <c r="A75" s="83" t="s">
        <v>275</v>
      </c>
      <c r="B75" s="84">
        <v>71</v>
      </c>
      <c r="C75" s="84">
        <v>9</v>
      </c>
      <c r="D75" s="84">
        <v>10</v>
      </c>
      <c r="E75" s="83" t="s">
        <v>323</v>
      </c>
      <c r="F75" s="83" t="s">
        <v>324</v>
      </c>
      <c r="G75" s="83" t="s">
        <v>325</v>
      </c>
      <c r="H75" s="85" t="s">
        <v>326</v>
      </c>
      <c r="I75" s="84">
        <v>4</v>
      </c>
      <c r="J75" s="83" t="s">
        <v>327</v>
      </c>
      <c r="K75" s="83" t="s">
        <v>191</v>
      </c>
      <c r="L75" s="86">
        <v>9.3749999999999997E-3</v>
      </c>
      <c r="M75" s="85" t="s">
        <v>328</v>
      </c>
      <c r="N75" s="87">
        <f t="shared" si="30"/>
        <v>0.10190972222222222</v>
      </c>
      <c r="O75" s="83" t="s">
        <v>313</v>
      </c>
      <c r="P75" s="88">
        <v>5040</v>
      </c>
      <c r="Q75" s="88">
        <f t="shared" si="31"/>
        <v>180</v>
      </c>
      <c r="R75" s="88">
        <f t="shared" si="21"/>
        <v>2494</v>
      </c>
      <c r="S75" s="88">
        <v>2494</v>
      </c>
      <c r="T75" s="88">
        <v>810</v>
      </c>
      <c r="U75" s="88">
        <f t="shared" ref="U75:U90" si="34">IF(OR(S75="",T75=""),"",ROUNDUP(R75/S75,0)*T75)</f>
        <v>810</v>
      </c>
      <c r="V75" s="88">
        <f t="shared" si="23"/>
        <v>1</v>
      </c>
      <c r="W75" s="89">
        <v>18</v>
      </c>
      <c r="X75" s="90" t="s">
        <v>329</v>
      </c>
      <c r="Y75" s="91">
        <f t="shared" si="24"/>
        <v>1.1747685185185186E-2</v>
      </c>
      <c r="Z75" s="92">
        <f t="shared" si="25"/>
        <v>9.3749999999999997E-3</v>
      </c>
      <c r="AA75" s="92">
        <f t="shared" si="26"/>
        <v>7.5231481481481477E-3</v>
      </c>
      <c r="AB75" s="93" t="s">
        <v>68</v>
      </c>
      <c r="AC75" s="93" t="s">
        <v>68</v>
      </c>
      <c r="AD75" s="93" t="s">
        <v>82</v>
      </c>
      <c r="AE75" s="93" t="s">
        <v>196</v>
      </c>
      <c r="AF75" s="93" t="s">
        <v>197</v>
      </c>
      <c r="AG75" s="93" t="s">
        <v>330</v>
      </c>
      <c r="AH75" s="93" t="s">
        <v>315</v>
      </c>
      <c r="AI75" s="93" t="s">
        <v>73</v>
      </c>
      <c r="AJ75" s="94"/>
      <c r="AK75" s="94"/>
      <c r="AL75" s="94"/>
      <c r="AM75" s="94" t="str">
        <f t="shared" si="27"/>
        <v/>
      </c>
      <c r="AN75" s="94" t="str">
        <f t="shared" si="28"/>
        <v/>
      </c>
      <c r="AO75" s="94" t="str">
        <f t="shared" si="29"/>
        <v/>
      </c>
      <c r="AP75" s="94"/>
      <c r="AQ75" s="93"/>
      <c r="AR75" s="95"/>
      <c r="AS75" s="95"/>
      <c r="AT75" s="95"/>
      <c r="AU75" s="95"/>
    </row>
    <row r="76" spans="1:47" ht="81.95" customHeight="1">
      <c r="A76" s="83" t="s">
        <v>275</v>
      </c>
      <c r="B76" s="84">
        <v>72</v>
      </c>
      <c r="C76" s="84">
        <v>2</v>
      </c>
      <c r="D76" s="84">
        <v>7</v>
      </c>
      <c r="E76" s="83" t="s">
        <v>331</v>
      </c>
      <c r="F76" s="83" t="s">
        <v>60</v>
      </c>
      <c r="G76" s="83" t="s">
        <v>61</v>
      </c>
      <c r="H76" s="85" t="s">
        <v>231</v>
      </c>
      <c r="I76" s="84">
        <v>1</v>
      </c>
      <c r="J76" s="83" t="s">
        <v>63</v>
      </c>
      <c r="K76" s="83" t="s">
        <v>64</v>
      </c>
      <c r="L76" s="86">
        <v>1.0995370370370369E-3</v>
      </c>
      <c r="M76" s="85" t="s">
        <v>65</v>
      </c>
      <c r="N76" s="87">
        <f t="shared" si="30"/>
        <v>0.10300925925925926</v>
      </c>
      <c r="O76" s="83" t="s">
        <v>313</v>
      </c>
      <c r="P76" s="88">
        <v>5070</v>
      </c>
      <c r="Q76" s="88">
        <f t="shared" si="31"/>
        <v>30</v>
      </c>
      <c r="R76" s="88">
        <f t="shared" si="21"/>
        <v>2494</v>
      </c>
      <c r="S76" s="88"/>
      <c r="T76" s="88"/>
      <c r="U76" s="88" t="str">
        <f t="shared" si="34"/>
        <v/>
      </c>
      <c r="V76" s="88" t="str">
        <f t="shared" si="23"/>
        <v/>
      </c>
      <c r="W76" s="89">
        <v>18</v>
      </c>
      <c r="X76" s="90" t="s">
        <v>67</v>
      </c>
      <c r="Y76" s="91">
        <f t="shared" si="24"/>
        <v>1.2731481481481483E-3</v>
      </c>
      <c r="Z76" s="92">
        <f t="shared" si="25"/>
        <v>1.0995370370370369E-3</v>
      </c>
      <c r="AA76" s="92">
        <f t="shared" si="26"/>
        <v>9.837962962962962E-4</v>
      </c>
      <c r="AB76" s="93" t="s">
        <v>332</v>
      </c>
      <c r="AC76" s="93" t="s">
        <v>333</v>
      </c>
      <c r="AD76" s="93" t="s">
        <v>334</v>
      </c>
      <c r="AE76" s="93" t="s">
        <v>70</v>
      </c>
      <c r="AF76" s="93" t="s">
        <v>71</v>
      </c>
      <c r="AG76" s="93" t="s">
        <v>68</v>
      </c>
      <c r="AH76" s="93" t="s">
        <v>315</v>
      </c>
      <c r="AI76" s="93" t="s">
        <v>125</v>
      </c>
      <c r="AJ76" s="94">
        <v>1800</v>
      </c>
      <c r="AK76" s="94" t="s">
        <v>126</v>
      </c>
      <c r="AL76" s="94">
        <v>1800</v>
      </c>
      <c r="AM76" s="94">
        <f t="shared" si="27"/>
        <v>1440</v>
      </c>
      <c r="AN76" s="94">
        <f t="shared" si="28"/>
        <v>1080</v>
      </c>
      <c r="AO76" s="94">
        <f t="shared" si="29"/>
        <v>900</v>
      </c>
      <c r="AP76" s="94">
        <v>0</v>
      </c>
      <c r="AQ76" s="93" t="s">
        <v>229</v>
      </c>
      <c r="AR76" s="95">
        <f>SUM(Z69:Z76)</f>
        <v>1.8807870370370371E-2</v>
      </c>
      <c r="AS76" s="95">
        <f ca="1">SUM(Y69:Y76)</f>
        <v>2.3321759259259257E-2</v>
      </c>
      <c r="AT76" s="95">
        <f>SUM(Z69:Z76)</f>
        <v>1.8807870370370371E-2</v>
      </c>
      <c r="AU76" s="95">
        <f ca="1">SUM(AA69:AA76)</f>
        <v>1.5219907407407408E-2</v>
      </c>
    </row>
    <row r="77" spans="1:47" ht="81.95" customHeight="1">
      <c r="A77" s="83" t="s">
        <v>335</v>
      </c>
      <c r="B77" s="84">
        <v>73</v>
      </c>
      <c r="C77" s="84">
        <v>4</v>
      </c>
      <c r="D77" s="84">
        <v>8</v>
      </c>
      <c r="E77" s="83" t="s">
        <v>336</v>
      </c>
      <c r="F77" s="83" t="s">
        <v>101</v>
      </c>
      <c r="G77" s="83" t="s">
        <v>102</v>
      </c>
      <c r="H77" s="85" t="s">
        <v>337</v>
      </c>
      <c r="I77" s="84">
        <v>1</v>
      </c>
      <c r="J77" s="83" t="s">
        <v>104</v>
      </c>
      <c r="K77" s="83" t="s">
        <v>105</v>
      </c>
      <c r="L77" s="86">
        <v>8.1018518518518527E-4</v>
      </c>
      <c r="M77" s="85" t="s">
        <v>106</v>
      </c>
      <c r="N77" s="87">
        <f t="shared" si="30"/>
        <v>0.10381944444444445</v>
      </c>
      <c r="O77" s="83" t="s">
        <v>338</v>
      </c>
      <c r="P77" s="88">
        <v>5110</v>
      </c>
      <c r="Q77" s="88">
        <f t="shared" si="31"/>
        <v>40</v>
      </c>
      <c r="R77" s="88">
        <f t="shared" si="21"/>
        <v>2494</v>
      </c>
      <c r="S77" s="88"/>
      <c r="T77" s="88"/>
      <c r="U77" s="88" t="str">
        <f t="shared" si="34"/>
        <v/>
      </c>
      <c r="V77" s="88" t="str">
        <f t="shared" si="23"/>
        <v/>
      </c>
      <c r="W77" s="89">
        <v>18</v>
      </c>
      <c r="X77" s="90" t="s">
        <v>81</v>
      </c>
      <c r="Y77" s="91">
        <f t="shared" si="24"/>
        <v>9.2592592592592596E-4</v>
      </c>
      <c r="Z77" s="92">
        <f t="shared" si="25"/>
        <v>8.1018518518518527E-4</v>
      </c>
      <c r="AA77" s="92">
        <f t="shared" si="26"/>
        <v>7.5231481481481482E-4</v>
      </c>
      <c r="AB77" s="93" t="s">
        <v>68</v>
      </c>
      <c r="AC77" s="93" t="s">
        <v>68</v>
      </c>
      <c r="AD77" s="93" t="s">
        <v>339</v>
      </c>
      <c r="AE77" s="93" t="s">
        <v>83</v>
      </c>
      <c r="AF77" s="93" t="s">
        <v>99</v>
      </c>
      <c r="AG77" s="93" t="s">
        <v>68</v>
      </c>
      <c r="AH77" s="93" t="s">
        <v>340</v>
      </c>
      <c r="AI77" s="93" t="s">
        <v>73</v>
      </c>
      <c r="AJ77" s="94"/>
      <c r="AK77" s="94"/>
      <c r="AL77" s="94"/>
      <c r="AM77" s="94" t="str">
        <f t="shared" si="27"/>
        <v/>
      </c>
      <c r="AN77" s="94" t="str">
        <f t="shared" si="28"/>
        <v/>
      </c>
      <c r="AO77" s="94" t="str">
        <f t="shared" si="29"/>
        <v/>
      </c>
      <c r="AP77" s="94"/>
      <c r="AQ77" s="93"/>
      <c r="AR77" s="95"/>
      <c r="AS77" s="95"/>
      <c r="AT77" s="95"/>
      <c r="AU77" s="95"/>
    </row>
    <row r="78" spans="1:47" ht="81.95" customHeight="1">
      <c r="A78" s="83" t="s">
        <v>335</v>
      </c>
      <c r="B78" s="84">
        <v>74</v>
      </c>
      <c r="C78" s="84">
        <v>6</v>
      </c>
      <c r="D78" s="84">
        <v>10</v>
      </c>
      <c r="E78" s="83" t="s">
        <v>341</v>
      </c>
      <c r="F78" s="83" t="s">
        <v>146</v>
      </c>
      <c r="G78" s="83" t="s">
        <v>147</v>
      </c>
      <c r="H78" s="85" t="s">
        <v>322</v>
      </c>
      <c r="I78" s="84">
        <v>6</v>
      </c>
      <c r="J78" s="83" t="s">
        <v>286</v>
      </c>
      <c r="K78" s="83" t="s">
        <v>150</v>
      </c>
      <c r="L78" s="86">
        <v>1.5625000000000001E-3</v>
      </c>
      <c r="M78" s="85" t="s">
        <v>151</v>
      </c>
      <c r="N78" s="87">
        <f t="shared" si="30"/>
        <v>0.10538194444444444</v>
      </c>
      <c r="O78" s="83" t="s">
        <v>338</v>
      </c>
      <c r="P78" s="88">
        <v>5200</v>
      </c>
      <c r="Q78" s="88">
        <f t="shared" si="31"/>
        <v>90</v>
      </c>
      <c r="R78" s="88">
        <f t="shared" si="21"/>
        <v>2741</v>
      </c>
      <c r="S78" s="88">
        <v>343</v>
      </c>
      <c r="T78" s="88">
        <v>22</v>
      </c>
      <c r="U78" s="88">
        <f t="shared" si="34"/>
        <v>176</v>
      </c>
      <c r="V78" s="88">
        <f t="shared" si="23"/>
        <v>8</v>
      </c>
      <c r="W78" s="89">
        <v>19</v>
      </c>
      <c r="X78" s="90" t="s">
        <v>97</v>
      </c>
      <c r="Y78" s="91">
        <f t="shared" si="24"/>
        <v>1.9675925925925924E-3</v>
      </c>
      <c r="Z78" s="92">
        <f t="shared" si="25"/>
        <v>1.5625000000000001E-3</v>
      </c>
      <c r="AA78" s="92">
        <f t="shared" si="26"/>
        <v>1.2731481481481483E-3</v>
      </c>
      <c r="AB78" s="93" t="s">
        <v>68</v>
      </c>
      <c r="AC78" s="93" t="s">
        <v>68</v>
      </c>
      <c r="AD78" s="93" t="s">
        <v>82</v>
      </c>
      <c r="AE78" s="93" t="s">
        <v>98</v>
      </c>
      <c r="AF78" s="93" t="s">
        <v>99</v>
      </c>
      <c r="AG78" s="93" t="s">
        <v>68</v>
      </c>
      <c r="AH78" s="93" t="s">
        <v>340</v>
      </c>
      <c r="AI78" s="93" t="s">
        <v>73</v>
      </c>
      <c r="AJ78" s="94"/>
      <c r="AK78" s="94"/>
      <c r="AL78" s="94"/>
      <c r="AM78" s="94" t="str">
        <f t="shared" si="27"/>
        <v/>
      </c>
      <c r="AN78" s="94" t="str">
        <f t="shared" si="28"/>
        <v/>
      </c>
      <c r="AO78" s="94" t="str">
        <f t="shared" si="29"/>
        <v/>
      </c>
      <c r="AP78" s="94"/>
      <c r="AQ78" s="93"/>
      <c r="AR78" s="95"/>
      <c r="AS78" s="95"/>
      <c r="AT78" s="95"/>
      <c r="AU78" s="95"/>
    </row>
    <row r="79" spans="1:47" ht="81.95" customHeight="1">
      <c r="A79" s="83" t="s">
        <v>335</v>
      </c>
      <c r="B79" s="84">
        <v>75</v>
      </c>
      <c r="C79" s="84">
        <v>5</v>
      </c>
      <c r="D79" s="84">
        <v>9</v>
      </c>
      <c r="E79" s="83" t="s">
        <v>342</v>
      </c>
      <c r="F79" s="83" t="s">
        <v>343</v>
      </c>
      <c r="G79" s="83" t="s">
        <v>344</v>
      </c>
      <c r="H79" s="85" t="s">
        <v>345</v>
      </c>
      <c r="I79" s="84">
        <v>4</v>
      </c>
      <c r="J79" s="83" t="s">
        <v>346</v>
      </c>
      <c r="K79" s="83" t="s">
        <v>347</v>
      </c>
      <c r="L79" s="86">
        <v>1.5625000000000001E-3</v>
      </c>
      <c r="M79" s="85" t="s">
        <v>348</v>
      </c>
      <c r="N79" s="87">
        <f t="shared" si="30"/>
        <v>0.10694444444444444</v>
      </c>
      <c r="O79" s="83" t="s">
        <v>338</v>
      </c>
      <c r="P79" s="88">
        <v>5280</v>
      </c>
      <c r="Q79" s="88">
        <f t="shared" si="31"/>
        <v>80</v>
      </c>
      <c r="R79" s="88">
        <f t="shared" si="21"/>
        <v>2741</v>
      </c>
      <c r="S79" s="88"/>
      <c r="T79" s="88"/>
      <c r="U79" s="88" t="str">
        <f t="shared" si="34"/>
        <v/>
      </c>
      <c r="V79" s="88" t="str">
        <f t="shared" si="23"/>
        <v/>
      </c>
      <c r="W79" s="89">
        <v>19</v>
      </c>
      <c r="X79" s="90" t="s">
        <v>86</v>
      </c>
      <c r="Y79" s="91">
        <f t="shared" si="24"/>
        <v>1.7939814814814815E-3</v>
      </c>
      <c r="Z79" s="92">
        <f t="shared" si="25"/>
        <v>1.5625000000000001E-3</v>
      </c>
      <c r="AA79" s="92">
        <f t="shared" si="26"/>
        <v>1.3888888888888889E-3</v>
      </c>
      <c r="AB79" s="93" t="s">
        <v>68</v>
      </c>
      <c r="AC79" s="93" t="s">
        <v>68</v>
      </c>
      <c r="AD79" s="93" t="s">
        <v>82</v>
      </c>
      <c r="AE79" s="93" t="s">
        <v>87</v>
      </c>
      <c r="AF79" s="93" t="s">
        <v>99</v>
      </c>
      <c r="AG79" s="93" t="s">
        <v>68</v>
      </c>
      <c r="AH79" s="93" t="s">
        <v>340</v>
      </c>
      <c r="AI79" s="93" t="s">
        <v>73</v>
      </c>
      <c r="AJ79" s="94"/>
      <c r="AK79" s="94"/>
      <c r="AL79" s="94"/>
      <c r="AM79" s="94" t="str">
        <f t="shared" si="27"/>
        <v/>
      </c>
      <c r="AN79" s="94" t="str">
        <f t="shared" si="28"/>
        <v/>
      </c>
      <c r="AO79" s="94" t="str">
        <f t="shared" si="29"/>
        <v/>
      </c>
      <c r="AP79" s="94"/>
      <c r="AQ79" s="93"/>
      <c r="AR79" s="95"/>
      <c r="AS79" s="95"/>
      <c r="AT79" s="95"/>
      <c r="AU79" s="95"/>
    </row>
    <row r="80" spans="1:47" ht="81.95" customHeight="1">
      <c r="A80" s="83" t="s">
        <v>335</v>
      </c>
      <c r="B80" s="84">
        <v>76</v>
      </c>
      <c r="C80" s="84">
        <v>4</v>
      </c>
      <c r="D80" s="84">
        <v>9</v>
      </c>
      <c r="E80" s="83" t="s">
        <v>349</v>
      </c>
      <c r="F80" s="83" t="s">
        <v>75</v>
      </c>
      <c r="G80" s="83" t="s">
        <v>76</v>
      </c>
      <c r="H80" s="85" t="s">
        <v>350</v>
      </c>
      <c r="I80" s="84">
        <v>5</v>
      </c>
      <c r="J80" s="83" t="s">
        <v>351</v>
      </c>
      <c r="K80" s="83" t="s">
        <v>79</v>
      </c>
      <c r="L80" s="86">
        <v>1.0416666666666667E-3</v>
      </c>
      <c r="M80" s="85" t="s">
        <v>80</v>
      </c>
      <c r="N80" s="87">
        <f t="shared" si="30"/>
        <v>0.1079861111111111</v>
      </c>
      <c r="O80" s="83" t="s">
        <v>338</v>
      </c>
      <c r="P80" s="88">
        <v>5340</v>
      </c>
      <c r="Q80" s="88">
        <f t="shared" si="31"/>
        <v>60</v>
      </c>
      <c r="R80" s="88">
        <f t="shared" si="21"/>
        <v>2741</v>
      </c>
      <c r="S80" s="88"/>
      <c r="T80" s="88"/>
      <c r="U80" s="88" t="str">
        <f t="shared" si="34"/>
        <v/>
      </c>
      <c r="V80" s="88" t="str">
        <f t="shared" si="23"/>
        <v/>
      </c>
      <c r="W80" s="89">
        <v>19</v>
      </c>
      <c r="X80" s="90" t="s">
        <v>81</v>
      </c>
      <c r="Y80" s="91">
        <f t="shared" si="24"/>
        <v>1.2152777777777778E-3</v>
      </c>
      <c r="Z80" s="92">
        <f t="shared" si="25"/>
        <v>1.0416666666666667E-3</v>
      </c>
      <c r="AA80" s="92">
        <f t="shared" si="26"/>
        <v>9.2592592592592596E-4</v>
      </c>
      <c r="AB80" s="93" t="s">
        <v>68</v>
      </c>
      <c r="AC80" s="93" t="s">
        <v>68</v>
      </c>
      <c r="AD80" s="93" t="s">
        <v>82</v>
      </c>
      <c r="AE80" s="93" t="s">
        <v>83</v>
      </c>
      <c r="AF80" s="93" t="s">
        <v>99</v>
      </c>
      <c r="AG80" s="93" t="s">
        <v>68</v>
      </c>
      <c r="AH80" s="93" t="s">
        <v>340</v>
      </c>
      <c r="AI80" s="93" t="s">
        <v>73</v>
      </c>
      <c r="AJ80" s="94"/>
      <c r="AK80" s="94"/>
      <c r="AL80" s="94"/>
      <c r="AM80" s="94" t="str">
        <f t="shared" si="27"/>
        <v/>
      </c>
      <c r="AN80" s="94" t="str">
        <f t="shared" si="28"/>
        <v/>
      </c>
      <c r="AO80" s="94" t="str">
        <f t="shared" si="29"/>
        <v/>
      </c>
      <c r="AP80" s="94"/>
      <c r="AQ80" s="93"/>
      <c r="AR80" s="95"/>
      <c r="AS80" s="95"/>
      <c r="AT80" s="95"/>
      <c r="AU80" s="95"/>
    </row>
    <row r="81" spans="1:47" ht="81.95" customHeight="1">
      <c r="A81" s="83" t="s">
        <v>335</v>
      </c>
      <c r="B81" s="84">
        <v>77</v>
      </c>
      <c r="C81" s="84">
        <v>6</v>
      </c>
      <c r="D81" s="84">
        <v>10</v>
      </c>
      <c r="E81" s="83" t="s">
        <v>352</v>
      </c>
      <c r="F81" s="83" t="s">
        <v>146</v>
      </c>
      <c r="G81" s="83" t="s">
        <v>147</v>
      </c>
      <c r="H81" s="85" t="s">
        <v>322</v>
      </c>
      <c r="I81" s="84">
        <v>7</v>
      </c>
      <c r="J81" s="83" t="s">
        <v>353</v>
      </c>
      <c r="K81" s="83" t="s">
        <v>150</v>
      </c>
      <c r="L81" s="86">
        <v>1.5625000000000001E-3</v>
      </c>
      <c r="M81" s="85" t="s">
        <v>151</v>
      </c>
      <c r="N81" s="87">
        <f t="shared" si="30"/>
        <v>0.1095486111111111</v>
      </c>
      <c r="O81" s="83" t="s">
        <v>338</v>
      </c>
      <c r="P81" s="88">
        <v>5430</v>
      </c>
      <c r="Q81" s="88">
        <f t="shared" si="31"/>
        <v>90</v>
      </c>
      <c r="R81" s="88">
        <f t="shared" si="21"/>
        <v>2741</v>
      </c>
      <c r="S81" s="88">
        <v>343</v>
      </c>
      <c r="T81" s="88">
        <v>19</v>
      </c>
      <c r="U81" s="88">
        <f t="shared" si="34"/>
        <v>152</v>
      </c>
      <c r="V81" s="88">
        <f t="shared" si="23"/>
        <v>8</v>
      </c>
      <c r="W81" s="89">
        <v>19</v>
      </c>
      <c r="X81" s="90" t="s">
        <v>97</v>
      </c>
      <c r="Y81" s="91">
        <f t="shared" si="24"/>
        <v>1.9675925925925924E-3</v>
      </c>
      <c r="Z81" s="92">
        <f t="shared" si="25"/>
        <v>1.5625000000000001E-3</v>
      </c>
      <c r="AA81" s="92">
        <f t="shared" si="26"/>
        <v>1.2731481481481483E-3</v>
      </c>
      <c r="AB81" s="93" t="s">
        <v>68</v>
      </c>
      <c r="AC81" s="93" t="s">
        <v>68</v>
      </c>
      <c r="AD81" s="93" t="s">
        <v>82</v>
      </c>
      <c r="AE81" s="93" t="s">
        <v>98</v>
      </c>
      <c r="AF81" s="93" t="s">
        <v>99</v>
      </c>
      <c r="AG81" s="93" t="s">
        <v>68</v>
      </c>
      <c r="AH81" s="93" t="s">
        <v>340</v>
      </c>
      <c r="AI81" s="93" t="s">
        <v>73</v>
      </c>
      <c r="AJ81" s="94"/>
      <c r="AK81" s="94"/>
      <c r="AL81" s="94"/>
      <c r="AM81" s="94" t="str">
        <f t="shared" si="27"/>
        <v/>
      </c>
      <c r="AN81" s="94" t="str">
        <f t="shared" si="28"/>
        <v/>
      </c>
      <c r="AO81" s="94" t="str">
        <f t="shared" si="29"/>
        <v/>
      </c>
      <c r="AP81" s="94"/>
      <c r="AQ81" s="93"/>
      <c r="AR81" s="95"/>
      <c r="AS81" s="95"/>
      <c r="AT81" s="95"/>
      <c r="AU81" s="95"/>
    </row>
    <row r="82" spans="1:47" ht="81.95" customHeight="1">
      <c r="A82" s="83" t="s">
        <v>335</v>
      </c>
      <c r="B82" s="84">
        <v>78</v>
      </c>
      <c r="C82" s="84">
        <v>4</v>
      </c>
      <c r="D82" s="84">
        <v>8</v>
      </c>
      <c r="E82" s="83" t="s">
        <v>354</v>
      </c>
      <c r="F82" s="83" t="s">
        <v>101</v>
      </c>
      <c r="G82" s="83" t="s">
        <v>102</v>
      </c>
      <c r="H82" s="85" t="s">
        <v>337</v>
      </c>
      <c r="I82" s="84">
        <v>1</v>
      </c>
      <c r="J82" s="83" t="s">
        <v>104</v>
      </c>
      <c r="K82" s="83" t="s">
        <v>105</v>
      </c>
      <c r="L82" s="86">
        <v>8.1018518518518527E-4</v>
      </c>
      <c r="M82" s="85" t="s">
        <v>106</v>
      </c>
      <c r="N82" s="87">
        <f t="shared" si="30"/>
        <v>0.11035879629629629</v>
      </c>
      <c r="O82" s="83" t="s">
        <v>338</v>
      </c>
      <c r="P82" s="88">
        <v>5470</v>
      </c>
      <c r="Q82" s="88">
        <f t="shared" si="31"/>
        <v>40</v>
      </c>
      <c r="R82" s="88">
        <f t="shared" si="21"/>
        <v>3000</v>
      </c>
      <c r="S82" s="88">
        <v>334</v>
      </c>
      <c r="T82" s="88">
        <v>70</v>
      </c>
      <c r="U82" s="88">
        <f t="shared" si="34"/>
        <v>630</v>
      </c>
      <c r="V82" s="88">
        <f t="shared" si="23"/>
        <v>9</v>
      </c>
      <c r="W82" s="89">
        <v>20</v>
      </c>
      <c r="X82" s="90" t="s">
        <v>97</v>
      </c>
      <c r="Y82" s="91">
        <f t="shared" si="24"/>
        <v>1.0416666666666667E-3</v>
      </c>
      <c r="Z82" s="92">
        <f t="shared" si="25"/>
        <v>8.1018518518518527E-4</v>
      </c>
      <c r="AA82" s="92">
        <f t="shared" si="26"/>
        <v>6.3657407407407413E-4</v>
      </c>
      <c r="AB82" s="93" t="s">
        <v>68</v>
      </c>
      <c r="AC82" s="93" t="s">
        <v>68</v>
      </c>
      <c r="AD82" s="93" t="s">
        <v>82</v>
      </c>
      <c r="AE82" s="93" t="s">
        <v>98</v>
      </c>
      <c r="AF82" s="93" t="s">
        <v>99</v>
      </c>
      <c r="AG82" s="93" t="s">
        <v>68</v>
      </c>
      <c r="AH82" s="93" t="s">
        <v>340</v>
      </c>
      <c r="AI82" s="93" t="s">
        <v>73</v>
      </c>
      <c r="AJ82" s="94"/>
      <c r="AK82" s="94"/>
      <c r="AL82" s="94"/>
      <c r="AM82" s="94" t="str">
        <f t="shared" si="27"/>
        <v/>
      </c>
      <c r="AN82" s="94" t="str">
        <f t="shared" si="28"/>
        <v/>
      </c>
      <c r="AO82" s="94" t="str">
        <f t="shared" si="29"/>
        <v/>
      </c>
      <c r="AP82" s="94"/>
      <c r="AQ82" s="93"/>
      <c r="AR82" s="95"/>
      <c r="AS82" s="95"/>
      <c r="AT82" s="95"/>
      <c r="AU82" s="95"/>
    </row>
    <row r="83" spans="1:47" ht="81.95" customHeight="1">
      <c r="A83" s="83" t="s">
        <v>335</v>
      </c>
      <c r="B83" s="84">
        <v>79</v>
      </c>
      <c r="C83" s="84">
        <v>8</v>
      </c>
      <c r="D83" s="84">
        <v>10</v>
      </c>
      <c r="E83" s="83" t="s">
        <v>355</v>
      </c>
      <c r="F83" s="83" t="s">
        <v>179</v>
      </c>
      <c r="G83" s="83" t="s">
        <v>180</v>
      </c>
      <c r="H83" s="85" t="s">
        <v>356</v>
      </c>
      <c r="I83" s="84">
        <v>1</v>
      </c>
      <c r="J83" s="83" t="s">
        <v>182</v>
      </c>
      <c r="K83" s="83" t="s">
        <v>183</v>
      </c>
      <c r="L83" s="86">
        <v>2.0254629629629629E-3</v>
      </c>
      <c r="M83" s="85" t="s">
        <v>184</v>
      </c>
      <c r="N83" s="87">
        <f t="shared" si="30"/>
        <v>0.11238425925925925</v>
      </c>
      <c r="O83" s="83" t="s">
        <v>338</v>
      </c>
      <c r="P83" s="88">
        <v>5600</v>
      </c>
      <c r="Q83" s="88">
        <f t="shared" si="31"/>
        <v>130</v>
      </c>
      <c r="R83" s="88">
        <f t="shared" si="21"/>
        <v>3000</v>
      </c>
      <c r="S83" s="88">
        <v>1000</v>
      </c>
      <c r="T83" s="88">
        <v>175</v>
      </c>
      <c r="U83" s="88">
        <f t="shared" si="34"/>
        <v>525</v>
      </c>
      <c r="V83" s="88">
        <f t="shared" si="23"/>
        <v>3</v>
      </c>
      <c r="W83" s="89">
        <v>20</v>
      </c>
      <c r="X83" s="90" t="s">
        <v>225</v>
      </c>
      <c r="Y83" s="91">
        <f t="shared" si="24"/>
        <v>2.5462962962962965E-3</v>
      </c>
      <c r="Z83" s="92">
        <f t="shared" si="25"/>
        <v>2.0254629629629629E-3</v>
      </c>
      <c r="AA83" s="92">
        <f t="shared" si="26"/>
        <v>1.6203703703703703E-3</v>
      </c>
      <c r="AB83" s="93" t="s">
        <v>194</v>
      </c>
      <c r="AC83" s="93" t="s">
        <v>357</v>
      </c>
      <c r="AD83" s="93" t="s">
        <v>358</v>
      </c>
      <c r="AE83" s="93" t="s">
        <v>227</v>
      </c>
      <c r="AF83" s="93" t="s">
        <v>197</v>
      </c>
      <c r="AG83" s="93" t="s">
        <v>359</v>
      </c>
      <c r="AH83" s="93" t="s">
        <v>340</v>
      </c>
      <c r="AI83" s="93" t="s">
        <v>125</v>
      </c>
      <c r="AJ83" s="94">
        <v>1900</v>
      </c>
      <c r="AK83" s="94" t="s">
        <v>126</v>
      </c>
      <c r="AL83" s="94">
        <v>1900</v>
      </c>
      <c r="AM83" s="94">
        <f t="shared" si="27"/>
        <v>1520</v>
      </c>
      <c r="AN83" s="94">
        <f t="shared" si="28"/>
        <v>1140</v>
      </c>
      <c r="AO83" s="94">
        <f t="shared" si="29"/>
        <v>950</v>
      </c>
      <c r="AP83" s="94">
        <v>0</v>
      </c>
      <c r="AQ83" s="93" t="s">
        <v>360</v>
      </c>
      <c r="AR83" s="95">
        <f>SUM(Z77:Z83)</f>
        <v>9.3749999999999997E-3</v>
      </c>
      <c r="AS83" s="95">
        <f>SUM(Y77:Y83)</f>
        <v>1.1458333333333333E-2</v>
      </c>
      <c r="AT83" s="95">
        <f>SUM(Z77:Z83)</f>
        <v>9.3749999999999997E-3</v>
      </c>
      <c r="AU83" s="95">
        <f>SUM(AA77:AA83)</f>
        <v>7.8703703703703713E-3</v>
      </c>
    </row>
    <row r="84" spans="1:47" ht="81.95" customHeight="1">
      <c r="A84" s="83" t="s">
        <v>335</v>
      </c>
      <c r="B84" s="84">
        <v>80</v>
      </c>
      <c r="C84" s="84">
        <v>7</v>
      </c>
      <c r="D84" s="84">
        <v>10</v>
      </c>
      <c r="E84" s="83" t="s">
        <v>361</v>
      </c>
      <c r="F84" s="83" t="s">
        <v>171</v>
      </c>
      <c r="G84" s="83" t="s">
        <v>172</v>
      </c>
      <c r="H84" s="85" t="s">
        <v>362</v>
      </c>
      <c r="I84" s="84">
        <v>3</v>
      </c>
      <c r="J84" s="83" t="s">
        <v>174</v>
      </c>
      <c r="K84" s="83" t="s">
        <v>175</v>
      </c>
      <c r="L84" s="86">
        <v>2.0254629629629629E-3</v>
      </c>
      <c r="M84" s="85" t="s">
        <v>176</v>
      </c>
      <c r="N84" s="87">
        <f t="shared" si="30"/>
        <v>0.11440972222222222</v>
      </c>
      <c r="O84" s="83" t="s">
        <v>363</v>
      </c>
      <c r="P84" s="88">
        <v>5710</v>
      </c>
      <c r="Q84" s="88">
        <f t="shared" si="31"/>
        <v>110</v>
      </c>
      <c r="R84" s="88">
        <f t="shared" si="21"/>
        <v>3000</v>
      </c>
      <c r="S84" s="88">
        <v>375</v>
      </c>
      <c r="T84" s="88">
        <v>58</v>
      </c>
      <c r="U84" s="88">
        <f t="shared" si="34"/>
        <v>464</v>
      </c>
      <c r="V84" s="88">
        <f t="shared" si="23"/>
        <v>8</v>
      </c>
      <c r="W84" s="89">
        <v>20</v>
      </c>
      <c r="X84" s="90" t="s">
        <v>237</v>
      </c>
      <c r="Y84" s="91">
        <f t="shared" si="24"/>
        <v>2.5462962962962965E-3</v>
      </c>
      <c r="Z84" s="92">
        <f t="shared" si="25"/>
        <v>2.0254629629629629E-3</v>
      </c>
      <c r="AA84" s="92">
        <f t="shared" si="26"/>
        <v>1.6203703703703703E-3</v>
      </c>
      <c r="AB84" s="93" t="s">
        <v>68</v>
      </c>
      <c r="AC84" s="93" t="s">
        <v>68</v>
      </c>
      <c r="AD84" s="93" t="s">
        <v>364</v>
      </c>
      <c r="AE84" s="93" t="s">
        <v>98</v>
      </c>
      <c r="AF84" s="93" t="s">
        <v>99</v>
      </c>
      <c r="AG84" s="93" t="s">
        <v>68</v>
      </c>
      <c r="AH84" s="93" t="s">
        <v>340</v>
      </c>
      <c r="AI84" s="93" t="s">
        <v>73</v>
      </c>
      <c r="AJ84" s="94"/>
      <c r="AK84" s="94"/>
      <c r="AL84" s="94"/>
      <c r="AM84" s="94" t="str">
        <f t="shared" si="27"/>
        <v/>
      </c>
      <c r="AN84" s="94" t="str">
        <f t="shared" si="28"/>
        <v/>
      </c>
      <c r="AO84" s="94" t="str">
        <f t="shared" si="29"/>
        <v/>
      </c>
      <c r="AP84" s="94"/>
      <c r="AQ84" s="93"/>
      <c r="AR84" s="95"/>
      <c r="AS84" s="95"/>
      <c r="AT84" s="95"/>
      <c r="AU84" s="95"/>
    </row>
    <row r="85" spans="1:47" ht="81.95" customHeight="1">
      <c r="A85" s="83" t="s">
        <v>335</v>
      </c>
      <c r="B85" s="84">
        <v>81</v>
      </c>
      <c r="C85" s="84">
        <v>4</v>
      </c>
      <c r="D85" s="84">
        <v>9</v>
      </c>
      <c r="E85" s="83" t="s">
        <v>365</v>
      </c>
      <c r="F85" s="83" t="s">
        <v>75</v>
      </c>
      <c r="G85" s="83" t="s">
        <v>76</v>
      </c>
      <c r="H85" s="85" t="s">
        <v>350</v>
      </c>
      <c r="I85" s="84">
        <v>5</v>
      </c>
      <c r="J85" s="83" t="s">
        <v>351</v>
      </c>
      <c r="K85" s="83" t="s">
        <v>79</v>
      </c>
      <c r="L85" s="86">
        <v>1.0416666666666667E-3</v>
      </c>
      <c r="M85" s="85" t="s">
        <v>80</v>
      </c>
      <c r="N85" s="87">
        <f t="shared" si="30"/>
        <v>0.11545138888888888</v>
      </c>
      <c r="O85" s="83" t="s">
        <v>363</v>
      </c>
      <c r="P85" s="88">
        <v>5770</v>
      </c>
      <c r="Q85" s="88">
        <f t="shared" si="31"/>
        <v>60</v>
      </c>
      <c r="R85" s="88">
        <f t="shared" si="21"/>
        <v>3000</v>
      </c>
      <c r="S85" s="88"/>
      <c r="T85" s="88"/>
      <c r="U85" s="88" t="str">
        <f t="shared" si="34"/>
        <v/>
      </c>
      <c r="V85" s="88" t="str">
        <f t="shared" si="23"/>
        <v/>
      </c>
      <c r="W85" s="89">
        <v>20</v>
      </c>
      <c r="X85" s="90" t="s">
        <v>86</v>
      </c>
      <c r="Y85" s="91">
        <f t="shared" si="24"/>
        <v>1.2152777777777778E-3</v>
      </c>
      <c r="Z85" s="92">
        <f t="shared" si="25"/>
        <v>1.0416666666666667E-3</v>
      </c>
      <c r="AA85" s="92">
        <f t="shared" si="26"/>
        <v>9.2592592592592596E-4</v>
      </c>
      <c r="AB85" s="93" t="s">
        <v>68</v>
      </c>
      <c r="AC85" s="93" t="s">
        <v>68</v>
      </c>
      <c r="AD85" s="93" t="s">
        <v>82</v>
      </c>
      <c r="AE85" s="93" t="s">
        <v>87</v>
      </c>
      <c r="AF85" s="93" t="s">
        <v>99</v>
      </c>
      <c r="AG85" s="93" t="s">
        <v>68</v>
      </c>
      <c r="AH85" s="93" t="s">
        <v>340</v>
      </c>
      <c r="AI85" s="93" t="s">
        <v>73</v>
      </c>
      <c r="AJ85" s="94"/>
      <c r="AK85" s="94"/>
      <c r="AL85" s="94"/>
      <c r="AM85" s="94" t="str">
        <f t="shared" si="27"/>
        <v/>
      </c>
      <c r="AN85" s="94" t="str">
        <f t="shared" si="28"/>
        <v/>
      </c>
      <c r="AO85" s="94" t="str">
        <f t="shared" si="29"/>
        <v/>
      </c>
      <c r="AP85" s="94"/>
      <c r="AQ85" s="93"/>
      <c r="AR85" s="95"/>
      <c r="AS85" s="95"/>
      <c r="AT85" s="95"/>
      <c r="AU85" s="95"/>
    </row>
    <row r="86" spans="1:47" ht="81.95" customHeight="1">
      <c r="A86" s="83" t="s">
        <v>335</v>
      </c>
      <c r="B86" s="84">
        <v>82</v>
      </c>
      <c r="C86" s="84">
        <v>6</v>
      </c>
      <c r="D86" s="84">
        <v>10</v>
      </c>
      <c r="E86" s="83" t="s">
        <v>366</v>
      </c>
      <c r="F86" s="83" t="s">
        <v>146</v>
      </c>
      <c r="G86" s="83" t="s">
        <v>147</v>
      </c>
      <c r="H86" s="85" t="s">
        <v>322</v>
      </c>
      <c r="I86" s="84">
        <v>7</v>
      </c>
      <c r="J86" s="83" t="s">
        <v>353</v>
      </c>
      <c r="K86" s="83" t="s">
        <v>150</v>
      </c>
      <c r="L86" s="86">
        <v>1.5625000000000001E-3</v>
      </c>
      <c r="M86" s="85" t="s">
        <v>151</v>
      </c>
      <c r="N86" s="87">
        <f t="shared" si="30"/>
        <v>0.11701388888888888</v>
      </c>
      <c r="O86" s="83" t="s">
        <v>363</v>
      </c>
      <c r="P86" s="88">
        <v>5860</v>
      </c>
      <c r="Q86" s="88">
        <f t="shared" si="31"/>
        <v>90</v>
      </c>
      <c r="R86" s="88">
        <f t="shared" si="21"/>
        <v>3000</v>
      </c>
      <c r="S86" s="88">
        <v>375</v>
      </c>
      <c r="T86" s="88">
        <v>19</v>
      </c>
      <c r="U86" s="88">
        <f t="shared" si="34"/>
        <v>152</v>
      </c>
      <c r="V86" s="88">
        <f t="shared" si="23"/>
        <v>8</v>
      </c>
      <c r="W86" s="89">
        <v>20</v>
      </c>
      <c r="X86" s="90" t="s">
        <v>97</v>
      </c>
      <c r="Y86" s="91">
        <f t="shared" si="24"/>
        <v>1.9675925925925924E-3</v>
      </c>
      <c r="Z86" s="92">
        <f t="shared" si="25"/>
        <v>1.5625000000000001E-3</v>
      </c>
      <c r="AA86" s="92">
        <f t="shared" si="26"/>
        <v>1.2731481481481483E-3</v>
      </c>
      <c r="AB86" s="93" t="s">
        <v>68</v>
      </c>
      <c r="AC86" s="93" t="s">
        <v>68</v>
      </c>
      <c r="AD86" s="93" t="s">
        <v>82</v>
      </c>
      <c r="AE86" s="93" t="s">
        <v>98</v>
      </c>
      <c r="AF86" s="93" t="s">
        <v>99</v>
      </c>
      <c r="AG86" s="93" t="s">
        <v>68</v>
      </c>
      <c r="AH86" s="93" t="s">
        <v>340</v>
      </c>
      <c r="AI86" s="93" t="s">
        <v>73</v>
      </c>
      <c r="AJ86" s="94"/>
      <c r="AK86" s="94"/>
      <c r="AL86" s="94"/>
      <c r="AM86" s="94" t="str">
        <f t="shared" si="27"/>
        <v/>
      </c>
      <c r="AN86" s="94" t="str">
        <f t="shared" si="28"/>
        <v/>
      </c>
      <c r="AO86" s="94" t="str">
        <f t="shared" si="29"/>
        <v/>
      </c>
      <c r="AP86" s="94"/>
      <c r="AQ86" s="93"/>
      <c r="AR86" s="95"/>
      <c r="AS86" s="95"/>
      <c r="AT86" s="95"/>
      <c r="AU86" s="95"/>
    </row>
    <row r="87" spans="1:47" ht="81.95" customHeight="1">
      <c r="A87" s="83" t="s">
        <v>335</v>
      </c>
      <c r="B87" s="84">
        <v>83</v>
      </c>
      <c r="C87" s="84">
        <v>5</v>
      </c>
      <c r="D87" s="84">
        <v>9</v>
      </c>
      <c r="E87" s="83" t="s">
        <v>367</v>
      </c>
      <c r="F87" s="83" t="s">
        <v>343</v>
      </c>
      <c r="G87" s="83" t="s">
        <v>344</v>
      </c>
      <c r="H87" s="85" t="s">
        <v>345</v>
      </c>
      <c r="I87" s="84">
        <v>4</v>
      </c>
      <c r="J87" s="83" t="s">
        <v>346</v>
      </c>
      <c r="K87" s="83" t="s">
        <v>347</v>
      </c>
      <c r="L87" s="86">
        <v>1.5625000000000001E-3</v>
      </c>
      <c r="M87" s="85" t="s">
        <v>348</v>
      </c>
      <c r="N87" s="87">
        <f t="shared" si="30"/>
        <v>0.11857638888888887</v>
      </c>
      <c r="O87" s="83" t="s">
        <v>363</v>
      </c>
      <c r="P87" s="88">
        <v>5940</v>
      </c>
      <c r="Q87" s="88">
        <f t="shared" si="31"/>
        <v>80</v>
      </c>
      <c r="R87" s="88">
        <f t="shared" si="21"/>
        <v>3271</v>
      </c>
      <c r="S87" s="88"/>
      <c r="T87" s="88"/>
      <c r="U87" s="88" t="str">
        <f t="shared" si="34"/>
        <v/>
      </c>
      <c r="V87" s="88" t="str">
        <f t="shared" si="23"/>
        <v/>
      </c>
      <c r="W87" s="89">
        <v>21</v>
      </c>
      <c r="X87" s="90" t="s">
        <v>86</v>
      </c>
      <c r="Y87" s="91">
        <f t="shared" si="24"/>
        <v>1.7939814814814815E-3</v>
      </c>
      <c r="Z87" s="92">
        <f t="shared" si="25"/>
        <v>1.5625000000000001E-3</v>
      </c>
      <c r="AA87" s="92">
        <f t="shared" si="26"/>
        <v>1.3888888888888889E-3</v>
      </c>
      <c r="AB87" s="93" t="s">
        <v>68</v>
      </c>
      <c r="AC87" s="93" t="s">
        <v>68</v>
      </c>
      <c r="AD87" s="93" t="s">
        <v>82</v>
      </c>
      <c r="AE87" s="93" t="s">
        <v>87</v>
      </c>
      <c r="AF87" s="93" t="s">
        <v>99</v>
      </c>
      <c r="AG87" s="93" t="s">
        <v>68</v>
      </c>
      <c r="AH87" s="93" t="s">
        <v>340</v>
      </c>
      <c r="AI87" s="93" t="s">
        <v>73</v>
      </c>
      <c r="AJ87" s="94"/>
      <c r="AK87" s="94"/>
      <c r="AL87" s="94"/>
      <c r="AM87" s="94" t="str">
        <f t="shared" si="27"/>
        <v/>
      </c>
      <c r="AN87" s="94" t="str">
        <f t="shared" si="28"/>
        <v/>
      </c>
      <c r="AO87" s="94" t="str">
        <f t="shared" si="29"/>
        <v/>
      </c>
      <c r="AP87" s="94"/>
      <c r="AQ87" s="93"/>
      <c r="AR87" s="95"/>
      <c r="AS87" s="95"/>
      <c r="AT87" s="95"/>
      <c r="AU87" s="95"/>
    </row>
    <row r="88" spans="1:47" ht="81.95" customHeight="1">
      <c r="A88" s="83" t="s">
        <v>335</v>
      </c>
      <c r="B88" s="84">
        <v>84</v>
      </c>
      <c r="C88" s="84">
        <v>8</v>
      </c>
      <c r="D88" s="84">
        <v>10</v>
      </c>
      <c r="E88" s="83" t="s">
        <v>368</v>
      </c>
      <c r="F88" s="83" t="s">
        <v>179</v>
      </c>
      <c r="G88" s="83" t="s">
        <v>180</v>
      </c>
      <c r="H88" s="85" t="s">
        <v>356</v>
      </c>
      <c r="I88" s="84">
        <v>1</v>
      </c>
      <c r="J88" s="83" t="s">
        <v>182</v>
      </c>
      <c r="K88" s="83" t="s">
        <v>183</v>
      </c>
      <c r="L88" s="86">
        <v>2.0254629629629629E-3</v>
      </c>
      <c r="M88" s="85" t="s">
        <v>184</v>
      </c>
      <c r="N88" s="87">
        <f t="shared" si="30"/>
        <v>0.12060185185185184</v>
      </c>
      <c r="O88" s="83" t="s">
        <v>363</v>
      </c>
      <c r="P88" s="88">
        <v>6070</v>
      </c>
      <c r="Q88" s="88">
        <f t="shared" si="31"/>
        <v>130</v>
      </c>
      <c r="R88" s="88">
        <f t="shared" si="21"/>
        <v>3271</v>
      </c>
      <c r="S88" s="88">
        <v>468</v>
      </c>
      <c r="T88" s="88">
        <v>175</v>
      </c>
      <c r="U88" s="88">
        <f t="shared" si="34"/>
        <v>1225</v>
      </c>
      <c r="V88" s="88">
        <f t="shared" si="23"/>
        <v>7</v>
      </c>
      <c r="W88" s="89">
        <v>21</v>
      </c>
      <c r="X88" s="90" t="s">
        <v>213</v>
      </c>
      <c r="Y88" s="91">
        <f t="shared" si="24"/>
        <v>2.5462962962962965E-3</v>
      </c>
      <c r="Z88" s="92">
        <f t="shared" si="25"/>
        <v>2.0254629629629629E-3</v>
      </c>
      <c r="AA88" s="92">
        <f t="shared" si="26"/>
        <v>1.6203703703703703E-3</v>
      </c>
      <c r="AB88" s="93" t="s">
        <v>68</v>
      </c>
      <c r="AC88" s="93" t="s">
        <v>68</v>
      </c>
      <c r="AD88" s="93" t="s">
        <v>82</v>
      </c>
      <c r="AE88" s="93" t="s">
        <v>98</v>
      </c>
      <c r="AF88" s="93" t="s">
        <v>197</v>
      </c>
      <c r="AG88" s="93" t="s">
        <v>68</v>
      </c>
      <c r="AH88" s="93" t="s">
        <v>340</v>
      </c>
      <c r="AI88" s="93" t="s">
        <v>73</v>
      </c>
      <c r="AJ88" s="94"/>
      <c r="AK88" s="94"/>
      <c r="AL88" s="94"/>
      <c r="AM88" s="94" t="str">
        <f t="shared" si="27"/>
        <v/>
      </c>
      <c r="AN88" s="94" t="str">
        <f t="shared" si="28"/>
        <v/>
      </c>
      <c r="AO88" s="94" t="str">
        <f t="shared" si="29"/>
        <v/>
      </c>
      <c r="AP88" s="94"/>
      <c r="AQ88" s="93"/>
      <c r="AR88" s="95"/>
      <c r="AS88" s="95"/>
      <c r="AT88" s="95"/>
      <c r="AU88" s="95"/>
    </row>
    <row r="89" spans="1:47" ht="81.95" customHeight="1">
      <c r="A89" s="83" t="s">
        <v>335</v>
      </c>
      <c r="B89" s="84">
        <v>85</v>
      </c>
      <c r="C89" s="84">
        <v>5</v>
      </c>
      <c r="D89" s="84">
        <v>9</v>
      </c>
      <c r="E89" s="83" t="s">
        <v>369</v>
      </c>
      <c r="F89" s="83" t="s">
        <v>343</v>
      </c>
      <c r="G89" s="83" t="s">
        <v>344</v>
      </c>
      <c r="H89" s="85" t="s">
        <v>345</v>
      </c>
      <c r="I89" s="84">
        <v>4</v>
      </c>
      <c r="J89" s="83" t="s">
        <v>346</v>
      </c>
      <c r="K89" s="83" t="s">
        <v>347</v>
      </c>
      <c r="L89" s="86">
        <v>1.5625000000000001E-3</v>
      </c>
      <c r="M89" s="85" t="s">
        <v>348</v>
      </c>
      <c r="N89" s="87">
        <f t="shared" si="30"/>
        <v>0.12216435185185183</v>
      </c>
      <c r="O89" s="83" t="s">
        <v>363</v>
      </c>
      <c r="P89" s="88">
        <v>6150</v>
      </c>
      <c r="Q89" s="88">
        <f t="shared" si="31"/>
        <v>80</v>
      </c>
      <c r="R89" s="88">
        <f t="shared" si="21"/>
        <v>3271</v>
      </c>
      <c r="S89" s="88"/>
      <c r="T89" s="88"/>
      <c r="U89" s="88" t="str">
        <f t="shared" si="34"/>
        <v/>
      </c>
      <c r="V89" s="88" t="str">
        <f t="shared" si="23"/>
        <v/>
      </c>
      <c r="W89" s="89">
        <v>21</v>
      </c>
      <c r="X89" s="90" t="s">
        <v>86</v>
      </c>
      <c r="Y89" s="91">
        <f t="shared" si="24"/>
        <v>1.7939814814814815E-3</v>
      </c>
      <c r="Z89" s="92">
        <f t="shared" si="25"/>
        <v>1.5625000000000001E-3</v>
      </c>
      <c r="AA89" s="92">
        <f t="shared" si="26"/>
        <v>1.3888888888888889E-3</v>
      </c>
      <c r="AB89" s="93" t="s">
        <v>68</v>
      </c>
      <c r="AC89" s="93" t="s">
        <v>68</v>
      </c>
      <c r="AD89" s="93" t="s">
        <v>82</v>
      </c>
      <c r="AE89" s="93" t="s">
        <v>87</v>
      </c>
      <c r="AF89" s="93" t="s">
        <v>99</v>
      </c>
      <c r="AG89" s="93" t="s">
        <v>68</v>
      </c>
      <c r="AH89" s="93" t="s">
        <v>340</v>
      </c>
      <c r="AI89" s="93" t="s">
        <v>73</v>
      </c>
      <c r="AJ89" s="94"/>
      <c r="AK89" s="94"/>
      <c r="AL89" s="94"/>
      <c r="AM89" s="94" t="str">
        <f t="shared" si="27"/>
        <v/>
      </c>
      <c r="AN89" s="94" t="str">
        <f t="shared" si="28"/>
        <v/>
      </c>
      <c r="AO89" s="94" t="str">
        <f t="shared" si="29"/>
        <v/>
      </c>
      <c r="AP89" s="94"/>
      <c r="AQ89" s="93"/>
      <c r="AR89" s="95"/>
      <c r="AS89" s="95"/>
      <c r="AT89" s="95"/>
      <c r="AU89" s="95"/>
    </row>
    <row r="90" spans="1:47" ht="81.95" customHeight="1">
      <c r="A90" s="83" t="s">
        <v>335</v>
      </c>
      <c r="B90" s="84">
        <v>86</v>
      </c>
      <c r="C90" s="84">
        <v>10</v>
      </c>
      <c r="D90" s="84">
        <v>10</v>
      </c>
      <c r="E90" s="83" t="s">
        <v>370</v>
      </c>
      <c r="F90" s="83" t="s">
        <v>248</v>
      </c>
      <c r="G90" s="83" t="s">
        <v>249</v>
      </c>
      <c r="H90" s="85" t="s">
        <v>305</v>
      </c>
      <c r="I90" s="84">
        <v>1</v>
      </c>
      <c r="J90" s="83" t="s">
        <v>251</v>
      </c>
      <c r="K90" s="83" t="s">
        <v>191</v>
      </c>
      <c r="L90" s="86">
        <v>3.5879629629629634E-3</v>
      </c>
      <c r="M90" s="85" t="s">
        <v>252</v>
      </c>
      <c r="N90" s="87">
        <f t="shared" si="30"/>
        <v>0.1257523148148148</v>
      </c>
      <c r="O90" s="83" t="s">
        <v>363</v>
      </c>
      <c r="P90" s="88">
        <v>6350</v>
      </c>
      <c r="Q90" s="88">
        <f t="shared" si="31"/>
        <v>200</v>
      </c>
      <c r="R90" s="88">
        <f t="shared" si="21"/>
        <v>3271</v>
      </c>
      <c r="S90" s="88">
        <v>1091</v>
      </c>
      <c r="T90" s="88">
        <v>310</v>
      </c>
      <c r="U90" s="88">
        <f t="shared" si="34"/>
        <v>930</v>
      </c>
      <c r="V90" s="88">
        <f t="shared" si="23"/>
        <v>3</v>
      </c>
      <c r="W90" s="89">
        <v>21</v>
      </c>
      <c r="X90" s="90" t="s">
        <v>225</v>
      </c>
      <c r="Y90" s="91">
        <f t="shared" si="24"/>
        <v>4.5138888888888885E-3</v>
      </c>
      <c r="Z90" s="92">
        <f t="shared" si="25"/>
        <v>3.5879629629629634E-3</v>
      </c>
      <c r="AA90" s="92">
        <f t="shared" si="26"/>
        <v>2.8935185185185184E-3</v>
      </c>
      <c r="AB90" s="93" t="s">
        <v>272</v>
      </c>
      <c r="AC90" s="93" t="s">
        <v>68</v>
      </c>
      <c r="AD90" s="93" t="s">
        <v>371</v>
      </c>
      <c r="AE90" s="93" t="s">
        <v>227</v>
      </c>
      <c r="AF90" s="93" t="s">
        <v>197</v>
      </c>
      <c r="AG90" s="93" t="s">
        <v>372</v>
      </c>
      <c r="AH90" s="93" t="s">
        <v>340</v>
      </c>
      <c r="AI90" s="93" t="s">
        <v>125</v>
      </c>
      <c r="AJ90" s="94">
        <v>2000</v>
      </c>
      <c r="AK90" s="94" t="s">
        <v>126</v>
      </c>
      <c r="AL90" s="94">
        <v>2000</v>
      </c>
      <c r="AM90" s="94">
        <f t="shared" si="27"/>
        <v>1600</v>
      </c>
      <c r="AN90" s="94">
        <f t="shared" si="28"/>
        <v>1200</v>
      </c>
      <c r="AO90" s="94">
        <f t="shared" si="29"/>
        <v>1000</v>
      </c>
      <c r="AP90" s="94">
        <v>0</v>
      </c>
      <c r="AQ90" s="93" t="s">
        <v>360</v>
      </c>
      <c r="AR90" s="95">
        <f>SUM(Z84:Z90)</f>
        <v>1.3368055555555555E-2</v>
      </c>
      <c r="AS90" s="95">
        <f>SUM(Y84:Y90)</f>
        <v>1.6377314814814817E-2</v>
      </c>
      <c r="AT90" s="95">
        <f>SUM(Z84:Z90)</f>
        <v>1.3368055555555555E-2</v>
      </c>
      <c r="AU90" s="95">
        <f>SUM(AA84:AA90)</f>
        <v>1.111111111111111E-2</v>
      </c>
    </row>
    <row r="91" spans="1:47" ht="81.95" customHeight="1">
      <c r="A91" s="83" t="s">
        <v>335</v>
      </c>
      <c r="B91" s="84">
        <v>87</v>
      </c>
      <c r="C91" s="84">
        <v>4</v>
      </c>
      <c r="D91" s="84">
        <v>8</v>
      </c>
      <c r="E91" s="83" t="s">
        <v>373</v>
      </c>
      <c r="F91" s="83" t="s">
        <v>101</v>
      </c>
      <c r="G91" s="83" t="s">
        <v>102</v>
      </c>
      <c r="H91" s="85" t="s">
        <v>337</v>
      </c>
      <c r="I91" s="84">
        <v>1</v>
      </c>
      <c r="J91" s="83" t="s">
        <v>104</v>
      </c>
      <c r="K91" s="83" t="s">
        <v>105</v>
      </c>
      <c r="L91" s="86">
        <v>8.1018518518518527E-4</v>
      </c>
      <c r="M91" s="85" t="s">
        <v>106</v>
      </c>
      <c r="N91" s="87">
        <f t="shared" si="30"/>
        <v>0.12656249999999999</v>
      </c>
      <c r="O91" s="83" t="s">
        <v>374</v>
      </c>
      <c r="P91" s="88">
        <v>6390</v>
      </c>
      <c r="Q91" s="88">
        <f t="shared" si="31"/>
        <v>40</v>
      </c>
      <c r="R91" s="88">
        <f t="shared" si="21"/>
        <v>3554</v>
      </c>
      <c r="S91" s="88" t="str">
        <f t="shared" ca="1" si="32"/>
        <v/>
      </c>
      <c r="T91" s="88"/>
      <c r="U91" s="88" t="str">
        <f t="shared" ca="1" si="33"/>
        <v/>
      </c>
      <c r="V91" s="88" t="str">
        <f t="shared" ca="1" si="23"/>
        <v/>
      </c>
      <c r="W91" s="89">
        <v>22</v>
      </c>
      <c r="X91" s="90" t="s">
        <v>81</v>
      </c>
      <c r="Y91" s="91">
        <f t="shared" ca="1" si="24"/>
        <v>9.2592592592592596E-4</v>
      </c>
      <c r="Z91" s="92">
        <f t="shared" si="25"/>
        <v>8.1018518518518527E-4</v>
      </c>
      <c r="AA91" s="92">
        <f t="shared" ca="1" si="26"/>
        <v>7.5231481481481482E-4</v>
      </c>
      <c r="AB91" s="93" t="s">
        <v>68</v>
      </c>
      <c r="AC91" s="93" t="s">
        <v>68</v>
      </c>
      <c r="AD91" s="93" t="s">
        <v>375</v>
      </c>
      <c r="AE91" s="93" t="s">
        <v>83</v>
      </c>
      <c r="AF91" s="93" t="s">
        <v>99</v>
      </c>
      <c r="AG91" s="93" t="s">
        <v>68</v>
      </c>
      <c r="AH91" s="93" t="s">
        <v>340</v>
      </c>
      <c r="AI91" s="93" t="s">
        <v>73</v>
      </c>
      <c r="AJ91" s="94"/>
      <c r="AK91" s="94"/>
      <c r="AL91" s="94"/>
      <c r="AM91" s="94" t="str">
        <f t="shared" si="27"/>
        <v/>
      </c>
      <c r="AN91" s="94" t="str">
        <f t="shared" si="28"/>
        <v/>
      </c>
      <c r="AO91" s="94" t="str">
        <f t="shared" si="29"/>
        <v/>
      </c>
      <c r="AP91" s="94"/>
      <c r="AQ91" s="93"/>
      <c r="AR91" s="95"/>
      <c r="AS91" s="95"/>
      <c r="AT91" s="95"/>
      <c r="AU91" s="95"/>
    </row>
    <row r="92" spans="1:47" ht="81.95" customHeight="1">
      <c r="A92" s="83" t="s">
        <v>335</v>
      </c>
      <c r="B92" s="84">
        <v>88</v>
      </c>
      <c r="C92" s="84">
        <v>5</v>
      </c>
      <c r="D92" s="84">
        <v>9</v>
      </c>
      <c r="E92" s="83" t="s">
        <v>376</v>
      </c>
      <c r="F92" s="83" t="s">
        <v>343</v>
      </c>
      <c r="G92" s="83" t="s">
        <v>344</v>
      </c>
      <c r="H92" s="85" t="s">
        <v>345</v>
      </c>
      <c r="I92" s="84">
        <v>4</v>
      </c>
      <c r="J92" s="83" t="s">
        <v>346</v>
      </c>
      <c r="K92" s="83" t="s">
        <v>347</v>
      </c>
      <c r="L92" s="86">
        <v>1.6203703703703705E-3</v>
      </c>
      <c r="M92" s="85" t="s">
        <v>348</v>
      </c>
      <c r="N92" s="87">
        <f t="shared" si="30"/>
        <v>0.12818287037037038</v>
      </c>
      <c r="O92" s="83" t="s">
        <v>374</v>
      </c>
      <c r="P92" s="88">
        <v>6470</v>
      </c>
      <c r="Q92" s="88">
        <f t="shared" si="31"/>
        <v>80</v>
      </c>
      <c r="R92" s="88">
        <f t="shared" si="21"/>
        <v>3554</v>
      </c>
      <c r="S92" s="88"/>
      <c r="T92" s="88"/>
      <c r="U92" s="88" t="str">
        <f>IF(OR(S92="",T92=""),"",ROUNDUP(R92/S92,0)*T92)</f>
        <v/>
      </c>
      <c r="V92" s="88" t="str">
        <f t="shared" si="23"/>
        <v/>
      </c>
      <c r="W92" s="89">
        <v>22</v>
      </c>
      <c r="X92" s="90" t="s">
        <v>86</v>
      </c>
      <c r="Y92" s="91">
        <f t="shared" si="24"/>
        <v>1.8518518518518519E-3</v>
      </c>
      <c r="Z92" s="92">
        <f t="shared" si="25"/>
        <v>1.6203703703703705E-3</v>
      </c>
      <c r="AA92" s="92">
        <f t="shared" si="26"/>
        <v>1.4467592592592592E-3</v>
      </c>
      <c r="AB92" s="93" t="s">
        <v>68</v>
      </c>
      <c r="AC92" s="93" t="s">
        <v>68</v>
      </c>
      <c r="AD92" s="93" t="s">
        <v>82</v>
      </c>
      <c r="AE92" s="93" t="s">
        <v>87</v>
      </c>
      <c r="AF92" s="93" t="s">
        <v>99</v>
      </c>
      <c r="AG92" s="93" t="s">
        <v>68</v>
      </c>
      <c r="AH92" s="93" t="s">
        <v>340</v>
      </c>
      <c r="AI92" s="93" t="s">
        <v>73</v>
      </c>
      <c r="AJ92" s="94"/>
      <c r="AK92" s="94"/>
      <c r="AL92" s="94"/>
      <c r="AM92" s="94" t="str">
        <f t="shared" si="27"/>
        <v/>
      </c>
      <c r="AN92" s="94" t="str">
        <f t="shared" si="28"/>
        <v/>
      </c>
      <c r="AO92" s="94" t="str">
        <f t="shared" si="29"/>
        <v/>
      </c>
      <c r="AP92" s="94"/>
      <c r="AQ92" s="93"/>
      <c r="AR92" s="95"/>
      <c r="AS92" s="95"/>
      <c r="AT92" s="95"/>
      <c r="AU92" s="95"/>
    </row>
    <row r="93" spans="1:47" ht="81.95" customHeight="1">
      <c r="A93" s="83" t="s">
        <v>335</v>
      </c>
      <c r="B93" s="84">
        <v>89</v>
      </c>
      <c r="C93" s="84">
        <v>6</v>
      </c>
      <c r="D93" s="84">
        <v>10</v>
      </c>
      <c r="E93" s="83" t="s">
        <v>377</v>
      </c>
      <c r="F93" s="83" t="s">
        <v>146</v>
      </c>
      <c r="G93" s="83" t="s">
        <v>147</v>
      </c>
      <c r="H93" s="85" t="s">
        <v>322</v>
      </c>
      <c r="I93" s="84">
        <v>7</v>
      </c>
      <c r="J93" s="83" t="s">
        <v>353</v>
      </c>
      <c r="K93" s="83" t="s">
        <v>150</v>
      </c>
      <c r="L93" s="86">
        <v>1.6203703703703705E-3</v>
      </c>
      <c r="M93" s="85" t="s">
        <v>151</v>
      </c>
      <c r="N93" s="87">
        <f t="shared" si="30"/>
        <v>0.12980324074074076</v>
      </c>
      <c r="O93" s="83" t="s">
        <v>374</v>
      </c>
      <c r="P93" s="88">
        <v>6560</v>
      </c>
      <c r="Q93" s="88">
        <f t="shared" si="31"/>
        <v>90</v>
      </c>
      <c r="R93" s="88">
        <f t="shared" si="21"/>
        <v>3554</v>
      </c>
      <c r="S93" s="88">
        <v>445</v>
      </c>
      <c r="T93" s="88">
        <v>20</v>
      </c>
      <c r="U93" s="88">
        <f>IF(OR(S93="",T93=""),"",ROUNDUP(R93/S93,0)*T93)</f>
        <v>160</v>
      </c>
      <c r="V93" s="88">
        <f t="shared" si="23"/>
        <v>8</v>
      </c>
      <c r="W93" s="89">
        <v>22</v>
      </c>
      <c r="X93" s="90" t="s">
        <v>97</v>
      </c>
      <c r="Y93" s="91">
        <f t="shared" si="24"/>
        <v>2.0254629629629629E-3</v>
      </c>
      <c r="Z93" s="92">
        <f t="shared" si="25"/>
        <v>1.6203703703703705E-3</v>
      </c>
      <c r="AA93" s="92">
        <f t="shared" si="26"/>
        <v>1.2731481481481483E-3</v>
      </c>
      <c r="AB93" s="93" t="s">
        <v>68</v>
      </c>
      <c r="AC93" s="93" t="s">
        <v>68</v>
      </c>
      <c r="AD93" s="93" t="s">
        <v>82</v>
      </c>
      <c r="AE93" s="93" t="s">
        <v>98</v>
      </c>
      <c r="AF93" s="93" t="s">
        <v>99</v>
      </c>
      <c r="AG93" s="93" t="s">
        <v>68</v>
      </c>
      <c r="AH93" s="93" t="s">
        <v>340</v>
      </c>
      <c r="AI93" s="93" t="s">
        <v>73</v>
      </c>
      <c r="AJ93" s="94"/>
      <c r="AK93" s="94"/>
      <c r="AL93" s="94"/>
      <c r="AM93" s="94" t="str">
        <f t="shared" si="27"/>
        <v/>
      </c>
      <c r="AN93" s="94" t="str">
        <f t="shared" si="28"/>
        <v/>
      </c>
      <c r="AO93" s="94" t="str">
        <f t="shared" si="29"/>
        <v/>
      </c>
      <c r="AP93" s="94"/>
      <c r="AQ93" s="93"/>
      <c r="AR93" s="95"/>
      <c r="AS93" s="95"/>
      <c r="AT93" s="95"/>
      <c r="AU93" s="95"/>
    </row>
    <row r="94" spans="1:47" ht="81.95" customHeight="1">
      <c r="A94" s="83" t="s">
        <v>335</v>
      </c>
      <c r="B94" s="84">
        <v>90</v>
      </c>
      <c r="C94" s="84">
        <v>7</v>
      </c>
      <c r="D94" s="84">
        <v>10</v>
      </c>
      <c r="E94" s="83" t="s">
        <v>378</v>
      </c>
      <c r="F94" s="83" t="s">
        <v>171</v>
      </c>
      <c r="G94" s="83" t="s">
        <v>172</v>
      </c>
      <c r="H94" s="85" t="s">
        <v>362</v>
      </c>
      <c r="I94" s="84">
        <v>4</v>
      </c>
      <c r="J94" s="83" t="s">
        <v>379</v>
      </c>
      <c r="K94" s="83" t="s">
        <v>175</v>
      </c>
      <c r="L94" s="86">
        <v>2.0833333333333333E-3</v>
      </c>
      <c r="M94" s="85" t="s">
        <v>176</v>
      </c>
      <c r="N94" s="87">
        <f t="shared" si="30"/>
        <v>0.13188657407407409</v>
      </c>
      <c r="O94" s="83" t="s">
        <v>374</v>
      </c>
      <c r="P94" s="88">
        <v>6670</v>
      </c>
      <c r="Q94" s="88">
        <f t="shared" si="31"/>
        <v>110</v>
      </c>
      <c r="R94" s="88">
        <f t="shared" si="21"/>
        <v>3554</v>
      </c>
      <c r="S94" s="88">
        <f t="shared" ca="1" si="32"/>
        <v>445</v>
      </c>
      <c r="T94" s="88">
        <v>45</v>
      </c>
      <c r="U94" s="88">
        <f t="shared" ca="1" si="33"/>
        <v>360</v>
      </c>
      <c r="V94" s="88">
        <f t="shared" ca="1" si="23"/>
        <v>8</v>
      </c>
      <c r="W94" s="89">
        <v>22</v>
      </c>
      <c r="X94" s="90" t="s">
        <v>237</v>
      </c>
      <c r="Y94" s="91">
        <f t="shared" ca="1" si="24"/>
        <v>2.6041666666666665E-3</v>
      </c>
      <c r="Z94" s="92">
        <f t="shared" si="25"/>
        <v>2.0833333333333333E-3</v>
      </c>
      <c r="AA94" s="92">
        <f t="shared" ca="1" si="26"/>
        <v>1.6782407407407408E-3</v>
      </c>
      <c r="AB94" s="93" t="s">
        <v>68</v>
      </c>
      <c r="AC94" s="93" t="s">
        <v>68</v>
      </c>
      <c r="AD94" s="93" t="s">
        <v>82</v>
      </c>
      <c r="AE94" s="93" t="s">
        <v>98</v>
      </c>
      <c r="AF94" s="93" t="s">
        <v>99</v>
      </c>
      <c r="AG94" s="93" t="s">
        <v>68</v>
      </c>
      <c r="AH94" s="93" t="s">
        <v>340</v>
      </c>
      <c r="AI94" s="93" t="s">
        <v>73</v>
      </c>
      <c r="AJ94" s="94"/>
      <c r="AK94" s="94"/>
      <c r="AL94" s="94"/>
      <c r="AM94" s="94" t="str">
        <f t="shared" si="27"/>
        <v/>
      </c>
      <c r="AN94" s="94" t="str">
        <f t="shared" si="28"/>
        <v/>
      </c>
      <c r="AO94" s="94" t="str">
        <f t="shared" si="29"/>
        <v/>
      </c>
      <c r="AP94" s="94"/>
      <c r="AQ94" s="93"/>
      <c r="AR94" s="95"/>
      <c r="AS94" s="95"/>
      <c r="AT94" s="95"/>
      <c r="AU94" s="95"/>
    </row>
    <row r="95" spans="1:47" ht="81.95" customHeight="1">
      <c r="A95" s="83" t="s">
        <v>335</v>
      </c>
      <c r="B95" s="84">
        <v>91</v>
      </c>
      <c r="C95" s="84">
        <v>4</v>
      </c>
      <c r="D95" s="84">
        <v>9</v>
      </c>
      <c r="E95" s="83" t="s">
        <v>380</v>
      </c>
      <c r="F95" s="83" t="s">
        <v>75</v>
      </c>
      <c r="G95" s="83" t="s">
        <v>76</v>
      </c>
      <c r="H95" s="85" t="s">
        <v>350</v>
      </c>
      <c r="I95" s="84">
        <v>5</v>
      </c>
      <c r="J95" s="83" t="s">
        <v>351</v>
      </c>
      <c r="K95" s="83" t="s">
        <v>79</v>
      </c>
      <c r="L95" s="86">
        <v>1.0416666666666667E-3</v>
      </c>
      <c r="M95" s="85" t="s">
        <v>80</v>
      </c>
      <c r="N95" s="87">
        <f t="shared" si="30"/>
        <v>0.13292824074074075</v>
      </c>
      <c r="O95" s="83" t="s">
        <v>374</v>
      </c>
      <c r="P95" s="88">
        <v>6730</v>
      </c>
      <c r="Q95" s="88">
        <f t="shared" si="31"/>
        <v>60</v>
      </c>
      <c r="R95" s="88">
        <f t="shared" si="21"/>
        <v>3849</v>
      </c>
      <c r="S95" s="88"/>
      <c r="T95" s="88"/>
      <c r="U95" s="88" t="str">
        <f>IF(OR(S95="",T95=""),"",ROUNDUP(R95/S95,0)*T95)</f>
        <v/>
      </c>
      <c r="V95" s="88" t="str">
        <f t="shared" si="23"/>
        <v/>
      </c>
      <c r="W95" s="89">
        <v>23</v>
      </c>
      <c r="X95" s="90" t="s">
        <v>86</v>
      </c>
      <c r="Y95" s="91">
        <f t="shared" si="24"/>
        <v>1.2152777777777778E-3</v>
      </c>
      <c r="Z95" s="92">
        <f t="shared" si="25"/>
        <v>1.0416666666666667E-3</v>
      </c>
      <c r="AA95" s="92">
        <f t="shared" si="26"/>
        <v>9.2592592592592596E-4</v>
      </c>
      <c r="AB95" s="93" t="s">
        <v>68</v>
      </c>
      <c r="AC95" s="93" t="s">
        <v>68</v>
      </c>
      <c r="AD95" s="93" t="s">
        <v>82</v>
      </c>
      <c r="AE95" s="93" t="s">
        <v>87</v>
      </c>
      <c r="AF95" s="93" t="s">
        <v>99</v>
      </c>
      <c r="AG95" s="93" t="s">
        <v>68</v>
      </c>
      <c r="AH95" s="93" t="s">
        <v>340</v>
      </c>
      <c r="AI95" s="93" t="s">
        <v>73</v>
      </c>
      <c r="AJ95" s="94"/>
      <c r="AK95" s="94"/>
      <c r="AL95" s="94"/>
      <c r="AM95" s="94" t="str">
        <f t="shared" si="27"/>
        <v/>
      </c>
      <c r="AN95" s="94" t="str">
        <f t="shared" si="28"/>
        <v/>
      </c>
      <c r="AO95" s="94" t="str">
        <f t="shared" si="29"/>
        <v/>
      </c>
      <c r="AP95" s="94"/>
      <c r="AQ95" s="93"/>
      <c r="AR95" s="95"/>
      <c r="AS95" s="95"/>
      <c r="AT95" s="95"/>
      <c r="AU95" s="95"/>
    </row>
    <row r="96" spans="1:47" ht="81.95" customHeight="1">
      <c r="A96" s="83" t="s">
        <v>335</v>
      </c>
      <c r="B96" s="84">
        <v>92</v>
      </c>
      <c r="C96" s="84">
        <v>8</v>
      </c>
      <c r="D96" s="84">
        <v>10</v>
      </c>
      <c r="E96" s="83" t="s">
        <v>381</v>
      </c>
      <c r="F96" s="83" t="s">
        <v>179</v>
      </c>
      <c r="G96" s="83" t="s">
        <v>180</v>
      </c>
      <c r="H96" s="85" t="s">
        <v>356</v>
      </c>
      <c r="I96" s="84">
        <v>1</v>
      </c>
      <c r="J96" s="83" t="s">
        <v>182</v>
      </c>
      <c r="K96" s="83" t="s">
        <v>183</v>
      </c>
      <c r="L96" s="86">
        <v>2.0833333333333333E-3</v>
      </c>
      <c r="M96" s="85" t="s">
        <v>184</v>
      </c>
      <c r="N96" s="87">
        <f t="shared" si="30"/>
        <v>0.13501157407407408</v>
      </c>
      <c r="O96" s="83" t="s">
        <v>374</v>
      </c>
      <c r="P96" s="88">
        <v>6860</v>
      </c>
      <c r="Q96" s="88">
        <f t="shared" si="31"/>
        <v>130</v>
      </c>
      <c r="R96" s="88">
        <f t="shared" si="21"/>
        <v>3849</v>
      </c>
      <c r="S96" s="88">
        <f t="shared" ca="1" si="32"/>
        <v>1283</v>
      </c>
      <c r="T96" s="88">
        <v>180</v>
      </c>
      <c r="U96" s="88">
        <f t="shared" ca="1" si="33"/>
        <v>540</v>
      </c>
      <c r="V96" s="88">
        <f t="shared" ca="1" si="23"/>
        <v>3</v>
      </c>
      <c r="W96" s="89">
        <v>23</v>
      </c>
      <c r="X96" s="90" t="s">
        <v>225</v>
      </c>
      <c r="Y96" s="91">
        <f t="shared" ca="1" si="24"/>
        <v>2.6041666666666665E-3</v>
      </c>
      <c r="Z96" s="92">
        <f t="shared" si="25"/>
        <v>2.0833333333333333E-3</v>
      </c>
      <c r="AA96" s="92">
        <f t="shared" ca="1" si="26"/>
        <v>1.6782407407407408E-3</v>
      </c>
      <c r="AB96" s="93" t="s">
        <v>68</v>
      </c>
      <c r="AC96" s="93" t="s">
        <v>68</v>
      </c>
      <c r="AD96" s="93" t="s">
        <v>82</v>
      </c>
      <c r="AE96" s="93" t="s">
        <v>227</v>
      </c>
      <c r="AF96" s="93" t="s">
        <v>197</v>
      </c>
      <c r="AG96" s="93" t="s">
        <v>68</v>
      </c>
      <c r="AH96" s="93" t="s">
        <v>340</v>
      </c>
      <c r="AI96" s="93" t="s">
        <v>73</v>
      </c>
      <c r="AJ96" s="94"/>
      <c r="AK96" s="94"/>
      <c r="AL96" s="94"/>
      <c r="AM96" s="94" t="str">
        <f t="shared" si="27"/>
        <v/>
      </c>
      <c r="AN96" s="94" t="str">
        <f t="shared" si="28"/>
        <v/>
      </c>
      <c r="AO96" s="94" t="str">
        <f t="shared" si="29"/>
        <v/>
      </c>
      <c r="AP96" s="94"/>
      <c r="AQ96" s="93"/>
      <c r="AR96" s="95"/>
      <c r="AS96" s="95"/>
      <c r="AT96" s="95"/>
      <c r="AU96" s="95"/>
    </row>
    <row r="97" spans="1:47" ht="81.95" customHeight="1">
      <c r="A97" s="83" t="s">
        <v>335</v>
      </c>
      <c r="B97" s="84">
        <v>93</v>
      </c>
      <c r="C97" s="84">
        <v>5</v>
      </c>
      <c r="D97" s="84">
        <v>9</v>
      </c>
      <c r="E97" s="83" t="s">
        <v>382</v>
      </c>
      <c r="F97" s="83" t="s">
        <v>343</v>
      </c>
      <c r="G97" s="83" t="s">
        <v>344</v>
      </c>
      <c r="H97" s="85" t="s">
        <v>345</v>
      </c>
      <c r="I97" s="84">
        <v>4</v>
      </c>
      <c r="J97" s="83" t="s">
        <v>346</v>
      </c>
      <c r="K97" s="83" t="s">
        <v>347</v>
      </c>
      <c r="L97" s="86">
        <v>1.6203703703703705E-3</v>
      </c>
      <c r="M97" s="85" t="s">
        <v>348</v>
      </c>
      <c r="N97" s="87">
        <f t="shared" si="30"/>
        <v>0.13663194444444446</v>
      </c>
      <c r="O97" s="83" t="s">
        <v>374</v>
      </c>
      <c r="P97" s="88">
        <v>6940</v>
      </c>
      <c r="Q97" s="88">
        <f t="shared" si="31"/>
        <v>80</v>
      </c>
      <c r="R97" s="88">
        <f t="shared" si="21"/>
        <v>3849</v>
      </c>
      <c r="S97" s="88" t="str">
        <f t="shared" ca="1" si="32"/>
        <v/>
      </c>
      <c r="T97" s="88"/>
      <c r="U97" s="88" t="str">
        <f t="shared" ca="1" si="33"/>
        <v/>
      </c>
      <c r="V97" s="88" t="str">
        <f t="shared" ca="1" si="23"/>
        <v/>
      </c>
      <c r="W97" s="89">
        <v>23</v>
      </c>
      <c r="X97" s="90" t="s">
        <v>86</v>
      </c>
      <c r="Y97" s="91">
        <f t="shared" ca="1" si="24"/>
        <v>1.8518518518518519E-3</v>
      </c>
      <c r="Z97" s="92">
        <f t="shared" si="25"/>
        <v>1.6203703703703705E-3</v>
      </c>
      <c r="AA97" s="92">
        <f t="shared" ca="1" si="26"/>
        <v>1.4467592592592592E-3</v>
      </c>
      <c r="AB97" s="93" t="s">
        <v>68</v>
      </c>
      <c r="AC97" s="93" t="s">
        <v>68</v>
      </c>
      <c r="AD97" s="93" t="s">
        <v>383</v>
      </c>
      <c r="AE97" s="93" t="s">
        <v>87</v>
      </c>
      <c r="AF97" s="93" t="s">
        <v>99</v>
      </c>
      <c r="AG97" s="93" t="s">
        <v>384</v>
      </c>
      <c r="AH97" s="93" t="s">
        <v>340</v>
      </c>
      <c r="AI97" s="93" t="s">
        <v>125</v>
      </c>
      <c r="AJ97" s="94">
        <v>2100</v>
      </c>
      <c r="AK97" s="94" t="s">
        <v>126</v>
      </c>
      <c r="AL97" s="94">
        <v>2100</v>
      </c>
      <c r="AM97" s="94">
        <f t="shared" si="27"/>
        <v>1680</v>
      </c>
      <c r="AN97" s="94">
        <f t="shared" si="28"/>
        <v>1260</v>
      </c>
      <c r="AO97" s="94">
        <f t="shared" si="29"/>
        <v>1050</v>
      </c>
      <c r="AP97" s="94">
        <v>0</v>
      </c>
      <c r="AQ97" s="93" t="s">
        <v>360</v>
      </c>
      <c r="AR97" s="95">
        <f>SUM(Z91:Z97)</f>
        <v>1.087962962962963E-2</v>
      </c>
      <c r="AS97" s="95">
        <f ca="1">SUM(Y91:Y97)</f>
        <v>1.3078703703703703E-2</v>
      </c>
      <c r="AT97" s="95">
        <f>SUM(Z91:Z97)</f>
        <v>1.087962962962963E-2</v>
      </c>
      <c r="AU97" s="95">
        <f ca="1">SUM(AA91:AA97)</f>
        <v>9.2013888888888874E-3</v>
      </c>
    </row>
    <row r="98" spans="1:47" ht="81.95" customHeight="1">
      <c r="A98" s="83" t="s">
        <v>335</v>
      </c>
      <c r="B98" s="84">
        <v>94</v>
      </c>
      <c r="C98" s="84">
        <v>3</v>
      </c>
      <c r="D98" s="84">
        <v>8</v>
      </c>
      <c r="E98" s="83" t="s">
        <v>385</v>
      </c>
      <c r="F98" s="83" t="s">
        <v>155</v>
      </c>
      <c r="G98" s="83" t="s">
        <v>156</v>
      </c>
      <c r="H98" s="85" t="s">
        <v>386</v>
      </c>
      <c r="I98" s="84">
        <v>3</v>
      </c>
      <c r="J98" s="83" t="s">
        <v>158</v>
      </c>
      <c r="K98" s="83" t="s">
        <v>64</v>
      </c>
      <c r="L98" s="86">
        <v>8.6805555555555551E-4</v>
      </c>
      <c r="M98" s="85" t="s">
        <v>159</v>
      </c>
      <c r="N98" s="87">
        <f t="shared" si="30"/>
        <v>0.13750000000000001</v>
      </c>
      <c r="O98" s="83" t="s">
        <v>387</v>
      </c>
      <c r="P98" s="88">
        <v>6980</v>
      </c>
      <c r="Q98" s="88">
        <f t="shared" si="31"/>
        <v>40</v>
      </c>
      <c r="R98" s="88">
        <f t="shared" si="21"/>
        <v>3849</v>
      </c>
      <c r="S98" s="88" t="str">
        <f t="shared" ca="1" si="32"/>
        <v/>
      </c>
      <c r="T98" s="88"/>
      <c r="U98" s="88" t="str">
        <f t="shared" ca="1" si="33"/>
        <v/>
      </c>
      <c r="V98" s="88" t="str">
        <f t="shared" ca="1" si="23"/>
        <v/>
      </c>
      <c r="W98" s="89">
        <v>23</v>
      </c>
      <c r="X98" s="90" t="s">
        <v>86</v>
      </c>
      <c r="Y98" s="91">
        <f t="shared" ca="1" si="24"/>
        <v>9.837962962962962E-4</v>
      </c>
      <c r="Z98" s="92">
        <f t="shared" si="25"/>
        <v>8.6805555555555551E-4</v>
      </c>
      <c r="AA98" s="92">
        <f t="shared" ca="1" si="26"/>
        <v>8.1018518518518516E-4</v>
      </c>
      <c r="AB98" s="93" t="s">
        <v>68</v>
      </c>
      <c r="AC98" s="93" t="s">
        <v>68</v>
      </c>
      <c r="AD98" s="93" t="s">
        <v>388</v>
      </c>
      <c r="AE98" s="93" t="s">
        <v>87</v>
      </c>
      <c r="AF98" s="93" t="s">
        <v>88</v>
      </c>
      <c r="AG98" s="93" t="s">
        <v>68</v>
      </c>
      <c r="AH98" s="93" t="s">
        <v>389</v>
      </c>
      <c r="AI98" s="93" t="s">
        <v>73</v>
      </c>
      <c r="AJ98" s="94"/>
      <c r="AK98" s="94"/>
      <c r="AL98" s="94"/>
      <c r="AM98" s="94" t="str">
        <f t="shared" si="27"/>
        <v/>
      </c>
      <c r="AN98" s="94" t="str">
        <f t="shared" si="28"/>
        <v/>
      </c>
      <c r="AO98" s="94" t="str">
        <f t="shared" si="29"/>
        <v/>
      </c>
      <c r="AP98" s="94"/>
      <c r="AQ98" s="93"/>
      <c r="AR98" s="95"/>
      <c r="AS98" s="95"/>
      <c r="AT98" s="95"/>
      <c r="AU98" s="95"/>
    </row>
    <row r="99" spans="1:47" ht="81.95" customHeight="1">
      <c r="A99" s="83" t="s">
        <v>335</v>
      </c>
      <c r="B99" s="84">
        <v>95</v>
      </c>
      <c r="C99" s="84">
        <v>7</v>
      </c>
      <c r="D99" s="84">
        <v>10</v>
      </c>
      <c r="E99" s="83" t="s">
        <v>390</v>
      </c>
      <c r="F99" s="83" t="s">
        <v>171</v>
      </c>
      <c r="G99" s="83" t="s">
        <v>172</v>
      </c>
      <c r="H99" s="85" t="s">
        <v>362</v>
      </c>
      <c r="I99" s="84">
        <v>1</v>
      </c>
      <c r="J99" s="83" t="s">
        <v>239</v>
      </c>
      <c r="K99" s="83" t="s">
        <v>175</v>
      </c>
      <c r="L99" s="86">
        <v>2.0833333333333333E-3</v>
      </c>
      <c r="M99" s="85" t="s">
        <v>176</v>
      </c>
      <c r="N99" s="87">
        <f t="shared" si="30"/>
        <v>0.13958333333333334</v>
      </c>
      <c r="O99" s="83" t="s">
        <v>387</v>
      </c>
      <c r="P99" s="88">
        <v>7090</v>
      </c>
      <c r="Q99" s="88">
        <f t="shared" si="31"/>
        <v>110</v>
      </c>
      <c r="R99" s="88">
        <f t="shared" si="21"/>
        <v>4156</v>
      </c>
      <c r="S99" s="88">
        <f t="shared" ca="1" si="32"/>
        <v>520</v>
      </c>
      <c r="T99" s="88">
        <v>180</v>
      </c>
      <c r="U99" s="88">
        <f t="shared" ca="1" si="33"/>
        <v>1440</v>
      </c>
      <c r="V99" s="88">
        <f t="shared" ca="1" si="23"/>
        <v>8</v>
      </c>
      <c r="W99" s="89">
        <v>24</v>
      </c>
      <c r="X99" s="90" t="s">
        <v>237</v>
      </c>
      <c r="Y99" s="91">
        <f t="shared" ca="1" si="24"/>
        <v>2.6041666666666665E-3</v>
      </c>
      <c r="Z99" s="92">
        <f t="shared" si="25"/>
        <v>2.0833333333333333E-3</v>
      </c>
      <c r="AA99" s="92">
        <f t="shared" ca="1" si="26"/>
        <v>1.6782407407407408E-3</v>
      </c>
      <c r="AB99" s="93" t="s">
        <v>68</v>
      </c>
      <c r="AC99" s="93" t="s">
        <v>68</v>
      </c>
      <c r="AD99" s="93" t="s">
        <v>82</v>
      </c>
      <c r="AE99" s="93" t="s">
        <v>98</v>
      </c>
      <c r="AF99" s="93" t="s">
        <v>99</v>
      </c>
      <c r="AG99" s="93" t="s">
        <v>68</v>
      </c>
      <c r="AH99" s="93" t="s">
        <v>389</v>
      </c>
      <c r="AI99" s="93" t="s">
        <v>73</v>
      </c>
      <c r="AJ99" s="94"/>
      <c r="AK99" s="94"/>
      <c r="AL99" s="94"/>
      <c r="AM99" s="94" t="str">
        <f t="shared" si="27"/>
        <v/>
      </c>
      <c r="AN99" s="94" t="str">
        <f t="shared" si="28"/>
        <v/>
      </c>
      <c r="AO99" s="94" t="str">
        <f t="shared" si="29"/>
        <v/>
      </c>
      <c r="AP99" s="94"/>
      <c r="AQ99" s="93"/>
      <c r="AR99" s="95"/>
      <c r="AS99" s="95"/>
      <c r="AT99" s="95"/>
      <c r="AU99" s="95"/>
    </row>
    <row r="100" spans="1:47" ht="81.95" customHeight="1">
      <c r="A100" s="83" t="s">
        <v>335</v>
      </c>
      <c r="B100" s="84">
        <v>96</v>
      </c>
      <c r="C100" s="84">
        <v>7</v>
      </c>
      <c r="D100" s="84">
        <v>10</v>
      </c>
      <c r="E100" s="83" t="s">
        <v>391</v>
      </c>
      <c r="F100" s="83" t="s">
        <v>171</v>
      </c>
      <c r="G100" s="83" t="s">
        <v>172</v>
      </c>
      <c r="H100" s="85" t="s">
        <v>362</v>
      </c>
      <c r="I100" s="84">
        <v>2</v>
      </c>
      <c r="J100" s="83" t="s">
        <v>243</v>
      </c>
      <c r="K100" s="83" t="s">
        <v>175</v>
      </c>
      <c r="L100" s="86">
        <v>2.0833333333333333E-3</v>
      </c>
      <c r="M100" s="85" t="s">
        <v>176</v>
      </c>
      <c r="N100" s="87">
        <f t="shared" si="30"/>
        <v>0.14166666666666666</v>
      </c>
      <c r="O100" s="83" t="s">
        <v>387</v>
      </c>
      <c r="P100" s="88">
        <v>7200</v>
      </c>
      <c r="Q100" s="88">
        <f t="shared" si="31"/>
        <v>110</v>
      </c>
      <c r="R100" s="88">
        <f t="shared" si="21"/>
        <v>4156</v>
      </c>
      <c r="S100" s="88">
        <v>520</v>
      </c>
      <c r="T100" s="88">
        <v>90</v>
      </c>
      <c r="U100" s="88">
        <f t="shared" ref="U100:U110" si="35">IF(OR(S100="",T100=""),"",ROUNDUP(R100/S100,0)*T100)</f>
        <v>720</v>
      </c>
      <c r="V100" s="88">
        <f t="shared" si="23"/>
        <v>8</v>
      </c>
      <c r="W100" s="89">
        <v>24</v>
      </c>
      <c r="X100" s="90" t="s">
        <v>237</v>
      </c>
      <c r="Y100" s="91">
        <f t="shared" si="24"/>
        <v>2.6041666666666665E-3</v>
      </c>
      <c r="Z100" s="92">
        <f t="shared" si="25"/>
        <v>2.0833333333333333E-3</v>
      </c>
      <c r="AA100" s="92">
        <f t="shared" si="26"/>
        <v>1.6782407407407408E-3</v>
      </c>
      <c r="AB100" s="93" t="s">
        <v>68</v>
      </c>
      <c r="AC100" s="93" t="s">
        <v>68</v>
      </c>
      <c r="AD100" s="93" t="s">
        <v>82</v>
      </c>
      <c r="AE100" s="93" t="s">
        <v>98</v>
      </c>
      <c r="AF100" s="93" t="s">
        <v>99</v>
      </c>
      <c r="AG100" s="93" t="s">
        <v>68</v>
      </c>
      <c r="AH100" s="93" t="s">
        <v>389</v>
      </c>
      <c r="AI100" s="93" t="s">
        <v>73</v>
      </c>
      <c r="AJ100" s="94"/>
      <c r="AK100" s="94"/>
      <c r="AL100" s="94"/>
      <c r="AM100" s="94" t="str">
        <f t="shared" si="27"/>
        <v/>
      </c>
      <c r="AN100" s="94" t="str">
        <f t="shared" si="28"/>
        <v/>
      </c>
      <c r="AO100" s="94" t="str">
        <f t="shared" si="29"/>
        <v/>
      </c>
      <c r="AP100" s="94"/>
      <c r="AQ100" s="93"/>
      <c r="AR100" s="95"/>
      <c r="AS100" s="95"/>
      <c r="AT100" s="95"/>
      <c r="AU100" s="95"/>
    </row>
    <row r="101" spans="1:47" ht="81.95" customHeight="1">
      <c r="A101" s="83" t="s">
        <v>335</v>
      </c>
      <c r="B101" s="84">
        <v>97</v>
      </c>
      <c r="C101" s="84">
        <v>2</v>
      </c>
      <c r="D101" s="84">
        <v>8</v>
      </c>
      <c r="E101" s="83" t="s">
        <v>392</v>
      </c>
      <c r="F101" s="83" t="s">
        <v>60</v>
      </c>
      <c r="G101" s="83" t="s">
        <v>61</v>
      </c>
      <c r="H101" s="85" t="s">
        <v>231</v>
      </c>
      <c r="I101" s="84">
        <v>1</v>
      </c>
      <c r="J101" s="83" t="s">
        <v>63</v>
      </c>
      <c r="K101" s="83" t="s">
        <v>64</v>
      </c>
      <c r="L101" s="86">
        <v>1.2152777777777778E-3</v>
      </c>
      <c r="M101" s="85" t="s">
        <v>65</v>
      </c>
      <c r="N101" s="87">
        <f t="shared" si="30"/>
        <v>0.14288194444444444</v>
      </c>
      <c r="O101" s="83" t="s">
        <v>387</v>
      </c>
      <c r="P101" s="88">
        <v>7230</v>
      </c>
      <c r="Q101" s="88">
        <f t="shared" si="31"/>
        <v>30</v>
      </c>
      <c r="R101" s="88">
        <f t="shared" si="21"/>
        <v>4156</v>
      </c>
      <c r="S101" s="88">
        <v>416</v>
      </c>
      <c r="T101" s="88">
        <v>105</v>
      </c>
      <c r="U101" s="88">
        <f t="shared" si="35"/>
        <v>1050</v>
      </c>
      <c r="V101" s="88">
        <f t="shared" ref="V101:V127" si="36">IF(S101="","",ROUNDUP(R101/S101,0))</f>
        <v>10</v>
      </c>
      <c r="W101" s="89">
        <v>24</v>
      </c>
      <c r="X101" s="90" t="s">
        <v>97</v>
      </c>
      <c r="Y101" s="91">
        <f t="shared" ref="Y101:Y127" si="37">ROUND(L101*IF(S101&lt;&gt;"",1.25,1.15)*86400/5,0)*5/86400</f>
        <v>1.5046296296296296E-3</v>
      </c>
      <c r="Z101" s="92">
        <f t="shared" ref="Z101:Z127" si="38">L101</f>
        <v>1.2152777777777778E-3</v>
      </c>
      <c r="AA101" s="92">
        <f t="shared" ref="AA101:AA127" si="39">ROUND(L101*IF(S101&lt;&gt;"",0.8,0.9)*86400/5,0)*5/86400</f>
        <v>9.837962962962962E-4</v>
      </c>
      <c r="AB101" s="93" t="s">
        <v>68</v>
      </c>
      <c r="AC101" s="93" t="s">
        <v>68</v>
      </c>
      <c r="AD101" s="93" t="s">
        <v>82</v>
      </c>
      <c r="AE101" s="93" t="s">
        <v>98</v>
      </c>
      <c r="AF101" s="93" t="s">
        <v>99</v>
      </c>
      <c r="AG101" s="93" t="s">
        <v>68</v>
      </c>
      <c r="AH101" s="93" t="s">
        <v>389</v>
      </c>
      <c r="AI101" s="93" t="s">
        <v>73</v>
      </c>
      <c r="AJ101" s="94"/>
      <c r="AK101" s="94"/>
      <c r="AL101" s="94"/>
      <c r="AM101" s="94" t="str">
        <f t="shared" ref="AM101:AM132" si="40">IF(AL101="","",ROUND(AL101*0.8,0))</f>
        <v/>
      </c>
      <c r="AN101" s="94" t="str">
        <f t="shared" ref="AN101:AN127" si="41">IF(AL101="","",ROUND(AL101*0.6,0))</f>
        <v/>
      </c>
      <c r="AO101" s="94" t="str">
        <f t="shared" ref="AO101:AO127" si="42">IF(AL101="","",ROUND(AL101*0.5,0))</f>
        <v/>
      </c>
      <c r="AP101" s="94"/>
      <c r="AQ101" s="93"/>
      <c r="AR101" s="95"/>
      <c r="AS101" s="95"/>
      <c r="AT101" s="95"/>
      <c r="AU101" s="95"/>
    </row>
    <row r="102" spans="1:47" ht="81.95" customHeight="1">
      <c r="A102" s="83" t="s">
        <v>335</v>
      </c>
      <c r="B102" s="84">
        <v>98</v>
      </c>
      <c r="C102" s="84">
        <v>10</v>
      </c>
      <c r="D102" s="84">
        <v>10</v>
      </c>
      <c r="E102" s="83" t="s">
        <v>393</v>
      </c>
      <c r="F102" s="83" t="s">
        <v>394</v>
      </c>
      <c r="G102" s="83" t="s">
        <v>395</v>
      </c>
      <c r="H102" s="85" t="s">
        <v>396</v>
      </c>
      <c r="I102" s="84">
        <v>3</v>
      </c>
      <c r="J102" s="83" t="s">
        <v>397</v>
      </c>
      <c r="K102" s="83" t="s">
        <v>191</v>
      </c>
      <c r="L102" s="86">
        <v>7.8125E-3</v>
      </c>
      <c r="M102" s="85" t="s">
        <v>398</v>
      </c>
      <c r="N102" s="87">
        <f t="shared" ref="N102:N123" si="43">SUM($L$5:L102)</f>
        <v>0.15069444444444444</v>
      </c>
      <c r="O102" s="83" t="s">
        <v>387</v>
      </c>
      <c r="P102" s="88">
        <v>7430</v>
      </c>
      <c r="Q102" s="88">
        <f t="shared" ref="Q102:Q133" si="44">P102-P101</f>
        <v>200</v>
      </c>
      <c r="R102" s="88">
        <f t="shared" si="21"/>
        <v>4156</v>
      </c>
      <c r="S102" s="88">
        <v>4156</v>
      </c>
      <c r="T102" s="88">
        <v>675</v>
      </c>
      <c r="U102" s="88">
        <f t="shared" si="35"/>
        <v>675</v>
      </c>
      <c r="V102" s="88">
        <f t="shared" si="36"/>
        <v>1</v>
      </c>
      <c r="W102" s="89">
        <v>24</v>
      </c>
      <c r="X102" s="90" t="s">
        <v>399</v>
      </c>
      <c r="Y102" s="91">
        <f t="shared" si="37"/>
        <v>9.780092592592592E-3</v>
      </c>
      <c r="Z102" s="92">
        <f t="shared" si="38"/>
        <v>7.8125E-3</v>
      </c>
      <c r="AA102" s="92">
        <f t="shared" si="39"/>
        <v>6.2500000000000003E-3</v>
      </c>
      <c r="AB102" s="93" t="s">
        <v>272</v>
      </c>
      <c r="AC102" s="93" t="s">
        <v>400</v>
      </c>
      <c r="AD102" s="93" t="s">
        <v>82</v>
      </c>
      <c r="AE102" s="93" t="s">
        <v>196</v>
      </c>
      <c r="AF102" s="93" t="s">
        <v>197</v>
      </c>
      <c r="AG102" s="93" t="s">
        <v>68</v>
      </c>
      <c r="AH102" s="93" t="s">
        <v>389</v>
      </c>
      <c r="AI102" s="93" t="s">
        <v>73</v>
      </c>
      <c r="AJ102" s="94"/>
      <c r="AK102" s="94"/>
      <c r="AL102" s="94"/>
      <c r="AM102" s="94" t="str">
        <f t="shared" si="40"/>
        <v/>
      </c>
      <c r="AN102" s="94" t="str">
        <f t="shared" si="41"/>
        <v/>
      </c>
      <c r="AO102" s="94" t="str">
        <f t="shared" si="42"/>
        <v/>
      </c>
      <c r="AP102" s="94"/>
      <c r="AQ102" s="93"/>
      <c r="AR102" s="95"/>
      <c r="AS102" s="95"/>
      <c r="AT102" s="95"/>
      <c r="AU102" s="95"/>
    </row>
    <row r="103" spans="1:47" ht="81.95" customHeight="1">
      <c r="A103" s="83" t="s">
        <v>335</v>
      </c>
      <c r="B103" s="84">
        <v>99</v>
      </c>
      <c r="C103" s="84">
        <v>10</v>
      </c>
      <c r="D103" s="84">
        <v>10</v>
      </c>
      <c r="E103" s="83" t="s">
        <v>401</v>
      </c>
      <c r="F103" s="83" t="s">
        <v>402</v>
      </c>
      <c r="G103" s="83" t="s">
        <v>403</v>
      </c>
      <c r="H103" s="85" t="s">
        <v>404</v>
      </c>
      <c r="I103" s="84">
        <v>3</v>
      </c>
      <c r="J103" s="83" t="s">
        <v>405</v>
      </c>
      <c r="K103" s="83" t="s">
        <v>191</v>
      </c>
      <c r="L103" s="86">
        <v>7.8125E-3</v>
      </c>
      <c r="M103" s="85" t="s">
        <v>406</v>
      </c>
      <c r="N103" s="87">
        <f t="shared" si="43"/>
        <v>0.15850694444444444</v>
      </c>
      <c r="O103" s="83" t="s">
        <v>387</v>
      </c>
      <c r="P103" s="88">
        <v>7630</v>
      </c>
      <c r="Q103" s="88">
        <f t="shared" si="44"/>
        <v>200</v>
      </c>
      <c r="R103" s="88">
        <f t="shared" si="21"/>
        <v>4475</v>
      </c>
      <c r="S103" s="88">
        <v>4475</v>
      </c>
      <c r="T103" s="88">
        <v>675</v>
      </c>
      <c r="U103" s="88">
        <f t="shared" si="35"/>
        <v>675</v>
      </c>
      <c r="V103" s="88">
        <f t="shared" si="36"/>
        <v>1</v>
      </c>
      <c r="W103" s="89">
        <v>25</v>
      </c>
      <c r="X103" s="90" t="s">
        <v>407</v>
      </c>
      <c r="Y103" s="91">
        <f t="shared" si="37"/>
        <v>9.780092592592592E-3</v>
      </c>
      <c r="Z103" s="92">
        <f t="shared" si="38"/>
        <v>7.8125E-3</v>
      </c>
      <c r="AA103" s="92">
        <f t="shared" si="39"/>
        <v>6.2500000000000003E-3</v>
      </c>
      <c r="AB103" s="93" t="s">
        <v>307</v>
      </c>
      <c r="AC103" s="93" t="s">
        <v>408</v>
      </c>
      <c r="AD103" s="93" t="s">
        <v>82</v>
      </c>
      <c r="AE103" s="93" t="s">
        <v>196</v>
      </c>
      <c r="AF103" s="93" t="s">
        <v>197</v>
      </c>
      <c r="AG103" s="93" t="s">
        <v>68</v>
      </c>
      <c r="AH103" s="93" t="s">
        <v>389</v>
      </c>
      <c r="AI103" s="93" t="s">
        <v>73</v>
      </c>
      <c r="AJ103" s="94"/>
      <c r="AK103" s="94"/>
      <c r="AL103" s="94"/>
      <c r="AM103" s="94" t="str">
        <f t="shared" si="40"/>
        <v/>
      </c>
      <c r="AN103" s="94" t="str">
        <f t="shared" si="41"/>
        <v/>
      </c>
      <c r="AO103" s="94" t="str">
        <f t="shared" si="42"/>
        <v/>
      </c>
      <c r="AP103" s="94"/>
      <c r="AQ103" s="93"/>
      <c r="AR103" s="95"/>
      <c r="AS103" s="95"/>
      <c r="AT103" s="95"/>
      <c r="AU103" s="95"/>
    </row>
    <row r="104" spans="1:47" ht="81.95" customHeight="1">
      <c r="A104" s="83" t="s">
        <v>335</v>
      </c>
      <c r="B104" s="84">
        <v>100</v>
      </c>
      <c r="C104" s="84">
        <v>2</v>
      </c>
      <c r="D104" s="84">
        <v>10</v>
      </c>
      <c r="E104" s="83" t="s">
        <v>409</v>
      </c>
      <c r="F104" s="83" t="s">
        <v>410</v>
      </c>
      <c r="G104" s="83" t="s">
        <v>411</v>
      </c>
      <c r="H104" s="85" t="s">
        <v>412</v>
      </c>
      <c r="I104" s="84">
        <v>1</v>
      </c>
      <c r="J104" s="83" t="s">
        <v>413</v>
      </c>
      <c r="K104" s="83" t="s">
        <v>64</v>
      </c>
      <c r="L104" s="86">
        <v>1.0416666666666667E-3</v>
      </c>
      <c r="M104" s="85" t="s">
        <v>414</v>
      </c>
      <c r="N104" s="87">
        <f t="shared" si="43"/>
        <v>0.1595486111111111</v>
      </c>
      <c r="O104" s="83" t="s">
        <v>387</v>
      </c>
      <c r="P104" s="88">
        <v>7690</v>
      </c>
      <c r="Q104" s="88">
        <f t="shared" si="44"/>
        <v>60</v>
      </c>
      <c r="R104" s="88">
        <f t="shared" si="21"/>
        <v>4475</v>
      </c>
      <c r="S104" s="88">
        <v>448</v>
      </c>
      <c r="T104" s="88">
        <v>90</v>
      </c>
      <c r="U104" s="88">
        <f t="shared" si="35"/>
        <v>900</v>
      </c>
      <c r="V104" s="88">
        <f t="shared" si="36"/>
        <v>10</v>
      </c>
      <c r="W104" s="89">
        <v>25</v>
      </c>
      <c r="X104" s="90" t="s">
        <v>97</v>
      </c>
      <c r="Y104" s="91">
        <f t="shared" si="37"/>
        <v>1.3310185185185185E-3</v>
      </c>
      <c r="Z104" s="92">
        <f t="shared" si="38"/>
        <v>1.0416666666666667E-3</v>
      </c>
      <c r="AA104" s="92">
        <f t="shared" si="39"/>
        <v>8.1018518518518516E-4</v>
      </c>
      <c r="AB104" s="93" t="s">
        <v>415</v>
      </c>
      <c r="AC104" s="93" t="s">
        <v>416</v>
      </c>
      <c r="AD104" s="93" t="s">
        <v>417</v>
      </c>
      <c r="AE104" s="93" t="s">
        <v>98</v>
      </c>
      <c r="AF104" s="93" t="s">
        <v>99</v>
      </c>
      <c r="AG104" s="93" t="s">
        <v>418</v>
      </c>
      <c r="AH104" s="93" t="s">
        <v>389</v>
      </c>
      <c r="AI104" s="93" t="s">
        <v>125</v>
      </c>
      <c r="AJ104" s="94">
        <v>2200</v>
      </c>
      <c r="AK104" s="94" t="s">
        <v>126</v>
      </c>
      <c r="AL104" s="94">
        <v>2200</v>
      </c>
      <c r="AM104" s="94">
        <f t="shared" si="40"/>
        <v>1760</v>
      </c>
      <c r="AN104" s="94">
        <f t="shared" si="41"/>
        <v>1320</v>
      </c>
      <c r="AO104" s="94">
        <f t="shared" si="42"/>
        <v>1100</v>
      </c>
      <c r="AP104" s="94">
        <v>0</v>
      </c>
      <c r="AQ104" s="93" t="s">
        <v>360</v>
      </c>
      <c r="AR104" s="95">
        <f>SUM(Z98:Z104)</f>
        <v>2.2916666666666665E-2</v>
      </c>
      <c r="AS104" s="95">
        <f ca="1">SUM(Y98:Y104)</f>
        <v>2.8587962962962964E-2</v>
      </c>
      <c r="AT104" s="95">
        <f>SUM(Z98:Z104)</f>
        <v>2.2916666666666665E-2</v>
      </c>
      <c r="AU104" s="95">
        <f ca="1">SUM(AA98:AA104)</f>
        <v>1.846064814814815E-2</v>
      </c>
    </row>
    <row r="105" spans="1:47" ht="81.95" customHeight="1">
      <c r="A105" s="83" t="s">
        <v>419</v>
      </c>
      <c r="B105" s="84">
        <v>101</v>
      </c>
      <c r="C105" s="84">
        <v>2</v>
      </c>
      <c r="D105" s="84">
        <v>9</v>
      </c>
      <c r="E105" s="83" t="s">
        <v>420</v>
      </c>
      <c r="F105" s="83" t="s">
        <v>60</v>
      </c>
      <c r="G105" s="83" t="s">
        <v>61</v>
      </c>
      <c r="H105" s="85" t="s">
        <v>231</v>
      </c>
      <c r="I105" s="84">
        <v>1</v>
      </c>
      <c r="J105" s="83" t="s">
        <v>63</v>
      </c>
      <c r="K105" s="83" t="s">
        <v>64</v>
      </c>
      <c r="L105" s="86">
        <v>1.273148148148148E-3</v>
      </c>
      <c r="M105" s="85" t="s">
        <v>65</v>
      </c>
      <c r="N105" s="87">
        <f t="shared" si="43"/>
        <v>0.16082175925925923</v>
      </c>
      <c r="O105" s="83" t="s">
        <v>421</v>
      </c>
      <c r="P105" s="88">
        <v>7730</v>
      </c>
      <c r="Q105" s="88">
        <f t="shared" si="44"/>
        <v>40</v>
      </c>
      <c r="R105" s="88">
        <f t="shared" si="21"/>
        <v>4475</v>
      </c>
      <c r="S105" s="88">
        <v>448</v>
      </c>
      <c r="T105" s="88">
        <v>110</v>
      </c>
      <c r="U105" s="88">
        <f t="shared" si="35"/>
        <v>1100</v>
      </c>
      <c r="V105" s="88">
        <f t="shared" si="36"/>
        <v>10</v>
      </c>
      <c r="W105" s="89">
        <v>25</v>
      </c>
      <c r="X105" s="90" t="s">
        <v>97</v>
      </c>
      <c r="Y105" s="91">
        <f t="shared" si="37"/>
        <v>1.6203703703703703E-3</v>
      </c>
      <c r="Z105" s="92">
        <f t="shared" si="38"/>
        <v>1.273148148148148E-3</v>
      </c>
      <c r="AA105" s="92">
        <f t="shared" si="39"/>
        <v>1.0416666666666667E-3</v>
      </c>
      <c r="AB105" s="93" t="s">
        <v>68</v>
      </c>
      <c r="AC105" s="93" t="s">
        <v>68</v>
      </c>
      <c r="AD105" s="93" t="s">
        <v>422</v>
      </c>
      <c r="AE105" s="93" t="s">
        <v>98</v>
      </c>
      <c r="AF105" s="93" t="s">
        <v>99</v>
      </c>
      <c r="AG105" s="93" t="s">
        <v>68</v>
      </c>
      <c r="AH105" s="93" t="s">
        <v>423</v>
      </c>
      <c r="AI105" s="93" t="s">
        <v>73</v>
      </c>
      <c r="AJ105" s="94"/>
      <c r="AK105" s="94"/>
      <c r="AL105" s="94"/>
      <c r="AM105" s="94" t="str">
        <f t="shared" si="40"/>
        <v/>
      </c>
      <c r="AN105" s="94" t="str">
        <f t="shared" si="41"/>
        <v/>
      </c>
      <c r="AO105" s="94" t="str">
        <f t="shared" si="42"/>
        <v/>
      </c>
      <c r="AP105" s="94"/>
      <c r="AQ105" s="93"/>
      <c r="AR105" s="95"/>
      <c r="AS105" s="95"/>
      <c r="AT105" s="95"/>
      <c r="AU105" s="95"/>
    </row>
    <row r="106" spans="1:47" ht="81.95" customHeight="1">
      <c r="A106" s="83" t="s">
        <v>419</v>
      </c>
      <c r="B106" s="84">
        <v>102</v>
      </c>
      <c r="C106" s="84">
        <v>2</v>
      </c>
      <c r="D106" s="84">
        <v>9</v>
      </c>
      <c r="E106" s="83" t="s">
        <v>424</v>
      </c>
      <c r="F106" s="83" t="s">
        <v>60</v>
      </c>
      <c r="G106" s="83" t="s">
        <v>61</v>
      </c>
      <c r="H106" s="85" t="s">
        <v>231</v>
      </c>
      <c r="I106" s="84">
        <v>1</v>
      </c>
      <c r="J106" s="83" t="s">
        <v>63</v>
      </c>
      <c r="K106" s="83" t="s">
        <v>64</v>
      </c>
      <c r="L106" s="86">
        <v>9.8379629629629642E-4</v>
      </c>
      <c r="M106" s="85" t="s">
        <v>65</v>
      </c>
      <c r="N106" s="87">
        <f t="shared" si="43"/>
        <v>0.16180555555555554</v>
      </c>
      <c r="O106" s="83" t="s">
        <v>421</v>
      </c>
      <c r="P106" s="88">
        <v>7770</v>
      </c>
      <c r="Q106" s="88">
        <f t="shared" si="44"/>
        <v>40</v>
      </c>
      <c r="R106" s="88">
        <f t="shared" si="21"/>
        <v>4475</v>
      </c>
      <c r="S106" s="88">
        <v>448</v>
      </c>
      <c r="T106" s="88">
        <v>85</v>
      </c>
      <c r="U106" s="88">
        <f t="shared" si="35"/>
        <v>850</v>
      </c>
      <c r="V106" s="88">
        <f t="shared" si="36"/>
        <v>10</v>
      </c>
      <c r="W106" s="89">
        <v>25</v>
      </c>
      <c r="X106" s="90" t="s">
        <v>97</v>
      </c>
      <c r="Y106" s="91">
        <f t="shared" si="37"/>
        <v>1.2152777777777778E-3</v>
      </c>
      <c r="Z106" s="92">
        <f t="shared" si="38"/>
        <v>9.8379629629629642E-4</v>
      </c>
      <c r="AA106" s="92">
        <f t="shared" si="39"/>
        <v>8.1018518518518516E-4</v>
      </c>
      <c r="AB106" s="93" t="s">
        <v>68</v>
      </c>
      <c r="AC106" s="93" t="s">
        <v>68</v>
      </c>
      <c r="AD106" s="93" t="s">
        <v>82</v>
      </c>
      <c r="AE106" s="93" t="s">
        <v>98</v>
      </c>
      <c r="AF106" s="93" t="s">
        <v>99</v>
      </c>
      <c r="AG106" s="93" t="s">
        <v>68</v>
      </c>
      <c r="AH106" s="93" t="s">
        <v>423</v>
      </c>
      <c r="AI106" s="93" t="s">
        <v>73</v>
      </c>
      <c r="AJ106" s="94"/>
      <c r="AK106" s="94"/>
      <c r="AL106" s="94"/>
      <c r="AM106" s="94" t="str">
        <f t="shared" si="40"/>
        <v/>
      </c>
      <c r="AN106" s="94" t="str">
        <f t="shared" si="41"/>
        <v/>
      </c>
      <c r="AO106" s="94" t="str">
        <f t="shared" si="42"/>
        <v/>
      </c>
      <c r="AP106" s="94"/>
      <c r="AQ106" s="93"/>
      <c r="AR106" s="95"/>
      <c r="AS106" s="95"/>
      <c r="AT106" s="95"/>
      <c r="AU106" s="95"/>
    </row>
    <row r="107" spans="1:47" ht="81.95" customHeight="1">
      <c r="A107" s="83" t="s">
        <v>419</v>
      </c>
      <c r="B107" s="84">
        <v>103</v>
      </c>
      <c r="C107" s="84">
        <v>3</v>
      </c>
      <c r="D107" s="84">
        <v>9</v>
      </c>
      <c r="E107" s="83" t="s">
        <v>425</v>
      </c>
      <c r="F107" s="83" t="s">
        <v>155</v>
      </c>
      <c r="G107" s="83" t="s">
        <v>156</v>
      </c>
      <c r="H107" s="85" t="s">
        <v>386</v>
      </c>
      <c r="I107" s="84">
        <v>3</v>
      </c>
      <c r="J107" s="83" t="s">
        <v>158</v>
      </c>
      <c r="K107" s="83" t="s">
        <v>64</v>
      </c>
      <c r="L107" s="86">
        <v>9.2592592592592585E-4</v>
      </c>
      <c r="M107" s="85" t="s">
        <v>159</v>
      </c>
      <c r="N107" s="87">
        <f t="shared" si="43"/>
        <v>0.16273148148148145</v>
      </c>
      <c r="O107" s="83" t="s">
        <v>421</v>
      </c>
      <c r="P107" s="88">
        <v>7820</v>
      </c>
      <c r="Q107" s="88">
        <f t="shared" si="44"/>
        <v>50</v>
      </c>
      <c r="R107" s="88">
        <f t="shared" si="21"/>
        <v>4806</v>
      </c>
      <c r="S107" s="88">
        <v>481</v>
      </c>
      <c r="T107" s="88">
        <v>27</v>
      </c>
      <c r="U107" s="88">
        <f t="shared" si="35"/>
        <v>270</v>
      </c>
      <c r="V107" s="88">
        <f t="shared" si="36"/>
        <v>10</v>
      </c>
      <c r="W107" s="89">
        <v>26</v>
      </c>
      <c r="X107" s="90" t="s">
        <v>97</v>
      </c>
      <c r="Y107" s="91">
        <f t="shared" si="37"/>
        <v>1.1574074074074073E-3</v>
      </c>
      <c r="Z107" s="92">
        <f t="shared" si="38"/>
        <v>9.2592592592592585E-4</v>
      </c>
      <c r="AA107" s="92">
        <f t="shared" si="39"/>
        <v>7.5231481481481482E-4</v>
      </c>
      <c r="AB107" s="93" t="s">
        <v>68</v>
      </c>
      <c r="AC107" s="93" t="s">
        <v>68</v>
      </c>
      <c r="AD107" s="93" t="s">
        <v>82</v>
      </c>
      <c r="AE107" s="93" t="s">
        <v>98</v>
      </c>
      <c r="AF107" s="93" t="s">
        <v>99</v>
      </c>
      <c r="AG107" s="93" t="s">
        <v>68</v>
      </c>
      <c r="AH107" s="93" t="s">
        <v>423</v>
      </c>
      <c r="AI107" s="93" t="s">
        <v>73</v>
      </c>
      <c r="AJ107" s="94"/>
      <c r="AK107" s="94"/>
      <c r="AL107" s="94"/>
      <c r="AM107" s="94" t="str">
        <f t="shared" si="40"/>
        <v/>
      </c>
      <c r="AN107" s="94" t="str">
        <f t="shared" si="41"/>
        <v/>
      </c>
      <c r="AO107" s="94" t="str">
        <f t="shared" si="42"/>
        <v/>
      </c>
      <c r="AP107" s="94"/>
      <c r="AQ107" s="93"/>
      <c r="AR107" s="95"/>
      <c r="AS107" s="95"/>
      <c r="AT107" s="95"/>
      <c r="AU107" s="95"/>
    </row>
    <row r="108" spans="1:47" ht="81.95" customHeight="1">
      <c r="A108" s="83" t="s">
        <v>419</v>
      </c>
      <c r="B108" s="84">
        <v>104</v>
      </c>
      <c r="C108" s="84">
        <v>7</v>
      </c>
      <c r="D108" s="84">
        <v>10</v>
      </c>
      <c r="E108" s="83" t="s">
        <v>426</v>
      </c>
      <c r="F108" s="83" t="s">
        <v>146</v>
      </c>
      <c r="G108" s="83" t="s">
        <v>147</v>
      </c>
      <c r="H108" s="85" t="s">
        <v>427</v>
      </c>
      <c r="I108" s="84">
        <v>4</v>
      </c>
      <c r="J108" s="83" t="s">
        <v>168</v>
      </c>
      <c r="K108" s="83" t="s">
        <v>150</v>
      </c>
      <c r="L108" s="86">
        <v>1.7939814814814817E-3</v>
      </c>
      <c r="M108" s="85" t="s">
        <v>151</v>
      </c>
      <c r="N108" s="87">
        <f t="shared" si="43"/>
        <v>0.16452546296296294</v>
      </c>
      <c r="O108" s="83" t="s">
        <v>421</v>
      </c>
      <c r="P108" s="88">
        <v>7920</v>
      </c>
      <c r="Q108" s="88">
        <f t="shared" si="44"/>
        <v>100</v>
      </c>
      <c r="R108" s="88">
        <f t="shared" si="21"/>
        <v>4806</v>
      </c>
      <c r="S108" s="88">
        <v>601</v>
      </c>
      <c r="T108" s="88">
        <v>39</v>
      </c>
      <c r="U108" s="88">
        <f t="shared" si="35"/>
        <v>312</v>
      </c>
      <c r="V108" s="88">
        <f t="shared" si="36"/>
        <v>8</v>
      </c>
      <c r="W108" s="89">
        <v>26</v>
      </c>
      <c r="X108" s="90" t="s">
        <v>97</v>
      </c>
      <c r="Y108" s="91">
        <f t="shared" si="37"/>
        <v>2.2569444444444442E-3</v>
      </c>
      <c r="Z108" s="92">
        <f t="shared" si="38"/>
        <v>1.7939814814814817E-3</v>
      </c>
      <c r="AA108" s="92">
        <f t="shared" si="39"/>
        <v>1.4467592592592592E-3</v>
      </c>
      <c r="AB108" s="93" t="s">
        <v>68</v>
      </c>
      <c r="AC108" s="93" t="s">
        <v>68</v>
      </c>
      <c r="AD108" s="93" t="s">
        <v>82</v>
      </c>
      <c r="AE108" s="93" t="s">
        <v>98</v>
      </c>
      <c r="AF108" s="93" t="s">
        <v>99</v>
      </c>
      <c r="AG108" s="93" t="s">
        <v>68</v>
      </c>
      <c r="AH108" s="93" t="s">
        <v>423</v>
      </c>
      <c r="AI108" s="93" t="s">
        <v>73</v>
      </c>
      <c r="AJ108" s="94"/>
      <c r="AK108" s="94"/>
      <c r="AL108" s="94"/>
      <c r="AM108" s="94" t="str">
        <f t="shared" si="40"/>
        <v/>
      </c>
      <c r="AN108" s="94" t="str">
        <f t="shared" si="41"/>
        <v/>
      </c>
      <c r="AO108" s="94" t="str">
        <f t="shared" si="42"/>
        <v/>
      </c>
      <c r="AP108" s="94"/>
      <c r="AQ108" s="93"/>
      <c r="AR108" s="95"/>
      <c r="AS108" s="95"/>
      <c r="AT108" s="95"/>
      <c r="AU108" s="95"/>
    </row>
    <row r="109" spans="1:47" ht="81.95" customHeight="1">
      <c r="A109" s="83" t="s">
        <v>419</v>
      </c>
      <c r="B109" s="84">
        <v>105</v>
      </c>
      <c r="C109" s="84">
        <v>8</v>
      </c>
      <c r="D109" s="84">
        <v>10</v>
      </c>
      <c r="E109" s="83" t="s">
        <v>428</v>
      </c>
      <c r="F109" s="83" t="s">
        <v>171</v>
      </c>
      <c r="G109" s="83" t="s">
        <v>172</v>
      </c>
      <c r="H109" s="85" t="s">
        <v>429</v>
      </c>
      <c r="I109" s="84">
        <v>4</v>
      </c>
      <c r="J109" s="83" t="s">
        <v>379</v>
      </c>
      <c r="K109" s="83" t="s">
        <v>175</v>
      </c>
      <c r="L109" s="86">
        <v>2.2569444444444442E-3</v>
      </c>
      <c r="M109" s="85" t="s">
        <v>176</v>
      </c>
      <c r="N109" s="87">
        <f t="shared" si="43"/>
        <v>0.16678240740740738</v>
      </c>
      <c r="O109" s="83" t="s">
        <v>421</v>
      </c>
      <c r="P109" s="88">
        <v>8040</v>
      </c>
      <c r="Q109" s="88">
        <f t="shared" si="44"/>
        <v>120</v>
      </c>
      <c r="R109" s="88">
        <f t="shared" si="21"/>
        <v>4806</v>
      </c>
      <c r="S109" s="88">
        <v>687</v>
      </c>
      <c r="T109" s="88">
        <v>49</v>
      </c>
      <c r="U109" s="88">
        <f t="shared" si="35"/>
        <v>343</v>
      </c>
      <c r="V109" s="88">
        <f t="shared" si="36"/>
        <v>7</v>
      </c>
      <c r="W109" s="89">
        <v>26</v>
      </c>
      <c r="X109" s="90" t="s">
        <v>237</v>
      </c>
      <c r="Y109" s="91">
        <f t="shared" si="37"/>
        <v>2.8356481481481483E-3</v>
      </c>
      <c r="Z109" s="92">
        <f t="shared" si="38"/>
        <v>2.2569444444444442E-3</v>
      </c>
      <c r="AA109" s="92">
        <f t="shared" si="39"/>
        <v>1.7939814814814815E-3</v>
      </c>
      <c r="AB109" s="93" t="s">
        <v>68</v>
      </c>
      <c r="AC109" s="93" t="s">
        <v>68</v>
      </c>
      <c r="AD109" s="93" t="s">
        <v>82</v>
      </c>
      <c r="AE109" s="93" t="s">
        <v>98</v>
      </c>
      <c r="AF109" s="93" t="s">
        <v>197</v>
      </c>
      <c r="AG109" s="93" t="s">
        <v>68</v>
      </c>
      <c r="AH109" s="93" t="s">
        <v>423</v>
      </c>
      <c r="AI109" s="93" t="s">
        <v>73</v>
      </c>
      <c r="AJ109" s="94"/>
      <c r="AK109" s="94"/>
      <c r="AL109" s="94"/>
      <c r="AM109" s="94" t="str">
        <f t="shared" si="40"/>
        <v/>
      </c>
      <c r="AN109" s="94" t="str">
        <f t="shared" si="41"/>
        <v/>
      </c>
      <c r="AO109" s="94" t="str">
        <f t="shared" si="42"/>
        <v/>
      </c>
      <c r="AP109" s="94"/>
      <c r="AQ109" s="93"/>
      <c r="AR109" s="95"/>
      <c r="AS109" s="95"/>
      <c r="AT109" s="95"/>
      <c r="AU109" s="95"/>
    </row>
    <row r="110" spans="1:47" ht="81.95" customHeight="1">
      <c r="A110" s="83" t="s">
        <v>419</v>
      </c>
      <c r="B110" s="84">
        <v>106</v>
      </c>
      <c r="C110" s="84">
        <v>10</v>
      </c>
      <c r="D110" s="84">
        <v>10</v>
      </c>
      <c r="E110" s="83" t="s">
        <v>430</v>
      </c>
      <c r="F110" s="83" t="s">
        <v>431</v>
      </c>
      <c r="G110" s="83" t="s">
        <v>432</v>
      </c>
      <c r="H110" s="85" t="s">
        <v>433</v>
      </c>
      <c r="I110" s="84">
        <v>2</v>
      </c>
      <c r="J110" s="83" t="s">
        <v>434</v>
      </c>
      <c r="K110" s="83" t="s">
        <v>191</v>
      </c>
      <c r="L110" s="86">
        <v>4.8611111111111112E-3</v>
      </c>
      <c r="M110" s="85" t="s">
        <v>435</v>
      </c>
      <c r="N110" s="87">
        <f t="shared" si="43"/>
        <v>0.1716435185185185</v>
      </c>
      <c r="O110" s="83" t="s">
        <v>421</v>
      </c>
      <c r="P110" s="88">
        <v>8260</v>
      </c>
      <c r="Q110" s="88">
        <f t="shared" si="44"/>
        <v>220</v>
      </c>
      <c r="R110" s="88">
        <f t="shared" si="21"/>
        <v>4806</v>
      </c>
      <c r="S110" s="88">
        <v>1602</v>
      </c>
      <c r="T110" s="88">
        <v>210</v>
      </c>
      <c r="U110" s="88">
        <f t="shared" si="35"/>
        <v>630</v>
      </c>
      <c r="V110" s="88">
        <f t="shared" si="36"/>
        <v>3</v>
      </c>
      <c r="W110" s="89">
        <v>26</v>
      </c>
      <c r="X110" s="90" t="s">
        <v>436</v>
      </c>
      <c r="Y110" s="91">
        <f t="shared" si="37"/>
        <v>6.076388888888889E-3</v>
      </c>
      <c r="Z110" s="92">
        <f t="shared" si="38"/>
        <v>4.8611111111111112E-3</v>
      </c>
      <c r="AA110" s="92">
        <f t="shared" si="39"/>
        <v>3.8773148148148148E-3</v>
      </c>
      <c r="AB110" s="93" t="s">
        <v>437</v>
      </c>
      <c r="AC110" s="93" t="s">
        <v>438</v>
      </c>
      <c r="AD110" s="93" t="s">
        <v>439</v>
      </c>
      <c r="AE110" s="93" t="s">
        <v>196</v>
      </c>
      <c r="AF110" s="93" t="s">
        <v>197</v>
      </c>
      <c r="AG110" s="93" t="s">
        <v>440</v>
      </c>
      <c r="AH110" s="93" t="s">
        <v>423</v>
      </c>
      <c r="AI110" s="93" t="s">
        <v>125</v>
      </c>
      <c r="AJ110" s="94">
        <v>2300</v>
      </c>
      <c r="AK110" s="94" t="s">
        <v>126</v>
      </c>
      <c r="AL110" s="94">
        <v>2300</v>
      </c>
      <c r="AM110" s="94">
        <f t="shared" si="40"/>
        <v>1840</v>
      </c>
      <c r="AN110" s="94">
        <f t="shared" si="41"/>
        <v>1380</v>
      </c>
      <c r="AO110" s="94">
        <f t="shared" si="42"/>
        <v>1150</v>
      </c>
      <c r="AP110" s="94">
        <v>0</v>
      </c>
      <c r="AQ110" s="93" t="s">
        <v>255</v>
      </c>
      <c r="AR110" s="95">
        <f>SUM(Z105:Z110)</f>
        <v>1.2094907407407408E-2</v>
      </c>
      <c r="AS110" s="95">
        <f>SUM(Y105:Y110)</f>
        <v>1.5162037037037036E-2</v>
      </c>
      <c r="AT110" s="95">
        <f>SUM(Z105:Z110)</f>
        <v>1.2094907407407408E-2</v>
      </c>
      <c r="AU110" s="95">
        <f>SUM(AA105:AA110)</f>
        <v>9.7222222222222224E-3</v>
      </c>
    </row>
    <row r="111" spans="1:47" ht="81.95" customHeight="1">
      <c r="A111" s="83" t="s">
        <v>419</v>
      </c>
      <c r="B111" s="84">
        <v>107</v>
      </c>
      <c r="C111" s="84">
        <v>5</v>
      </c>
      <c r="D111" s="84">
        <v>9</v>
      </c>
      <c r="E111" s="83" t="s">
        <v>441</v>
      </c>
      <c r="F111" s="83" t="s">
        <v>101</v>
      </c>
      <c r="G111" s="83" t="s">
        <v>102</v>
      </c>
      <c r="H111" s="85" t="s">
        <v>442</v>
      </c>
      <c r="I111" s="84">
        <v>1</v>
      </c>
      <c r="J111" s="83" t="s">
        <v>104</v>
      </c>
      <c r="K111" s="83" t="s">
        <v>105</v>
      </c>
      <c r="L111" s="86">
        <v>8.6805555555555551E-4</v>
      </c>
      <c r="M111" s="85" t="s">
        <v>106</v>
      </c>
      <c r="N111" s="87">
        <f t="shared" si="43"/>
        <v>0.17251157407407405</v>
      </c>
      <c r="O111" s="83" t="s">
        <v>443</v>
      </c>
      <c r="P111" s="88">
        <v>8310</v>
      </c>
      <c r="Q111" s="88">
        <f t="shared" si="44"/>
        <v>50</v>
      </c>
      <c r="R111" s="88">
        <f t="shared" si="21"/>
        <v>5149</v>
      </c>
      <c r="S111" s="88" t="str">
        <f t="shared" ca="1" si="32"/>
        <v/>
      </c>
      <c r="T111" s="88"/>
      <c r="U111" s="88" t="str">
        <f t="shared" ca="1" si="33"/>
        <v/>
      </c>
      <c r="V111" s="88" t="str">
        <f t="shared" ca="1" si="36"/>
        <v/>
      </c>
      <c r="W111" s="89">
        <v>27</v>
      </c>
      <c r="X111" s="90" t="s">
        <v>81</v>
      </c>
      <c r="Y111" s="91">
        <f t="shared" ca="1" si="37"/>
        <v>9.837962962962962E-4</v>
      </c>
      <c r="Z111" s="92">
        <f t="shared" si="38"/>
        <v>8.6805555555555551E-4</v>
      </c>
      <c r="AA111" s="92">
        <f t="shared" ca="1" si="39"/>
        <v>8.1018518518518516E-4</v>
      </c>
      <c r="AB111" s="93" t="s">
        <v>68</v>
      </c>
      <c r="AC111" s="93" t="s">
        <v>68</v>
      </c>
      <c r="AD111" s="93" t="s">
        <v>444</v>
      </c>
      <c r="AE111" s="93" t="s">
        <v>83</v>
      </c>
      <c r="AF111" s="93" t="s">
        <v>99</v>
      </c>
      <c r="AG111" s="93" t="s">
        <v>68</v>
      </c>
      <c r="AH111" s="93" t="s">
        <v>423</v>
      </c>
      <c r="AI111" s="93" t="s">
        <v>73</v>
      </c>
      <c r="AJ111" s="94"/>
      <c r="AK111" s="94"/>
      <c r="AL111" s="94"/>
      <c r="AM111" s="94" t="str">
        <f t="shared" si="40"/>
        <v/>
      </c>
      <c r="AN111" s="94" t="str">
        <f t="shared" si="41"/>
        <v/>
      </c>
      <c r="AO111" s="94" t="str">
        <f t="shared" si="42"/>
        <v/>
      </c>
      <c r="AP111" s="94"/>
      <c r="AQ111" s="93"/>
      <c r="AR111" s="95"/>
      <c r="AS111" s="95"/>
      <c r="AT111" s="95"/>
      <c r="AU111" s="95"/>
    </row>
    <row r="112" spans="1:47" ht="81.95" customHeight="1">
      <c r="A112" s="83" t="s">
        <v>419</v>
      </c>
      <c r="B112" s="84">
        <v>108</v>
      </c>
      <c r="C112" s="84">
        <v>5</v>
      </c>
      <c r="D112" s="84">
        <v>9</v>
      </c>
      <c r="E112" s="83" t="s">
        <v>445</v>
      </c>
      <c r="F112" s="83" t="s">
        <v>101</v>
      </c>
      <c r="G112" s="83" t="s">
        <v>102</v>
      </c>
      <c r="H112" s="85" t="s">
        <v>442</v>
      </c>
      <c r="I112" s="84">
        <v>1</v>
      </c>
      <c r="J112" s="83" t="s">
        <v>104</v>
      </c>
      <c r="K112" s="83" t="s">
        <v>105</v>
      </c>
      <c r="L112" s="86">
        <v>8.6805555555555551E-4</v>
      </c>
      <c r="M112" s="85" t="s">
        <v>106</v>
      </c>
      <c r="N112" s="87">
        <f t="shared" si="43"/>
        <v>0.17337962962962961</v>
      </c>
      <c r="O112" s="83" t="s">
        <v>443</v>
      </c>
      <c r="P112" s="88">
        <v>8360</v>
      </c>
      <c r="Q112" s="88">
        <f t="shared" si="44"/>
        <v>50</v>
      </c>
      <c r="R112" s="88">
        <f t="shared" si="21"/>
        <v>5149</v>
      </c>
      <c r="S112" s="88" t="str">
        <f t="shared" ca="1" si="32"/>
        <v/>
      </c>
      <c r="T112" s="88"/>
      <c r="U112" s="88" t="str">
        <f t="shared" ca="1" si="33"/>
        <v/>
      </c>
      <c r="V112" s="88" t="str">
        <f t="shared" ca="1" si="36"/>
        <v/>
      </c>
      <c r="W112" s="89">
        <v>27</v>
      </c>
      <c r="X112" s="90" t="s">
        <v>86</v>
      </c>
      <c r="Y112" s="91">
        <f t="shared" ca="1" si="37"/>
        <v>9.837962962962962E-4</v>
      </c>
      <c r="Z112" s="92">
        <f t="shared" si="38"/>
        <v>8.6805555555555551E-4</v>
      </c>
      <c r="AA112" s="92">
        <f t="shared" ca="1" si="39"/>
        <v>8.1018518518518516E-4</v>
      </c>
      <c r="AB112" s="93" t="s">
        <v>68</v>
      </c>
      <c r="AC112" s="93" t="s">
        <v>68</v>
      </c>
      <c r="AD112" s="93" t="s">
        <v>82</v>
      </c>
      <c r="AE112" s="93" t="s">
        <v>87</v>
      </c>
      <c r="AF112" s="93" t="s">
        <v>99</v>
      </c>
      <c r="AG112" s="93" t="s">
        <v>68</v>
      </c>
      <c r="AH112" s="93" t="s">
        <v>423</v>
      </c>
      <c r="AI112" s="93" t="s">
        <v>73</v>
      </c>
      <c r="AJ112" s="94"/>
      <c r="AK112" s="94"/>
      <c r="AL112" s="94"/>
      <c r="AM112" s="94" t="str">
        <f t="shared" si="40"/>
        <v/>
      </c>
      <c r="AN112" s="94" t="str">
        <f t="shared" si="41"/>
        <v/>
      </c>
      <c r="AO112" s="94" t="str">
        <f t="shared" si="42"/>
        <v/>
      </c>
      <c r="AP112" s="94"/>
      <c r="AQ112" s="93"/>
      <c r="AR112" s="95"/>
      <c r="AS112" s="95"/>
      <c r="AT112" s="95"/>
      <c r="AU112" s="95"/>
    </row>
    <row r="113" spans="1:47" ht="81.95" customHeight="1">
      <c r="A113" s="83" t="s">
        <v>419</v>
      </c>
      <c r="B113" s="84">
        <v>109</v>
      </c>
      <c r="C113" s="84">
        <v>7</v>
      </c>
      <c r="D113" s="84">
        <v>10</v>
      </c>
      <c r="E113" s="83" t="s">
        <v>446</v>
      </c>
      <c r="F113" s="83" t="s">
        <v>146</v>
      </c>
      <c r="G113" s="83" t="s">
        <v>147</v>
      </c>
      <c r="H113" s="85" t="s">
        <v>427</v>
      </c>
      <c r="I113" s="84">
        <v>4</v>
      </c>
      <c r="J113" s="83" t="s">
        <v>168</v>
      </c>
      <c r="K113" s="83" t="s">
        <v>150</v>
      </c>
      <c r="L113" s="86">
        <v>1.7939814814814817E-3</v>
      </c>
      <c r="M113" s="85" t="s">
        <v>151</v>
      </c>
      <c r="N113" s="87">
        <f t="shared" si="43"/>
        <v>0.1751736111111111</v>
      </c>
      <c r="O113" s="83" t="s">
        <v>443</v>
      </c>
      <c r="P113" s="88">
        <v>8460</v>
      </c>
      <c r="Q113" s="88">
        <f t="shared" si="44"/>
        <v>100</v>
      </c>
      <c r="R113" s="88">
        <f t="shared" si="21"/>
        <v>5149</v>
      </c>
      <c r="S113" s="88">
        <v>644</v>
      </c>
      <c r="T113" s="88">
        <v>39</v>
      </c>
      <c r="U113" s="88">
        <f t="shared" ref="U113:U127" si="45">IF(OR(S113="",T113=""),"",ROUNDUP(R113/S113,0)*T113)</f>
        <v>312</v>
      </c>
      <c r="V113" s="88">
        <f t="shared" si="36"/>
        <v>8</v>
      </c>
      <c r="W113" s="89">
        <v>27</v>
      </c>
      <c r="X113" s="90" t="s">
        <v>97</v>
      </c>
      <c r="Y113" s="91">
        <f t="shared" si="37"/>
        <v>2.2569444444444442E-3</v>
      </c>
      <c r="Z113" s="92">
        <f t="shared" si="38"/>
        <v>1.7939814814814817E-3</v>
      </c>
      <c r="AA113" s="92">
        <f t="shared" si="39"/>
        <v>1.4467592592592592E-3</v>
      </c>
      <c r="AB113" s="93" t="s">
        <v>68</v>
      </c>
      <c r="AC113" s="93" t="s">
        <v>68</v>
      </c>
      <c r="AD113" s="93" t="s">
        <v>82</v>
      </c>
      <c r="AE113" s="93" t="s">
        <v>98</v>
      </c>
      <c r="AF113" s="93" t="s">
        <v>99</v>
      </c>
      <c r="AG113" s="93" t="s">
        <v>68</v>
      </c>
      <c r="AH113" s="93" t="s">
        <v>423</v>
      </c>
      <c r="AI113" s="93" t="s">
        <v>73</v>
      </c>
      <c r="AJ113" s="94"/>
      <c r="AK113" s="94"/>
      <c r="AL113" s="94"/>
      <c r="AM113" s="94" t="str">
        <f t="shared" si="40"/>
        <v/>
      </c>
      <c r="AN113" s="94" t="str">
        <f t="shared" si="41"/>
        <v/>
      </c>
      <c r="AO113" s="94" t="str">
        <f t="shared" si="42"/>
        <v/>
      </c>
      <c r="AP113" s="94"/>
      <c r="AQ113" s="93"/>
      <c r="AR113" s="95"/>
      <c r="AS113" s="95"/>
      <c r="AT113" s="95"/>
      <c r="AU113" s="95"/>
    </row>
    <row r="114" spans="1:47" ht="81.95" customHeight="1">
      <c r="A114" s="83" t="s">
        <v>419</v>
      </c>
      <c r="B114" s="84">
        <v>110</v>
      </c>
      <c r="C114" s="84">
        <v>9</v>
      </c>
      <c r="D114" s="84">
        <v>10</v>
      </c>
      <c r="E114" s="83" t="s">
        <v>447</v>
      </c>
      <c r="F114" s="83" t="s">
        <v>179</v>
      </c>
      <c r="G114" s="83" t="s">
        <v>180</v>
      </c>
      <c r="H114" s="85" t="s">
        <v>448</v>
      </c>
      <c r="I114" s="84">
        <v>1</v>
      </c>
      <c r="J114" s="83" t="s">
        <v>182</v>
      </c>
      <c r="K114" s="83" t="s">
        <v>183</v>
      </c>
      <c r="L114" s="86">
        <v>2.2569444444444442E-3</v>
      </c>
      <c r="M114" s="85" t="s">
        <v>184</v>
      </c>
      <c r="N114" s="87">
        <f t="shared" si="43"/>
        <v>0.17743055555555554</v>
      </c>
      <c r="O114" s="83" t="s">
        <v>443</v>
      </c>
      <c r="P114" s="88">
        <v>8600</v>
      </c>
      <c r="Q114" s="88">
        <f t="shared" si="44"/>
        <v>140</v>
      </c>
      <c r="R114" s="88">
        <f t="shared" si="21"/>
        <v>5149</v>
      </c>
      <c r="S114" s="88">
        <v>736</v>
      </c>
      <c r="T114" s="88">
        <v>195</v>
      </c>
      <c r="U114" s="88">
        <f t="shared" si="45"/>
        <v>1365</v>
      </c>
      <c r="V114" s="88">
        <f t="shared" si="36"/>
        <v>7</v>
      </c>
      <c r="W114" s="89">
        <v>27</v>
      </c>
      <c r="X114" s="90" t="s">
        <v>97</v>
      </c>
      <c r="Y114" s="91">
        <f t="shared" si="37"/>
        <v>2.8356481481481483E-3</v>
      </c>
      <c r="Z114" s="92">
        <f t="shared" si="38"/>
        <v>2.2569444444444442E-3</v>
      </c>
      <c r="AA114" s="92">
        <f t="shared" si="39"/>
        <v>1.7939814814814815E-3</v>
      </c>
      <c r="AB114" s="93" t="s">
        <v>68</v>
      </c>
      <c r="AC114" s="93" t="s">
        <v>68</v>
      </c>
      <c r="AD114" s="93" t="s">
        <v>82</v>
      </c>
      <c r="AE114" s="93" t="s">
        <v>98</v>
      </c>
      <c r="AF114" s="93" t="s">
        <v>197</v>
      </c>
      <c r="AG114" s="93" t="s">
        <v>68</v>
      </c>
      <c r="AH114" s="93" t="s">
        <v>423</v>
      </c>
      <c r="AI114" s="93" t="s">
        <v>73</v>
      </c>
      <c r="AJ114" s="94"/>
      <c r="AK114" s="94"/>
      <c r="AL114" s="94"/>
      <c r="AM114" s="94" t="str">
        <f t="shared" si="40"/>
        <v/>
      </c>
      <c r="AN114" s="94" t="str">
        <f t="shared" si="41"/>
        <v/>
      </c>
      <c r="AO114" s="94" t="str">
        <f t="shared" si="42"/>
        <v/>
      </c>
      <c r="AP114" s="94"/>
      <c r="AQ114" s="93"/>
      <c r="AR114" s="95"/>
      <c r="AS114" s="95"/>
      <c r="AT114" s="95"/>
      <c r="AU114" s="95"/>
    </row>
    <row r="115" spans="1:47" ht="81.95" customHeight="1">
      <c r="A115" s="83" t="s">
        <v>419</v>
      </c>
      <c r="B115" s="84">
        <v>111</v>
      </c>
      <c r="C115" s="84">
        <v>6</v>
      </c>
      <c r="D115" s="84">
        <v>10</v>
      </c>
      <c r="E115" s="83" t="s">
        <v>449</v>
      </c>
      <c r="F115" s="83" t="s">
        <v>343</v>
      </c>
      <c r="G115" s="83" t="s">
        <v>344</v>
      </c>
      <c r="H115" s="85" t="s">
        <v>450</v>
      </c>
      <c r="I115" s="84">
        <v>4</v>
      </c>
      <c r="J115" s="83" t="s">
        <v>346</v>
      </c>
      <c r="K115" s="83" t="s">
        <v>347</v>
      </c>
      <c r="L115" s="86">
        <v>1.7939814814814817E-3</v>
      </c>
      <c r="M115" s="85" t="s">
        <v>348</v>
      </c>
      <c r="N115" s="87">
        <f t="shared" si="43"/>
        <v>0.17922453703703703</v>
      </c>
      <c r="O115" s="83" t="s">
        <v>443</v>
      </c>
      <c r="P115" s="88">
        <v>8680</v>
      </c>
      <c r="Q115" s="88">
        <f t="shared" si="44"/>
        <v>80</v>
      </c>
      <c r="R115" s="88">
        <f t="shared" si="21"/>
        <v>5504</v>
      </c>
      <c r="S115" s="88"/>
      <c r="T115" s="88"/>
      <c r="U115" s="88" t="str">
        <f t="shared" si="45"/>
        <v/>
      </c>
      <c r="V115" s="88" t="str">
        <f t="shared" si="36"/>
        <v/>
      </c>
      <c r="W115" s="89">
        <v>28</v>
      </c>
      <c r="X115" s="90" t="s">
        <v>86</v>
      </c>
      <c r="Y115" s="91">
        <f t="shared" si="37"/>
        <v>2.0833333333333333E-3</v>
      </c>
      <c r="Z115" s="92">
        <f t="shared" si="38"/>
        <v>1.7939814814814817E-3</v>
      </c>
      <c r="AA115" s="92">
        <f t="shared" si="39"/>
        <v>1.6203703703703703E-3</v>
      </c>
      <c r="AB115" s="93" t="s">
        <v>68</v>
      </c>
      <c r="AC115" s="93" t="s">
        <v>68</v>
      </c>
      <c r="AD115" s="93" t="s">
        <v>82</v>
      </c>
      <c r="AE115" s="93" t="s">
        <v>87</v>
      </c>
      <c r="AF115" s="93" t="s">
        <v>99</v>
      </c>
      <c r="AG115" s="93" t="s">
        <v>68</v>
      </c>
      <c r="AH115" s="93" t="s">
        <v>423</v>
      </c>
      <c r="AI115" s="93" t="s">
        <v>73</v>
      </c>
      <c r="AJ115" s="94"/>
      <c r="AK115" s="94"/>
      <c r="AL115" s="94"/>
      <c r="AM115" s="94" t="str">
        <f t="shared" si="40"/>
        <v/>
      </c>
      <c r="AN115" s="94" t="str">
        <f t="shared" si="41"/>
        <v/>
      </c>
      <c r="AO115" s="94" t="str">
        <f t="shared" si="42"/>
        <v/>
      </c>
      <c r="AP115" s="94"/>
      <c r="AQ115" s="93"/>
      <c r="AR115" s="95"/>
      <c r="AS115" s="95"/>
      <c r="AT115" s="95"/>
      <c r="AU115" s="95"/>
    </row>
    <row r="116" spans="1:47" ht="81.95" customHeight="1">
      <c r="A116" s="83" t="s">
        <v>419</v>
      </c>
      <c r="B116" s="84">
        <v>112</v>
      </c>
      <c r="C116" s="84">
        <v>9</v>
      </c>
      <c r="D116" s="84">
        <v>10</v>
      </c>
      <c r="E116" s="83" t="s">
        <v>451</v>
      </c>
      <c r="F116" s="83" t="s">
        <v>179</v>
      </c>
      <c r="G116" s="83" t="s">
        <v>180</v>
      </c>
      <c r="H116" s="85" t="s">
        <v>448</v>
      </c>
      <c r="I116" s="84">
        <v>1</v>
      </c>
      <c r="J116" s="83" t="s">
        <v>182</v>
      </c>
      <c r="K116" s="83" t="s">
        <v>183</v>
      </c>
      <c r="L116" s="86">
        <v>2.2569444444444442E-3</v>
      </c>
      <c r="M116" s="85" t="s">
        <v>184</v>
      </c>
      <c r="N116" s="87">
        <f t="shared" si="43"/>
        <v>0.18148148148148147</v>
      </c>
      <c r="O116" s="83" t="s">
        <v>443</v>
      </c>
      <c r="P116" s="88">
        <v>8820</v>
      </c>
      <c r="Q116" s="88">
        <f t="shared" si="44"/>
        <v>140</v>
      </c>
      <c r="R116" s="88">
        <f t="shared" si="21"/>
        <v>5504</v>
      </c>
      <c r="S116" s="88">
        <v>787</v>
      </c>
      <c r="T116" s="88">
        <v>195</v>
      </c>
      <c r="U116" s="88">
        <f t="shared" si="45"/>
        <v>1365</v>
      </c>
      <c r="V116" s="88">
        <f t="shared" si="36"/>
        <v>7</v>
      </c>
      <c r="W116" s="89">
        <v>28</v>
      </c>
      <c r="X116" s="90" t="s">
        <v>97</v>
      </c>
      <c r="Y116" s="91">
        <f t="shared" si="37"/>
        <v>2.8356481481481483E-3</v>
      </c>
      <c r="Z116" s="92">
        <f t="shared" si="38"/>
        <v>2.2569444444444442E-3</v>
      </c>
      <c r="AA116" s="92">
        <f t="shared" si="39"/>
        <v>1.7939814814814815E-3</v>
      </c>
      <c r="AB116" s="93" t="s">
        <v>68</v>
      </c>
      <c r="AC116" s="93" t="s">
        <v>68</v>
      </c>
      <c r="AD116" s="93" t="s">
        <v>82</v>
      </c>
      <c r="AE116" s="93" t="s">
        <v>98</v>
      </c>
      <c r="AF116" s="93" t="s">
        <v>197</v>
      </c>
      <c r="AG116" s="93" t="s">
        <v>68</v>
      </c>
      <c r="AH116" s="93" t="s">
        <v>423</v>
      </c>
      <c r="AI116" s="93" t="s">
        <v>73</v>
      </c>
      <c r="AJ116" s="94"/>
      <c r="AK116" s="94"/>
      <c r="AL116" s="94"/>
      <c r="AM116" s="94" t="str">
        <f t="shared" si="40"/>
        <v/>
      </c>
      <c r="AN116" s="94" t="str">
        <f t="shared" si="41"/>
        <v/>
      </c>
      <c r="AO116" s="94" t="str">
        <f t="shared" si="42"/>
        <v/>
      </c>
      <c r="AP116" s="94"/>
      <c r="AQ116" s="93"/>
      <c r="AR116" s="95"/>
      <c r="AS116" s="95"/>
      <c r="AT116" s="95"/>
      <c r="AU116" s="95"/>
    </row>
    <row r="117" spans="1:47" ht="81.95" customHeight="1">
      <c r="A117" s="83" t="s">
        <v>419</v>
      </c>
      <c r="B117" s="84">
        <v>113</v>
      </c>
      <c r="C117" s="84">
        <v>6</v>
      </c>
      <c r="D117" s="84">
        <v>10</v>
      </c>
      <c r="E117" s="83" t="s">
        <v>452</v>
      </c>
      <c r="F117" s="83" t="s">
        <v>343</v>
      </c>
      <c r="G117" s="83" t="s">
        <v>344</v>
      </c>
      <c r="H117" s="85" t="s">
        <v>450</v>
      </c>
      <c r="I117" s="84">
        <v>4</v>
      </c>
      <c r="J117" s="83" t="s">
        <v>346</v>
      </c>
      <c r="K117" s="83" t="s">
        <v>347</v>
      </c>
      <c r="L117" s="86">
        <v>1.7939814814814817E-3</v>
      </c>
      <c r="M117" s="85" t="s">
        <v>348</v>
      </c>
      <c r="N117" s="87">
        <f t="shared" si="43"/>
        <v>0.18327546296296296</v>
      </c>
      <c r="O117" s="83" t="s">
        <v>443</v>
      </c>
      <c r="P117" s="88">
        <v>8900</v>
      </c>
      <c r="Q117" s="88">
        <f t="shared" si="44"/>
        <v>80</v>
      </c>
      <c r="R117" s="88">
        <f t="shared" si="21"/>
        <v>5504</v>
      </c>
      <c r="S117" s="88"/>
      <c r="T117" s="88"/>
      <c r="U117" s="88" t="str">
        <f t="shared" si="45"/>
        <v/>
      </c>
      <c r="V117" s="88" t="str">
        <f t="shared" si="36"/>
        <v/>
      </c>
      <c r="W117" s="89">
        <v>28</v>
      </c>
      <c r="X117" s="90" t="s">
        <v>86</v>
      </c>
      <c r="Y117" s="91">
        <f t="shared" si="37"/>
        <v>2.0833333333333333E-3</v>
      </c>
      <c r="Z117" s="92">
        <f t="shared" si="38"/>
        <v>1.7939814814814817E-3</v>
      </c>
      <c r="AA117" s="92">
        <f t="shared" si="39"/>
        <v>1.6203703703703703E-3</v>
      </c>
      <c r="AB117" s="93" t="s">
        <v>272</v>
      </c>
      <c r="AC117" s="93" t="s">
        <v>453</v>
      </c>
      <c r="AD117" s="93" t="s">
        <v>454</v>
      </c>
      <c r="AE117" s="93" t="s">
        <v>87</v>
      </c>
      <c r="AF117" s="93" t="s">
        <v>99</v>
      </c>
      <c r="AG117" s="93" t="s">
        <v>455</v>
      </c>
      <c r="AH117" s="93" t="s">
        <v>423</v>
      </c>
      <c r="AI117" s="93" t="s">
        <v>125</v>
      </c>
      <c r="AJ117" s="94">
        <v>2400</v>
      </c>
      <c r="AK117" s="94" t="s">
        <v>126</v>
      </c>
      <c r="AL117" s="94">
        <v>2400</v>
      </c>
      <c r="AM117" s="94">
        <f t="shared" si="40"/>
        <v>1920</v>
      </c>
      <c r="AN117" s="94">
        <f t="shared" si="41"/>
        <v>1440</v>
      </c>
      <c r="AO117" s="94">
        <f t="shared" si="42"/>
        <v>1200</v>
      </c>
      <c r="AP117" s="94">
        <v>0</v>
      </c>
      <c r="AQ117" s="93" t="s">
        <v>229</v>
      </c>
      <c r="AR117" s="95">
        <f>SUM(Z111:Z117)</f>
        <v>1.1631944444444443E-2</v>
      </c>
      <c r="AS117" s="95">
        <f ca="1">SUM(Y111:Y117)</f>
        <v>1.4062499999999999E-2</v>
      </c>
      <c r="AT117" s="95">
        <f>SUM(Z111:Z117)</f>
        <v>1.1631944444444443E-2</v>
      </c>
      <c r="AU117" s="95">
        <f ca="1">SUM(AA111:AA117)</f>
        <v>9.8958333333333346E-3</v>
      </c>
    </row>
    <row r="118" spans="1:47" ht="81.95" customHeight="1">
      <c r="A118" s="83" t="s">
        <v>419</v>
      </c>
      <c r="B118" s="84">
        <v>114</v>
      </c>
      <c r="C118" s="84">
        <v>2</v>
      </c>
      <c r="D118" s="84">
        <v>9</v>
      </c>
      <c r="E118" s="83" t="s">
        <v>456</v>
      </c>
      <c r="F118" s="83" t="s">
        <v>60</v>
      </c>
      <c r="G118" s="83" t="s">
        <v>61</v>
      </c>
      <c r="H118" s="85" t="s">
        <v>231</v>
      </c>
      <c r="I118" s="84">
        <v>1</v>
      </c>
      <c r="J118" s="83" t="s">
        <v>63</v>
      </c>
      <c r="K118" s="83" t="s">
        <v>64</v>
      </c>
      <c r="L118" s="86">
        <v>1.273148148148148E-3</v>
      </c>
      <c r="M118" s="85" t="s">
        <v>65</v>
      </c>
      <c r="N118" s="87">
        <f t="shared" si="43"/>
        <v>0.18454861111111109</v>
      </c>
      <c r="O118" s="83" t="s">
        <v>457</v>
      </c>
      <c r="P118" s="88">
        <v>8940</v>
      </c>
      <c r="Q118" s="88">
        <f t="shared" si="44"/>
        <v>40</v>
      </c>
      <c r="R118" s="88">
        <f t="shared" si="21"/>
        <v>5504</v>
      </c>
      <c r="S118" s="88"/>
      <c r="T118" s="88"/>
      <c r="U118" s="88" t="str">
        <f t="shared" si="45"/>
        <v/>
      </c>
      <c r="V118" s="88" t="str">
        <f t="shared" si="36"/>
        <v/>
      </c>
      <c r="W118" s="89">
        <v>28</v>
      </c>
      <c r="X118" s="90" t="s">
        <v>67</v>
      </c>
      <c r="Y118" s="91">
        <f t="shared" si="37"/>
        <v>1.4467592592592592E-3</v>
      </c>
      <c r="Z118" s="92">
        <f t="shared" si="38"/>
        <v>1.273148148148148E-3</v>
      </c>
      <c r="AA118" s="92">
        <f t="shared" si="39"/>
        <v>1.1574074074074073E-3</v>
      </c>
      <c r="AB118" s="93" t="s">
        <v>68</v>
      </c>
      <c r="AC118" s="93" t="s">
        <v>68</v>
      </c>
      <c r="AD118" s="93" t="s">
        <v>458</v>
      </c>
      <c r="AE118" s="93" t="s">
        <v>70</v>
      </c>
      <c r="AF118" s="93" t="s">
        <v>71</v>
      </c>
      <c r="AG118" s="93" t="s">
        <v>68</v>
      </c>
      <c r="AH118" s="93" t="s">
        <v>459</v>
      </c>
      <c r="AI118" s="93" t="s">
        <v>73</v>
      </c>
      <c r="AJ118" s="94"/>
      <c r="AK118" s="94"/>
      <c r="AL118" s="94"/>
      <c r="AM118" s="94" t="str">
        <f t="shared" si="40"/>
        <v/>
      </c>
      <c r="AN118" s="94" t="str">
        <f t="shared" si="41"/>
        <v/>
      </c>
      <c r="AO118" s="94" t="str">
        <f t="shared" si="42"/>
        <v/>
      </c>
      <c r="AP118" s="94"/>
      <c r="AQ118" s="93"/>
      <c r="AR118" s="95"/>
      <c r="AS118" s="95"/>
      <c r="AT118" s="95"/>
      <c r="AU118" s="95"/>
    </row>
    <row r="119" spans="1:47" ht="81.95" customHeight="1">
      <c r="A119" s="83" t="s">
        <v>419</v>
      </c>
      <c r="B119" s="84">
        <v>115</v>
      </c>
      <c r="C119" s="84">
        <v>10</v>
      </c>
      <c r="D119" s="84">
        <v>10</v>
      </c>
      <c r="E119" s="83" t="s">
        <v>460</v>
      </c>
      <c r="F119" s="83" t="s">
        <v>461</v>
      </c>
      <c r="G119" s="83" t="s">
        <v>462</v>
      </c>
      <c r="H119" s="85" t="s">
        <v>463</v>
      </c>
      <c r="I119" s="84">
        <v>3</v>
      </c>
      <c r="J119" s="83" t="s">
        <v>464</v>
      </c>
      <c r="K119" s="83" t="s">
        <v>191</v>
      </c>
      <c r="L119" s="86">
        <v>5.208333333333333E-3</v>
      </c>
      <c r="M119" s="85" t="s">
        <v>465</v>
      </c>
      <c r="N119" s="87">
        <f t="shared" si="43"/>
        <v>0.18975694444444444</v>
      </c>
      <c r="O119" s="83" t="s">
        <v>457</v>
      </c>
      <c r="P119" s="88">
        <v>9160</v>
      </c>
      <c r="Q119" s="88">
        <f t="shared" si="44"/>
        <v>220</v>
      </c>
      <c r="R119" s="88">
        <f t="shared" si="21"/>
        <v>5871</v>
      </c>
      <c r="S119" s="88">
        <v>5871</v>
      </c>
      <c r="T119" s="88">
        <v>450</v>
      </c>
      <c r="U119" s="88">
        <f t="shared" si="45"/>
        <v>450</v>
      </c>
      <c r="V119" s="88">
        <f t="shared" si="36"/>
        <v>1</v>
      </c>
      <c r="W119" s="89">
        <v>29</v>
      </c>
      <c r="X119" s="90" t="s">
        <v>466</v>
      </c>
      <c r="Y119" s="91">
        <f t="shared" si="37"/>
        <v>6.5393518518518517E-3</v>
      </c>
      <c r="Z119" s="92">
        <f t="shared" si="38"/>
        <v>5.208333333333333E-3</v>
      </c>
      <c r="AA119" s="92">
        <f t="shared" si="39"/>
        <v>4.1666666666666666E-3</v>
      </c>
      <c r="AB119" s="93" t="s">
        <v>194</v>
      </c>
      <c r="AC119" s="93" t="s">
        <v>68</v>
      </c>
      <c r="AD119" s="93" t="s">
        <v>82</v>
      </c>
      <c r="AE119" s="93" t="s">
        <v>196</v>
      </c>
      <c r="AF119" s="93" t="s">
        <v>197</v>
      </c>
      <c r="AG119" s="93" t="s">
        <v>68</v>
      </c>
      <c r="AH119" s="93" t="s">
        <v>459</v>
      </c>
      <c r="AI119" s="93" t="s">
        <v>73</v>
      </c>
      <c r="AJ119" s="94"/>
      <c r="AK119" s="94"/>
      <c r="AL119" s="94"/>
      <c r="AM119" s="94" t="str">
        <f t="shared" si="40"/>
        <v/>
      </c>
      <c r="AN119" s="94" t="str">
        <f t="shared" si="41"/>
        <v/>
      </c>
      <c r="AO119" s="94" t="str">
        <f t="shared" si="42"/>
        <v/>
      </c>
      <c r="AP119" s="94"/>
      <c r="AQ119" s="93"/>
      <c r="AR119" s="95"/>
      <c r="AS119" s="95"/>
      <c r="AT119" s="95"/>
      <c r="AU119" s="95"/>
    </row>
    <row r="120" spans="1:47" ht="81.95" customHeight="1">
      <c r="A120" s="83" t="s">
        <v>419</v>
      </c>
      <c r="B120" s="84">
        <v>116</v>
      </c>
      <c r="C120" s="84">
        <v>10</v>
      </c>
      <c r="D120" s="84">
        <v>10</v>
      </c>
      <c r="E120" s="83" t="s">
        <v>467</v>
      </c>
      <c r="F120" s="83" t="s">
        <v>468</v>
      </c>
      <c r="G120" s="83" t="s">
        <v>469</v>
      </c>
      <c r="H120" s="85" t="s">
        <v>470</v>
      </c>
      <c r="I120" s="84">
        <v>4</v>
      </c>
      <c r="J120" s="83" t="s">
        <v>471</v>
      </c>
      <c r="K120" s="83" t="s">
        <v>191</v>
      </c>
      <c r="L120" s="86">
        <v>5.208333333333333E-3</v>
      </c>
      <c r="M120" s="85" t="s">
        <v>472</v>
      </c>
      <c r="N120" s="87">
        <f t="shared" si="43"/>
        <v>0.19496527777777778</v>
      </c>
      <c r="O120" s="83" t="s">
        <v>457</v>
      </c>
      <c r="P120" s="88">
        <v>9380</v>
      </c>
      <c r="Q120" s="88">
        <f t="shared" si="44"/>
        <v>220</v>
      </c>
      <c r="R120" s="88">
        <f t="shared" si="21"/>
        <v>5871</v>
      </c>
      <c r="S120" s="88">
        <v>5871</v>
      </c>
      <c r="T120" s="88">
        <v>450</v>
      </c>
      <c r="U120" s="88">
        <f t="shared" si="45"/>
        <v>450</v>
      </c>
      <c r="V120" s="88">
        <f t="shared" si="36"/>
        <v>1</v>
      </c>
      <c r="W120" s="89">
        <v>29</v>
      </c>
      <c r="X120" s="90" t="s">
        <v>473</v>
      </c>
      <c r="Y120" s="91">
        <f t="shared" si="37"/>
        <v>6.5393518518518517E-3</v>
      </c>
      <c r="Z120" s="92">
        <f t="shared" si="38"/>
        <v>5.208333333333333E-3</v>
      </c>
      <c r="AA120" s="92">
        <f t="shared" si="39"/>
        <v>4.1666666666666666E-3</v>
      </c>
      <c r="AB120" s="93" t="s">
        <v>272</v>
      </c>
      <c r="AC120" s="93" t="s">
        <v>68</v>
      </c>
      <c r="AD120" s="93" t="s">
        <v>82</v>
      </c>
      <c r="AE120" s="93" t="s">
        <v>196</v>
      </c>
      <c r="AF120" s="93" t="s">
        <v>197</v>
      </c>
      <c r="AG120" s="93" t="s">
        <v>68</v>
      </c>
      <c r="AH120" s="93" t="s">
        <v>459</v>
      </c>
      <c r="AI120" s="93" t="s">
        <v>73</v>
      </c>
      <c r="AJ120" s="94"/>
      <c r="AK120" s="94"/>
      <c r="AL120" s="94"/>
      <c r="AM120" s="94" t="str">
        <f t="shared" si="40"/>
        <v/>
      </c>
      <c r="AN120" s="94" t="str">
        <f t="shared" si="41"/>
        <v/>
      </c>
      <c r="AO120" s="94" t="str">
        <f t="shared" si="42"/>
        <v/>
      </c>
      <c r="AP120" s="94"/>
      <c r="AQ120" s="93"/>
      <c r="AR120" s="95"/>
      <c r="AS120" s="95"/>
      <c r="AT120" s="95"/>
      <c r="AU120" s="95"/>
    </row>
    <row r="121" spans="1:47" ht="81.95" customHeight="1">
      <c r="A121" s="83" t="s">
        <v>419</v>
      </c>
      <c r="B121" s="84">
        <v>117</v>
      </c>
      <c r="C121" s="84">
        <v>8</v>
      </c>
      <c r="D121" s="84">
        <v>10</v>
      </c>
      <c r="E121" s="83" t="s">
        <v>474</v>
      </c>
      <c r="F121" s="83" t="s">
        <v>475</v>
      </c>
      <c r="G121" s="83" t="s">
        <v>476</v>
      </c>
      <c r="H121" s="85" t="s">
        <v>477</v>
      </c>
      <c r="I121" s="84">
        <v>4</v>
      </c>
      <c r="J121" s="83" t="s">
        <v>478</v>
      </c>
      <c r="K121" s="83" t="s">
        <v>175</v>
      </c>
      <c r="L121" s="86">
        <v>2.0833333333333333E-3</v>
      </c>
      <c r="M121" s="85" t="s">
        <v>479</v>
      </c>
      <c r="N121" s="87">
        <f t="shared" si="43"/>
        <v>0.1970486111111111</v>
      </c>
      <c r="O121" s="83" t="s">
        <v>457</v>
      </c>
      <c r="P121" s="88">
        <v>9500</v>
      </c>
      <c r="Q121" s="88">
        <f t="shared" si="44"/>
        <v>120</v>
      </c>
      <c r="R121" s="88">
        <f t="shared" si="21"/>
        <v>5871</v>
      </c>
      <c r="S121" s="88">
        <v>5871</v>
      </c>
      <c r="T121" s="88">
        <v>180</v>
      </c>
      <c r="U121" s="88">
        <f t="shared" si="45"/>
        <v>180</v>
      </c>
      <c r="V121" s="88">
        <f t="shared" si="36"/>
        <v>1</v>
      </c>
      <c r="W121" s="89">
        <v>29</v>
      </c>
      <c r="X121" s="90" t="s">
        <v>480</v>
      </c>
      <c r="Y121" s="91">
        <f t="shared" si="37"/>
        <v>2.6041666666666665E-3</v>
      </c>
      <c r="Z121" s="92">
        <f t="shared" si="38"/>
        <v>2.0833333333333333E-3</v>
      </c>
      <c r="AA121" s="92">
        <f t="shared" si="39"/>
        <v>1.6782407407407408E-3</v>
      </c>
      <c r="AB121" s="93" t="s">
        <v>481</v>
      </c>
      <c r="AC121" s="93" t="s">
        <v>68</v>
      </c>
      <c r="AD121" s="93" t="s">
        <v>82</v>
      </c>
      <c r="AE121" s="93" t="s">
        <v>196</v>
      </c>
      <c r="AF121" s="93" t="s">
        <v>197</v>
      </c>
      <c r="AG121" s="93" t="s">
        <v>68</v>
      </c>
      <c r="AH121" s="93" t="s">
        <v>459</v>
      </c>
      <c r="AI121" s="93" t="s">
        <v>73</v>
      </c>
      <c r="AJ121" s="94"/>
      <c r="AK121" s="94"/>
      <c r="AL121" s="94"/>
      <c r="AM121" s="94" t="str">
        <f t="shared" si="40"/>
        <v/>
      </c>
      <c r="AN121" s="94" t="str">
        <f t="shared" si="41"/>
        <v/>
      </c>
      <c r="AO121" s="94" t="str">
        <f t="shared" si="42"/>
        <v/>
      </c>
      <c r="AP121" s="94"/>
      <c r="AQ121" s="93"/>
      <c r="AR121" s="95"/>
      <c r="AS121" s="95"/>
      <c r="AT121" s="95"/>
      <c r="AU121" s="95"/>
    </row>
    <row r="122" spans="1:47" ht="81.95" customHeight="1">
      <c r="A122" s="83" t="s">
        <v>419</v>
      </c>
      <c r="B122" s="84">
        <v>118</v>
      </c>
      <c r="C122" s="84">
        <v>10</v>
      </c>
      <c r="D122" s="84">
        <v>10</v>
      </c>
      <c r="E122" s="83" t="s">
        <v>482</v>
      </c>
      <c r="F122" s="83" t="s">
        <v>483</v>
      </c>
      <c r="G122" s="83" t="s">
        <v>484</v>
      </c>
      <c r="H122" s="85" t="s">
        <v>485</v>
      </c>
      <c r="I122" s="84">
        <v>3</v>
      </c>
      <c r="J122" s="83" t="s">
        <v>486</v>
      </c>
      <c r="K122" s="83" t="s">
        <v>191</v>
      </c>
      <c r="L122" s="86">
        <v>4.1666666666666666E-3</v>
      </c>
      <c r="M122" s="85" t="s">
        <v>487</v>
      </c>
      <c r="N122" s="87">
        <f t="shared" si="43"/>
        <v>0.20121527777777778</v>
      </c>
      <c r="O122" s="83" t="s">
        <v>457</v>
      </c>
      <c r="P122" s="88">
        <v>9720</v>
      </c>
      <c r="Q122" s="88">
        <f t="shared" si="44"/>
        <v>220</v>
      </c>
      <c r="R122" s="88">
        <f t="shared" si="21"/>
        <v>5871</v>
      </c>
      <c r="S122" s="88">
        <v>5871</v>
      </c>
      <c r="T122" s="88">
        <v>360</v>
      </c>
      <c r="U122" s="88">
        <f t="shared" si="45"/>
        <v>360</v>
      </c>
      <c r="V122" s="88">
        <f t="shared" si="36"/>
        <v>1</v>
      </c>
      <c r="W122" s="89">
        <v>29</v>
      </c>
      <c r="X122" s="90" t="s">
        <v>488</v>
      </c>
      <c r="Y122" s="91">
        <f t="shared" si="37"/>
        <v>5.208333333333333E-3</v>
      </c>
      <c r="Z122" s="92">
        <f t="shared" si="38"/>
        <v>4.1666666666666666E-3</v>
      </c>
      <c r="AA122" s="92">
        <f t="shared" si="39"/>
        <v>3.3564814814814816E-3</v>
      </c>
      <c r="AB122" s="93" t="s">
        <v>307</v>
      </c>
      <c r="AC122" s="93" t="s">
        <v>68</v>
      </c>
      <c r="AD122" s="93" t="s">
        <v>82</v>
      </c>
      <c r="AE122" s="93" t="s">
        <v>196</v>
      </c>
      <c r="AF122" s="93" t="s">
        <v>197</v>
      </c>
      <c r="AG122" s="93" t="s">
        <v>68</v>
      </c>
      <c r="AH122" s="93" t="s">
        <v>459</v>
      </c>
      <c r="AI122" s="93" t="s">
        <v>73</v>
      </c>
      <c r="AJ122" s="94"/>
      <c r="AK122" s="94"/>
      <c r="AL122" s="94"/>
      <c r="AM122" s="94" t="str">
        <f t="shared" si="40"/>
        <v/>
      </c>
      <c r="AN122" s="94" t="str">
        <f t="shared" si="41"/>
        <v/>
      </c>
      <c r="AO122" s="94" t="str">
        <f t="shared" si="42"/>
        <v/>
      </c>
      <c r="AP122" s="94"/>
      <c r="AQ122" s="93"/>
      <c r="AR122" s="95"/>
      <c r="AS122" s="95"/>
      <c r="AT122" s="95"/>
      <c r="AU122" s="95"/>
    </row>
    <row r="123" spans="1:47" ht="81.95" customHeight="1">
      <c r="A123" s="83" t="s">
        <v>419</v>
      </c>
      <c r="B123" s="84">
        <v>119</v>
      </c>
      <c r="C123" s="84">
        <v>2</v>
      </c>
      <c r="D123" s="84">
        <v>10</v>
      </c>
      <c r="E123" s="83" t="s">
        <v>489</v>
      </c>
      <c r="F123" s="83" t="s">
        <v>410</v>
      </c>
      <c r="G123" s="83" t="s">
        <v>411</v>
      </c>
      <c r="H123" s="85" t="s">
        <v>412</v>
      </c>
      <c r="I123" s="84">
        <v>1</v>
      </c>
      <c r="J123" s="83" t="s">
        <v>413</v>
      </c>
      <c r="K123" s="83" t="s">
        <v>64</v>
      </c>
      <c r="L123" s="86">
        <v>1.1574074074074076E-3</v>
      </c>
      <c r="M123" s="85" t="s">
        <v>414</v>
      </c>
      <c r="N123" s="87">
        <f t="shared" si="43"/>
        <v>0.2023726851851852</v>
      </c>
      <c r="O123" s="83" t="s">
        <v>457</v>
      </c>
      <c r="P123" s="88">
        <v>9780</v>
      </c>
      <c r="Q123" s="88">
        <f t="shared" si="44"/>
        <v>60</v>
      </c>
      <c r="R123" s="88">
        <f t="shared" si="21"/>
        <v>6250</v>
      </c>
      <c r="S123" s="88"/>
      <c r="T123" s="88"/>
      <c r="U123" s="88" t="str">
        <f t="shared" si="45"/>
        <v/>
      </c>
      <c r="V123" s="88" t="str">
        <f t="shared" si="36"/>
        <v/>
      </c>
      <c r="W123" s="89">
        <v>30</v>
      </c>
      <c r="X123" s="90" t="s">
        <v>67</v>
      </c>
      <c r="Y123" s="91">
        <f t="shared" si="37"/>
        <v>1.3310185185185185E-3</v>
      </c>
      <c r="Z123" s="92">
        <f t="shared" si="38"/>
        <v>1.1574074074074076E-3</v>
      </c>
      <c r="AA123" s="92">
        <f t="shared" si="39"/>
        <v>1.0416666666666667E-3</v>
      </c>
      <c r="AB123" s="93" t="s">
        <v>68</v>
      </c>
      <c r="AC123" s="93" t="s">
        <v>68</v>
      </c>
      <c r="AD123" s="93" t="s">
        <v>82</v>
      </c>
      <c r="AE123" s="93" t="s">
        <v>70</v>
      </c>
      <c r="AF123" s="93" t="s">
        <v>71</v>
      </c>
      <c r="AG123" s="93" t="s">
        <v>68</v>
      </c>
      <c r="AH123" s="93" t="s">
        <v>459</v>
      </c>
      <c r="AI123" s="93" t="s">
        <v>73</v>
      </c>
      <c r="AJ123" s="94"/>
      <c r="AK123" s="94"/>
      <c r="AL123" s="94"/>
      <c r="AM123" s="94" t="str">
        <f t="shared" si="40"/>
        <v/>
      </c>
      <c r="AN123" s="94" t="str">
        <f t="shared" si="41"/>
        <v/>
      </c>
      <c r="AO123" s="94" t="str">
        <f t="shared" si="42"/>
        <v/>
      </c>
      <c r="AP123" s="94"/>
      <c r="AQ123" s="93"/>
      <c r="AR123" s="95"/>
      <c r="AS123" s="95"/>
      <c r="AT123" s="95"/>
      <c r="AU123" s="95"/>
    </row>
    <row r="124" spans="1:47" ht="81.95" customHeight="1">
      <c r="A124" s="83" t="s">
        <v>419</v>
      </c>
      <c r="B124" s="84">
        <v>120</v>
      </c>
      <c r="C124" s="84">
        <v>6</v>
      </c>
      <c r="D124" s="84">
        <v>10</v>
      </c>
      <c r="E124" s="83" t="s">
        <v>490</v>
      </c>
      <c r="F124" s="83" t="s">
        <v>343</v>
      </c>
      <c r="G124" s="83" t="s">
        <v>344</v>
      </c>
      <c r="H124" s="85" t="s">
        <v>450</v>
      </c>
      <c r="I124" s="84">
        <v>4</v>
      </c>
      <c r="J124" s="83" t="s">
        <v>346</v>
      </c>
      <c r="K124" s="83" t="s">
        <v>347</v>
      </c>
      <c r="L124" s="86">
        <v>1.8518518518518517E-3</v>
      </c>
      <c r="M124" s="85" t="s">
        <v>348</v>
      </c>
      <c r="N124" s="87">
        <f>SUM($L$5:L124)</f>
        <v>0.20422453703703705</v>
      </c>
      <c r="O124" s="83" t="s">
        <v>457</v>
      </c>
      <c r="P124" s="88">
        <v>9880</v>
      </c>
      <c r="Q124" s="88">
        <f t="shared" si="44"/>
        <v>100</v>
      </c>
      <c r="R124" s="88">
        <f>ROUND($P$2+$Q$2*W124+$R$2*W124^2,0)</f>
        <v>6250</v>
      </c>
      <c r="S124" s="88"/>
      <c r="T124" s="88"/>
      <c r="U124" s="88" t="str">
        <f t="shared" si="45"/>
        <v/>
      </c>
      <c r="V124" s="88" t="str">
        <f t="shared" si="36"/>
        <v/>
      </c>
      <c r="W124" s="94">
        <v>30</v>
      </c>
      <c r="X124" s="93" t="s">
        <v>86</v>
      </c>
      <c r="Y124" s="92">
        <f t="shared" si="37"/>
        <v>2.1412037037037038E-3</v>
      </c>
      <c r="Z124" s="92">
        <f t="shared" si="38"/>
        <v>1.8518518518518517E-3</v>
      </c>
      <c r="AA124" s="92">
        <f t="shared" si="39"/>
        <v>1.6782407407407408E-3</v>
      </c>
      <c r="AB124" s="93" t="s">
        <v>491</v>
      </c>
      <c r="AC124" s="93" t="s">
        <v>492</v>
      </c>
      <c r="AD124" s="93" t="s">
        <v>493</v>
      </c>
      <c r="AE124" s="93" t="s">
        <v>87</v>
      </c>
      <c r="AF124" s="93" t="s">
        <v>99</v>
      </c>
      <c r="AG124" s="93" t="s">
        <v>494</v>
      </c>
      <c r="AH124" s="93" t="s">
        <v>459</v>
      </c>
      <c r="AI124" s="93" t="s">
        <v>125</v>
      </c>
      <c r="AJ124" s="94">
        <v>2500</v>
      </c>
      <c r="AK124" s="94" t="s">
        <v>126</v>
      </c>
      <c r="AL124" s="94">
        <v>2500</v>
      </c>
      <c r="AM124" s="94">
        <f t="shared" si="40"/>
        <v>2000</v>
      </c>
      <c r="AN124" s="94">
        <f t="shared" si="41"/>
        <v>1500</v>
      </c>
      <c r="AO124" s="94">
        <f t="shared" si="42"/>
        <v>1250</v>
      </c>
      <c r="AP124" s="94">
        <v>0</v>
      </c>
      <c r="AQ124" s="93" t="s">
        <v>495</v>
      </c>
      <c r="AR124" s="95">
        <f>SUM(Z118:Z124)</f>
        <v>2.0949074074074075E-2</v>
      </c>
      <c r="AS124" s="95">
        <f>SUM(Y118:Y124)</f>
        <v>2.5810185185185186E-2</v>
      </c>
      <c r="AT124" s="95">
        <f>SUM(Z118:Z124)</f>
        <v>2.0949074074074075E-2</v>
      </c>
      <c r="AU124" s="95">
        <f>SUM(AA118:AA124)</f>
        <v>1.7245370370370369E-2</v>
      </c>
    </row>
    <row r="125" spans="1:47" ht="81.95" customHeight="1">
      <c r="A125" s="83" t="s">
        <v>419</v>
      </c>
      <c r="B125" s="84">
        <v>121</v>
      </c>
      <c r="C125" s="84">
        <v>2</v>
      </c>
      <c r="D125" s="84">
        <v>9</v>
      </c>
      <c r="E125" s="83" t="s">
        <v>496</v>
      </c>
      <c r="F125" s="83" t="s">
        <v>60</v>
      </c>
      <c r="G125" s="83" t="s">
        <v>61</v>
      </c>
      <c r="H125" s="85" t="s">
        <v>231</v>
      </c>
      <c r="I125" s="84">
        <v>1</v>
      </c>
      <c r="J125" s="83" t="s">
        <v>63</v>
      </c>
      <c r="K125" s="83" t="s">
        <v>64</v>
      </c>
      <c r="L125" s="86">
        <v>1.273148148148148E-3</v>
      </c>
      <c r="M125" s="85" t="s">
        <v>65</v>
      </c>
      <c r="N125" s="87">
        <f>SUM($L$5:L125)</f>
        <v>0.20549768518518519</v>
      </c>
      <c r="O125" s="83" t="s">
        <v>497</v>
      </c>
      <c r="P125" s="88">
        <v>9920</v>
      </c>
      <c r="Q125" s="88">
        <f t="shared" si="44"/>
        <v>40</v>
      </c>
      <c r="R125" s="88">
        <f>ROUND($P$2+$Q$2*W125+$R$2*W125^2,0)</f>
        <v>6250</v>
      </c>
      <c r="S125" s="88"/>
      <c r="T125" s="88"/>
      <c r="U125" s="88" t="str">
        <f t="shared" si="45"/>
        <v/>
      </c>
      <c r="V125" s="88" t="str">
        <f t="shared" si="36"/>
        <v/>
      </c>
      <c r="W125" s="94">
        <v>30</v>
      </c>
      <c r="X125" s="93" t="s">
        <v>67</v>
      </c>
      <c r="Y125" s="92">
        <f t="shared" si="37"/>
        <v>1.4467592592592592E-3</v>
      </c>
      <c r="Z125" s="92">
        <f t="shared" si="38"/>
        <v>1.273148148148148E-3</v>
      </c>
      <c r="AA125" s="92">
        <f t="shared" si="39"/>
        <v>1.1574074074074073E-3</v>
      </c>
      <c r="AB125" s="93" t="s">
        <v>68</v>
      </c>
      <c r="AC125" s="93" t="s">
        <v>68</v>
      </c>
      <c r="AD125" s="93" t="s">
        <v>498</v>
      </c>
      <c r="AE125" s="93" t="s">
        <v>70</v>
      </c>
      <c r="AF125" s="93" t="s">
        <v>71</v>
      </c>
      <c r="AG125" s="93" t="s">
        <v>68</v>
      </c>
      <c r="AH125" s="93" t="s">
        <v>499</v>
      </c>
      <c r="AI125" s="93" t="s">
        <v>73</v>
      </c>
      <c r="AJ125" s="94"/>
      <c r="AK125" s="94"/>
      <c r="AL125" s="94"/>
      <c r="AM125" s="94" t="str">
        <f t="shared" si="40"/>
        <v/>
      </c>
      <c r="AN125" s="94" t="str">
        <f t="shared" si="41"/>
        <v/>
      </c>
      <c r="AO125" s="94" t="str">
        <f t="shared" si="42"/>
        <v/>
      </c>
      <c r="AP125" s="94"/>
      <c r="AQ125" s="93"/>
      <c r="AR125" s="95"/>
      <c r="AS125" s="95"/>
      <c r="AT125" s="95"/>
      <c r="AU125" s="95"/>
    </row>
    <row r="126" spans="1:47" ht="81.95" customHeight="1">
      <c r="A126" s="83" t="s">
        <v>419</v>
      </c>
      <c r="B126" s="84">
        <v>122</v>
      </c>
      <c r="C126" s="84">
        <v>2</v>
      </c>
      <c r="D126" s="84">
        <v>9</v>
      </c>
      <c r="E126" s="83" t="s">
        <v>500</v>
      </c>
      <c r="F126" s="83" t="s">
        <v>60</v>
      </c>
      <c r="G126" s="83" t="s">
        <v>61</v>
      </c>
      <c r="H126" s="85" t="s">
        <v>231</v>
      </c>
      <c r="I126" s="84">
        <v>1</v>
      </c>
      <c r="J126" s="83" t="s">
        <v>63</v>
      </c>
      <c r="K126" s="83" t="s">
        <v>64</v>
      </c>
      <c r="L126" s="86">
        <v>1.273148148148148E-3</v>
      </c>
      <c r="M126" s="85" t="s">
        <v>65</v>
      </c>
      <c r="N126" s="87">
        <f>SUM($L$5:L126)</f>
        <v>0.20677083333333332</v>
      </c>
      <c r="O126" s="83" t="s">
        <v>497</v>
      </c>
      <c r="P126" s="88">
        <v>9960</v>
      </c>
      <c r="Q126" s="88">
        <f t="shared" si="44"/>
        <v>40</v>
      </c>
      <c r="R126" s="88">
        <f>ROUND($P$2+$Q$2*W126+$R$2*W126^2,0)</f>
        <v>6250</v>
      </c>
      <c r="S126" s="88"/>
      <c r="T126" s="88"/>
      <c r="U126" s="88" t="str">
        <f t="shared" si="45"/>
        <v/>
      </c>
      <c r="V126" s="88" t="str">
        <f t="shared" si="36"/>
        <v/>
      </c>
      <c r="W126" s="94">
        <v>30</v>
      </c>
      <c r="X126" s="93" t="s">
        <v>67</v>
      </c>
      <c r="Y126" s="92">
        <f t="shared" si="37"/>
        <v>1.4467592592592592E-3</v>
      </c>
      <c r="Z126" s="92">
        <f t="shared" si="38"/>
        <v>1.273148148148148E-3</v>
      </c>
      <c r="AA126" s="92">
        <f t="shared" si="39"/>
        <v>1.1574074074074073E-3</v>
      </c>
      <c r="AB126" s="93" t="s">
        <v>68</v>
      </c>
      <c r="AC126" s="93" t="s">
        <v>68</v>
      </c>
      <c r="AD126" s="93" t="s">
        <v>82</v>
      </c>
      <c r="AE126" s="93" t="s">
        <v>70</v>
      </c>
      <c r="AF126" s="93" t="s">
        <v>71</v>
      </c>
      <c r="AG126" s="93" t="s">
        <v>68</v>
      </c>
      <c r="AH126" s="93" t="s">
        <v>499</v>
      </c>
      <c r="AI126" s="93" t="s">
        <v>73</v>
      </c>
      <c r="AJ126" s="94"/>
      <c r="AK126" s="94"/>
      <c r="AL126" s="94"/>
      <c r="AM126" s="94" t="str">
        <f t="shared" si="40"/>
        <v/>
      </c>
      <c r="AN126" s="94" t="str">
        <f t="shared" si="41"/>
        <v/>
      </c>
      <c r="AO126" s="94" t="str">
        <f t="shared" si="42"/>
        <v/>
      </c>
      <c r="AP126" s="94"/>
      <c r="AQ126" s="93"/>
      <c r="AR126" s="95"/>
      <c r="AS126" s="95"/>
      <c r="AT126" s="95"/>
      <c r="AU126" s="95"/>
    </row>
    <row r="127" spans="1:47" ht="81.95" customHeight="1">
      <c r="A127" s="83" t="s">
        <v>419</v>
      </c>
      <c r="B127" s="84">
        <v>123</v>
      </c>
      <c r="C127" s="84">
        <v>2</v>
      </c>
      <c r="D127" s="84">
        <v>9</v>
      </c>
      <c r="E127" s="83" t="s">
        <v>501</v>
      </c>
      <c r="F127" s="83" t="s">
        <v>60</v>
      </c>
      <c r="G127" s="83" t="s">
        <v>61</v>
      </c>
      <c r="H127" s="85" t="s">
        <v>231</v>
      </c>
      <c r="I127" s="84">
        <v>1</v>
      </c>
      <c r="J127" s="83" t="s">
        <v>63</v>
      </c>
      <c r="K127" s="83" t="s">
        <v>64</v>
      </c>
      <c r="L127" s="86">
        <v>1.5625000000000129E-3</v>
      </c>
      <c r="M127" s="85" t="s">
        <v>65</v>
      </c>
      <c r="N127" s="87">
        <f>SUM($L$5:L127)</f>
        <v>0.20833333333333334</v>
      </c>
      <c r="O127" s="83" t="s">
        <v>497</v>
      </c>
      <c r="P127" s="88">
        <v>10000</v>
      </c>
      <c r="Q127" s="88">
        <f t="shared" si="44"/>
        <v>40</v>
      </c>
      <c r="R127" s="88">
        <f>ROUND($P$2+$Q$2*W127+$R$2*W127^2,0)</f>
        <v>6250</v>
      </c>
      <c r="S127" s="88"/>
      <c r="T127" s="88"/>
      <c r="U127" s="88" t="str">
        <f t="shared" si="45"/>
        <v/>
      </c>
      <c r="V127" s="88" t="str">
        <f t="shared" si="36"/>
        <v/>
      </c>
      <c r="W127" s="94">
        <v>30</v>
      </c>
      <c r="X127" s="93" t="s">
        <v>67</v>
      </c>
      <c r="Y127" s="92">
        <f t="shared" si="37"/>
        <v>1.7939814814814815E-3</v>
      </c>
      <c r="Z127" s="92">
        <f t="shared" si="38"/>
        <v>1.5625000000000129E-3</v>
      </c>
      <c r="AA127" s="92">
        <f t="shared" si="39"/>
        <v>1.3888888888888889E-3</v>
      </c>
      <c r="AB127" s="93" t="s">
        <v>68</v>
      </c>
      <c r="AC127" s="93" t="s">
        <v>68</v>
      </c>
      <c r="AD127" s="93" t="s">
        <v>502</v>
      </c>
      <c r="AE127" s="93" t="s">
        <v>70</v>
      </c>
      <c r="AF127" s="93" t="s">
        <v>71</v>
      </c>
      <c r="AG127" s="93" t="s">
        <v>68</v>
      </c>
      <c r="AH127" s="93" t="s">
        <v>499</v>
      </c>
      <c r="AI127" s="93" t="s">
        <v>125</v>
      </c>
      <c r="AJ127" s="94">
        <v>2600</v>
      </c>
      <c r="AK127" s="94" t="s">
        <v>126</v>
      </c>
      <c r="AL127" s="94">
        <v>2600</v>
      </c>
      <c r="AM127" s="94">
        <f t="shared" si="40"/>
        <v>2080</v>
      </c>
      <c r="AN127" s="94">
        <f t="shared" si="41"/>
        <v>1560</v>
      </c>
      <c r="AO127" s="94">
        <f t="shared" si="42"/>
        <v>1300</v>
      </c>
      <c r="AP127" s="94">
        <v>0</v>
      </c>
      <c r="AQ127" s="93" t="s">
        <v>229</v>
      </c>
      <c r="AR127" s="95">
        <f>SUM(Z125:Z127)</f>
        <v>4.1087962962963092E-3</v>
      </c>
      <c r="AS127" s="95">
        <f>SUM(Y125:Y127)</f>
        <v>4.6874999999999998E-3</v>
      </c>
      <c r="AT127" s="95">
        <f>SUM(Z125:Z127)</f>
        <v>4.1087962962963092E-3</v>
      </c>
      <c r="AU127" s="95">
        <f>SUM(AA125:AA127)</f>
        <v>3.7037037037037038E-3</v>
      </c>
    </row>
    <row r="128" spans="1:47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2"/>
      <c r="X128" s="81"/>
      <c r="Y128" s="81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</row>
  </sheetData>
  <phoneticPr fontId="8" type="noConversion"/>
  <conditionalFormatting sqref="A4:A12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max"/>
        <color rgb="FF63BE7B"/>
        <color rgb="FFFCFCFF"/>
      </colorScale>
    </cfRule>
    <cfRule type="colorScale" priority="16">
      <colorScale>
        <cfvo type="min"/>
        <cfvo type="max"/>
        <color rgb="FF9BCFD9"/>
        <color rgb="FFC6A5CB"/>
      </colorScale>
    </cfRule>
  </conditionalFormatting>
  <conditionalFormatting sqref="B124:B104857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max"/>
        <color rgb="FF63BE7B"/>
        <color rgb="FFFCFCFF"/>
      </colorScale>
    </cfRule>
    <cfRule type="colorScale" priority="13">
      <colorScale>
        <cfvo type="min"/>
        <cfvo type="max"/>
        <color rgb="FF9BCFD9"/>
        <color rgb="FFC6A5CB"/>
      </colorScale>
    </cfRule>
  </conditionalFormatting>
  <conditionalFormatting sqref="I5:I123">
    <cfRule type="dataBar" priority="11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{E25A4EDB-5382-442C-9FAF-2D10AB718179}</x14:id>
        </ext>
      </extLst>
    </cfRule>
  </conditionalFormatting>
  <conditionalFormatting sqref="D1:D1048575">
    <cfRule type="iconSet" priority="10">
      <iconSet iconSet="3Signs">
        <cfvo type="percent" val="0"/>
        <cfvo type="percent" val="33"/>
        <cfvo type="percent" val="67"/>
      </iconSet>
    </cfRule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:C1048575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5:I123">
    <cfRule type="dataBar" priority="19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{E25A4EDB-5382-442C-9FAF-2D10AB718179}</x14:id>
        </ext>
      </extLst>
    </cfRule>
  </conditionalFormatting>
  <conditionalFormatting sqref="I1:I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{99366D2F-0607-40B6-B4DA-170E5A7A0CE4}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5A4EDB-5382-442C-9FAF-2D10AB718179}">
            <x14:dataBar minLength="0" maxLength="100" negativeBarColorSameAsPositive="1" axisPosition="none">
              <x14:cfvo type="min"/>
              <x14:cfvo type="max"/>
            </x14:dataBar>
          </x14:cfRule>
          <xm:sqref>I5:I123</xm:sqref>
        </x14:conditionalFormatting>
        <x14:conditionalFormatting xmlns:xm="http://schemas.microsoft.com/office/excel/2006/main">
          <x14:cfRule type="dataBar" id="{E25A4EDB-5382-442C-9FAF-2D10AB718179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99366D2F-0607-40B6-B4DA-170E5A7A0C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"/>
  <sheetViews>
    <sheetView workbookViewId="0"/>
  </sheetViews>
  <sheetFormatPr defaultColWidth="9" defaultRowHeight="14.25"/>
  <cols>
    <col min="1" max="52" width="4.25" style="2" customWidth="1"/>
    <col min="53" max="16384" width="9" style="2"/>
  </cols>
  <sheetData>
    <row r="1" spans="1:22" ht="18" customHeight="1">
      <c r="A1" s="1"/>
    </row>
    <row r="2" spans="1:22" ht="18" customHeight="1">
      <c r="A2" s="3"/>
      <c r="B2" s="64" t="s">
        <v>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spans="1:22" ht="18" customHeight="1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</row>
    <row r="4" spans="1:22" ht="18" customHeight="1">
      <c r="B4" s="64" t="s">
        <v>503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</row>
    <row r="5" spans="1:22" ht="18" customHeight="1"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</row>
    <row r="6" spans="1:22" ht="18" customHeight="1"/>
    <row r="7" spans="1:22" ht="18" customHeight="1"/>
    <row r="8" spans="1:22" ht="18" customHeight="1"/>
    <row r="9" spans="1:22" ht="18" customHeight="1"/>
    <row r="10" spans="1:22" ht="18" customHeight="1"/>
    <row r="11" spans="1:22" ht="18" customHeight="1"/>
    <row r="12" spans="1:22" ht="18" customHeight="1"/>
    <row r="13" spans="1:22" ht="18" customHeight="1"/>
    <row r="14" spans="1:22" ht="18" customHeight="1"/>
    <row r="15" spans="1:22" ht="18" customHeight="1"/>
    <row r="16" spans="1:22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1:1" ht="18" customHeight="1"/>
    <row r="50" spans="1:1" ht="18" customHeight="1"/>
    <row r="51" spans="1:1" ht="18" customHeight="1"/>
    <row r="52" spans="1:1" ht="18" customHeight="1"/>
    <row r="53" spans="1:1" ht="18" customHeight="1"/>
    <row r="54" spans="1:1" ht="18" customHeight="1"/>
    <row r="55" spans="1:1" ht="18" customHeight="1"/>
    <row r="56" spans="1:1" ht="18" customHeight="1">
      <c r="A56" s="4"/>
    </row>
    <row r="57" spans="1:1" ht="18" customHeight="1"/>
    <row r="58" spans="1:1" ht="18" customHeight="1"/>
    <row r="59" spans="1:1" ht="18" customHeight="1"/>
    <row r="60" spans="1:1" ht="18" customHeight="1"/>
    <row r="61" spans="1:1" ht="18" customHeight="1"/>
    <row r="62" spans="1:1" ht="18" customHeight="1"/>
    <row r="63" spans="1:1" ht="18" customHeight="1"/>
    <row r="64" spans="1:1" ht="18" customHeight="1"/>
    <row r="65" spans="2:26" ht="18" customHeight="1"/>
    <row r="66" spans="2:26" ht="18" customHeight="1"/>
    <row r="67" spans="2:26" ht="18" customHeight="1"/>
    <row r="68" spans="2:26" ht="18" customHeight="1"/>
    <row r="69" spans="2:26" ht="18" customHeight="1"/>
    <row r="70" spans="2:26" ht="18" customHeight="1">
      <c r="B70" s="64" t="s">
        <v>504</v>
      </c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2:26" ht="18" customHeight="1"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2:26" ht="18" customHeight="1"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2:26" ht="18" customHeight="1"/>
    <row r="74" spans="2:26" ht="18" customHeight="1"/>
    <row r="75" spans="2:26" ht="18" customHeight="1"/>
    <row r="76" spans="2:26" ht="18" customHeight="1"/>
    <row r="77" spans="2:26" ht="18" customHeight="1"/>
    <row r="78" spans="2:26" ht="18" customHeight="1"/>
    <row r="79" spans="2:26" ht="18" customHeight="1"/>
    <row r="80" spans="2:26" ht="18" customHeight="1"/>
  </sheetData>
  <mergeCells count="3">
    <mergeCell ref="B2:V3"/>
    <mergeCell ref="B4:V5"/>
    <mergeCell ref="B70:Z72"/>
  </mergeCells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/>
  </sheetViews>
  <sheetFormatPr defaultColWidth="8.875" defaultRowHeight="14.25"/>
  <cols>
    <col min="1" max="1" width="24" customWidth="1"/>
    <col min="2" max="2" width="38" customWidth="1"/>
    <col min="3" max="3" width="24" customWidth="1"/>
    <col min="4" max="4" width="60" customWidth="1"/>
  </cols>
  <sheetData>
    <row r="1" spans="1:4">
      <c r="A1" s="65" t="s">
        <v>505</v>
      </c>
      <c r="B1" s="65"/>
      <c r="C1" s="65"/>
      <c r="D1" s="65"/>
    </row>
    <row r="2" spans="1:4">
      <c r="A2" s="5"/>
      <c r="B2" s="5"/>
      <c r="C2" s="5"/>
      <c r="D2" s="5"/>
    </row>
    <row r="3" spans="1:4" ht="32.1" customHeight="1">
      <c r="A3" s="8" t="s">
        <v>506</v>
      </c>
      <c r="B3" s="9" t="s">
        <v>507</v>
      </c>
      <c r="C3" s="9" t="s">
        <v>508</v>
      </c>
      <c r="D3" s="10" t="s">
        <v>509</v>
      </c>
    </row>
    <row r="4" spans="1:4" ht="57.95" customHeight="1">
      <c r="A4" s="12" t="s">
        <v>13</v>
      </c>
      <c r="B4" s="13" t="s">
        <v>510</v>
      </c>
      <c r="C4" s="13" t="s">
        <v>511</v>
      </c>
      <c r="D4" s="14" t="s">
        <v>512</v>
      </c>
    </row>
    <row r="5" spans="1:4" ht="57.95" customHeight="1">
      <c r="A5" s="15" t="s">
        <v>14</v>
      </c>
      <c r="B5" s="11" t="s">
        <v>513</v>
      </c>
      <c r="C5" s="11" t="s">
        <v>511</v>
      </c>
      <c r="D5" s="16" t="s">
        <v>514</v>
      </c>
    </row>
    <row r="6" spans="1:4" ht="57.95" customHeight="1">
      <c r="A6" s="15" t="s">
        <v>12</v>
      </c>
      <c r="B6" s="11" t="s">
        <v>515</v>
      </c>
      <c r="C6" s="11" t="s">
        <v>516</v>
      </c>
      <c r="D6" s="16" t="s">
        <v>517</v>
      </c>
    </row>
    <row r="7" spans="1:4" ht="57.95" customHeight="1">
      <c r="A7" s="15" t="s">
        <v>33</v>
      </c>
      <c r="B7" s="11" t="s">
        <v>518</v>
      </c>
      <c r="C7" s="11" t="s">
        <v>519</v>
      </c>
      <c r="D7" s="16" t="s">
        <v>520</v>
      </c>
    </row>
    <row r="8" spans="1:4" ht="57.95" customHeight="1">
      <c r="A8" s="15" t="s">
        <v>15</v>
      </c>
      <c r="B8" s="11" t="s">
        <v>521</v>
      </c>
      <c r="C8" s="11" t="s">
        <v>522</v>
      </c>
      <c r="D8" s="16" t="s">
        <v>523</v>
      </c>
    </row>
    <row r="9" spans="1:4" ht="57.95" customHeight="1">
      <c r="A9" s="15" t="s">
        <v>16</v>
      </c>
      <c r="B9" s="11" t="s">
        <v>524</v>
      </c>
      <c r="C9" s="11" t="s">
        <v>525</v>
      </c>
      <c r="D9" s="16" t="s">
        <v>526</v>
      </c>
    </row>
    <row r="10" spans="1:4" ht="57.95" customHeight="1">
      <c r="A10" s="15" t="s">
        <v>17</v>
      </c>
      <c r="B10" s="11" t="s">
        <v>527</v>
      </c>
      <c r="C10" s="11" t="s">
        <v>528</v>
      </c>
      <c r="D10" s="16" t="s">
        <v>529</v>
      </c>
    </row>
    <row r="11" spans="1:4" ht="57.95" customHeight="1">
      <c r="A11" s="15" t="s">
        <v>18</v>
      </c>
      <c r="B11" s="11" t="s">
        <v>530</v>
      </c>
      <c r="C11" s="11" t="s">
        <v>531</v>
      </c>
      <c r="D11" s="16" t="s">
        <v>532</v>
      </c>
    </row>
    <row r="12" spans="1:4" ht="57.95" customHeight="1">
      <c r="A12" s="15" t="s">
        <v>19</v>
      </c>
      <c r="B12" s="11" t="s">
        <v>533</v>
      </c>
      <c r="C12" s="11" t="s">
        <v>534</v>
      </c>
      <c r="D12" s="16" t="s">
        <v>535</v>
      </c>
    </row>
    <row r="13" spans="1:4" ht="57.95" customHeight="1">
      <c r="A13" s="15" t="s">
        <v>20</v>
      </c>
      <c r="B13" s="11" t="s">
        <v>536</v>
      </c>
      <c r="C13" s="11" t="s">
        <v>537</v>
      </c>
      <c r="D13" s="16" t="s">
        <v>538</v>
      </c>
    </row>
    <row r="14" spans="1:4" ht="57.95" customHeight="1">
      <c r="A14" s="15" t="s">
        <v>21</v>
      </c>
      <c r="B14" s="11" t="s">
        <v>539</v>
      </c>
      <c r="C14" s="11" t="s">
        <v>540</v>
      </c>
      <c r="D14" s="16" t="s">
        <v>541</v>
      </c>
    </row>
    <row r="15" spans="1:4" ht="57.95" customHeight="1">
      <c r="A15" s="15" t="s">
        <v>22</v>
      </c>
      <c r="B15" s="11" t="s">
        <v>542</v>
      </c>
      <c r="C15" s="11" t="s">
        <v>543</v>
      </c>
      <c r="D15" s="16" t="s">
        <v>544</v>
      </c>
    </row>
    <row r="16" spans="1:4" ht="57.95" customHeight="1">
      <c r="A16" s="15" t="s">
        <v>545</v>
      </c>
      <c r="B16" s="11" t="s">
        <v>546</v>
      </c>
      <c r="C16" s="11" t="s">
        <v>543</v>
      </c>
      <c r="D16" s="16" t="s">
        <v>547</v>
      </c>
    </row>
    <row r="17" spans="1:4" ht="57.95" customHeight="1">
      <c r="A17" s="15" t="s">
        <v>548</v>
      </c>
      <c r="B17" s="11" t="s">
        <v>549</v>
      </c>
      <c r="C17" s="11" t="s">
        <v>543</v>
      </c>
      <c r="D17" s="16" t="s">
        <v>550</v>
      </c>
    </row>
    <row r="18" spans="1:4" ht="57.95" customHeight="1">
      <c r="A18" s="25" t="s">
        <v>23</v>
      </c>
      <c r="B18" s="26" t="s">
        <v>551</v>
      </c>
      <c r="C18" s="26" t="s">
        <v>552</v>
      </c>
      <c r="D18" s="27" t="s">
        <v>553</v>
      </c>
    </row>
    <row r="19" spans="1:4">
      <c r="A19" s="5" t="s">
        <v>25</v>
      </c>
      <c r="B19" s="5" t="s">
        <v>554</v>
      </c>
      <c r="C19" s="5" t="s">
        <v>555</v>
      </c>
      <c r="D19" s="5" t="s">
        <v>556</v>
      </c>
    </row>
    <row r="20" spans="1:4">
      <c r="A20" s="5" t="s">
        <v>557</v>
      </c>
      <c r="B20" s="5" t="s">
        <v>558</v>
      </c>
      <c r="C20" s="5" t="s">
        <v>559</v>
      </c>
      <c r="D20" s="5" t="s">
        <v>560</v>
      </c>
    </row>
    <row r="21" spans="1:4" ht="28.5">
      <c r="A21" s="5" t="s">
        <v>561</v>
      </c>
      <c r="B21" s="5" t="s">
        <v>562</v>
      </c>
      <c r="C21" s="5" t="s">
        <v>563</v>
      </c>
      <c r="D21" s="5" t="s">
        <v>564</v>
      </c>
    </row>
    <row r="22" spans="1:4">
      <c r="A22" s="5" t="s">
        <v>565</v>
      </c>
      <c r="B22" s="5" t="s">
        <v>566</v>
      </c>
      <c r="C22" s="5" t="s">
        <v>567</v>
      </c>
      <c r="D22" s="5" t="s">
        <v>568</v>
      </c>
    </row>
    <row r="23" spans="1:4">
      <c r="A23" s="5" t="s">
        <v>569</v>
      </c>
      <c r="B23" s="5" t="s">
        <v>570</v>
      </c>
      <c r="C23" s="5" t="s">
        <v>571</v>
      </c>
      <c r="D23" s="5" t="s">
        <v>572</v>
      </c>
    </row>
    <row r="24" spans="1:4">
      <c r="A24" s="5" t="s">
        <v>34</v>
      </c>
      <c r="B24" s="5" t="s">
        <v>573</v>
      </c>
      <c r="C24" s="5" t="s">
        <v>574</v>
      </c>
      <c r="D24" s="5" t="s">
        <v>575</v>
      </c>
    </row>
    <row r="25" spans="1:4">
      <c r="A25" s="5" t="s">
        <v>576</v>
      </c>
      <c r="B25" s="5" t="s">
        <v>577</v>
      </c>
      <c r="C25" s="5" t="s">
        <v>578</v>
      </c>
      <c r="D25" s="5" t="s">
        <v>579</v>
      </c>
    </row>
    <row r="26" spans="1:4">
      <c r="A26" s="5" t="s">
        <v>40</v>
      </c>
      <c r="B26" s="5" t="s">
        <v>580</v>
      </c>
      <c r="C26" s="5" t="s">
        <v>581</v>
      </c>
      <c r="D26" s="5" t="s">
        <v>582</v>
      </c>
    </row>
    <row r="27" spans="1:4">
      <c r="A27" s="5" t="s">
        <v>41</v>
      </c>
      <c r="B27" s="5" t="s">
        <v>583</v>
      </c>
      <c r="C27" s="5" t="s">
        <v>584</v>
      </c>
      <c r="D27" s="5" t="s">
        <v>585</v>
      </c>
    </row>
    <row r="28" spans="1:4">
      <c r="A28" s="5" t="s">
        <v>42</v>
      </c>
      <c r="B28" s="5" t="s">
        <v>586</v>
      </c>
      <c r="C28" s="5" t="s">
        <v>587</v>
      </c>
      <c r="D28" s="5" t="s">
        <v>588</v>
      </c>
    </row>
    <row r="29" spans="1:4">
      <c r="A29" s="5" t="s">
        <v>43</v>
      </c>
      <c r="B29" s="5" t="s">
        <v>589</v>
      </c>
      <c r="C29" s="5" t="s">
        <v>590</v>
      </c>
      <c r="D29" s="5" t="s">
        <v>591</v>
      </c>
    </row>
    <row r="30" spans="1:4">
      <c r="A30" s="5" t="s">
        <v>44</v>
      </c>
      <c r="B30" s="5" t="s">
        <v>592</v>
      </c>
      <c r="C30" s="5" t="s">
        <v>593</v>
      </c>
      <c r="D30" s="5" t="s">
        <v>594</v>
      </c>
    </row>
    <row r="31" spans="1:4" ht="28.5">
      <c r="A31" s="5" t="s">
        <v>9</v>
      </c>
      <c r="B31" s="5" t="s">
        <v>595</v>
      </c>
      <c r="C31" s="5" t="s">
        <v>596</v>
      </c>
      <c r="D31" s="5" t="s">
        <v>597</v>
      </c>
    </row>
    <row r="32" spans="1:4" ht="28.5">
      <c r="A32" s="5" t="s">
        <v>598</v>
      </c>
      <c r="B32" s="5" t="s">
        <v>599</v>
      </c>
      <c r="C32" s="5" t="s">
        <v>600</v>
      </c>
      <c r="D32" s="5" t="s">
        <v>601</v>
      </c>
    </row>
    <row r="33" spans="1:4" ht="28.5">
      <c r="A33" s="5" t="s">
        <v>602</v>
      </c>
      <c r="B33" s="5" t="s">
        <v>603</v>
      </c>
      <c r="C33" s="5" t="s">
        <v>604</v>
      </c>
      <c r="D33" s="5" t="s">
        <v>605</v>
      </c>
    </row>
    <row r="34" spans="1:4" ht="28.5">
      <c r="A34" s="5" t="s">
        <v>606</v>
      </c>
      <c r="B34" s="5" t="s">
        <v>607</v>
      </c>
      <c r="C34" s="5" t="s">
        <v>600</v>
      </c>
      <c r="D34" s="5" t="s">
        <v>608</v>
      </c>
    </row>
    <row r="35" spans="1:4" ht="28.5">
      <c r="A35" s="5" t="s">
        <v>609</v>
      </c>
      <c r="B35" s="5" t="s">
        <v>610</v>
      </c>
      <c r="C35" s="5" t="s">
        <v>611</v>
      </c>
      <c r="D35" s="5" t="s">
        <v>612</v>
      </c>
    </row>
  </sheetData>
  <mergeCells count="1">
    <mergeCell ref="A1:D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Views>
    <sheetView workbookViewId="0"/>
  </sheetViews>
  <sheetFormatPr defaultColWidth="8.875" defaultRowHeight="14.25"/>
  <cols>
    <col min="1" max="1" width="25" customWidth="1"/>
    <col min="2" max="2" width="14" customWidth="1"/>
    <col min="3" max="3" width="18" customWidth="1"/>
    <col min="4" max="4" width="14" customWidth="1"/>
    <col min="5" max="5" width="18" customWidth="1"/>
    <col min="6" max="6" width="24" customWidth="1"/>
    <col min="7" max="10" width="12" customWidth="1"/>
  </cols>
  <sheetData>
    <row r="1" spans="1:10">
      <c r="A1" s="65" t="s">
        <v>613</v>
      </c>
      <c r="B1" s="65"/>
      <c r="C1" s="65"/>
      <c r="D1" s="65"/>
      <c r="E1" s="65"/>
      <c r="F1" s="65"/>
      <c r="G1" s="65"/>
      <c r="H1" s="65"/>
      <c r="I1" s="65"/>
      <c r="J1" s="6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32.1" customHeight="1">
      <c r="A3" s="29" t="s">
        <v>614</v>
      </c>
      <c r="B3" s="6">
        <v>123</v>
      </c>
      <c r="C3" s="7" t="s">
        <v>615</v>
      </c>
      <c r="D3" s="28">
        <v>4.8699186991869921</v>
      </c>
      <c r="E3" s="28" t="s">
        <v>616</v>
      </c>
      <c r="F3" s="28">
        <v>8.6747967479674788</v>
      </c>
      <c r="G3" s="7" t="s">
        <v>617</v>
      </c>
      <c r="H3" s="30">
        <v>0.20833333333333334</v>
      </c>
      <c r="I3" s="7" t="s">
        <v>618</v>
      </c>
      <c r="J3" s="31">
        <v>30</v>
      </c>
    </row>
    <row r="4" spans="1:10">
      <c r="A4" s="5"/>
      <c r="B4" s="7"/>
      <c r="C4" s="7"/>
      <c r="D4" s="7"/>
      <c r="E4" s="7"/>
      <c r="F4" s="7"/>
      <c r="G4" s="7"/>
      <c r="H4" s="7"/>
      <c r="I4" s="5"/>
      <c r="J4" s="5"/>
    </row>
    <row r="5" spans="1:10" ht="28.5">
      <c r="A5" s="8" t="s">
        <v>619</v>
      </c>
      <c r="B5" s="21" t="s">
        <v>620</v>
      </c>
      <c r="C5" s="21" t="s">
        <v>615</v>
      </c>
      <c r="D5" s="21" t="s">
        <v>616</v>
      </c>
      <c r="E5" s="22" t="s">
        <v>621</v>
      </c>
      <c r="F5" s="7" t="s">
        <v>622</v>
      </c>
      <c r="G5" s="7" t="s">
        <v>623</v>
      </c>
      <c r="H5" s="7"/>
      <c r="I5" s="5"/>
      <c r="J5" s="5"/>
    </row>
    <row r="6" spans="1:10" ht="24.95" customHeight="1">
      <c r="A6" s="32" t="s">
        <v>58</v>
      </c>
      <c r="B6" s="33">
        <v>22</v>
      </c>
      <c r="C6" s="23">
        <v>2.7727272727272729</v>
      </c>
      <c r="D6" s="23">
        <v>7.1363636363636367</v>
      </c>
      <c r="E6" s="34">
        <v>8</v>
      </c>
      <c r="F6" s="30">
        <v>2.1412037037037035E-2</v>
      </c>
      <c r="G6" s="35">
        <v>0.63636363636363635</v>
      </c>
      <c r="H6" s="7"/>
      <c r="I6" s="5"/>
      <c r="J6" s="5"/>
    </row>
    <row r="7" spans="1:10" ht="24.95" customHeight="1">
      <c r="A7" s="36" t="s">
        <v>200</v>
      </c>
      <c r="B7" s="37">
        <v>24</v>
      </c>
      <c r="C7" s="24">
        <v>4.875</v>
      </c>
      <c r="D7" s="24">
        <v>8.5833333333333339</v>
      </c>
      <c r="E7" s="38">
        <v>9</v>
      </c>
      <c r="F7" s="30">
        <v>3.5416666666666666E-2</v>
      </c>
      <c r="G7" s="35">
        <v>0.79166666666666663</v>
      </c>
      <c r="H7" s="7"/>
      <c r="I7" s="5"/>
      <c r="J7" s="5"/>
    </row>
    <row r="8" spans="1:10" ht="24.95" customHeight="1">
      <c r="A8" s="36" t="s">
        <v>275</v>
      </c>
      <c r="B8" s="37">
        <v>26</v>
      </c>
      <c r="C8" s="24">
        <v>4.8461538461538458</v>
      </c>
      <c r="D8" s="24">
        <v>8.5</v>
      </c>
      <c r="E8" s="38">
        <v>10</v>
      </c>
      <c r="F8" s="30">
        <v>4.6180555555555558E-2</v>
      </c>
      <c r="G8" s="35">
        <v>0.76923076923076927</v>
      </c>
      <c r="H8" s="7"/>
      <c r="I8" s="5"/>
      <c r="J8" s="5"/>
    </row>
    <row r="9" spans="1:10" ht="24.95" customHeight="1">
      <c r="A9" s="36" t="s">
        <v>335</v>
      </c>
      <c r="B9" s="37">
        <v>28</v>
      </c>
      <c r="C9" s="24">
        <v>5.7857142857142856</v>
      </c>
      <c r="D9" s="24">
        <v>9.3571428571428577</v>
      </c>
      <c r="E9" s="38">
        <v>10</v>
      </c>
      <c r="F9" s="30">
        <v>5.6539351851851855E-2</v>
      </c>
      <c r="G9" s="35">
        <v>0.6071428571428571</v>
      </c>
      <c r="H9" s="7"/>
      <c r="I9" s="5"/>
      <c r="J9" s="5"/>
    </row>
    <row r="10" spans="1:10" ht="24.95" customHeight="1">
      <c r="A10" s="5" t="s">
        <v>419</v>
      </c>
      <c r="B10" s="17">
        <v>23</v>
      </c>
      <c r="C10" s="39">
        <v>5.7826086956521738</v>
      </c>
      <c r="D10" s="39">
        <v>9.6086956521739122</v>
      </c>
      <c r="E10" s="6">
        <v>10</v>
      </c>
      <c r="F10" s="30">
        <v>4.8784722222222229E-2</v>
      </c>
      <c r="G10" s="35">
        <v>0.56521739130434778</v>
      </c>
      <c r="H10" s="7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ht="28.5">
      <c r="A14" s="8" t="s">
        <v>12</v>
      </c>
      <c r="B14" s="9" t="s">
        <v>13</v>
      </c>
      <c r="C14" s="10" t="s">
        <v>14</v>
      </c>
      <c r="D14" s="5" t="s">
        <v>33</v>
      </c>
      <c r="E14" s="18" t="s">
        <v>26</v>
      </c>
      <c r="F14" s="18" t="s">
        <v>28</v>
      </c>
      <c r="G14" s="5"/>
      <c r="H14" s="5"/>
      <c r="I14" s="5"/>
      <c r="J14" s="5"/>
    </row>
    <row r="15" spans="1:10">
      <c r="A15" s="19">
        <v>1</v>
      </c>
      <c r="B15" s="19">
        <v>1</v>
      </c>
      <c r="C15" s="19">
        <v>5</v>
      </c>
      <c r="D15" s="5">
        <v>1</v>
      </c>
      <c r="E15" s="19">
        <v>20</v>
      </c>
      <c r="F15" s="20">
        <v>131</v>
      </c>
      <c r="G15" s="5"/>
      <c r="H15" s="5"/>
      <c r="I15" s="5"/>
      <c r="J15" s="5"/>
    </row>
    <row r="16" spans="1:10">
      <c r="A16" s="19">
        <v>2</v>
      </c>
      <c r="B16" s="19">
        <v>2</v>
      </c>
      <c r="C16" s="19">
        <v>7</v>
      </c>
      <c r="D16" s="5">
        <v>1</v>
      </c>
      <c r="E16" s="19">
        <v>60</v>
      </c>
      <c r="F16" s="20">
        <v>131</v>
      </c>
      <c r="G16" s="5"/>
      <c r="H16" s="5"/>
      <c r="I16" s="5"/>
      <c r="J16" s="5"/>
    </row>
    <row r="17" spans="1:10">
      <c r="A17" s="19">
        <v>3</v>
      </c>
      <c r="B17" s="19">
        <v>1</v>
      </c>
      <c r="C17" s="19">
        <v>5</v>
      </c>
      <c r="D17" s="5">
        <v>1</v>
      </c>
      <c r="E17" s="19">
        <v>80</v>
      </c>
      <c r="F17" s="20">
        <v>131</v>
      </c>
      <c r="G17" s="5"/>
      <c r="H17" s="5"/>
      <c r="I17" s="5"/>
      <c r="J17" s="5"/>
    </row>
    <row r="18" spans="1:10">
      <c r="A18" s="19">
        <v>4</v>
      </c>
      <c r="B18" s="19">
        <v>2</v>
      </c>
      <c r="C18" s="19">
        <v>7</v>
      </c>
      <c r="D18" s="5">
        <v>1</v>
      </c>
      <c r="E18" s="19">
        <v>120</v>
      </c>
      <c r="F18" s="20">
        <v>131</v>
      </c>
      <c r="G18" s="5"/>
      <c r="H18" s="5"/>
      <c r="I18" s="5"/>
      <c r="J18" s="5"/>
    </row>
    <row r="19" spans="1:10">
      <c r="A19" s="19">
        <v>5</v>
      </c>
      <c r="B19" s="19">
        <v>4</v>
      </c>
      <c r="C19" s="19">
        <v>7</v>
      </c>
      <c r="D19" s="5">
        <v>2</v>
      </c>
      <c r="E19" s="19">
        <v>170</v>
      </c>
      <c r="F19" s="20">
        <v>174</v>
      </c>
      <c r="G19" s="5"/>
      <c r="H19" s="5"/>
      <c r="I19" s="5"/>
      <c r="J19" s="5"/>
    </row>
    <row r="20" spans="1:10">
      <c r="A20" s="19">
        <v>6</v>
      </c>
      <c r="B20" s="19">
        <v>2</v>
      </c>
      <c r="C20" s="19">
        <v>6</v>
      </c>
      <c r="D20" s="5">
        <v>2</v>
      </c>
      <c r="E20" s="19">
        <v>200</v>
      </c>
      <c r="F20" s="20">
        <v>174</v>
      </c>
      <c r="G20" s="5"/>
      <c r="H20" s="5"/>
      <c r="I20" s="5"/>
      <c r="J20" s="5"/>
    </row>
    <row r="21" spans="1:10">
      <c r="A21" s="19">
        <v>7</v>
      </c>
      <c r="B21" s="19">
        <v>4</v>
      </c>
      <c r="C21" s="19">
        <v>8</v>
      </c>
      <c r="D21" s="5">
        <v>2</v>
      </c>
      <c r="E21" s="19">
        <v>260</v>
      </c>
      <c r="F21" s="20">
        <v>174</v>
      </c>
      <c r="G21" s="5"/>
      <c r="H21" s="5"/>
      <c r="I21" s="5"/>
      <c r="J21" s="5"/>
    </row>
    <row r="22" spans="1:10">
      <c r="A22" s="19">
        <v>8</v>
      </c>
      <c r="B22" s="19">
        <v>1</v>
      </c>
      <c r="C22" s="19">
        <v>9</v>
      </c>
      <c r="D22" s="5">
        <v>2</v>
      </c>
      <c r="E22" s="19">
        <v>290</v>
      </c>
      <c r="F22" s="20">
        <v>174</v>
      </c>
      <c r="G22" s="5"/>
      <c r="H22" s="5"/>
      <c r="I22" s="5"/>
      <c r="J22" s="5"/>
    </row>
    <row r="23" spans="1:10">
      <c r="A23" s="19">
        <v>9</v>
      </c>
      <c r="B23" s="19">
        <v>2</v>
      </c>
      <c r="C23" s="19">
        <v>6</v>
      </c>
      <c r="D23" s="5">
        <v>3</v>
      </c>
      <c r="E23" s="19">
        <v>320</v>
      </c>
      <c r="F23" s="20">
        <v>229</v>
      </c>
      <c r="G23" s="5"/>
      <c r="H23" s="5"/>
      <c r="I23" s="5"/>
      <c r="J23" s="5"/>
    </row>
    <row r="24" spans="1:10">
      <c r="A24" s="19">
        <v>10</v>
      </c>
      <c r="B24" s="19">
        <v>1</v>
      </c>
      <c r="C24" s="19">
        <v>6</v>
      </c>
      <c r="D24" s="5">
        <v>3</v>
      </c>
      <c r="E24" s="19">
        <v>340</v>
      </c>
      <c r="F24" s="20">
        <v>229</v>
      </c>
      <c r="G24" s="5"/>
      <c r="H24" s="5"/>
      <c r="I24" s="5"/>
      <c r="J24" s="5"/>
    </row>
    <row r="25" spans="1:10">
      <c r="A25" s="19">
        <v>11</v>
      </c>
      <c r="B25" s="19">
        <v>2</v>
      </c>
      <c r="C25" s="19">
        <v>7</v>
      </c>
      <c r="D25" s="5">
        <v>3</v>
      </c>
      <c r="E25" s="19">
        <v>380</v>
      </c>
      <c r="F25" s="20">
        <v>229</v>
      </c>
      <c r="G25" s="5"/>
      <c r="H25" s="5"/>
      <c r="I25" s="5"/>
      <c r="J25" s="5"/>
    </row>
    <row r="26" spans="1:10">
      <c r="A26" s="19">
        <v>12</v>
      </c>
      <c r="B26" s="19">
        <v>2</v>
      </c>
      <c r="C26" s="19">
        <v>7</v>
      </c>
      <c r="D26" s="5">
        <v>3</v>
      </c>
      <c r="E26" s="19">
        <v>420</v>
      </c>
      <c r="F26" s="20">
        <v>229</v>
      </c>
      <c r="G26" s="5"/>
      <c r="H26" s="5"/>
      <c r="I26" s="5"/>
      <c r="J26" s="5"/>
    </row>
    <row r="27" spans="1:10">
      <c r="A27" s="19">
        <v>13</v>
      </c>
      <c r="B27" s="19">
        <v>2</v>
      </c>
      <c r="C27" s="19">
        <v>7</v>
      </c>
      <c r="D27" s="5">
        <v>4</v>
      </c>
      <c r="E27" s="19">
        <v>460</v>
      </c>
      <c r="F27" s="20">
        <v>296</v>
      </c>
      <c r="G27" s="5"/>
      <c r="H27" s="5"/>
      <c r="I27" s="5"/>
      <c r="J27" s="5"/>
    </row>
    <row r="28" spans="1:10">
      <c r="A28" s="19">
        <v>14</v>
      </c>
      <c r="B28" s="19">
        <v>4</v>
      </c>
      <c r="C28" s="19">
        <v>8</v>
      </c>
      <c r="D28" s="5">
        <v>4</v>
      </c>
      <c r="E28" s="19">
        <v>530</v>
      </c>
      <c r="F28" s="20">
        <v>296</v>
      </c>
      <c r="G28" s="5"/>
      <c r="H28" s="5"/>
      <c r="I28" s="5"/>
      <c r="J28" s="5"/>
    </row>
    <row r="29" spans="1:10">
      <c r="A29" s="19">
        <v>15</v>
      </c>
      <c r="B29" s="19">
        <v>2</v>
      </c>
      <c r="C29" s="19">
        <v>7</v>
      </c>
      <c r="D29" s="5">
        <v>4</v>
      </c>
      <c r="E29" s="19">
        <v>570</v>
      </c>
      <c r="F29" s="20">
        <v>296</v>
      </c>
      <c r="G29" s="5"/>
      <c r="H29" s="5"/>
      <c r="I29" s="5"/>
      <c r="J29" s="5"/>
    </row>
    <row r="30" spans="1:10">
      <c r="A30" s="19">
        <v>16</v>
      </c>
      <c r="B30" s="19">
        <v>1</v>
      </c>
      <c r="C30" s="19">
        <v>6</v>
      </c>
      <c r="D30" s="5">
        <v>4</v>
      </c>
      <c r="E30" s="19">
        <v>600</v>
      </c>
      <c r="F30" s="20">
        <v>296</v>
      </c>
      <c r="G30" s="5"/>
      <c r="H30" s="5"/>
      <c r="I30" s="5"/>
      <c r="J30" s="5"/>
    </row>
    <row r="31" spans="1:10">
      <c r="A31" s="19">
        <v>17</v>
      </c>
      <c r="B31" s="19">
        <v>1</v>
      </c>
      <c r="C31" s="19">
        <v>6</v>
      </c>
      <c r="D31" s="5">
        <v>5</v>
      </c>
      <c r="E31" s="19">
        <v>620</v>
      </c>
      <c r="F31" s="20">
        <v>375</v>
      </c>
      <c r="G31" s="5"/>
      <c r="H31" s="5"/>
      <c r="I31" s="5"/>
      <c r="J31" s="5"/>
    </row>
    <row r="32" spans="1:10">
      <c r="A32" s="19">
        <v>18</v>
      </c>
      <c r="B32" s="19">
        <v>4</v>
      </c>
      <c r="C32" s="19">
        <v>8</v>
      </c>
      <c r="D32" s="5">
        <v>5</v>
      </c>
      <c r="E32" s="19">
        <v>690</v>
      </c>
      <c r="F32" s="20">
        <v>375</v>
      </c>
      <c r="G32" s="5"/>
      <c r="H32" s="5"/>
      <c r="I32" s="5"/>
      <c r="J32" s="5"/>
    </row>
    <row r="33" spans="1:10">
      <c r="A33" s="19">
        <v>19</v>
      </c>
      <c r="B33" s="19">
        <v>5</v>
      </c>
      <c r="C33" s="19">
        <v>8</v>
      </c>
      <c r="D33" s="5">
        <v>5</v>
      </c>
      <c r="E33" s="19">
        <v>770</v>
      </c>
      <c r="F33" s="20">
        <v>375</v>
      </c>
      <c r="G33" s="5"/>
      <c r="H33" s="5"/>
      <c r="I33" s="5"/>
      <c r="J33" s="5"/>
    </row>
    <row r="34" spans="1:10">
      <c r="A34" s="19">
        <v>20</v>
      </c>
      <c r="B34" s="19">
        <v>6</v>
      </c>
      <c r="C34" s="19">
        <v>9</v>
      </c>
      <c r="D34" s="5">
        <v>5</v>
      </c>
      <c r="E34" s="19">
        <v>870</v>
      </c>
      <c r="F34" s="20">
        <v>375</v>
      </c>
      <c r="G34" s="5"/>
      <c r="H34" s="5"/>
      <c r="I34" s="5"/>
      <c r="J34" s="5"/>
    </row>
    <row r="35" spans="1:10">
      <c r="A35" s="19">
        <v>21</v>
      </c>
      <c r="B35" s="19">
        <v>4</v>
      </c>
      <c r="C35" s="19">
        <v>8</v>
      </c>
      <c r="D35" s="5">
        <v>6</v>
      </c>
      <c r="E35" s="5">
        <v>940</v>
      </c>
      <c r="F35" s="5">
        <v>466</v>
      </c>
      <c r="G35" s="5"/>
      <c r="H35" s="5"/>
      <c r="I35" s="5"/>
      <c r="J35" s="5"/>
    </row>
    <row r="36" spans="1:10">
      <c r="A36" s="19">
        <v>22</v>
      </c>
      <c r="B36" s="19">
        <v>8</v>
      </c>
      <c r="C36" s="19">
        <v>10</v>
      </c>
      <c r="D36" s="5">
        <v>6</v>
      </c>
      <c r="E36" s="5">
        <v>1110</v>
      </c>
      <c r="F36" s="5">
        <v>466</v>
      </c>
      <c r="G36" s="5"/>
      <c r="H36" s="5"/>
      <c r="I36" s="5"/>
      <c r="J36" s="5"/>
    </row>
    <row r="37" spans="1:10">
      <c r="A37" s="19">
        <v>23</v>
      </c>
      <c r="B37" s="19">
        <v>2</v>
      </c>
      <c r="C37" s="19">
        <v>7</v>
      </c>
      <c r="D37" s="5">
        <v>6</v>
      </c>
      <c r="E37" s="5">
        <v>1150</v>
      </c>
      <c r="F37" s="5">
        <v>466</v>
      </c>
      <c r="G37" s="5"/>
      <c r="H37" s="5"/>
      <c r="I37" s="5"/>
      <c r="J37" s="5"/>
    </row>
    <row r="38" spans="1:10">
      <c r="A38" s="19">
        <v>24</v>
      </c>
      <c r="B38" s="19">
        <v>2</v>
      </c>
      <c r="C38" s="19">
        <v>7</v>
      </c>
      <c r="D38" s="5">
        <v>6</v>
      </c>
      <c r="E38" s="5">
        <v>1190</v>
      </c>
      <c r="F38" s="5">
        <v>466</v>
      </c>
      <c r="G38" s="5"/>
      <c r="H38" s="5"/>
      <c r="I38" s="5"/>
      <c r="J38" s="5"/>
    </row>
    <row r="39" spans="1:10">
      <c r="A39" s="19">
        <v>25</v>
      </c>
      <c r="B39" s="19">
        <v>3</v>
      </c>
      <c r="C39" s="19">
        <v>7</v>
      </c>
      <c r="D39" s="5">
        <v>7</v>
      </c>
      <c r="E39" s="5">
        <v>1230</v>
      </c>
      <c r="F39" s="5">
        <v>569</v>
      </c>
      <c r="G39" s="5"/>
      <c r="H39" s="5"/>
      <c r="I39" s="5"/>
      <c r="J39" s="5"/>
    </row>
    <row r="40" spans="1:10">
      <c r="A40" s="19">
        <v>26</v>
      </c>
      <c r="B40" s="19">
        <v>5</v>
      </c>
      <c r="C40" s="19">
        <v>9</v>
      </c>
      <c r="D40" s="5">
        <v>7</v>
      </c>
      <c r="E40" s="5">
        <v>1300</v>
      </c>
      <c r="F40" s="5">
        <v>569</v>
      </c>
      <c r="G40" s="5"/>
      <c r="H40" s="5"/>
      <c r="I40" s="5"/>
      <c r="J40" s="5"/>
    </row>
    <row r="41" spans="1:10">
      <c r="A41" s="19">
        <v>27</v>
      </c>
      <c r="B41" s="19">
        <v>5</v>
      </c>
      <c r="C41" s="19">
        <v>9</v>
      </c>
      <c r="D41" s="5">
        <v>7</v>
      </c>
      <c r="E41" s="5">
        <v>1370</v>
      </c>
      <c r="F41" s="5">
        <v>569</v>
      </c>
      <c r="G41" s="5"/>
      <c r="H41" s="5"/>
      <c r="I41" s="5"/>
      <c r="J41" s="5"/>
    </row>
    <row r="42" spans="1:10">
      <c r="A42" s="19">
        <v>28</v>
      </c>
      <c r="B42" s="19">
        <v>6</v>
      </c>
      <c r="C42" s="19">
        <v>9</v>
      </c>
      <c r="D42" s="5">
        <v>7</v>
      </c>
      <c r="E42" s="5">
        <v>1460</v>
      </c>
      <c r="F42" s="5">
        <v>569</v>
      </c>
      <c r="G42" s="5"/>
      <c r="H42" s="5"/>
      <c r="I42" s="5"/>
      <c r="J42" s="5"/>
    </row>
    <row r="43" spans="1:10">
      <c r="A43" s="19">
        <v>29</v>
      </c>
      <c r="B43" s="19">
        <v>5</v>
      </c>
      <c r="C43" s="19">
        <v>9</v>
      </c>
      <c r="D43" s="5">
        <v>8</v>
      </c>
      <c r="E43" s="5">
        <v>1530</v>
      </c>
      <c r="F43" s="5">
        <v>684</v>
      </c>
      <c r="G43" s="5"/>
      <c r="H43" s="5"/>
      <c r="I43" s="5"/>
      <c r="J43" s="5"/>
    </row>
    <row r="44" spans="1:10">
      <c r="A44" s="19">
        <v>30</v>
      </c>
      <c r="B44" s="19">
        <v>7</v>
      </c>
      <c r="C44" s="19">
        <v>10</v>
      </c>
      <c r="D44" s="5">
        <v>8</v>
      </c>
      <c r="E44" s="5">
        <v>1640</v>
      </c>
      <c r="F44" s="5">
        <v>684</v>
      </c>
      <c r="G44" s="5"/>
      <c r="H44" s="5"/>
      <c r="I44" s="5"/>
      <c r="J44" s="5"/>
    </row>
    <row r="45" spans="1:10">
      <c r="A45" s="19">
        <v>31</v>
      </c>
      <c r="B45" s="19">
        <v>2</v>
      </c>
      <c r="C45" s="19">
        <v>7</v>
      </c>
      <c r="D45" s="5">
        <v>8</v>
      </c>
      <c r="E45" s="5">
        <v>1670</v>
      </c>
      <c r="F45" s="5">
        <v>684</v>
      </c>
      <c r="G45" s="5"/>
      <c r="H45" s="5"/>
      <c r="I45" s="5"/>
      <c r="J45" s="5"/>
    </row>
    <row r="46" spans="1:10">
      <c r="A46" s="19">
        <v>32</v>
      </c>
      <c r="B46" s="19">
        <v>2</v>
      </c>
      <c r="C46" s="19">
        <v>7</v>
      </c>
      <c r="D46" s="5">
        <v>8</v>
      </c>
      <c r="E46" s="5">
        <v>1710</v>
      </c>
      <c r="F46" s="5">
        <v>684</v>
      </c>
      <c r="G46" s="5"/>
      <c r="H46" s="5"/>
      <c r="I46" s="5"/>
      <c r="J46" s="5"/>
    </row>
    <row r="47" spans="1:10">
      <c r="A47" s="19">
        <v>33</v>
      </c>
      <c r="B47" s="19">
        <v>6</v>
      </c>
      <c r="C47" s="19">
        <v>9</v>
      </c>
      <c r="D47" s="5">
        <v>9</v>
      </c>
      <c r="E47" s="5">
        <v>1800</v>
      </c>
      <c r="F47" s="5">
        <v>811</v>
      </c>
      <c r="G47" s="5"/>
      <c r="H47" s="5"/>
      <c r="I47" s="5"/>
      <c r="J47" s="5"/>
    </row>
    <row r="48" spans="1:10">
      <c r="A48" s="19">
        <v>34</v>
      </c>
      <c r="B48" s="19">
        <v>5</v>
      </c>
      <c r="C48" s="19">
        <v>9</v>
      </c>
      <c r="D48" s="5">
        <v>9</v>
      </c>
      <c r="E48" s="5">
        <v>1870</v>
      </c>
      <c r="F48" s="5">
        <v>811</v>
      </c>
      <c r="G48" s="5"/>
      <c r="H48" s="5"/>
      <c r="I48" s="5"/>
      <c r="J48" s="5"/>
    </row>
    <row r="49" spans="1:10">
      <c r="A49" s="19">
        <v>35</v>
      </c>
      <c r="B49" s="19">
        <v>5</v>
      </c>
      <c r="C49" s="19">
        <v>9</v>
      </c>
      <c r="D49" s="5">
        <v>9</v>
      </c>
      <c r="E49" s="5">
        <v>1940</v>
      </c>
      <c r="F49" s="5">
        <v>811</v>
      </c>
      <c r="G49" s="5"/>
      <c r="H49" s="5"/>
      <c r="I49" s="5"/>
      <c r="J49" s="5"/>
    </row>
    <row r="50" spans="1:10">
      <c r="A50" s="19">
        <v>36</v>
      </c>
      <c r="B50" s="19">
        <v>6</v>
      </c>
      <c r="C50" s="19">
        <v>9</v>
      </c>
      <c r="D50" s="5">
        <v>9</v>
      </c>
      <c r="E50" s="5">
        <v>2030</v>
      </c>
      <c r="F50" s="5">
        <v>811</v>
      </c>
      <c r="G50" s="5"/>
      <c r="H50" s="5"/>
      <c r="I50" s="5"/>
      <c r="J50" s="5"/>
    </row>
    <row r="51" spans="1:10">
      <c r="A51" s="19">
        <v>37</v>
      </c>
      <c r="B51" s="19">
        <v>6</v>
      </c>
      <c r="C51" s="19">
        <v>9</v>
      </c>
      <c r="D51" s="5">
        <v>10</v>
      </c>
      <c r="E51" s="5">
        <v>2120</v>
      </c>
      <c r="F51" s="5">
        <v>950</v>
      </c>
      <c r="G51" s="5"/>
      <c r="H51" s="5"/>
      <c r="I51" s="5"/>
      <c r="J51" s="5"/>
    </row>
    <row r="52" spans="1:10">
      <c r="A52" s="19">
        <v>38</v>
      </c>
      <c r="B52" s="19">
        <v>5</v>
      </c>
      <c r="C52" s="19">
        <v>9</v>
      </c>
      <c r="D52" s="5">
        <v>10</v>
      </c>
      <c r="E52" s="5">
        <v>2190</v>
      </c>
      <c r="F52" s="5">
        <v>950</v>
      </c>
      <c r="G52" s="5"/>
      <c r="H52" s="5"/>
      <c r="I52" s="5"/>
      <c r="J52" s="5"/>
    </row>
    <row r="53" spans="1:10">
      <c r="A53" s="19">
        <v>39</v>
      </c>
      <c r="B53" s="19">
        <v>9</v>
      </c>
      <c r="C53" s="19">
        <v>10</v>
      </c>
      <c r="D53" s="5">
        <v>10</v>
      </c>
      <c r="E53" s="5">
        <v>2350</v>
      </c>
      <c r="F53" s="5">
        <v>950</v>
      </c>
      <c r="G53" s="5"/>
      <c r="H53" s="5"/>
      <c r="I53" s="5"/>
      <c r="J53" s="5"/>
    </row>
    <row r="54" spans="1:10">
      <c r="A54" s="19">
        <v>40</v>
      </c>
      <c r="B54" s="19">
        <v>2</v>
      </c>
      <c r="C54" s="19">
        <v>7</v>
      </c>
      <c r="D54" s="5">
        <v>10</v>
      </c>
      <c r="E54" s="5">
        <v>2390</v>
      </c>
      <c r="F54" s="5">
        <v>950</v>
      </c>
      <c r="G54" s="5"/>
      <c r="H54" s="5"/>
      <c r="I54" s="5"/>
      <c r="J54" s="5"/>
    </row>
    <row r="55" spans="1:10">
      <c r="A55" s="19">
        <v>41</v>
      </c>
      <c r="B55" s="19">
        <v>2</v>
      </c>
      <c r="C55" s="19">
        <v>7</v>
      </c>
      <c r="D55" s="5">
        <v>10</v>
      </c>
      <c r="E55" s="5">
        <v>2430</v>
      </c>
      <c r="F55" s="5">
        <v>950</v>
      </c>
      <c r="G55" s="5"/>
      <c r="H55" s="5"/>
      <c r="I55" s="5"/>
      <c r="J55" s="5"/>
    </row>
    <row r="56" spans="1:10">
      <c r="A56" s="19">
        <v>42</v>
      </c>
      <c r="B56" s="19">
        <v>5</v>
      </c>
      <c r="C56" s="19">
        <v>9</v>
      </c>
      <c r="D56" s="5">
        <v>11</v>
      </c>
      <c r="E56" s="5">
        <v>2500</v>
      </c>
      <c r="F56" s="5">
        <v>1101</v>
      </c>
      <c r="G56" s="5"/>
      <c r="H56" s="5"/>
      <c r="I56" s="5"/>
      <c r="J56" s="5"/>
    </row>
    <row r="57" spans="1:10">
      <c r="A57" s="19">
        <v>43</v>
      </c>
      <c r="B57" s="19">
        <v>5</v>
      </c>
      <c r="C57" s="19">
        <v>9</v>
      </c>
      <c r="D57" s="5">
        <v>11</v>
      </c>
      <c r="E57" s="5">
        <v>2570</v>
      </c>
      <c r="F57" s="5">
        <v>1101</v>
      </c>
      <c r="G57" s="5"/>
      <c r="H57" s="5"/>
      <c r="I57" s="5"/>
      <c r="J57" s="5"/>
    </row>
    <row r="58" spans="1:10">
      <c r="A58" s="19">
        <v>44</v>
      </c>
      <c r="B58" s="19">
        <v>7</v>
      </c>
      <c r="C58" s="19">
        <v>10</v>
      </c>
      <c r="D58" s="5">
        <v>11</v>
      </c>
      <c r="E58" s="5">
        <v>2680</v>
      </c>
      <c r="F58" s="5">
        <v>1101</v>
      </c>
      <c r="G58" s="5"/>
      <c r="H58" s="5"/>
      <c r="I58" s="5"/>
      <c r="J58" s="5"/>
    </row>
    <row r="59" spans="1:10">
      <c r="A59" s="19">
        <v>45</v>
      </c>
      <c r="B59" s="19">
        <v>6</v>
      </c>
      <c r="C59" s="19">
        <v>9</v>
      </c>
      <c r="D59" s="5">
        <v>11</v>
      </c>
      <c r="E59" s="5">
        <v>2770</v>
      </c>
      <c r="F59" s="5">
        <v>1101</v>
      </c>
      <c r="G59" s="5"/>
      <c r="H59" s="5"/>
      <c r="I59" s="5"/>
      <c r="J59" s="5"/>
    </row>
    <row r="60" spans="1:10">
      <c r="A60" s="19">
        <v>46</v>
      </c>
      <c r="B60" s="19">
        <v>9</v>
      </c>
      <c r="C60" s="19">
        <v>10</v>
      </c>
      <c r="D60" s="5">
        <v>12</v>
      </c>
      <c r="E60" s="5">
        <v>2960</v>
      </c>
      <c r="F60" s="5">
        <v>1264</v>
      </c>
      <c r="G60" s="5"/>
      <c r="H60" s="5"/>
      <c r="I60" s="5"/>
      <c r="J60" s="5"/>
    </row>
    <row r="61" spans="1:10">
      <c r="A61" s="19">
        <v>47</v>
      </c>
      <c r="B61" s="19">
        <v>2</v>
      </c>
      <c r="C61" s="19">
        <v>7</v>
      </c>
      <c r="D61" s="5">
        <v>12</v>
      </c>
      <c r="E61" s="5">
        <v>2990</v>
      </c>
      <c r="F61" s="5">
        <v>1264</v>
      </c>
      <c r="G61" s="5"/>
      <c r="H61" s="5"/>
      <c r="I61" s="5"/>
      <c r="J61" s="5"/>
    </row>
    <row r="62" spans="1:10">
      <c r="A62" s="19">
        <v>48</v>
      </c>
      <c r="B62" s="19">
        <v>2</v>
      </c>
      <c r="C62" s="19">
        <v>7</v>
      </c>
      <c r="D62" s="5">
        <v>12</v>
      </c>
      <c r="E62" s="5">
        <v>3020</v>
      </c>
      <c r="F62" s="5">
        <v>1264</v>
      </c>
      <c r="G62" s="5"/>
      <c r="H62" s="5"/>
      <c r="I62" s="5"/>
      <c r="J62" s="5"/>
    </row>
    <row r="63" spans="1:10">
      <c r="A63" s="19">
        <v>49</v>
      </c>
      <c r="B63" s="19">
        <v>4</v>
      </c>
      <c r="C63" s="19">
        <v>8</v>
      </c>
      <c r="D63" s="5">
        <v>12</v>
      </c>
      <c r="E63" s="5">
        <v>3070</v>
      </c>
      <c r="F63" s="5">
        <v>1264</v>
      </c>
      <c r="G63" s="5"/>
      <c r="H63" s="5"/>
      <c r="I63" s="5"/>
      <c r="J63" s="5"/>
    </row>
    <row r="64" spans="1:10">
      <c r="A64" s="19">
        <v>50</v>
      </c>
      <c r="B64" s="19">
        <v>3</v>
      </c>
      <c r="C64" s="19">
        <v>7</v>
      </c>
      <c r="D64" s="5">
        <v>13</v>
      </c>
      <c r="E64" s="5">
        <v>3110</v>
      </c>
      <c r="F64" s="5">
        <v>1439</v>
      </c>
      <c r="G64" s="5"/>
      <c r="H64" s="5"/>
      <c r="I64" s="5"/>
      <c r="J64" s="5"/>
    </row>
    <row r="65" spans="1:10">
      <c r="A65" s="19">
        <v>51</v>
      </c>
      <c r="B65" s="19">
        <v>5</v>
      </c>
      <c r="C65" s="19">
        <v>9</v>
      </c>
      <c r="D65" s="5">
        <v>13</v>
      </c>
      <c r="E65" s="5">
        <v>3190</v>
      </c>
      <c r="F65" s="5">
        <v>1439</v>
      </c>
      <c r="G65" s="5"/>
      <c r="H65" s="5"/>
      <c r="I65" s="5"/>
      <c r="J65" s="5"/>
    </row>
    <row r="66" spans="1:10">
      <c r="A66" s="19">
        <v>52</v>
      </c>
      <c r="B66" s="19">
        <v>5</v>
      </c>
      <c r="C66" s="19">
        <v>9</v>
      </c>
      <c r="D66" s="5">
        <v>13</v>
      </c>
      <c r="E66" s="5">
        <v>3270</v>
      </c>
      <c r="F66" s="5">
        <v>1439</v>
      </c>
      <c r="G66" s="5"/>
      <c r="H66" s="5"/>
      <c r="I66" s="5"/>
      <c r="J66" s="5"/>
    </row>
    <row r="67" spans="1:10">
      <c r="A67" s="19">
        <v>53</v>
      </c>
      <c r="B67" s="19">
        <v>7</v>
      </c>
      <c r="C67" s="19">
        <v>10</v>
      </c>
      <c r="D67" s="5">
        <v>13</v>
      </c>
      <c r="E67" s="5">
        <v>3390</v>
      </c>
      <c r="F67" s="5">
        <v>1439</v>
      </c>
      <c r="G67" s="5"/>
      <c r="H67" s="5"/>
      <c r="I67" s="5"/>
      <c r="J67" s="5"/>
    </row>
    <row r="68" spans="1:10">
      <c r="A68" s="19">
        <v>54</v>
      </c>
      <c r="B68" s="19">
        <v>6</v>
      </c>
      <c r="C68" s="19">
        <v>9</v>
      </c>
      <c r="D68" s="5">
        <v>14</v>
      </c>
      <c r="E68" s="5">
        <v>3490</v>
      </c>
      <c r="F68" s="5">
        <v>1626</v>
      </c>
      <c r="G68" s="5"/>
      <c r="H68" s="5"/>
      <c r="I68" s="5"/>
      <c r="J68" s="5"/>
    </row>
    <row r="69" spans="1:10">
      <c r="A69" s="19">
        <v>55</v>
      </c>
      <c r="B69" s="19">
        <v>9</v>
      </c>
      <c r="C69" s="19">
        <v>10</v>
      </c>
      <c r="D69" s="5">
        <v>14</v>
      </c>
      <c r="E69" s="5">
        <v>3670</v>
      </c>
      <c r="F69" s="5">
        <v>1626</v>
      </c>
      <c r="G69" s="5"/>
      <c r="H69" s="5"/>
      <c r="I69" s="5"/>
      <c r="J69" s="5"/>
    </row>
    <row r="70" spans="1:10">
      <c r="A70" s="19">
        <v>56</v>
      </c>
      <c r="B70" s="19">
        <v>2</v>
      </c>
      <c r="C70" s="19">
        <v>7</v>
      </c>
      <c r="D70" s="5">
        <v>14</v>
      </c>
      <c r="E70" s="5">
        <v>3710</v>
      </c>
      <c r="F70" s="5">
        <v>1626</v>
      </c>
      <c r="G70" s="5"/>
      <c r="H70" s="5"/>
      <c r="I70" s="5"/>
      <c r="J70" s="5"/>
    </row>
    <row r="71" spans="1:10">
      <c r="A71" s="19">
        <v>57</v>
      </c>
      <c r="B71" s="19">
        <v>2</v>
      </c>
      <c r="C71" s="19">
        <v>7</v>
      </c>
      <c r="D71" s="5">
        <v>14</v>
      </c>
      <c r="E71" s="5">
        <v>3740</v>
      </c>
      <c r="F71" s="5">
        <v>1626</v>
      </c>
      <c r="G71" s="5"/>
      <c r="H71" s="5"/>
      <c r="I71" s="5"/>
      <c r="J71" s="5"/>
    </row>
    <row r="72" spans="1:10">
      <c r="A72" s="19">
        <v>58</v>
      </c>
      <c r="B72" s="19">
        <v>5</v>
      </c>
      <c r="C72" s="19">
        <v>9</v>
      </c>
      <c r="D72" s="5">
        <v>15</v>
      </c>
      <c r="E72" s="5">
        <v>3820</v>
      </c>
      <c r="F72" s="5">
        <v>1825</v>
      </c>
      <c r="G72" s="5"/>
      <c r="H72" s="5"/>
      <c r="I72" s="5"/>
      <c r="J72" s="5"/>
    </row>
    <row r="73" spans="1:10">
      <c r="A73" s="19">
        <v>59</v>
      </c>
      <c r="B73" s="19">
        <v>6</v>
      </c>
      <c r="C73" s="19">
        <v>9</v>
      </c>
      <c r="D73" s="5">
        <v>15</v>
      </c>
      <c r="E73" s="5">
        <v>3920</v>
      </c>
      <c r="F73" s="5">
        <v>1825</v>
      </c>
      <c r="G73" s="5"/>
      <c r="H73" s="5"/>
      <c r="I73" s="5"/>
      <c r="J73" s="5"/>
    </row>
    <row r="74" spans="1:10">
      <c r="A74" s="19">
        <v>60</v>
      </c>
      <c r="B74" s="19">
        <v>7</v>
      </c>
      <c r="C74" s="19">
        <v>10</v>
      </c>
      <c r="D74" s="5">
        <v>15</v>
      </c>
      <c r="E74" s="5">
        <v>4040</v>
      </c>
      <c r="F74" s="5">
        <v>1825</v>
      </c>
      <c r="G74" s="5"/>
      <c r="H74" s="5"/>
      <c r="I74" s="5"/>
      <c r="J74" s="5"/>
    </row>
    <row r="75" spans="1:10">
      <c r="A75" s="19">
        <v>61</v>
      </c>
      <c r="B75" s="19">
        <v>5</v>
      </c>
      <c r="C75" s="19">
        <v>9</v>
      </c>
      <c r="D75" s="5">
        <v>15</v>
      </c>
      <c r="E75" s="5">
        <v>4120</v>
      </c>
      <c r="F75" s="5">
        <v>1825</v>
      </c>
      <c r="G75" s="5"/>
      <c r="H75" s="5"/>
      <c r="I75" s="5"/>
      <c r="J75" s="5"/>
    </row>
    <row r="76" spans="1:10">
      <c r="A76" s="19">
        <v>62</v>
      </c>
      <c r="B76" s="19">
        <v>5</v>
      </c>
      <c r="C76" s="19">
        <v>9</v>
      </c>
      <c r="D76" s="5">
        <v>16</v>
      </c>
      <c r="E76" s="5">
        <v>4200</v>
      </c>
      <c r="F76" s="5">
        <v>2036</v>
      </c>
      <c r="G76" s="5"/>
      <c r="H76" s="5"/>
      <c r="I76" s="5"/>
      <c r="J76" s="5"/>
    </row>
    <row r="77" spans="1:10">
      <c r="A77" s="19">
        <v>63</v>
      </c>
      <c r="B77" s="19">
        <v>10</v>
      </c>
      <c r="C77" s="19">
        <v>10</v>
      </c>
      <c r="D77" s="5">
        <v>16</v>
      </c>
      <c r="E77" s="5">
        <v>4380</v>
      </c>
      <c r="F77" s="5">
        <v>2036</v>
      </c>
      <c r="G77" s="5"/>
      <c r="H77" s="5"/>
      <c r="I77" s="5"/>
      <c r="J77" s="5"/>
    </row>
    <row r="78" spans="1:10">
      <c r="A78" s="19">
        <v>64</v>
      </c>
      <c r="B78" s="19">
        <v>2</v>
      </c>
      <c r="C78" s="19">
        <v>7</v>
      </c>
      <c r="D78" s="5">
        <v>16</v>
      </c>
      <c r="E78" s="5">
        <v>4410</v>
      </c>
      <c r="F78" s="5">
        <v>2036</v>
      </c>
      <c r="G78" s="5"/>
      <c r="H78" s="5"/>
      <c r="I78" s="5"/>
      <c r="J78" s="5"/>
    </row>
    <row r="79" spans="1:10">
      <c r="A79" s="19">
        <v>65</v>
      </c>
      <c r="B79" s="19">
        <v>2</v>
      </c>
      <c r="C79" s="19">
        <v>7</v>
      </c>
      <c r="D79" s="5">
        <v>16</v>
      </c>
      <c r="E79" s="5">
        <v>4440</v>
      </c>
      <c r="F79" s="5">
        <v>2036</v>
      </c>
      <c r="G79" s="5"/>
      <c r="H79" s="5"/>
      <c r="I79" s="5"/>
      <c r="J79" s="5"/>
    </row>
    <row r="80" spans="1:10">
      <c r="A80" s="19">
        <v>66</v>
      </c>
      <c r="B80" s="19">
        <v>2</v>
      </c>
      <c r="C80" s="19">
        <v>7</v>
      </c>
      <c r="D80" s="5">
        <v>17</v>
      </c>
      <c r="E80" s="5">
        <v>4480</v>
      </c>
      <c r="F80" s="5">
        <v>2259</v>
      </c>
      <c r="G80" s="5"/>
      <c r="H80" s="5"/>
      <c r="I80" s="5"/>
      <c r="J80" s="5"/>
    </row>
    <row r="81" spans="1:10">
      <c r="A81" s="19">
        <v>67</v>
      </c>
      <c r="B81" s="19">
        <v>5</v>
      </c>
      <c r="C81" s="19">
        <v>9</v>
      </c>
      <c r="D81" s="5">
        <v>17</v>
      </c>
      <c r="E81" s="5">
        <v>4560</v>
      </c>
      <c r="F81" s="5">
        <v>2259</v>
      </c>
      <c r="G81" s="5"/>
      <c r="H81" s="5"/>
      <c r="I81" s="5"/>
      <c r="J81" s="5"/>
    </row>
    <row r="82" spans="1:10">
      <c r="A82" s="19">
        <v>68</v>
      </c>
      <c r="B82" s="19">
        <v>6</v>
      </c>
      <c r="C82" s="19">
        <v>9</v>
      </c>
      <c r="D82" s="5">
        <v>17</v>
      </c>
      <c r="E82" s="5">
        <v>4660</v>
      </c>
      <c r="F82" s="5">
        <v>2259</v>
      </c>
      <c r="G82" s="5"/>
      <c r="H82" s="5"/>
      <c r="I82" s="5"/>
      <c r="J82" s="5"/>
    </row>
    <row r="83" spans="1:10">
      <c r="A83" s="19">
        <v>69</v>
      </c>
      <c r="B83" s="19">
        <v>7</v>
      </c>
      <c r="C83" s="19">
        <v>10</v>
      </c>
      <c r="D83" s="5">
        <v>17</v>
      </c>
      <c r="E83" s="5">
        <v>4780</v>
      </c>
      <c r="F83" s="5">
        <v>2259</v>
      </c>
      <c r="G83" s="5"/>
      <c r="H83" s="5"/>
      <c r="I83" s="5"/>
      <c r="J83" s="5"/>
    </row>
    <row r="84" spans="1:10">
      <c r="A84" s="19">
        <v>70</v>
      </c>
      <c r="B84" s="19">
        <v>6</v>
      </c>
      <c r="C84" s="19">
        <v>9</v>
      </c>
      <c r="D84" s="5">
        <v>18</v>
      </c>
      <c r="E84" s="5">
        <v>4860</v>
      </c>
      <c r="F84" s="5">
        <v>2494</v>
      </c>
      <c r="G84" s="5"/>
      <c r="H84" s="5"/>
      <c r="I84" s="5"/>
      <c r="J84" s="5"/>
    </row>
    <row r="85" spans="1:10">
      <c r="A85" s="19">
        <v>71</v>
      </c>
      <c r="B85" s="19">
        <v>9</v>
      </c>
      <c r="C85" s="19">
        <v>10</v>
      </c>
      <c r="D85" s="5">
        <v>18</v>
      </c>
      <c r="E85" s="5">
        <v>5040</v>
      </c>
      <c r="F85" s="5">
        <v>2494</v>
      </c>
      <c r="G85" s="5"/>
      <c r="H85" s="5"/>
      <c r="I85" s="5"/>
      <c r="J85" s="5"/>
    </row>
    <row r="86" spans="1:10">
      <c r="A86" s="19">
        <v>72</v>
      </c>
      <c r="B86" s="19">
        <v>2</v>
      </c>
      <c r="C86" s="19">
        <v>7</v>
      </c>
      <c r="D86" s="5">
        <v>18</v>
      </c>
      <c r="E86" s="5">
        <v>5070</v>
      </c>
      <c r="F86" s="5">
        <v>2494</v>
      </c>
      <c r="G86" s="5"/>
      <c r="H86" s="5"/>
      <c r="I86" s="5"/>
      <c r="J86" s="5"/>
    </row>
    <row r="87" spans="1:10">
      <c r="A87" s="19">
        <v>73</v>
      </c>
      <c r="B87" s="19">
        <v>4</v>
      </c>
      <c r="C87" s="19">
        <v>8</v>
      </c>
      <c r="D87" s="5">
        <v>18</v>
      </c>
      <c r="E87" s="5">
        <v>5110</v>
      </c>
      <c r="F87" s="5">
        <v>2494</v>
      </c>
      <c r="G87" s="5"/>
      <c r="H87" s="5"/>
      <c r="I87" s="5"/>
      <c r="J87" s="5"/>
    </row>
    <row r="88" spans="1:10">
      <c r="A88" s="19">
        <v>74</v>
      </c>
      <c r="B88" s="19">
        <v>6</v>
      </c>
      <c r="C88" s="19">
        <v>10</v>
      </c>
      <c r="D88" s="5">
        <v>19</v>
      </c>
      <c r="E88" s="5">
        <v>5200</v>
      </c>
      <c r="F88" s="5">
        <v>2741</v>
      </c>
      <c r="G88" s="5"/>
      <c r="H88" s="5"/>
      <c r="I88" s="5"/>
      <c r="J88" s="5"/>
    </row>
    <row r="89" spans="1:10">
      <c r="A89" s="19">
        <v>75</v>
      </c>
      <c r="B89" s="19">
        <v>5</v>
      </c>
      <c r="C89" s="19">
        <v>9</v>
      </c>
      <c r="D89" s="5">
        <v>19</v>
      </c>
      <c r="E89" s="5">
        <v>5280</v>
      </c>
      <c r="F89" s="5">
        <v>2741</v>
      </c>
      <c r="G89" s="5"/>
      <c r="H89" s="5"/>
      <c r="I89" s="5"/>
      <c r="J89" s="5"/>
    </row>
    <row r="90" spans="1:10">
      <c r="A90" s="19">
        <v>76</v>
      </c>
      <c r="B90" s="19">
        <v>4</v>
      </c>
      <c r="C90" s="19">
        <v>9</v>
      </c>
      <c r="D90" s="5">
        <v>19</v>
      </c>
      <c r="E90" s="5">
        <v>5340</v>
      </c>
      <c r="F90" s="5">
        <v>2741</v>
      </c>
      <c r="G90" s="5"/>
      <c r="H90" s="5"/>
      <c r="I90" s="5"/>
      <c r="J90" s="5"/>
    </row>
    <row r="91" spans="1:10">
      <c r="A91" s="19">
        <v>77</v>
      </c>
      <c r="B91" s="19">
        <v>6</v>
      </c>
      <c r="C91" s="19">
        <v>10</v>
      </c>
      <c r="D91" s="5">
        <v>19</v>
      </c>
      <c r="E91" s="5">
        <v>5430</v>
      </c>
      <c r="F91" s="5">
        <v>2741</v>
      </c>
      <c r="G91" s="5"/>
      <c r="H91" s="5"/>
      <c r="I91" s="5"/>
      <c r="J91" s="5"/>
    </row>
    <row r="92" spans="1:10">
      <c r="A92" s="19">
        <v>78</v>
      </c>
      <c r="B92" s="19">
        <v>4</v>
      </c>
      <c r="C92" s="19">
        <v>8</v>
      </c>
      <c r="D92" s="5">
        <v>20</v>
      </c>
      <c r="E92" s="5">
        <v>5470</v>
      </c>
      <c r="F92" s="5">
        <v>3000</v>
      </c>
      <c r="G92" s="5"/>
      <c r="H92" s="5"/>
      <c r="I92" s="5"/>
      <c r="J92" s="5"/>
    </row>
    <row r="93" spans="1:10">
      <c r="A93" s="19">
        <v>79</v>
      </c>
      <c r="B93" s="19">
        <v>8</v>
      </c>
      <c r="C93" s="19">
        <v>10</v>
      </c>
      <c r="D93" s="5">
        <v>20</v>
      </c>
      <c r="E93" s="5">
        <v>5600</v>
      </c>
      <c r="F93" s="5">
        <v>3000</v>
      </c>
      <c r="G93" s="5"/>
      <c r="H93" s="5"/>
      <c r="I93" s="5"/>
      <c r="J93" s="5"/>
    </row>
    <row r="94" spans="1:10">
      <c r="A94" s="19">
        <v>80</v>
      </c>
      <c r="B94" s="19">
        <v>7</v>
      </c>
      <c r="C94" s="19">
        <v>10</v>
      </c>
      <c r="D94" s="5">
        <v>20</v>
      </c>
      <c r="E94" s="5">
        <v>5710</v>
      </c>
      <c r="F94" s="5">
        <v>3000</v>
      </c>
      <c r="G94" s="5"/>
      <c r="H94" s="5"/>
      <c r="I94" s="5"/>
      <c r="J94" s="5"/>
    </row>
    <row r="95" spans="1:10">
      <c r="A95" s="19">
        <v>81</v>
      </c>
      <c r="B95" s="19">
        <v>4</v>
      </c>
      <c r="C95" s="19">
        <v>9</v>
      </c>
      <c r="D95" s="5">
        <v>20</v>
      </c>
      <c r="E95" s="5">
        <v>5770</v>
      </c>
      <c r="F95" s="5">
        <v>3000</v>
      </c>
      <c r="G95" s="5"/>
      <c r="H95" s="5"/>
      <c r="I95" s="5"/>
      <c r="J95" s="5"/>
    </row>
    <row r="96" spans="1:10">
      <c r="A96" s="19">
        <v>82</v>
      </c>
      <c r="B96" s="19">
        <v>6</v>
      </c>
      <c r="C96" s="19">
        <v>10</v>
      </c>
      <c r="D96" s="5">
        <v>20</v>
      </c>
      <c r="E96" s="5">
        <v>5860</v>
      </c>
      <c r="F96" s="5">
        <v>3000</v>
      </c>
      <c r="G96" s="5"/>
      <c r="H96" s="5"/>
      <c r="I96" s="5"/>
      <c r="J96" s="5"/>
    </row>
    <row r="97" spans="1:10">
      <c r="A97" s="19">
        <v>83</v>
      </c>
      <c r="B97" s="19">
        <v>5</v>
      </c>
      <c r="C97" s="19">
        <v>9</v>
      </c>
      <c r="D97" s="5">
        <v>21</v>
      </c>
      <c r="E97" s="5">
        <v>5940</v>
      </c>
      <c r="F97" s="5">
        <v>3271</v>
      </c>
      <c r="G97" s="5"/>
      <c r="H97" s="5"/>
      <c r="I97" s="5"/>
      <c r="J97" s="5"/>
    </row>
    <row r="98" spans="1:10">
      <c r="A98" s="19">
        <v>84</v>
      </c>
      <c r="B98" s="19">
        <v>8</v>
      </c>
      <c r="C98" s="19">
        <v>10</v>
      </c>
      <c r="D98" s="5">
        <v>21</v>
      </c>
      <c r="E98" s="5">
        <v>6070</v>
      </c>
      <c r="F98" s="5">
        <v>3271</v>
      </c>
      <c r="G98" s="5"/>
      <c r="H98" s="5"/>
      <c r="I98" s="5"/>
      <c r="J98" s="5"/>
    </row>
    <row r="99" spans="1:10">
      <c r="A99" s="19">
        <v>85</v>
      </c>
      <c r="B99" s="19">
        <v>5</v>
      </c>
      <c r="C99" s="19">
        <v>9</v>
      </c>
      <c r="D99" s="5">
        <v>21</v>
      </c>
      <c r="E99" s="5">
        <v>6150</v>
      </c>
      <c r="F99" s="5">
        <v>3271</v>
      </c>
      <c r="G99" s="5"/>
      <c r="H99" s="5"/>
      <c r="I99" s="5"/>
      <c r="J99" s="5"/>
    </row>
    <row r="100" spans="1:10">
      <c r="A100" s="19">
        <v>86</v>
      </c>
      <c r="B100" s="19">
        <v>10</v>
      </c>
      <c r="C100" s="19">
        <v>10</v>
      </c>
      <c r="D100" s="5">
        <v>21</v>
      </c>
      <c r="E100" s="5">
        <v>6350</v>
      </c>
      <c r="F100" s="5">
        <v>3271</v>
      </c>
      <c r="G100" s="5"/>
      <c r="H100" s="5"/>
      <c r="I100" s="5"/>
      <c r="J100" s="5"/>
    </row>
    <row r="101" spans="1:10">
      <c r="A101" s="19">
        <v>87</v>
      </c>
      <c r="B101" s="19">
        <v>4</v>
      </c>
      <c r="C101" s="19">
        <v>8</v>
      </c>
      <c r="D101" s="5">
        <v>22</v>
      </c>
      <c r="E101" s="5">
        <v>6390</v>
      </c>
      <c r="F101" s="5">
        <v>3554</v>
      </c>
      <c r="G101" s="5"/>
      <c r="H101" s="5"/>
      <c r="I101" s="5"/>
      <c r="J101" s="5"/>
    </row>
    <row r="102" spans="1:10">
      <c r="A102" s="19">
        <v>88</v>
      </c>
      <c r="B102" s="19">
        <v>5</v>
      </c>
      <c r="C102" s="19">
        <v>9</v>
      </c>
      <c r="D102" s="5">
        <v>22</v>
      </c>
      <c r="E102" s="5">
        <v>6470</v>
      </c>
      <c r="F102" s="5">
        <v>3554</v>
      </c>
      <c r="G102" s="5"/>
      <c r="H102" s="5"/>
      <c r="I102" s="5"/>
      <c r="J102" s="5"/>
    </row>
    <row r="103" spans="1:10">
      <c r="A103" s="19">
        <v>89</v>
      </c>
      <c r="B103" s="19">
        <v>6</v>
      </c>
      <c r="C103" s="19">
        <v>10</v>
      </c>
      <c r="D103" s="5">
        <v>22</v>
      </c>
      <c r="E103" s="5">
        <v>6560</v>
      </c>
      <c r="F103" s="5">
        <v>3554</v>
      </c>
      <c r="G103" s="5"/>
      <c r="H103" s="5"/>
      <c r="I103" s="5"/>
      <c r="J103" s="5"/>
    </row>
    <row r="104" spans="1:10">
      <c r="A104" s="19">
        <v>90</v>
      </c>
      <c r="B104" s="19">
        <v>7</v>
      </c>
      <c r="C104" s="19">
        <v>10</v>
      </c>
      <c r="D104" s="5">
        <v>22</v>
      </c>
      <c r="E104" s="5">
        <v>6670</v>
      </c>
      <c r="F104" s="5">
        <v>3554</v>
      </c>
      <c r="G104" s="5"/>
      <c r="H104" s="5"/>
      <c r="I104" s="5"/>
      <c r="J104" s="5"/>
    </row>
    <row r="105" spans="1:10">
      <c r="A105" s="19">
        <v>91</v>
      </c>
      <c r="B105" s="19">
        <v>4</v>
      </c>
      <c r="C105" s="19">
        <v>9</v>
      </c>
      <c r="D105" s="5">
        <v>23</v>
      </c>
      <c r="E105" s="5">
        <v>6730</v>
      </c>
      <c r="F105" s="5">
        <v>3849</v>
      </c>
      <c r="G105" s="5"/>
      <c r="H105" s="5"/>
      <c r="I105" s="5"/>
      <c r="J105" s="5"/>
    </row>
    <row r="106" spans="1:10">
      <c r="A106" s="19">
        <v>92</v>
      </c>
      <c r="B106" s="19">
        <v>8</v>
      </c>
      <c r="C106" s="19">
        <v>10</v>
      </c>
      <c r="D106" s="5">
        <v>23</v>
      </c>
      <c r="E106" s="5">
        <v>6860</v>
      </c>
      <c r="F106" s="5">
        <v>3849</v>
      </c>
      <c r="G106" s="5"/>
      <c r="H106" s="5"/>
      <c r="I106" s="5"/>
      <c r="J106" s="5"/>
    </row>
    <row r="107" spans="1:10">
      <c r="A107" s="19">
        <v>93</v>
      </c>
      <c r="B107" s="19">
        <v>5</v>
      </c>
      <c r="C107" s="19">
        <v>9</v>
      </c>
      <c r="D107" s="5">
        <v>23</v>
      </c>
      <c r="E107" s="5">
        <v>6940</v>
      </c>
      <c r="F107" s="5">
        <v>3849</v>
      </c>
      <c r="G107" s="5"/>
      <c r="H107" s="5"/>
      <c r="I107" s="5"/>
      <c r="J107" s="5"/>
    </row>
    <row r="108" spans="1:10">
      <c r="A108" s="19">
        <v>94</v>
      </c>
      <c r="B108" s="19">
        <v>3</v>
      </c>
      <c r="C108" s="19">
        <v>8</v>
      </c>
      <c r="D108" s="5">
        <v>23</v>
      </c>
      <c r="E108" s="5">
        <v>6980</v>
      </c>
      <c r="F108" s="5">
        <v>3849</v>
      </c>
      <c r="G108" s="5"/>
      <c r="H108" s="5"/>
      <c r="I108" s="5"/>
      <c r="J108" s="5"/>
    </row>
    <row r="109" spans="1:10">
      <c r="A109" s="19">
        <v>95</v>
      </c>
      <c r="B109" s="19">
        <v>7</v>
      </c>
      <c r="C109" s="19">
        <v>10</v>
      </c>
      <c r="D109" s="5">
        <v>24</v>
      </c>
      <c r="E109" s="5">
        <v>7090</v>
      </c>
      <c r="F109" s="5">
        <v>4156</v>
      </c>
      <c r="G109" s="5"/>
      <c r="H109" s="5"/>
      <c r="I109" s="5"/>
      <c r="J109" s="5"/>
    </row>
    <row r="110" spans="1:10">
      <c r="A110" s="19">
        <v>96</v>
      </c>
      <c r="B110" s="19">
        <v>7</v>
      </c>
      <c r="C110" s="19">
        <v>10</v>
      </c>
      <c r="D110" s="5">
        <v>24</v>
      </c>
      <c r="E110" s="5">
        <v>7200</v>
      </c>
      <c r="F110" s="5">
        <v>4156</v>
      </c>
      <c r="G110" s="5"/>
      <c r="H110" s="5"/>
      <c r="I110" s="5"/>
      <c r="J110" s="5"/>
    </row>
    <row r="111" spans="1:10">
      <c r="A111" s="19">
        <v>97</v>
      </c>
      <c r="B111" s="19">
        <v>2</v>
      </c>
      <c r="C111" s="19">
        <v>8</v>
      </c>
      <c r="D111" s="5">
        <v>24</v>
      </c>
      <c r="E111" s="5">
        <v>7230</v>
      </c>
      <c r="F111" s="5">
        <v>4156</v>
      </c>
      <c r="G111" s="5"/>
      <c r="H111" s="5"/>
      <c r="I111" s="5"/>
      <c r="J111" s="5"/>
    </row>
    <row r="112" spans="1:10">
      <c r="A112" s="19">
        <v>98</v>
      </c>
      <c r="B112" s="19">
        <v>10</v>
      </c>
      <c r="C112" s="19">
        <v>10</v>
      </c>
      <c r="D112" s="5">
        <v>24</v>
      </c>
      <c r="E112" s="5">
        <v>7430</v>
      </c>
      <c r="F112" s="5">
        <v>4156</v>
      </c>
      <c r="G112" s="5"/>
      <c r="H112" s="5"/>
      <c r="I112" s="5"/>
      <c r="J112" s="5"/>
    </row>
    <row r="113" spans="1:10">
      <c r="A113" s="19">
        <v>99</v>
      </c>
      <c r="B113" s="19">
        <v>10</v>
      </c>
      <c r="C113" s="19">
        <v>10</v>
      </c>
      <c r="D113" s="5">
        <v>25</v>
      </c>
      <c r="E113" s="5">
        <v>7630</v>
      </c>
      <c r="F113" s="5">
        <v>4475</v>
      </c>
      <c r="G113" s="5"/>
      <c r="H113" s="5"/>
      <c r="I113" s="5"/>
      <c r="J113" s="5"/>
    </row>
    <row r="114" spans="1:10">
      <c r="A114" s="19">
        <v>100</v>
      </c>
      <c r="B114" s="19">
        <v>2</v>
      </c>
      <c r="C114" s="19">
        <v>10</v>
      </c>
      <c r="D114" s="5">
        <v>25</v>
      </c>
      <c r="E114" s="5">
        <v>7690</v>
      </c>
      <c r="F114" s="5">
        <v>4475</v>
      </c>
      <c r="G114" s="5"/>
      <c r="H114" s="5"/>
      <c r="I114" s="5"/>
      <c r="J114" s="5"/>
    </row>
    <row r="115" spans="1:10">
      <c r="A115" s="19">
        <v>101</v>
      </c>
      <c r="B115" s="19">
        <v>2</v>
      </c>
      <c r="C115" s="19">
        <v>9</v>
      </c>
      <c r="D115" s="5">
        <v>25</v>
      </c>
      <c r="E115" s="5">
        <v>7730</v>
      </c>
      <c r="F115" s="5">
        <v>4475</v>
      </c>
      <c r="G115" s="5"/>
      <c r="H115" s="5"/>
      <c r="I115" s="5"/>
      <c r="J115" s="5"/>
    </row>
    <row r="116" spans="1:10">
      <c r="A116" s="19">
        <v>102</v>
      </c>
      <c r="B116" s="19">
        <v>2</v>
      </c>
      <c r="C116" s="19">
        <v>9</v>
      </c>
      <c r="D116" s="5">
        <v>25</v>
      </c>
      <c r="E116" s="5">
        <v>7770</v>
      </c>
      <c r="F116" s="5">
        <v>4475</v>
      </c>
      <c r="G116" s="5"/>
      <c r="H116" s="5"/>
      <c r="I116" s="5"/>
      <c r="J116" s="5"/>
    </row>
    <row r="117" spans="1:10">
      <c r="A117" s="19">
        <v>103</v>
      </c>
      <c r="B117" s="19">
        <v>3</v>
      </c>
      <c r="C117" s="19">
        <v>9</v>
      </c>
      <c r="D117" s="5">
        <v>26</v>
      </c>
      <c r="E117" s="5">
        <v>7820</v>
      </c>
      <c r="F117" s="5">
        <v>4806</v>
      </c>
      <c r="G117" s="5"/>
      <c r="H117" s="5"/>
      <c r="I117" s="5"/>
      <c r="J117" s="5"/>
    </row>
    <row r="118" spans="1:10">
      <c r="A118" s="19">
        <v>104</v>
      </c>
      <c r="B118" s="19">
        <v>7</v>
      </c>
      <c r="C118" s="19">
        <v>10</v>
      </c>
      <c r="D118" s="5">
        <v>26</v>
      </c>
      <c r="E118" s="5">
        <v>7920</v>
      </c>
      <c r="F118" s="5">
        <v>4806</v>
      </c>
      <c r="G118" s="5"/>
      <c r="H118" s="5"/>
      <c r="I118" s="5"/>
      <c r="J118" s="5"/>
    </row>
    <row r="119" spans="1:10">
      <c r="A119" s="19">
        <v>105</v>
      </c>
      <c r="B119" s="19">
        <v>8</v>
      </c>
      <c r="C119" s="19">
        <v>10</v>
      </c>
      <c r="D119" s="5">
        <v>26</v>
      </c>
      <c r="E119" s="5">
        <v>8040</v>
      </c>
      <c r="F119" s="5">
        <v>4806</v>
      </c>
      <c r="G119" s="5"/>
      <c r="H119" s="5"/>
      <c r="I119" s="5"/>
      <c r="J119" s="5"/>
    </row>
    <row r="120" spans="1:10">
      <c r="A120" s="19">
        <v>106</v>
      </c>
      <c r="B120" s="19">
        <v>10</v>
      </c>
      <c r="C120" s="19">
        <v>10</v>
      </c>
      <c r="D120" s="5">
        <v>26</v>
      </c>
      <c r="E120" s="5">
        <v>8260</v>
      </c>
      <c r="F120" s="5">
        <v>4806</v>
      </c>
      <c r="G120" s="5"/>
      <c r="H120" s="5"/>
      <c r="I120" s="5"/>
      <c r="J120" s="5"/>
    </row>
    <row r="121" spans="1:10">
      <c r="A121" s="19">
        <v>107</v>
      </c>
      <c r="B121" s="19">
        <v>5</v>
      </c>
      <c r="C121" s="19">
        <v>9</v>
      </c>
      <c r="D121" s="5">
        <v>27</v>
      </c>
      <c r="E121" s="5">
        <v>8310</v>
      </c>
      <c r="F121" s="5">
        <v>5149</v>
      </c>
      <c r="G121" s="5"/>
      <c r="H121" s="5"/>
      <c r="I121" s="5"/>
      <c r="J121" s="5"/>
    </row>
    <row r="122" spans="1:10">
      <c r="A122" s="19">
        <v>108</v>
      </c>
      <c r="B122" s="19">
        <v>5</v>
      </c>
      <c r="C122" s="19">
        <v>9</v>
      </c>
      <c r="D122" s="5">
        <v>27</v>
      </c>
      <c r="E122" s="5">
        <v>8360</v>
      </c>
      <c r="F122" s="5">
        <v>5149</v>
      </c>
      <c r="G122" s="5"/>
      <c r="H122" s="5"/>
      <c r="I122" s="5"/>
      <c r="J122" s="5"/>
    </row>
    <row r="123" spans="1:10">
      <c r="A123" s="19">
        <v>109</v>
      </c>
      <c r="B123" s="19">
        <v>7</v>
      </c>
      <c r="C123" s="19">
        <v>10</v>
      </c>
      <c r="D123" s="5">
        <v>27</v>
      </c>
      <c r="E123" s="5">
        <v>8460</v>
      </c>
      <c r="F123" s="5">
        <v>5149</v>
      </c>
      <c r="G123" s="5"/>
      <c r="H123" s="5"/>
      <c r="I123" s="5"/>
      <c r="J123" s="5"/>
    </row>
    <row r="124" spans="1:10">
      <c r="A124" s="19">
        <v>110</v>
      </c>
      <c r="B124" s="19">
        <v>9</v>
      </c>
      <c r="C124" s="19">
        <v>10</v>
      </c>
      <c r="D124" s="5">
        <v>27</v>
      </c>
      <c r="E124" s="5">
        <v>8600</v>
      </c>
      <c r="F124" s="5">
        <v>5149</v>
      </c>
      <c r="G124" s="5"/>
      <c r="H124" s="5"/>
      <c r="I124" s="5"/>
      <c r="J124" s="5"/>
    </row>
    <row r="125" spans="1:10">
      <c r="A125" s="19">
        <v>111</v>
      </c>
      <c r="B125" s="19">
        <v>6</v>
      </c>
      <c r="C125" s="19">
        <v>10</v>
      </c>
      <c r="D125" s="5">
        <v>28</v>
      </c>
      <c r="E125" s="5">
        <v>8680</v>
      </c>
      <c r="F125" s="5">
        <v>5504</v>
      </c>
      <c r="G125" s="5"/>
      <c r="H125" s="5"/>
      <c r="I125" s="5"/>
      <c r="J125" s="5"/>
    </row>
    <row r="126" spans="1:10">
      <c r="A126" s="19">
        <v>112</v>
      </c>
      <c r="B126" s="19">
        <v>9</v>
      </c>
      <c r="C126" s="19">
        <v>10</v>
      </c>
      <c r="D126" s="5">
        <v>28</v>
      </c>
      <c r="E126" s="5">
        <v>8820</v>
      </c>
      <c r="F126" s="5">
        <v>5504</v>
      </c>
      <c r="G126" s="5"/>
      <c r="H126" s="5"/>
      <c r="I126" s="5"/>
      <c r="J126" s="5"/>
    </row>
    <row r="127" spans="1:10">
      <c r="A127" s="19">
        <v>113</v>
      </c>
      <c r="B127" s="19">
        <v>6</v>
      </c>
      <c r="C127" s="19">
        <v>10</v>
      </c>
      <c r="D127" s="5">
        <v>28</v>
      </c>
      <c r="E127" s="5">
        <v>8900</v>
      </c>
      <c r="F127" s="5">
        <v>5504</v>
      </c>
      <c r="G127" s="5"/>
      <c r="H127" s="5"/>
      <c r="I127" s="5"/>
      <c r="J127" s="5"/>
    </row>
    <row r="128" spans="1:10">
      <c r="A128" s="19">
        <v>114</v>
      </c>
      <c r="B128" s="19">
        <v>2</v>
      </c>
      <c r="C128" s="19">
        <v>9</v>
      </c>
      <c r="D128" s="5">
        <v>28</v>
      </c>
      <c r="E128" s="5">
        <v>8940</v>
      </c>
      <c r="F128" s="5">
        <v>5504</v>
      </c>
      <c r="G128" s="5"/>
      <c r="H128" s="5"/>
      <c r="I128" s="5"/>
      <c r="J128" s="5"/>
    </row>
    <row r="129" spans="1:10">
      <c r="A129" s="19">
        <v>115</v>
      </c>
      <c r="B129" s="19">
        <v>10</v>
      </c>
      <c r="C129" s="19">
        <v>10</v>
      </c>
      <c r="D129" s="5">
        <v>29</v>
      </c>
      <c r="E129" s="5">
        <v>9160</v>
      </c>
      <c r="F129" s="5">
        <v>5871</v>
      </c>
      <c r="G129" s="5"/>
      <c r="H129" s="5"/>
      <c r="I129" s="5"/>
      <c r="J129" s="5"/>
    </row>
    <row r="130" spans="1:10">
      <c r="A130" s="19">
        <v>116</v>
      </c>
      <c r="B130" s="19">
        <v>10</v>
      </c>
      <c r="C130" s="19">
        <v>10</v>
      </c>
      <c r="D130" s="5">
        <v>29</v>
      </c>
      <c r="E130" s="5">
        <v>9380</v>
      </c>
      <c r="F130" s="5">
        <v>5871</v>
      </c>
      <c r="G130" s="5"/>
      <c r="H130" s="5"/>
      <c r="I130" s="5"/>
      <c r="J130" s="5"/>
    </row>
    <row r="131" spans="1:10">
      <c r="A131" s="19">
        <v>117</v>
      </c>
      <c r="B131" s="19">
        <v>8</v>
      </c>
      <c r="C131" s="19">
        <v>10</v>
      </c>
      <c r="D131" s="5">
        <v>29</v>
      </c>
      <c r="E131" s="5">
        <v>9500</v>
      </c>
      <c r="F131" s="5">
        <v>5871</v>
      </c>
      <c r="G131" s="5"/>
      <c r="H131" s="5"/>
      <c r="I131" s="5"/>
      <c r="J131" s="5"/>
    </row>
    <row r="132" spans="1:10">
      <c r="A132" s="19">
        <v>118</v>
      </c>
      <c r="B132" s="19">
        <v>10</v>
      </c>
      <c r="C132" s="19">
        <v>10</v>
      </c>
      <c r="D132" s="5">
        <v>29</v>
      </c>
      <c r="E132" s="5">
        <v>9720</v>
      </c>
      <c r="F132" s="5">
        <v>5871</v>
      </c>
      <c r="G132" s="5"/>
      <c r="H132" s="5"/>
      <c r="I132" s="5"/>
      <c r="J132" s="5"/>
    </row>
    <row r="133" spans="1:10">
      <c r="A133" s="19">
        <v>119</v>
      </c>
      <c r="B133" s="19">
        <v>2</v>
      </c>
      <c r="C133" s="19">
        <v>10</v>
      </c>
      <c r="D133" s="5">
        <v>30</v>
      </c>
      <c r="E133" s="5">
        <v>9780</v>
      </c>
      <c r="F133" s="5">
        <v>6250</v>
      </c>
      <c r="G133" s="5"/>
      <c r="H133" s="5"/>
      <c r="I133" s="5"/>
      <c r="J133" s="5"/>
    </row>
    <row r="134" spans="1:10">
      <c r="A134" s="19">
        <v>120</v>
      </c>
      <c r="B134" s="19">
        <v>6</v>
      </c>
      <c r="C134" s="19">
        <v>10</v>
      </c>
      <c r="D134" s="5">
        <v>30</v>
      </c>
      <c r="E134" s="5">
        <v>9880</v>
      </c>
      <c r="F134" s="5">
        <v>6250</v>
      </c>
      <c r="G134" s="5"/>
      <c r="H134" s="5"/>
      <c r="I134" s="5"/>
      <c r="J134" s="5"/>
    </row>
    <row r="135" spans="1:10">
      <c r="A135" s="19">
        <v>121</v>
      </c>
      <c r="B135" s="19">
        <v>2</v>
      </c>
      <c r="C135" s="19">
        <v>9</v>
      </c>
      <c r="D135" s="5">
        <v>30</v>
      </c>
      <c r="E135" s="5">
        <v>9920</v>
      </c>
      <c r="F135" s="5">
        <v>6250</v>
      </c>
      <c r="G135" s="5"/>
      <c r="H135" s="5"/>
      <c r="I135" s="5"/>
      <c r="J135" s="5"/>
    </row>
    <row r="136" spans="1:10">
      <c r="A136" s="19">
        <v>122</v>
      </c>
      <c r="B136" s="19">
        <v>2</v>
      </c>
      <c r="C136" s="19">
        <v>9</v>
      </c>
      <c r="D136" s="5">
        <v>30</v>
      </c>
      <c r="E136" s="5">
        <v>9960</v>
      </c>
      <c r="F136" s="5">
        <v>6250</v>
      </c>
      <c r="G136" s="5"/>
      <c r="H136" s="5"/>
      <c r="I136" s="5"/>
      <c r="J136" s="5"/>
    </row>
    <row r="137" spans="1:10">
      <c r="A137" s="19">
        <v>123</v>
      </c>
      <c r="B137" s="19">
        <v>2</v>
      </c>
      <c r="C137" s="19">
        <v>9</v>
      </c>
      <c r="D137" s="5">
        <v>30</v>
      </c>
      <c r="E137" s="5">
        <v>10000</v>
      </c>
      <c r="F137" s="5">
        <v>6250</v>
      </c>
      <c r="G137" s="5"/>
      <c r="H137" s="5"/>
      <c r="I137" s="5"/>
      <c r="J137" s="5"/>
    </row>
  </sheetData>
  <mergeCells count="1">
    <mergeCell ref="A1:J1"/>
  </mergeCells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0"/>
  <sheetViews>
    <sheetView workbookViewId="0"/>
  </sheetViews>
  <sheetFormatPr defaultRowHeight="14.25"/>
  <cols>
    <col min="1" max="1" width="16" customWidth="1"/>
    <col min="2" max="2" width="12" customWidth="1"/>
    <col min="3" max="3" width="9" customWidth="1"/>
    <col min="4" max="4" width="38" customWidth="1"/>
    <col min="5" max="5" width="20" customWidth="1"/>
    <col min="6" max="6" width="22" customWidth="1"/>
    <col min="7" max="7" width="13" customWidth="1"/>
    <col min="8" max="8" width="15" customWidth="1"/>
    <col min="9" max="9" width="13" customWidth="1"/>
    <col min="10" max="10" width="32" customWidth="1"/>
    <col min="11" max="11" width="13" customWidth="1"/>
    <col min="12" max="12" width="15" customWidth="1"/>
    <col min="13" max="13" width="13" customWidth="1"/>
    <col min="14" max="14" width="34" customWidth="1"/>
    <col min="15" max="15" width="24" customWidth="1"/>
    <col min="16" max="16" width="42" customWidth="1"/>
    <col min="17" max="17" width="48" customWidth="1"/>
  </cols>
  <sheetData>
    <row r="1" spans="1:17" ht="27.95" customHeight="1">
      <c r="A1" s="66" t="s">
        <v>624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</row>
    <row r="2" spans="1:17" ht="30" customHeight="1">
      <c r="A2" s="67" t="s">
        <v>625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</row>
    <row r="3" spans="1:17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42" customHeight="1">
      <c r="A4" s="41" t="s">
        <v>11</v>
      </c>
      <c r="B4" s="41" t="s">
        <v>12</v>
      </c>
      <c r="C4" s="41" t="s">
        <v>33</v>
      </c>
      <c r="D4" s="41" t="s">
        <v>626</v>
      </c>
      <c r="E4" s="41" t="s">
        <v>627</v>
      </c>
      <c r="F4" s="41" t="s">
        <v>628</v>
      </c>
      <c r="G4" s="41" t="s">
        <v>629</v>
      </c>
      <c r="H4" s="41" t="s">
        <v>630</v>
      </c>
      <c r="I4" s="41" t="s">
        <v>631</v>
      </c>
      <c r="J4" s="41" t="s">
        <v>632</v>
      </c>
      <c r="K4" s="41" t="s">
        <v>633</v>
      </c>
      <c r="L4" s="41" t="s">
        <v>634</v>
      </c>
      <c r="M4" s="41" t="s">
        <v>635</v>
      </c>
      <c r="N4" s="41" t="s">
        <v>636</v>
      </c>
      <c r="O4" s="41" t="s">
        <v>637</v>
      </c>
      <c r="P4" s="41" t="s">
        <v>638</v>
      </c>
      <c r="Q4" s="41" t="s">
        <v>639</v>
      </c>
    </row>
    <row r="5" spans="1:17">
      <c r="A5" s="40" t="s">
        <v>58</v>
      </c>
      <c r="B5" s="42">
        <v>1</v>
      </c>
      <c r="C5" s="42">
        <v>1</v>
      </c>
      <c r="D5" s="40" t="s">
        <v>59</v>
      </c>
      <c r="E5" s="40" t="s">
        <v>640</v>
      </c>
      <c r="F5" s="40" t="s">
        <v>641</v>
      </c>
      <c r="G5" s="42">
        <v>10</v>
      </c>
      <c r="H5" s="42">
        <v>0</v>
      </c>
      <c r="I5" s="42">
        <f t="shared" ref="I5:I36" si="0">G5+H5</f>
        <v>10</v>
      </c>
      <c r="J5" s="42" t="s">
        <v>68</v>
      </c>
      <c r="K5" s="42">
        <v>10</v>
      </c>
      <c r="L5" s="42">
        <v>0</v>
      </c>
      <c r="M5" s="42">
        <f t="shared" ref="M5:M36" si="1">K5+L5</f>
        <v>10</v>
      </c>
      <c r="N5" s="40" t="s">
        <v>68</v>
      </c>
      <c r="O5" s="40" t="s">
        <v>68</v>
      </c>
      <c r="P5" s="40" t="s">
        <v>642</v>
      </c>
      <c r="Q5" s="40" t="s">
        <v>643</v>
      </c>
    </row>
    <row r="6" spans="1:17">
      <c r="A6" s="40" t="s">
        <v>58</v>
      </c>
      <c r="B6" s="42">
        <v>2</v>
      </c>
      <c r="C6" s="42">
        <v>1</v>
      </c>
      <c r="D6" s="40" t="s">
        <v>74</v>
      </c>
      <c r="E6" s="40" t="s">
        <v>640</v>
      </c>
      <c r="F6" s="40" t="s">
        <v>641</v>
      </c>
      <c r="G6" s="42">
        <v>10</v>
      </c>
      <c r="H6" s="42">
        <v>0</v>
      </c>
      <c r="I6" s="42">
        <f t="shared" si="0"/>
        <v>10</v>
      </c>
      <c r="J6" s="42" t="s">
        <v>68</v>
      </c>
      <c r="K6" s="42">
        <v>10</v>
      </c>
      <c r="L6" s="42">
        <v>0</v>
      </c>
      <c r="M6" s="42">
        <f t="shared" si="1"/>
        <v>10</v>
      </c>
      <c r="N6" s="40" t="s">
        <v>68</v>
      </c>
      <c r="O6" s="40" t="s">
        <v>68</v>
      </c>
      <c r="P6" s="40" t="s">
        <v>642</v>
      </c>
      <c r="Q6" s="40" t="s">
        <v>643</v>
      </c>
    </row>
    <row r="7" spans="1:17">
      <c r="A7" s="40" t="s">
        <v>58</v>
      </c>
      <c r="B7" s="42">
        <v>3</v>
      </c>
      <c r="C7" s="42">
        <v>1</v>
      </c>
      <c r="D7" s="40" t="s">
        <v>85</v>
      </c>
      <c r="E7" s="40" t="s">
        <v>640</v>
      </c>
      <c r="F7" s="40" t="s">
        <v>641</v>
      </c>
      <c r="G7" s="42">
        <v>10</v>
      </c>
      <c r="H7" s="42">
        <v>0</v>
      </c>
      <c r="I7" s="42">
        <f t="shared" si="0"/>
        <v>10</v>
      </c>
      <c r="J7" s="42" t="s">
        <v>68</v>
      </c>
      <c r="K7" s="42">
        <v>10</v>
      </c>
      <c r="L7" s="42">
        <v>0</v>
      </c>
      <c r="M7" s="42">
        <f t="shared" si="1"/>
        <v>10</v>
      </c>
      <c r="N7" s="40" t="s">
        <v>68</v>
      </c>
      <c r="O7" s="40" t="s">
        <v>68</v>
      </c>
      <c r="P7" s="40" t="s">
        <v>642</v>
      </c>
      <c r="Q7" s="40" t="s">
        <v>643</v>
      </c>
    </row>
    <row r="8" spans="1:17">
      <c r="A8" s="40" t="s">
        <v>58</v>
      </c>
      <c r="B8" s="42">
        <v>4</v>
      </c>
      <c r="C8" s="42">
        <v>1</v>
      </c>
      <c r="D8" s="40" t="s">
        <v>89</v>
      </c>
      <c r="E8" s="40" t="s">
        <v>640</v>
      </c>
      <c r="F8" s="40" t="s">
        <v>641</v>
      </c>
      <c r="G8" s="42">
        <v>10</v>
      </c>
      <c r="H8" s="42">
        <v>0</v>
      </c>
      <c r="I8" s="42">
        <f t="shared" si="0"/>
        <v>10</v>
      </c>
      <c r="J8" s="42" t="s">
        <v>68</v>
      </c>
      <c r="K8" s="42">
        <v>10</v>
      </c>
      <c r="L8" s="42">
        <v>0</v>
      </c>
      <c r="M8" s="42">
        <f t="shared" si="1"/>
        <v>10</v>
      </c>
      <c r="N8" s="40" t="s">
        <v>68</v>
      </c>
      <c r="O8" s="40" t="s">
        <v>68</v>
      </c>
      <c r="P8" s="40" t="s">
        <v>642</v>
      </c>
      <c r="Q8" s="40" t="s">
        <v>643</v>
      </c>
    </row>
    <row r="9" spans="1:17">
      <c r="A9" s="40" t="s">
        <v>58</v>
      </c>
      <c r="B9" s="42">
        <v>5</v>
      </c>
      <c r="C9" s="42">
        <v>2</v>
      </c>
      <c r="D9" s="40" t="s">
        <v>90</v>
      </c>
      <c r="E9" s="40" t="s">
        <v>640</v>
      </c>
      <c r="F9" s="40" t="s">
        <v>641</v>
      </c>
      <c r="G9" s="42">
        <v>10</v>
      </c>
      <c r="H9" s="42">
        <v>0</v>
      </c>
      <c r="I9" s="42">
        <f t="shared" si="0"/>
        <v>10</v>
      </c>
      <c r="J9" s="42" t="s">
        <v>68</v>
      </c>
      <c r="K9" s="42">
        <v>10</v>
      </c>
      <c r="L9" s="42">
        <v>0</v>
      </c>
      <c r="M9" s="42">
        <f t="shared" si="1"/>
        <v>10</v>
      </c>
      <c r="N9" s="40" t="s">
        <v>68</v>
      </c>
      <c r="O9" s="40" t="s">
        <v>68</v>
      </c>
      <c r="P9" s="40" t="s">
        <v>642</v>
      </c>
      <c r="Q9" s="40" t="s">
        <v>644</v>
      </c>
    </row>
    <row r="10" spans="1:17">
      <c r="A10" s="40" t="s">
        <v>58</v>
      </c>
      <c r="B10" s="42">
        <v>6</v>
      </c>
      <c r="C10" s="42">
        <v>2</v>
      </c>
      <c r="D10" s="40" t="s">
        <v>100</v>
      </c>
      <c r="E10" s="40" t="s">
        <v>640</v>
      </c>
      <c r="F10" s="40" t="s">
        <v>641</v>
      </c>
      <c r="G10" s="42">
        <v>10</v>
      </c>
      <c r="H10" s="42">
        <v>0</v>
      </c>
      <c r="I10" s="42">
        <f t="shared" si="0"/>
        <v>10</v>
      </c>
      <c r="J10" s="42" t="s">
        <v>68</v>
      </c>
      <c r="K10" s="42">
        <v>10</v>
      </c>
      <c r="L10" s="42">
        <v>0</v>
      </c>
      <c r="M10" s="42">
        <f t="shared" si="1"/>
        <v>10</v>
      </c>
      <c r="N10" s="40" t="s">
        <v>68</v>
      </c>
      <c r="O10" s="40" t="s">
        <v>68</v>
      </c>
      <c r="P10" s="40" t="s">
        <v>642</v>
      </c>
      <c r="Q10" s="40" t="s">
        <v>644</v>
      </c>
    </row>
    <row r="11" spans="1:17">
      <c r="A11" s="40" t="s">
        <v>58</v>
      </c>
      <c r="B11" s="42">
        <v>7</v>
      </c>
      <c r="C11" s="42">
        <v>2</v>
      </c>
      <c r="D11" s="40" t="s">
        <v>107</v>
      </c>
      <c r="E11" s="40" t="s">
        <v>640</v>
      </c>
      <c r="F11" s="40" t="s">
        <v>641</v>
      </c>
      <c r="G11" s="42">
        <v>10</v>
      </c>
      <c r="H11" s="42">
        <v>0</v>
      </c>
      <c r="I11" s="42">
        <f t="shared" si="0"/>
        <v>10</v>
      </c>
      <c r="J11" s="42" t="s">
        <v>68</v>
      </c>
      <c r="K11" s="42">
        <v>10</v>
      </c>
      <c r="L11" s="42">
        <v>0</v>
      </c>
      <c r="M11" s="42">
        <f t="shared" si="1"/>
        <v>10</v>
      </c>
      <c r="N11" s="40" t="s">
        <v>68</v>
      </c>
      <c r="O11" s="40" t="s">
        <v>68</v>
      </c>
      <c r="P11" s="40" t="s">
        <v>642</v>
      </c>
      <c r="Q11" s="40" t="s">
        <v>644</v>
      </c>
    </row>
    <row r="12" spans="1:17">
      <c r="A12" s="40" t="s">
        <v>58</v>
      </c>
      <c r="B12" s="42">
        <v>8</v>
      </c>
      <c r="C12" s="42">
        <v>2</v>
      </c>
      <c r="D12" s="40" t="s">
        <v>116</v>
      </c>
      <c r="E12" s="40" t="s">
        <v>640</v>
      </c>
      <c r="F12" s="40" t="s">
        <v>645</v>
      </c>
      <c r="G12" s="42">
        <v>25</v>
      </c>
      <c r="H12" s="42">
        <v>0</v>
      </c>
      <c r="I12" s="42">
        <f t="shared" si="0"/>
        <v>25</v>
      </c>
      <c r="J12" s="42" t="s">
        <v>68</v>
      </c>
      <c r="K12" s="42">
        <v>15</v>
      </c>
      <c r="L12" s="42">
        <v>0</v>
      </c>
      <c r="M12" s="42">
        <f t="shared" si="1"/>
        <v>15</v>
      </c>
      <c r="N12" s="40" t="s">
        <v>68</v>
      </c>
      <c r="O12" s="40" t="s">
        <v>646</v>
      </c>
      <c r="P12" s="40" t="s">
        <v>642</v>
      </c>
      <c r="Q12" s="40" t="s">
        <v>647</v>
      </c>
    </row>
    <row r="13" spans="1:17">
      <c r="A13" s="40" t="s">
        <v>58</v>
      </c>
      <c r="B13" s="42">
        <v>9</v>
      </c>
      <c r="C13" s="42">
        <v>3</v>
      </c>
      <c r="D13" s="40" t="s">
        <v>128</v>
      </c>
      <c r="E13" s="40" t="s">
        <v>640</v>
      </c>
      <c r="F13" s="40" t="s">
        <v>645</v>
      </c>
      <c r="G13" s="42">
        <v>25</v>
      </c>
      <c r="H13" s="42">
        <v>0</v>
      </c>
      <c r="I13" s="42">
        <f t="shared" si="0"/>
        <v>25</v>
      </c>
      <c r="J13" s="42" t="s">
        <v>68</v>
      </c>
      <c r="K13" s="42">
        <v>15</v>
      </c>
      <c r="L13" s="42">
        <v>0</v>
      </c>
      <c r="M13" s="42">
        <f t="shared" si="1"/>
        <v>15</v>
      </c>
      <c r="N13" s="40" t="s">
        <v>68</v>
      </c>
      <c r="O13" s="40" t="s">
        <v>68</v>
      </c>
      <c r="P13" s="40" t="s">
        <v>642</v>
      </c>
      <c r="Q13" s="40" t="s">
        <v>648</v>
      </c>
    </row>
    <row r="14" spans="1:17">
      <c r="A14" s="40" t="s">
        <v>58</v>
      </c>
      <c r="B14" s="42">
        <v>10</v>
      </c>
      <c r="C14" s="42">
        <v>3</v>
      </c>
      <c r="D14" s="40" t="s">
        <v>131</v>
      </c>
      <c r="E14" s="40" t="s">
        <v>640</v>
      </c>
      <c r="F14" s="40" t="s">
        <v>645</v>
      </c>
      <c r="G14" s="42">
        <v>25</v>
      </c>
      <c r="H14" s="42">
        <v>0</v>
      </c>
      <c r="I14" s="42">
        <f t="shared" si="0"/>
        <v>25</v>
      </c>
      <c r="J14" s="42" t="s">
        <v>68</v>
      </c>
      <c r="K14" s="42">
        <v>15</v>
      </c>
      <c r="L14" s="42">
        <v>0</v>
      </c>
      <c r="M14" s="42">
        <f t="shared" si="1"/>
        <v>15</v>
      </c>
      <c r="N14" s="40" t="s">
        <v>68</v>
      </c>
      <c r="O14" s="40" t="s">
        <v>68</v>
      </c>
      <c r="P14" s="40" t="s">
        <v>642</v>
      </c>
      <c r="Q14" s="40" t="s">
        <v>648</v>
      </c>
    </row>
    <row r="15" spans="1:17">
      <c r="A15" s="40" t="s">
        <v>58</v>
      </c>
      <c r="B15" s="42">
        <v>11</v>
      </c>
      <c r="C15" s="42">
        <v>3</v>
      </c>
      <c r="D15" s="40" t="s">
        <v>132</v>
      </c>
      <c r="E15" s="40" t="s">
        <v>640</v>
      </c>
      <c r="F15" s="40" t="s">
        <v>649</v>
      </c>
      <c r="G15" s="42">
        <v>55</v>
      </c>
      <c r="H15" s="42">
        <v>20</v>
      </c>
      <c r="I15" s="42">
        <f t="shared" si="0"/>
        <v>75</v>
      </c>
      <c r="J15" s="42" t="s">
        <v>650</v>
      </c>
      <c r="K15" s="42">
        <v>35</v>
      </c>
      <c r="L15" s="42">
        <v>0</v>
      </c>
      <c r="M15" s="42">
        <f t="shared" si="1"/>
        <v>35</v>
      </c>
      <c r="N15" s="40" t="s">
        <v>68</v>
      </c>
      <c r="O15" s="40" t="s">
        <v>651</v>
      </c>
      <c r="P15" s="40" t="s">
        <v>652</v>
      </c>
      <c r="Q15" s="40" t="s">
        <v>653</v>
      </c>
    </row>
    <row r="16" spans="1:17">
      <c r="A16" s="40" t="s">
        <v>58</v>
      </c>
      <c r="B16" s="42">
        <v>12</v>
      </c>
      <c r="C16" s="42">
        <v>3</v>
      </c>
      <c r="D16" s="40" t="s">
        <v>141</v>
      </c>
      <c r="E16" s="40" t="s">
        <v>640</v>
      </c>
      <c r="F16" s="40" t="s">
        <v>649</v>
      </c>
      <c r="G16" s="42">
        <v>55</v>
      </c>
      <c r="H16" s="42">
        <v>20</v>
      </c>
      <c r="I16" s="42">
        <f t="shared" si="0"/>
        <v>75</v>
      </c>
      <c r="J16" s="42" t="s">
        <v>68</v>
      </c>
      <c r="K16" s="42">
        <v>35</v>
      </c>
      <c r="L16" s="42">
        <v>0</v>
      </c>
      <c r="M16" s="42">
        <f t="shared" si="1"/>
        <v>35</v>
      </c>
      <c r="N16" s="40" t="s">
        <v>68</v>
      </c>
      <c r="O16" s="40" t="s">
        <v>654</v>
      </c>
      <c r="P16" s="40" t="s">
        <v>652</v>
      </c>
      <c r="Q16" s="40" t="s">
        <v>655</v>
      </c>
    </row>
    <row r="17" spans="1:17">
      <c r="A17" s="40" t="s">
        <v>58</v>
      </c>
      <c r="B17" s="42">
        <v>13</v>
      </c>
      <c r="C17" s="42">
        <v>4</v>
      </c>
      <c r="D17" s="40" t="s">
        <v>143</v>
      </c>
      <c r="E17" s="40" t="s">
        <v>640</v>
      </c>
      <c r="F17" s="40" t="s">
        <v>649</v>
      </c>
      <c r="G17" s="42">
        <v>65</v>
      </c>
      <c r="H17" s="42">
        <v>20</v>
      </c>
      <c r="I17" s="42">
        <f t="shared" si="0"/>
        <v>85</v>
      </c>
      <c r="J17" s="42" t="s">
        <v>68</v>
      </c>
      <c r="K17" s="42">
        <v>40</v>
      </c>
      <c r="L17" s="42">
        <v>0</v>
      </c>
      <c r="M17" s="42">
        <f t="shared" si="1"/>
        <v>40</v>
      </c>
      <c r="N17" s="40" t="s">
        <v>68</v>
      </c>
      <c r="O17" s="40" t="s">
        <v>656</v>
      </c>
      <c r="P17" s="40" t="s">
        <v>652</v>
      </c>
      <c r="Q17" s="40" t="s">
        <v>657</v>
      </c>
    </row>
    <row r="18" spans="1:17">
      <c r="A18" s="40" t="s">
        <v>58</v>
      </c>
      <c r="B18" s="42">
        <v>14</v>
      </c>
      <c r="C18" s="42">
        <v>4</v>
      </c>
      <c r="D18" s="40" t="s">
        <v>145</v>
      </c>
      <c r="E18" s="40" t="s">
        <v>640</v>
      </c>
      <c r="F18" s="40" t="s">
        <v>649</v>
      </c>
      <c r="G18" s="42">
        <v>65</v>
      </c>
      <c r="H18" s="42">
        <v>20</v>
      </c>
      <c r="I18" s="42">
        <f t="shared" si="0"/>
        <v>85</v>
      </c>
      <c r="J18" s="42" t="s">
        <v>68</v>
      </c>
      <c r="K18" s="42">
        <v>40</v>
      </c>
      <c r="L18" s="42">
        <v>0</v>
      </c>
      <c r="M18" s="42">
        <f t="shared" si="1"/>
        <v>40</v>
      </c>
      <c r="N18" s="40" t="s">
        <v>68</v>
      </c>
      <c r="O18" s="40" t="s">
        <v>68</v>
      </c>
      <c r="P18" s="40" t="s">
        <v>652</v>
      </c>
      <c r="Q18" s="40" t="s">
        <v>658</v>
      </c>
    </row>
    <row r="19" spans="1:17">
      <c r="A19" s="40" t="s">
        <v>58</v>
      </c>
      <c r="B19" s="42">
        <v>15</v>
      </c>
      <c r="C19" s="42">
        <v>4</v>
      </c>
      <c r="D19" s="40" t="s">
        <v>152</v>
      </c>
      <c r="E19" s="40" t="s">
        <v>640</v>
      </c>
      <c r="F19" s="40" t="s">
        <v>649</v>
      </c>
      <c r="G19" s="42">
        <v>65</v>
      </c>
      <c r="H19" s="42">
        <v>20</v>
      </c>
      <c r="I19" s="42">
        <f t="shared" si="0"/>
        <v>85</v>
      </c>
      <c r="J19" s="42" t="s">
        <v>68</v>
      </c>
      <c r="K19" s="42">
        <v>40</v>
      </c>
      <c r="L19" s="42">
        <v>0</v>
      </c>
      <c r="M19" s="42">
        <f t="shared" si="1"/>
        <v>40</v>
      </c>
      <c r="N19" s="40" t="s">
        <v>68</v>
      </c>
      <c r="O19" s="40" t="s">
        <v>659</v>
      </c>
      <c r="P19" s="40" t="s">
        <v>652</v>
      </c>
      <c r="Q19" s="40" t="s">
        <v>660</v>
      </c>
    </row>
    <row r="20" spans="1:17">
      <c r="A20" s="40" t="s">
        <v>58</v>
      </c>
      <c r="B20" s="42">
        <v>16</v>
      </c>
      <c r="C20" s="42">
        <v>4</v>
      </c>
      <c r="D20" s="40" t="s">
        <v>154</v>
      </c>
      <c r="E20" s="40" t="s">
        <v>640</v>
      </c>
      <c r="F20" s="40" t="s">
        <v>661</v>
      </c>
      <c r="G20" s="42">
        <v>65</v>
      </c>
      <c r="H20" s="42">
        <v>20</v>
      </c>
      <c r="I20" s="42">
        <f t="shared" si="0"/>
        <v>85</v>
      </c>
      <c r="J20" s="42" t="s">
        <v>68</v>
      </c>
      <c r="K20" s="42">
        <v>40</v>
      </c>
      <c r="L20" s="42">
        <v>15</v>
      </c>
      <c r="M20" s="42">
        <f t="shared" si="1"/>
        <v>55</v>
      </c>
      <c r="N20" s="40" t="s">
        <v>662</v>
      </c>
      <c r="O20" s="40" t="s">
        <v>68</v>
      </c>
      <c r="P20" s="40" t="s">
        <v>663</v>
      </c>
      <c r="Q20" s="40" t="s">
        <v>662</v>
      </c>
    </row>
    <row r="21" spans="1:17">
      <c r="A21" s="40" t="s">
        <v>58</v>
      </c>
      <c r="B21" s="42">
        <v>17</v>
      </c>
      <c r="C21" s="42">
        <v>5</v>
      </c>
      <c r="D21" s="40" t="s">
        <v>163</v>
      </c>
      <c r="E21" s="40" t="s">
        <v>640</v>
      </c>
      <c r="F21" s="40" t="s">
        <v>661</v>
      </c>
      <c r="G21" s="42">
        <v>75</v>
      </c>
      <c r="H21" s="42">
        <v>20</v>
      </c>
      <c r="I21" s="42">
        <f t="shared" si="0"/>
        <v>95</v>
      </c>
      <c r="J21" s="42" t="s">
        <v>68</v>
      </c>
      <c r="K21" s="42">
        <v>45</v>
      </c>
      <c r="L21" s="42">
        <v>15</v>
      </c>
      <c r="M21" s="42">
        <f t="shared" si="1"/>
        <v>60</v>
      </c>
      <c r="N21" s="40" t="s">
        <v>68</v>
      </c>
      <c r="O21" s="40" t="s">
        <v>68</v>
      </c>
      <c r="P21" s="40" t="s">
        <v>663</v>
      </c>
      <c r="Q21" s="40" t="s">
        <v>664</v>
      </c>
    </row>
    <row r="22" spans="1:17">
      <c r="A22" s="40" t="s">
        <v>58</v>
      </c>
      <c r="B22" s="42">
        <v>18</v>
      </c>
      <c r="C22" s="42">
        <v>5</v>
      </c>
      <c r="D22" s="40" t="s">
        <v>167</v>
      </c>
      <c r="E22" s="40" t="s">
        <v>640</v>
      </c>
      <c r="F22" s="40" t="s">
        <v>649</v>
      </c>
      <c r="G22" s="42">
        <v>75</v>
      </c>
      <c r="H22" s="42">
        <v>20</v>
      </c>
      <c r="I22" s="42">
        <f t="shared" si="0"/>
        <v>95</v>
      </c>
      <c r="J22" s="42" t="s">
        <v>68</v>
      </c>
      <c r="K22" s="42">
        <v>45</v>
      </c>
      <c r="L22" s="42">
        <v>15</v>
      </c>
      <c r="M22" s="42">
        <f t="shared" si="1"/>
        <v>60</v>
      </c>
      <c r="N22" s="40" t="s">
        <v>68</v>
      </c>
      <c r="O22" s="40" t="s">
        <v>68</v>
      </c>
      <c r="P22" s="40" t="s">
        <v>663</v>
      </c>
      <c r="Q22" s="40" t="s">
        <v>664</v>
      </c>
    </row>
    <row r="23" spans="1:17">
      <c r="A23" s="40" t="s">
        <v>58</v>
      </c>
      <c r="B23" s="42">
        <v>19</v>
      </c>
      <c r="C23" s="42">
        <v>5</v>
      </c>
      <c r="D23" s="40" t="s">
        <v>170</v>
      </c>
      <c r="E23" s="40" t="s">
        <v>640</v>
      </c>
      <c r="F23" s="40" t="s">
        <v>649</v>
      </c>
      <c r="G23" s="42">
        <v>75</v>
      </c>
      <c r="H23" s="42">
        <v>20</v>
      </c>
      <c r="I23" s="42">
        <f t="shared" si="0"/>
        <v>95</v>
      </c>
      <c r="J23" s="42" t="s">
        <v>68</v>
      </c>
      <c r="K23" s="42">
        <v>45</v>
      </c>
      <c r="L23" s="42">
        <v>15</v>
      </c>
      <c r="M23" s="42">
        <f t="shared" si="1"/>
        <v>60</v>
      </c>
      <c r="N23" s="40" t="s">
        <v>68</v>
      </c>
      <c r="O23" s="40" t="s">
        <v>68</v>
      </c>
      <c r="P23" s="40" t="s">
        <v>663</v>
      </c>
      <c r="Q23" s="40" t="s">
        <v>664</v>
      </c>
    </row>
    <row r="24" spans="1:17">
      <c r="A24" s="40" t="s">
        <v>58</v>
      </c>
      <c r="B24" s="42">
        <v>20</v>
      </c>
      <c r="C24" s="42">
        <v>5</v>
      </c>
      <c r="D24" s="40" t="s">
        <v>178</v>
      </c>
      <c r="E24" s="40" t="s">
        <v>640</v>
      </c>
      <c r="F24" s="40" t="s">
        <v>649</v>
      </c>
      <c r="G24" s="42">
        <v>75</v>
      </c>
      <c r="H24" s="42">
        <v>20</v>
      </c>
      <c r="I24" s="42">
        <f t="shared" si="0"/>
        <v>95</v>
      </c>
      <c r="J24" s="42" t="s">
        <v>68</v>
      </c>
      <c r="K24" s="42">
        <v>45</v>
      </c>
      <c r="L24" s="42">
        <v>15</v>
      </c>
      <c r="M24" s="42">
        <f t="shared" si="1"/>
        <v>60</v>
      </c>
      <c r="N24" s="40" t="s">
        <v>68</v>
      </c>
      <c r="O24" s="40" t="s">
        <v>665</v>
      </c>
      <c r="P24" s="40" t="s">
        <v>663</v>
      </c>
      <c r="Q24" s="40" t="s">
        <v>666</v>
      </c>
    </row>
    <row r="25" spans="1:17">
      <c r="A25" s="40" t="s">
        <v>58</v>
      </c>
      <c r="B25" s="42">
        <v>21</v>
      </c>
      <c r="C25" s="42">
        <v>6</v>
      </c>
      <c r="D25" s="40" t="s">
        <v>185</v>
      </c>
      <c r="E25" s="40" t="s">
        <v>640</v>
      </c>
      <c r="F25" s="40" t="s">
        <v>649</v>
      </c>
      <c r="G25" s="42">
        <v>85</v>
      </c>
      <c r="H25" s="42">
        <v>20</v>
      </c>
      <c r="I25" s="42">
        <f t="shared" si="0"/>
        <v>105</v>
      </c>
      <c r="J25" s="42" t="s">
        <v>68</v>
      </c>
      <c r="K25" s="42">
        <v>50</v>
      </c>
      <c r="L25" s="42">
        <v>15</v>
      </c>
      <c r="M25" s="42">
        <f t="shared" si="1"/>
        <v>65</v>
      </c>
      <c r="N25" s="40" t="s">
        <v>68</v>
      </c>
      <c r="O25" s="40" t="s">
        <v>68</v>
      </c>
      <c r="P25" s="40" t="s">
        <v>663</v>
      </c>
      <c r="Q25" s="40" t="s">
        <v>667</v>
      </c>
    </row>
    <row r="26" spans="1:17">
      <c r="A26" s="40" t="s">
        <v>58</v>
      </c>
      <c r="B26" s="42">
        <v>22</v>
      </c>
      <c r="C26" s="42">
        <v>6</v>
      </c>
      <c r="D26" s="40" t="s">
        <v>186</v>
      </c>
      <c r="E26" s="40" t="s">
        <v>640</v>
      </c>
      <c r="F26" s="40" t="s">
        <v>668</v>
      </c>
      <c r="G26" s="42">
        <v>85</v>
      </c>
      <c r="H26" s="42">
        <v>20</v>
      </c>
      <c r="I26" s="42">
        <f t="shared" si="0"/>
        <v>105</v>
      </c>
      <c r="J26" s="42" t="s">
        <v>68</v>
      </c>
      <c r="K26" s="42">
        <v>50</v>
      </c>
      <c r="L26" s="42">
        <v>15</v>
      </c>
      <c r="M26" s="42">
        <f t="shared" si="1"/>
        <v>65</v>
      </c>
      <c r="N26" s="40" t="s">
        <v>68</v>
      </c>
      <c r="O26" s="40" t="s">
        <v>68</v>
      </c>
      <c r="P26" s="40" t="s">
        <v>663</v>
      </c>
      <c r="Q26" s="40" t="s">
        <v>667</v>
      </c>
    </row>
    <row r="27" spans="1:17">
      <c r="A27" s="40" t="s">
        <v>200</v>
      </c>
      <c r="B27" s="42">
        <v>23</v>
      </c>
      <c r="C27" s="42">
        <v>6</v>
      </c>
      <c r="D27" s="40" t="s">
        <v>201</v>
      </c>
      <c r="E27" s="40" t="s">
        <v>640</v>
      </c>
      <c r="F27" s="40" t="s">
        <v>661</v>
      </c>
      <c r="G27" s="42">
        <v>85</v>
      </c>
      <c r="H27" s="42">
        <v>35</v>
      </c>
      <c r="I27" s="42">
        <f t="shared" si="0"/>
        <v>120</v>
      </c>
      <c r="J27" s="42" t="s">
        <v>669</v>
      </c>
      <c r="K27" s="42">
        <v>50</v>
      </c>
      <c r="L27" s="42">
        <v>15</v>
      </c>
      <c r="M27" s="42">
        <f t="shared" si="1"/>
        <v>65</v>
      </c>
      <c r="N27" s="40" t="s">
        <v>68</v>
      </c>
      <c r="O27" s="40" t="s">
        <v>68</v>
      </c>
      <c r="P27" s="40" t="s">
        <v>670</v>
      </c>
      <c r="Q27" s="40" t="s">
        <v>669</v>
      </c>
    </row>
    <row r="28" spans="1:17">
      <c r="A28" s="40" t="s">
        <v>200</v>
      </c>
      <c r="B28" s="42">
        <v>24</v>
      </c>
      <c r="C28" s="42">
        <v>6</v>
      </c>
      <c r="D28" s="40" t="s">
        <v>206</v>
      </c>
      <c r="E28" s="40" t="s">
        <v>640</v>
      </c>
      <c r="F28" s="40" t="s">
        <v>661</v>
      </c>
      <c r="G28" s="42">
        <v>85</v>
      </c>
      <c r="H28" s="42">
        <v>35</v>
      </c>
      <c r="I28" s="42">
        <f t="shared" si="0"/>
        <v>120</v>
      </c>
      <c r="J28" s="42" t="s">
        <v>68</v>
      </c>
      <c r="K28" s="42">
        <v>50</v>
      </c>
      <c r="L28" s="42">
        <v>15</v>
      </c>
      <c r="M28" s="42">
        <f t="shared" si="1"/>
        <v>65</v>
      </c>
      <c r="N28" s="40" t="s">
        <v>68</v>
      </c>
      <c r="O28" s="40" t="s">
        <v>68</v>
      </c>
      <c r="P28" s="40" t="s">
        <v>670</v>
      </c>
      <c r="Q28" s="40" t="s">
        <v>667</v>
      </c>
    </row>
    <row r="29" spans="1:17">
      <c r="A29" s="40" t="s">
        <v>200</v>
      </c>
      <c r="B29" s="42">
        <v>25</v>
      </c>
      <c r="C29" s="42">
        <v>7</v>
      </c>
      <c r="D29" s="40" t="s">
        <v>207</v>
      </c>
      <c r="E29" s="40" t="s">
        <v>640</v>
      </c>
      <c r="F29" s="40" t="s">
        <v>661</v>
      </c>
      <c r="G29" s="42">
        <v>95</v>
      </c>
      <c r="H29" s="42">
        <v>35</v>
      </c>
      <c r="I29" s="42">
        <f t="shared" si="0"/>
        <v>130</v>
      </c>
      <c r="J29" s="42" t="s">
        <v>68</v>
      </c>
      <c r="K29" s="42">
        <v>55</v>
      </c>
      <c r="L29" s="42">
        <v>15</v>
      </c>
      <c r="M29" s="42">
        <f t="shared" si="1"/>
        <v>70</v>
      </c>
      <c r="N29" s="40" t="s">
        <v>68</v>
      </c>
      <c r="O29" s="40" t="s">
        <v>68</v>
      </c>
      <c r="P29" s="40" t="s">
        <v>670</v>
      </c>
      <c r="Q29" s="40" t="s">
        <v>671</v>
      </c>
    </row>
    <row r="30" spans="1:17">
      <c r="A30" s="40" t="s">
        <v>200</v>
      </c>
      <c r="B30" s="42">
        <v>26</v>
      </c>
      <c r="C30" s="42">
        <v>7</v>
      </c>
      <c r="D30" s="40" t="s">
        <v>209</v>
      </c>
      <c r="E30" s="40" t="s">
        <v>640</v>
      </c>
      <c r="F30" s="40" t="s">
        <v>649</v>
      </c>
      <c r="G30" s="42">
        <v>95</v>
      </c>
      <c r="H30" s="42">
        <v>35</v>
      </c>
      <c r="I30" s="42">
        <f t="shared" si="0"/>
        <v>130</v>
      </c>
      <c r="J30" s="42" t="s">
        <v>68</v>
      </c>
      <c r="K30" s="42">
        <v>55</v>
      </c>
      <c r="L30" s="42">
        <v>15</v>
      </c>
      <c r="M30" s="42">
        <f t="shared" si="1"/>
        <v>70</v>
      </c>
      <c r="N30" s="40" t="s">
        <v>68</v>
      </c>
      <c r="O30" s="40" t="s">
        <v>68</v>
      </c>
      <c r="P30" s="40" t="s">
        <v>670</v>
      </c>
      <c r="Q30" s="40" t="s">
        <v>671</v>
      </c>
    </row>
    <row r="31" spans="1:17">
      <c r="A31" s="40" t="s">
        <v>200</v>
      </c>
      <c r="B31" s="42">
        <v>27</v>
      </c>
      <c r="C31" s="42">
        <v>7</v>
      </c>
      <c r="D31" s="40" t="s">
        <v>212</v>
      </c>
      <c r="E31" s="40" t="s">
        <v>640</v>
      </c>
      <c r="F31" s="40" t="s">
        <v>649</v>
      </c>
      <c r="G31" s="42">
        <v>95</v>
      </c>
      <c r="H31" s="42">
        <v>35</v>
      </c>
      <c r="I31" s="42">
        <f t="shared" si="0"/>
        <v>130</v>
      </c>
      <c r="J31" s="42" t="s">
        <v>68</v>
      </c>
      <c r="K31" s="42">
        <v>55</v>
      </c>
      <c r="L31" s="42">
        <v>15</v>
      </c>
      <c r="M31" s="42">
        <f t="shared" si="1"/>
        <v>70</v>
      </c>
      <c r="N31" s="40" t="s">
        <v>68</v>
      </c>
      <c r="O31" s="40" t="s">
        <v>68</v>
      </c>
      <c r="P31" s="40" t="s">
        <v>670</v>
      </c>
      <c r="Q31" s="40" t="s">
        <v>671</v>
      </c>
    </row>
    <row r="32" spans="1:17">
      <c r="A32" s="40" t="s">
        <v>200</v>
      </c>
      <c r="B32" s="42">
        <v>28</v>
      </c>
      <c r="C32" s="42">
        <v>7</v>
      </c>
      <c r="D32" s="40" t="s">
        <v>214</v>
      </c>
      <c r="E32" s="40" t="s">
        <v>640</v>
      </c>
      <c r="F32" s="40" t="s">
        <v>649</v>
      </c>
      <c r="G32" s="42">
        <v>95</v>
      </c>
      <c r="H32" s="42">
        <v>35</v>
      </c>
      <c r="I32" s="42">
        <f t="shared" si="0"/>
        <v>130</v>
      </c>
      <c r="J32" s="42" t="s">
        <v>68</v>
      </c>
      <c r="K32" s="42">
        <v>55</v>
      </c>
      <c r="L32" s="42">
        <v>15</v>
      </c>
      <c r="M32" s="42">
        <f t="shared" si="1"/>
        <v>70</v>
      </c>
      <c r="N32" s="40" t="s">
        <v>68</v>
      </c>
      <c r="O32" s="40" t="s">
        <v>672</v>
      </c>
      <c r="P32" s="40" t="s">
        <v>670</v>
      </c>
      <c r="Q32" s="40" t="s">
        <v>673</v>
      </c>
    </row>
    <row r="33" spans="1:17">
      <c r="A33" s="40" t="s">
        <v>200</v>
      </c>
      <c r="B33" s="42">
        <v>29</v>
      </c>
      <c r="C33" s="42">
        <v>8</v>
      </c>
      <c r="D33" s="40" t="s">
        <v>216</v>
      </c>
      <c r="E33" s="40" t="s">
        <v>640</v>
      </c>
      <c r="F33" s="40" t="s">
        <v>649</v>
      </c>
      <c r="G33" s="42">
        <v>105</v>
      </c>
      <c r="H33" s="42">
        <v>35</v>
      </c>
      <c r="I33" s="42">
        <f t="shared" si="0"/>
        <v>140</v>
      </c>
      <c r="J33" s="42" t="s">
        <v>68</v>
      </c>
      <c r="K33" s="42">
        <v>60</v>
      </c>
      <c r="L33" s="42">
        <v>15</v>
      </c>
      <c r="M33" s="42">
        <f t="shared" si="1"/>
        <v>75</v>
      </c>
      <c r="N33" s="40" t="s">
        <v>68</v>
      </c>
      <c r="O33" s="40" t="s">
        <v>68</v>
      </c>
      <c r="P33" s="40" t="s">
        <v>670</v>
      </c>
      <c r="Q33" s="40" t="s">
        <v>674</v>
      </c>
    </row>
    <row r="34" spans="1:17">
      <c r="A34" s="40" t="s">
        <v>200</v>
      </c>
      <c r="B34" s="42">
        <v>30</v>
      </c>
      <c r="C34" s="42">
        <v>8</v>
      </c>
      <c r="D34" s="40" t="s">
        <v>223</v>
      </c>
      <c r="E34" s="40" t="s">
        <v>640</v>
      </c>
      <c r="F34" s="40" t="s">
        <v>649</v>
      </c>
      <c r="G34" s="42">
        <v>105</v>
      </c>
      <c r="H34" s="42">
        <v>35</v>
      </c>
      <c r="I34" s="42">
        <f t="shared" si="0"/>
        <v>140</v>
      </c>
      <c r="J34" s="42" t="s">
        <v>68</v>
      </c>
      <c r="K34" s="42">
        <v>60</v>
      </c>
      <c r="L34" s="42">
        <v>15</v>
      </c>
      <c r="M34" s="42">
        <f t="shared" si="1"/>
        <v>75</v>
      </c>
      <c r="N34" s="40" t="s">
        <v>68</v>
      </c>
      <c r="O34" s="40" t="s">
        <v>68</v>
      </c>
      <c r="P34" s="40" t="s">
        <v>670</v>
      </c>
      <c r="Q34" s="40" t="s">
        <v>674</v>
      </c>
    </row>
    <row r="35" spans="1:17" ht="28.5">
      <c r="A35" s="40" t="s">
        <v>200</v>
      </c>
      <c r="B35" s="42">
        <v>31</v>
      </c>
      <c r="C35" s="42">
        <v>8</v>
      </c>
      <c r="D35" s="40" t="s">
        <v>230</v>
      </c>
      <c r="E35" s="40" t="s">
        <v>640</v>
      </c>
      <c r="F35" s="40" t="s">
        <v>661</v>
      </c>
      <c r="G35" s="42">
        <v>105</v>
      </c>
      <c r="H35" s="42">
        <v>35</v>
      </c>
      <c r="I35" s="42">
        <f t="shared" si="0"/>
        <v>140</v>
      </c>
      <c r="J35" s="42" t="s">
        <v>68</v>
      </c>
      <c r="K35" s="42">
        <v>60</v>
      </c>
      <c r="L35" s="42">
        <v>25</v>
      </c>
      <c r="M35" s="42">
        <f t="shared" si="1"/>
        <v>85</v>
      </c>
      <c r="N35" s="40" t="s">
        <v>675</v>
      </c>
      <c r="O35" s="40" t="s">
        <v>68</v>
      </c>
      <c r="P35" s="40" t="s">
        <v>676</v>
      </c>
      <c r="Q35" s="40" t="s">
        <v>675</v>
      </c>
    </row>
    <row r="36" spans="1:17">
      <c r="A36" s="40" t="s">
        <v>200</v>
      </c>
      <c r="B36" s="42">
        <v>32</v>
      </c>
      <c r="C36" s="42">
        <v>8</v>
      </c>
      <c r="D36" s="40" t="s">
        <v>236</v>
      </c>
      <c r="E36" s="40" t="s">
        <v>640</v>
      </c>
      <c r="F36" s="40" t="s">
        <v>649</v>
      </c>
      <c r="G36" s="42">
        <v>105</v>
      </c>
      <c r="H36" s="42">
        <v>35</v>
      </c>
      <c r="I36" s="42">
        <f t="shared" si="0"/>
        <v>140</v>
      </c>
      <c r="J36" s="42" t="s">
        <v>68</v>
      </c>
      <c r="K36" s="42">
        <v>60</v>
      </c>
      <c r="L36" s="42">
        <v>25</v>
      </c>
      <c r="M36" s="42">
        <f t="shared" si="1"/>
        <v>85</v>
      </c>
      <c r="N36" s="40" t="s">
        <v>68</v>
      </c>
      <c r="O36" s="40" t="s">
        <v>68</v>
      </c>
      <c r="P36" s="40" t="s">
        <v>676</v>
      </c>
      <c r="Q36" s="40" t="s">
        <v>674</v>
      </c>
    </row>
    <row r="37" spans="1:17">
      <c r="A37" s="40" t="s">
        <v>200</v>
      </c>
      <c r="B37" s="42">
        <v>33</v>
      </c>
      <c r="C37" s="42">
        <v>9</v>
      </c>
      <c r="D37" s="40" t="s">
        <v>238</v>
      </c>
      <c r="E37" s="40" t="s">
        <v>640</v>
      </c>
      <c r="F37" s="40" t="s">
        <v>649</v>
      </c>
      <c r="G37" s="42">
        <v>115</v>
      </c>
      <c r="H37" s="42">
        <v>35</v>
      </c>
      <c r="I37" s="42">
        <f t="shared" ref="I37:I68" si="2">G37+H37</f>
        <v>150</v>
      </c>
      <c r="J37" s="42" t="s">
        <v>68</v>
      </c>
      <c r="K37" s="42">
        <v>65</v>
      </c>
      <c r="L37" s="42">
        <v>25</v>
      </c>
      <c r="M37" s="42">
        <f t="shared" ref="M37:M68" si="3">K37+L37</f>
        <v>90</v>
      </c>
      <c r="N37" s="40" t="s">
        <v>68</v>
      </c>
      <c r="O37" s="40" t="s">
        <v>68</v>
      </c>
      <c r="P37" s="40" t="s">
        <v>676</v>
      </c>
      <c r="Q37" s="40" t="s">
        <v>677</v>
      </c>
    </row>
    <row r="38" spans="1:17">
      <c r="A38" s="40" t="s">
        <v>200</v>
      </c>
      <c r="B38" s="42">
        <v>34</v>
      </c>
      <c r="C38" s="42">
        <v>9</v>
      </c>
      <c r="D38" s="40" t="s">
        <v>240</v>
      </c>
      <c r="E38" s="40" t="s">
        <v>640</v>
      </c>
      <c r="F38" s="40" t="s">
        <v>649</v>
      </c>
      <c r="G38" s="42">
        <v>115</v>
      </c>
      <c r="H38" s="42">
        <v>35</v>
      </c>
      <c r="I38" s="42">
        <f t="shared" si="2"/>
        <v>150</v>
      </c>
      <c r="J38" s="42" t="s">
        <v>68</v>
      </c>
      <c r="K38" s="42">
        <v>65</v>
      </c>
      <c r="L38" s="42">
        <v>25</v>
      </c>
      <c r="M38" s="42">
        <f t="shared" si="3"/>
        <v>90</v>
      </c>
      <c r="N38" s="40" t="s">
        <v>68</v>
      </c>
      <c r="O38" s="40" t="s">
        <v>68</v>
      </c>
      <c r="P38" s="40" t="s">
        <v>676</v>
      </c>
      <c r="Q38" s="40" t="s">
        <v>677</v>
      </c>
    </row>
    <row r="39" spans="1:17">
      <c r="A39" s="40" t="s">
        <v>200</v>
      </c>
      <c r="B39" s="42">
        <v>35</v>
      </c>
      <c r="C39" s="42">
        <v>9</v>
      </c>
      <c r="D39" s="40" t="s">
        <v>241</v>
      </c>
      <c r="E39" s="40" t="s">
        <v>640</v>
      </c>
      <c r="F39" s="40" t="s">
        <v>649</v>
      </c>
      <c r="G39" s="42">
        <v>115</v>
      </c>
      <c r="H39" s="42">
        <v>35</v>
      </c>
      <c r="I39" s="42">
        <f t="shared" si="2"/>
        <v>150</v>
      </c>
      <c r="J39" s="42" t="s">
        <v>68</v>
      </c>
      <c r="K39" s="42">
        <v>65</v>
      </c>
      <c r="L39" s="42">
        <v>25</v>
      </c>
      <c r="M39" s="42">
        <f t="shared" si="3"/>
        <v>90</v>
      </c>
      <c r="N39" s="40" t="s">
        <v>68</v>
      </c>
      <c r="O39" s="40" t="s">
        <v>68</v>
      </c>
      <c r="P39" s="40" t="s">
        <v>676</v>
      </c>
      <c r="Q39" s="40" t="s">
        <v>677</v>
      </c>
    </row>
    <row r="40" spans="1:17">
      <c r="A40" s="40" t="s">
        <v>200</v>
      </c>
      <c r="B40" s="42">
        <v>36</v>
      </c>
      <c r="C40" s="42">
        <v>9</v>
      </c>
      <c r="D40" s="40" t="s">
        <v>242</v>
      </c>
      <c r="E40" s="40" t="s">
        <v>640</v>
      </c>
      <c r="F40" s="40" t="s">
        <v>649</v>
      </c>
      <c r="G40" s="42">
        <v>115</v>
      </c>
      <c r="H40" s="42">
        <v>35</v>
      </c>
      <c r="I40" s="42">
        <f t="shared" si="2"/>
        <v>150</v>
      </c>
      <c r="J40" s="42" t="s">
        <v>68</v>
      </c>
      <c r="K40" s="42">
        <v>65</v>
      </c>
      <c r="L40" s="42">
        <v>25</v>
      </c>
      <c r="M40" s="42">
        <f t="shared" si="3"/>
        <v>90</v>
      </c>
      <c r="N40" s="40" t="s">
        <v>68</v>
      </c>
      <c r="O40" s="40" t="s">
        <v>68</v>
      </c>
      <c r="P40" s="40" t="s">
        <v>676</v>
      </c>
      <c r="Q40" s="40" t="s">
        <v>677</v>
      </c>
    </row>
    <row r="41" spans="1:17">
      <c r="A41" s="40" t="s">
        <v>200</v>
      </c>
      <c r="B41" s="42">
        <v>37</v>
      </c>
      <c r="C41" s="42">
        <v>10</v>
      </c>
      <c r="D41" s="40" t="s">
        <v>244</v>
      </c>
      <c r="E41" s="40" t="s">
        <v>640</v>
      </c>
      <c r="F41" s="40" t="s">
        <v>649</v>
      </c>
      <c r="G41" s="42">
        <v>125</v>
      </c>
      <c r="H41" s="42">
        <v>35</v>
      </c>
      <c r="I41" s="42">
        <f t="shared" si="2"/>
        <v>160</v>
      </c>
      <c r="J41" s="42" t="s">
        <v>68</v>
      </c>
      <c r="K41" s="42">
        <v>70</v>
      </c>
      <c r="L41" s="42">
        <v>25</v>
      </c>
      <c r="M41" s="42">
        <f t="shared" si="3"/>
        <v>95</v>
      </c>
      <c r="N41" s="40" t="s">
        <v>68</v>
      </c>
      <c r="O41" s="40" t="s">
        <v>68</v>
      </c>
      <c r="P41" s="40" t="s">
        <v>676</v>
      </c>
      <c r="Q41" s="40" t="s">
        <v>678</v>
      </c>
    </row>
    <row r="42" spans="1:17">
      <c r="A42" s="40" t="s">
        <v>200</v>
      </c>
      <c r="B42" s="42">
        <v>38</v>
      </c>
      <c r="C42" s="42">
        <v>10</v>
      </c>
      <c r="D42" s="40" t="s">
        <v>245</v>
      </c>
      <c r="E42" s="40" t="s">
        <v>640</v>
      </c>
      <c r="F42" s="40" t="s">
        <v>649</v>
      </c>
      <c r="G42" s="42">
        <v>125</v>
      </c>
      <c r="H42" s="42">
        <v>35</v>
      </c>
      <c r="I42" s="42">
        <f t="shared" si="2"/>
        <v>160</v>
      </c>
      <c r="J42" s="42" t="s">
        <v>68</v>
      </c>
      <c r="K42" s="42">
        <v>70</v>
      </c>
      <c r="L42" s="42">
        <v>25</v>
      </c>
      <c r="M42" s="42">
        <f t="shared" si="3"/>
        <v>95</v>
      </c>
      <c r="N42" s="40" t="s">
        <v>68</v>
      </c>
      <c r="O42" s="40" t="s">
        <v>679</v>
      </c>
      <c r="P42" s="40" t="s">
        <v>676</v>
      </c>
      <c r="Q42" s="40" t="s">
        <v>680</v>
      </c>
    </row>
    <row r="43" spans="1:17">
      <c r="A43" s="40" t="s">
        <v>200</v>
      </c>
      <c r="B43" s="42">
        <v>39</v>
      </c>
      <c r="C43" s="42">
        <v>10</v>
      </c>
      <c r="D43" s="40" t="s">
        <v>247</v>
      </c>
      <c r="E43" s="40" t="s">
        <v>640</v>
      </c>
      <c r="F43" s="40" t="s">
        <v>649</v>
      </c>
      <c r="G43" s="42">
        <v>125</v>
      </c>
      <c r="H43" s="42">
        <v>35</v>
      </c>
      <c r="I43" s="42">
        <f t="shared" si="2"/>
        <v>160</v>
      </c>
      <c r="J43" s="42" t="s">
        <v>68</v>
      </c>
      <c r="K43" s="42">
        <v>70</v>
      </c>
      <c r="L43" s="42">
        <v>25</v>
      </c>
      <c r="M43" s="42">
        <f t="shared" si="3"/>
        <v>95</v>
      </c>
      <c r="N43" s="40" t="s">
        <v>68</v>
      </c>
      <c r="O43" s="40" t="s">
        <v>68</v>
      </c>
      <c r="P43" s="40" t="s">
        <v>676</v>
      </c>
      <c r="Q43" s="40" t="s">
        <v>678</v>
      </c>
    </row>
    <row r="44" spans="1:17">
      <c r="A44" s="40" t="s">
        <v>200</v>
      </c>
      <c r="B44" s="42">
        <v>40</v>
      </c>
      <c r="C44" s="42">
        <v>10</v>
      </c>
      <c r="D44" s="40" t="s">
        <v>256</v>
      </c>
      <c r="E44" s="40" t="s">
        <v>640</v>
      </c>
      <c r="F44" s="40" t="s">
        <v>649</v>
      </c>
      <c r="G44" s="42">
        <v>125</v>
      </c>
      <c r="H44" s="42">
        <v>55</v>
      </c>
      <c r="I44" s="42">
        <f t="shared" si="2"/>
        <v>180</v>
      </c>
      <c r="J44" s="42" t="s">
        <v>681</v>
      </c>
      <c r="K44" s="42">
        <v>70</v>
      </c>
      <c r="L44" s="42">
        <v>25</v>
      </c>
      <c r="M44" s="42">
        <f t="shared" si="3"/>
        <v>95</v>
      </c>
      <c r="N44" s="40" t="s">
        <v>68</v>
      </c>
      <c r="O44" s="40" t="s">
        <v>68</v>
      </c>
      <c r="P44" s="40" t="s">
        <v>682</v>
      </c>
      <c r="Q44" s="40" t="s">
        <v>681</v>
      </c>
    </row>
    <row r="45" spans="1:17">
      <c r="A45" s="40" t="s">
        <v>200</v>
      </c>
      <c r="B45" s="42">
        <v>41</v>
      </c>
      <c r="C45" s="42">
        <v>10</v>
      </c>
      <c r="D45" s="40" t="s">
        <v>259</v>
      </c>
      <c r="E45" s="40" t="s">
        <v>640</v>
      </c>
      <c r="F45" s="40" t="s">
        <v>661</v>
      </c>
      <c r="G45" s="42">
        <v>125</v>
      </c>
      <c r="H45" s="42">
        <v>55</v>
      </c>
      <c r="I45" s="42">
        <f t="shared" si="2"/>
        <v>180</v>
      </c>
      <c r="J45" s="42" t="s">
        <v>68</v>
      </c>
      <c r="K45" s="42">
        <v>70</v>
      </c>
      <c r="L45" s="42">
        <v>25</v>
      </c>
      <c r="M45" s="42">
        <f t="shared" si="3"/>
        <v>95</v>
      </c>
      <c r="N45" s="40" t="s">
        <v>68</v>
      </c>
      <c r="O45" s="40" t="s">
        <v>68</v>
      </c>
      <c r="P45" s="40" t="s">
        <v>682</v>
      </c>
      <c r="Q45" s="40" t="s">
        <v>678</v>
      </c>
    </row>
    <row r="46" spans="1:17">
      <c r="A46" s="40" t="s">
        <v>200</v>
      </c>
      <c r="B46" s="42">
        <v>42</v>
      </c>
      <c r="C46" s="42">
        <v>11</v>
      </c>
      <c r="D46" s="40" t="s">
        <v>260</v>
      </c>
      <c r="E46" s="40" t="s">
        <v>640</v>
      </c>
      <c r="F46" s="40" t="s">
        <v>649</v>
      </c>
      <c r="G46" s="42">
        <v>135</v>
      </c>
      <c r="H46" s="42">
        <v>55</v>
      </c>
      <c r="I46" s="42">
        <f t="shared" si="2"/>
        <v>190</v>
      </c>
      <c r="J46" s="42" t="s">
        <v>68</v>
      </c>
      <c r="K46" s="42">
        <v>75</v>
      </c>
      <c r="L46" s="42">
        <v>25</v>
      </c>
      <c r="M46" s="42">
        <f t="shared" si="3"/>
        <v>100</v>
      </c>
      <c r="N46" s="40" t="s">
        <v>68</v>
      </c>
      <c r="O46" s="40" t="s">
        <v>68</v>
      </c>
      <c r="P46" s="40" t="s">
        <v>682</v>
      </c>
      <c r="Q46" s="40" t="s">
        <v>683</v>
      </c>
    </row>
    <row r="47" spans="1:17">
      <c r="A47" s="40" t="s">
        <v>200</v>
      </c>
      <c r="B47" s="42">
        <v>43</v>
      </c>
      <c r="C47" s="42">
        <v>11</v>
      </c>
      <c r="D47" s="40" t="s">
        <v>261</v>
      </c>
      <c r="E47" s="40" t="s">
        <v>640</v>
      </c>
      <c r="F47" s="40" t="s">
        <v>649</v>
      </c>
      <c r="G47" s="42">
        <v>135</v>
      </c>
      <c r="H47" s="42">
        <v>55</v>
      </c>
      <c r="I47" s="42">
        <f t="shared" si="2"/>
        <v>190</v>
      </c>
      <c r="J47" s="42" t="s">
        <v>68</v>
      </c>
      <c r="K47" s="42">
        <v>75</v>
      </c>
      <c r="L47" s="42">
        <v>25</v>
      </c>
      <c r="M47" s="42">
        <f t="shared" si="3"/>
        <v>100</v>
      </c>
      <c r="N47" s="40" t="s">
        <v>68</v>
      </c>
      <c r="O47" s="40" t="s">
        <v>68</v>
      </c>
      <c r="P47" s="40" t="s">
        <v>682</v>
      </c>
      <c r="Q47" s="40" t="s">
        <v>683</v>
      </c>
    </row>
    <row r="48" spans="1:17">
      <c r="A48" s="40" t="s">
        <v>200</v>
      </c>
      <c r="B48" s="42">
        <v>44</v>
      </c>
      <c r="C48" s="42">
        <v>11</v>
      </c>
      <c r="D48" s="40" t="s">
        <v>263</v>
      </c>
      <c r="E48" s="40" t="s">
        <v>640</v>
      </c>
      <c r="F48" s="40" t="s">
        <v>649</v>
      </c>
      <c r="G48" s="42">
        <v>135</v>
      </c>
      <c r="H48" s="42">
        <v>55</v>
      </c>
      <c r="I48" s="42">
        <f t="shared" si="2"/>
        <v>190</v>
      </c>
      <c r="J48" s="42" t="s">
        <v>68</v>
      </c>
      <c r="K48" s="42">
        <v>75</v>
      </c>
      <c r="L48" s="42">
        <v>25</v>
      </c>
      <c r="M48" s="42">
        <f t="shared" si="3"/>
        <v>100</v>
      </c>
      <c r="N48" s="40" t="s">
        <v>68</v>
      </c>
      <c r="O48" s="40" t="s">
        <v>68</v>
      </c>
      <c r="P48" s="40" t="s">
        <v>682</v>
      </c>
      <c r="Q48" s="40" t="s">
        <v>683</v>
      </c>
    </row>
    <row r="49" spans="1:17">
      <c r="A49" s="40" t="s">
        <v>200</v>
      </c>
      <c r="B49" s="42">
        <v>45</v>
      </c>
      <c r="C49" s="42">
        <v>11</v>
      </c>
      <c r="D49" s="40" t="s">
        <v>264</v>
      </c>
      <c r="E49" s="40" t="s">
        <v>640</v>
      </c>
      <c r="F49" s="40" t="s">
        <v>649</v>
      </c>
      <c r="G49" s="42">
        <v>135</v>
      </c>
      <c r="H49" s="42">
        <v>55</v>
      </c>
      <c r="I49" s="42">
        <f t="shared" si="2"/>
        <v>190</v>
      </c>
      <c r="J49" s="42" t="s">
        <v>68</v>
      </c>
      <c r="K49" s="42">
        <v>75</v>
      </c>
      <c r="L49" s="42">
        <v>25</v>
      </c>
      <c r="M49" s="42">
        <f t="shared" si="3"/>
        <v>100</v>
      </c>
      <c r="N49" s="40" t="s">
        <v>68</v>
      </c>
      <c r="O49" s="40" t="s">
        <v>68</v>
      </c>
      <c r="P49" s="40" t="s">
        <v>682</v>
      </c>
      <c r="Q49" s="40" t="s">
        <v>683</v>
      </c>
    </row>
    <row r="50" spans="1:17">
      <c r="A50" s="40" t="s">
        <v>200</v>
      </c>
      <c r="B50" s="42">
        <v>46</v>
      </c>
      <c r="C50" s="42">
        <v>12</v>
      </c>
      <c r="D50" s="40" t="s">
        <v>265</v>
      </c>
      <c r="E50" s="40" t="s">
        <v>640</v>
      </c>
      <c r="F50" s="40" t="s">
        <v>668</v>
      </c>
      <c r="G50" s="42">
        <v>145</v>
      </c>
      <c r="H50" s="42">
        <v>55</v>
      </c>
      <c r="I50" s="42">
        <f t="shared" si="2"/>
        <v>200</v>
      </c>
      <c r="J50" s="42" t="s">
        <v>68</v>
      </c>
      <c r="K50" s="42">
        <v>80</v>
      </c>
      <c r="L50" s="42">
        <v>25</v>
      </c>
      <c r="M50" s="42">
        <f t="shared" si="3"/>
        <v>105</v>
      </c>
      <c r="N50" s="40" t="s">
        <v>68</v>
      </c>
      <c r="O50" s="40" t="s">
        <v>68</v>
      </c>
      <c r="P50" s="40" t="s">
        <v>682</v>
      </c>
      <c r="Q50" s="40" t="s">
        <v>684</v>
      </c>
    </row>
    <row r="51" spans="1:17" ht="28.5">
      <c r="A51" s="40" t="s">
        <v>275</v>
      </c>
      <c r="B51" s="42">
        <v>47</v>
      </c>
      <c r="C51" s="42">
        <v>12</v>
      </c>
      <c r="D51" s="40" t="s">
        <v>276</v>
      </c>
      <c r="E51" s="40" t="s">
        <v>640</v>
      </c>
      <c r="F51" s="40" t="s">
        <v>661</v>
      </c>
      <c r="G51" s="42">
        <v>145</v>
      </c>
      <c r="H51" s="42">
        <v>80</v>
      </c>
      <c r="I51" s="42">
        <f t="shared" si="2"/>
        <v>225</v>
      </c>
      <c r="J51" s="42" t="s">
        <v>685</v>
      </c>
      <c r="K51" s="42">
        <v>80</v>
      </c>
      <c r="L51" s="42">
        <v>25</v>
      </c>
      <c r="M51" s="42">
        <f t="shared" si="3"/>
        <v>105</v>
      </c>
      <c r="N51" s="40" t="s">
        <v>68</v>
      </c>
      <c r="O51" s="40" t="s">
        <v>686</v>
      </c>
      <c r="P51" s="40" t="s">
        <v>687</v>
      </c>
      <c r="Q51" s="40" t="s">
        <v>688</v>
      </c>
    </row>
    <row r="52" spans="1:17" ht="28.5">
      <c r="A52" s="40" t="s">
        <v>275</v>
      </c>
      <c r="B52" s="42">
        <v>48</v>
      </c>
      <c r="C52" s="42">
        <v>12</v>
      </c>
      <c r="D52" s="40" t="s">
        <v>281</v>
      </c>
      <c r="E52" s="40" t="s">
        <v>640</v>
      </c>
      <c r="F52" s="40" t="s">
        <v>649</v>
      </c>
      <c r="G52" s="42">
        <v>145</v>
      </c>
      <c r="H52" s="42">
        <v>80</v>
      </c>
      <c r="I52" s="42">
        <f t="shared" si="2"/>
        <v>225</v>
      </c>
      <c r="J52" s="42" t="s">
        <v>68</v>
      </c>
      <c r="K52" s="42">
        <v>80</v>
      </c>
      <c r="L52" s="42">
        <v>25</v>
      </c>
      <c r="M52" s="42">
        <f t="shared" si="3"/>
        <v>105</v>
      </c>
      <c r="N52" s="40" t="s">
        <v>68</v>
      </c>
      <c r="O52" s="40" t="s">
        <v>68</v>
      </c>
      <c r="P52" s="40" t="s">
        <v>687</v>
      </c>
      <c r="Q52" s="40" t="s">
        <v>684</v>
      </c>
    </row>
    <row r="53" spans="1:17" ht="28.5">
      <c r="A53" s="40" t="s">
        <v>275</v>
      </c>
      <c r="B53" s="42">
        <v>49</v>
      </c>
      <c r="C53" s="42">
        <v>12</v>
      </c>
      <c r="D53" s="40" t="s">
        <v>282</v>
      </c>
      <c r="E53" s="40" t="s">
        <v>640</v>
      </c>
      <c r="F53" s="40" t="s">
        <v>649</v>
      </c>
      <c r="G53" s="42">
        <v>145</v>
      </c>
      <c r="H53" s="42">
        <v>80</v>
      </c>
      <c r="I53" s="42">
        <f t="shared" si="2"/>
        <v>225</v>
      </c>
      <c r="J53" s="42" t="s">
        <v>68</v>
      </c>
      <c r="K53" s="42">
        <v>80</v>
      </c>
      <c r="L53" s="42">
        <v>25</v>
      </c>
      <c r="M53" s="42">
        <f t="shared" si="3"/>
        <v>105</v>
      </c>
      <c r="N53" s="40" t="s">
        <v>68</v>
      </c>
      <c r="O53" s="40" t="s">
        <v>68</v>
      </c>
      <c r="P53" s="40" t="s">
        <v>687</v>
      </c>
      <c r="Q53" s="40" t="s">
        <v>684</v>
      </c>
    </row>
    <row r="54" spans="1:17" ht="28.5">
      <c r="A54" s="40" t="s">
        <v>275</v>
      </c>
      <c r="B54" s="42">
        <v>50</v>
      </c>
      <c r="C54" s="42">
        <v>13</v>
      </c>
      <c r="D54" s="40" t="s">
        <v>284</v>
      </c>
      <c r="E54" s="40" t="s">
        <v>640</v>
      </c>
      <c r="F54" s="40" t="s">
        <v>661</v>
      </c>
      <c r="G54" s="42">
        <v>155</v>
      </c>
      <c r="H54" s="42">
        <v>80</v>
      </c>
      <c r="I54" s="42">
        <f t="shared" si="2"/>
        <v>235</v>
      </c>
      <c r="J54" s="42" t="s">
        <v>68</v>
      </c>
      <c r="K54" s="42">
        <v>85</v>
      </c>
      <c r="L54" s="42">
        <v>25</v>
      </c>
      <c r="M54" s="42">
        <f t="shared" si="3"/>
        <v>110</v>
      </c>
      <c r="N54" s="40" t="s">
        <v>68</v>
      </c>
      <c r="O54" s="40" t="s">
        <v>68</v>
      </c>
      <c r="P54" s="40" t="s">
        <v>687</v>
      </c>
      <c r="Q54" s="40" t="s">
        <v>689</v>
      </c>
    </row>
    <row r="55" spans="1:17" ht="28.5">
      <c r="A55" s="40" t="s">
        <v>275</v>
      </c>
      <c r="B55" s="42">
        <v>51</v>
      </c>
      <c r="C55" s="42">
        <v>13</v>
      </c>
      <c r="D55" s="40" t="s">
        <v>285</v>
      </c>
      <c r="E55" s="40" t="s">
        <v>640</v>
      </c>
      <c r="F55" s="40" t="s">
        <v>649</v>
      </c>
      <c r="G55" s="42">
        <v>155</v>
      </c>
      <c r="H55" s="42">
        <v>80</v>
      </c>
      <c r="I55" s="42">
        <f t="shared" si="2"/>
        <v>235</v>
      </c>
      <c r="J55" s="42" t="s">
        <v>68</v>
      </c>
      <c r="K55" s="42">
        <v>85</v>
      </c>
      <c r="L55" s="42">
        <v>25</v>
      </c>
      <c r="M55" s="42">
        <f t="shared" si="3"/>
        <v>110</v>
      </c>
      <c r="N55" s="40" t="s">
        <v>68</v>
      </c>
      <c r="O55" s="40" t="s">
        <v>68</v>
      </c>
      <c r="P55" s="40" t="s">
        <v>687</v>
      </c>
      <c r="Q55" s="40" t="s">
        <v>689</v>
      </c>
    </row>
    <row r="56" spans="1:17" ht="28.5">
      <c r="A56" s="40" t="s">
        <v>275</v>
      </c>
      <c r="B56" s="42">
        <v>52</v>
      </c>
      <c r="C56" s="42">
        <v>13</v>
      </c>
      <c r="D56" s="40" t="s">
        <v>287</v>
      </c>
      <c r="E56" s="40" t="s">
        <v>640</v>
      </c>
      <c r="F56" s="40" t="s">
        <v>649</v>
      </c>
      <c r="G56" s="42">
        <v>155</v>
      </c>
      <c r="H56" s="42">
        <v>80</v>
      </c>
      <c r="I56" s="42">
        <f t="shared" si="2"/>
        <v>235</v>
      </c>
      <c r="J56" s="42" t="s">
        <v>68</v>
      </c>
      <c r="K56" s="42">
        <v>85</v>
      </c>
      <c r="L56" s="42">
        <v>25</v>
      </c>
      <c r="M56" s="42">
        <f t="shared" si="3"/>
        <v>110</v>
      </c>
      <c r="N56" s="40" t="s">
        <v>68</v>
      </c>
      <c r="O56" s="40" t="s">
        <v>68</v>
      </c>
      <c r="P56" s="40" t="s">
        <v>687</v>
      </c>
      <c r="Q56" s="40" t="s">
        <v>689</v>
      </c>
    </row>
    <row r="57" spans="1:17" ht="28.5">
      <c r="A57" s="40" t="s">
        <v>275</v>
      </c>
      <c r="B57" s="42">
        <v>53</v>
      </c>
      <c r="C57" s="42">
        <v>13</v>
      </c>
      <c r="D57" s="40" t="s">
        <v>288</v>
      </c>
      <c r="E57" s="40" t="s">
        <v>640</v>
      </c>
      <c r="F57" s="40" t="s">
        <v>649</v>
      </c>
      <c r="G57" s="42">
        <v>155</v>
      </c>
      <c r="H57" s="42">
        <v>80</v>
      </c>
      <c r="I57" s="42">
        <f t="shared" si="2"/>
        <v>235</v>
      </c>
      <c r="J57" s="42" t="s">
        <v>68</v>
      </c>
      <c r="K57" s="42">
        <v>85</v>
      </c>
      <c r="L57" s="42">
        <v>25</v>
      </c>
      <c r="M57" s="42">
        <f t="shared" si="3"/>
        <v>110</v>
      </c>
      <c r="N57" s="40" t="s">
        <v>68</v>
      </c>
      <c r="O57" s="40" t="s">
        <v>68</v>
      </c>
      <c r="P57" s="40" t="s">
        <v>687</v>
      </c>
      <c r="Q57" s="40" t="s">
        <v>689</v>
      </c>
    </row>
    <row r="58" spans="1:17" ht="28.5">
      <c r="A58" s="40" t="s">
        <v>275</v>
      </c>
      <c r="B58" s="42">
        <v>54</v>
      </c>
      <c r="C58" s="42">
        <v>14</v>
      </c>
      <c r="D58" s="40" t="s">
        <v>289</v>
      </c>
      <c r="E58" s="40" t="s">
        <v>640</v>
      </c>
      <c r="F58" s="40" t="s">
        <v>649</v>
      </c>
      <c r="G58" s="42">
        <v>165</v>
      </c>
      <c r="H58" s="42">
        <v>80</v>
      </c>
      <c r="I58" s="42">
        <f t="shared" si="2"/>
        <v>245</v>
      </c>
      <c r="J58" s="42" t="s">
        <v>68</v>
      </c>
      <c r="K58" s="42">
        <v>90</v>
      </c>
      <c r="L58" s="42">
        <v>25</v>
      </c>
      <c r="M58" s="42">
        <f t="shared" si="3"/>
        <v>115</v>
      </c>
      <c r="N58" s="40" t="s">
        <v>68</v>
      </c>
      <c r="O58" s="40" t="s">
        <v>68</v>
      </c>
      <c r="P58" s="40" t="s">
        <v>687</v>
      </c>
      <c r="Q58" s="40" t="s">
        <v>690</v>
      </c>
    </row>
    <row r="59" spans="1:17" ht="28.5">
      <c r="A59" s="40" t="s">
        <v>275</v>
      </c>
      <c r="B59" s="42">
        <v>55</v>
      </c>
      <c r="C59" s="42">
        <v>14</v>
      </c>
      <c r="D59" s="40" t="s">
        <v>291</v>
      </c>
      <c r="E59" s="40" t="s">
        <v>640</v>
      </c>
      <c r="F59" s="40" t="s">
        <v>649</v>
      </c>
      <c r="G59" s="42">
        <v>165</v>
      </c>
      <c r="H59" s="42">
        <v>80</v>
      </c>
      <c r="I59" s="42">
        <f t="shared" si="2"/>
        <v>245</v>
      </c>
      <c r="J59" s="42" t="s">
        <v>68</v>
      </c>
      <c r="K59" s="42">
        <v>90</v>
      </c>
      <c r="L59" s="42">
        <v>25</v>
      </c>
      <c r="M59" s="42">
        <f t="shared" si="3"/>
        <v>115</v>
      </c>
      <c r="N59" s="40" t="s">
        <v>68</v>
      </c>
      <c r="O59" s="40" t="s">
        <v>691</v>
      </c>
      <c r="P59" s="40" t="s">
        <v>687</v>
      </c>
      <c r="Q59" s="40" t="s">
        <v>692</v>
      </c>
    </row>
    <row r="60" spans="1:17" ht="28.5">
      <c r="A60" s="40" t="s">
        <v>275</v>
      </c>
      <c r="B60" s="42">
        <v>56</v>
      </c>
      <c r="C60" s="42">
        <v>14</v>
      </c>
      <c r="D60" s="40" t="s">
        <v>294</v>
      </c>
      <c r="E60" s="40" t="s">
        <v>640</v>
      </c>
      <c r="F60" s="40" t="s">
        <v>661</v>
      </c>
      <c r="G60" s="42">
        <v>165</v>
      </c>
      <c r="H60" s="42">
        <v>80</v>
      </c>
      <c r="I60" s="42">
        <f t="shared" si="2"/>
        <v>245</v>
      </c>
      <c r="J60" s="42" t="s">
        <v>68</v>
      </c>
      <c r="K60" s="42">
        <v>90</v>
      </c>
      <c r="L60" s="42">
        <v>40</v>
      </c>
      <c r="M60" s="42">
        <f t="shared" si="3"/>
        <v>130</v>
      </c>
      <c r="N60" s="40" t="s">
        <v>693</v>
      </c>
      <c r="O60" s="40" t="s">
        <v>68</v>
      </c>
      <c r="P60" s="40" t="s">
        <v>694</v>
      </c>
      <c r="Q60" s="40" t="s">
        <v>693</v>
      </c>
    </row>
    <row r="61" spans="1:17" ht="28.5">
      <c r="A61" s="40" t="s">
        <v>275</v>
      </c>
      <c r="B61" s="42">
        <v>57</v>
      </c>
      <c r="C61" s="42">
        <v>14</v>
      </c>
      <c r="D61" s="40" t="s">
        <v>298</v>
      </c>
      <c r="E61" s="40" t="s">
        <v>640</v>
      </c>
      <c r="F61" s="40" t="s">
        <v>661</v>
      </c>
      <c r="G61" s="42">
        <v>165</v>
      </c>
      <c r="H61" s="42">
        <v>80</v>
      </c>
      <c r="I61" s="42">
        <f t="shared" si="2"/>
        <v>245</v>
      </c>
      <c r="J61" s="42" t="s">
        <v>68</v>
      </c>
      <c r="K61" s="42">
        <v>90</v>
      </c>
      <c r="L61" s="42">
        <v>40</v>
      </c>
      <c r="M61" s="42">
        <f t="shared" si="3"/>
        <v>130</v>
      </c>
      <c r="N61" s="40" t="s">
        <v>68</v>
      </c>
      <c r="O61" s="40" t="s">
        <v>68</v>
      </c>
      <c r="P61" s="40" t="s">
        <v>694</v>
      </c>
      <c r="Q61" s="40" t="s">
        <v>690</v>
      </c>
    </row>
    <row r="62" spans="1:17" ht="28.5">
      <c r="A62" s="40" t="s">
        <v>275</v>
      </c>
      <c r="B62" s="42">
        <v>58</v>
      </c>
      <c r="C62" s="42">
        <v>15</v>
      </c>
      <c r="D62" s="40" t="s">
        <v>299</v>
      </c>
      <c r="E62" s="40" t="s">
        <v>640</v>
      </c>
      <c r="F62" s="40" t="s">
        <v>649</v>
      </c>
      <c r="G62" s="42">
        <v>175</v>
      </c>
      <c r="H62" s="42">
        <v>80</v>
      </c>
      <c r="I62" s="42">
        <f t="shared" si="2"/>
        <v>255</v>
      </c>
      <c r="J62" s="42" t="s">
        <v>68</v>
      </c>
      <c r="K62" s="42">
        <v>95</v>
      </c>
      <c r="L62" s="42">
        <v>40</v>
      </c>
      <c r="M62" s="42">
        <f t="shared" si="3"/>
        <v>135</v>
      </c>
      <c r="N62" s="40" t="s">
        <v>68</v>
      </c>
      <c r="O62" s="40" t="s">
        <v>68</v>
      </c>
      <c r="P62" s="40" t="s">
        <v>694</v>
      </c>
      <c r="Q62" s="40" t="s">
        <v>695</v>
      </c>
    </row>
    <row r="63" spans="1:17" ht="28.5">
      <c r="A63" s="40" t="s">
        <v>275</v>
      </c>
      <c r="B63" s="42">
        <v>59</v>
      </c>
      <c r="C63" s="42">
        <v>15</v>
      </c>
      <c r="D63" s="40" t="s">
        <v>300</v>
      </c>
      <c r="E63" s="40" t="s">
        <v>640</v>
      </c>
      <c r="F63" s="40" t="s">
        <v>649</v>
      </c>
      <c r="G63" s="42">
        <v>175</v>
      </c>
      <c r="H63" s="42">
        <v>80</v>
      </c>
      <c r="I63" s="42">
        <f t="shared" si="2"/>
        <v>255</v>
      </c>
      <c r="J63" s="42" t="s">
        <v>68</v>
      </c>
      <c r="K63" s="42">
        <v>95</v>
      </c>
      <c r="L63" s="42">
        <v>40</v>
      </c>
      <c r="M63" s="42">
        <f t="shared" si="3"/>
        <v>135</v>
      </c>
      <c r="N63" s="40" t="s">
        <v>68</v>
      </c>
      <c r="O63" s="40" t="s">
        <v>68</v>
      </c>
      <c r="P63" s="40" t="s">
        <v>694</v>
      </c>
      <c r="Q63" s="40" t="s">
        <v>695</v>
      </c>
    </row>
    <row r="64" spans="1:17" ht="28.5">
      <c r="A64" s="40" t="s">
        <v>275</v>
      </c>
      <c r="B64" s="42">
        <v>60</v>
      </c>
      <c r="C64" s="42">
        <v>15</v>
      </c>
      <c r="D64" s="40" t="s">
        <v>301</v>
      </c>
      <c r="E64" s="40" t="s">
        <v>640</v>
      </c>
      <c r="F64" s="40" t="s">
        <v>649</v>
      </c>
      <c r="G64" s="42">
        <v>175</v>
      </c>
      <c r="H64" s="42">
        <v>80</v>
      </c>
      <c r="I64" s="42">
        <f t="shared" si="2"/>
        <v>255</v>
      </c>
      <c r="J64" s="42" t="s">
        <v>68</v>
      </c>
      <c r="K64" s="42">
        <v>95</v>
      </c>
      <c r="L64" s="42">
        <v>40</v>
      </c>
      <c r="M64" s="42">
        <f t="shared" si="3"/>
        <v>135</v>
      </c>
      <c r="N64" s="40" t="s">
        <v>68</v>
      </c>
      <c r="O64" s="40" t="s">
        <v>68</v>
      </c>
      <c r="P64" s="40" t="s">
        <v>694</v>
      </c>
      <c r="Q64" s="40" t="s">
        <v>695</v>
      </c>
    </row>
    <row r="65" spans="1:17" ht="28.5">
      <c r="A65" s="40" t="s">
        <v>275</v>
      </c>
      <c r="B65" s="42">
        <v>61</v>
      </c>
      <c r="C65" s="42">
        <v>15</v>
      </c>
      <c r="D65" s="40" t="s">
        <v>302</v>
      </c>
      <c r="E65" s="40" t="s">
        <v>640</v>
      </c>
      <c r="F65" s="40" t="s">
        <v>649</v>
      </c>
      <c r="G65" s="42">
        <v>175</v>
      </c>
      <c r="H65" s="42">
        <v>80</v>
      </c>
      <c r="I65" s="42">
        <f t="shared" si="2"/>
        <v>255</v>
      </c>
      <c r="J65" s="42" t="s">
        <v>68</v>
      </c>
      <c r="K65" s="42">
        <v>95</v>
      </c>
      <c r="L65" s="42">
        <v>40</v>
      </c>
      <c r="M65" s="42">
        <f t="shared" si="3"/>
        <v>135</v>
      </c>
      <c r="N65" s="40" t="s">
        <v>68</v>
      </c>
      <c r="O65" s="40" t="s">
        <v>68</v>
      </c>
      <c r="P65" s="40" t="s">
        <v>694</v>
      </c>
      <c r="Q65" s="40" t="s">
        <v>695</v>
      </c>
    </row>
    <row r="66" spans="1:17" ht="28.5">
      <c r="A66" s="40" t="s">
        <v>275</v>
      </c>
      <c r="B66" s="42">
        <v>62</v>
      </c>
      <c r="C66" s="42">
        <v>16</v>
      </c>
      <c r="D66" s="40" t="s">
        <v>303</v>
      </c>
      <c r="E66" s="40" t="s">
        <v>640</v>
      </c>
      <c r="F66" s="40" t="s">
        <v>649</v>
      </c>
      <c r="G66" s="42">
        <v>185</v>
      </c>
      <c r="H66" s="42">
        <v>80</v>
      </c>
      <c r="I66" s="42">
        <f t="shared" si="2"/>
        <v>265</v>
      </c>
      <c r="J66" s="42" t="s">
        <v>68</v>
      </c>
      <c r="K66" s="42">
        <v>100</v>
      </c>
      <c r="L66" s="42">
        <v>40</v>
      </c>
      <c r="M66" s="42">
        <f t="shared" si="3"/>
        <v>140</v>
      </c>
      <c r="N66" s="40" t="s">
        <v>68</v>
      </c>
      <c r="O66" s="40" t="s">
        <v>68</v>
      </c>
      <c r="P66" s="40" t="s">
        <v>694</v>
      </c>
      <c r="Q66" s="40" t="s">
        <v>696</v>
      </c>
    </row>
    <row r="67" spans="1:17" ht="28.5">
      <c r="A67" s="40" t="s">
        <v>275</v>
      </c>
      <c r="B67" s="42">
        <v>63</v>
      </c>
      <c r="C67" s="42">
        <v>16</v>
      </c>
      <c r="D67" s="40" t="s">
        <v>304</v>
      </c>
      <c r="E67" s="40" t="s">
        <v>640</v>
      </c>
      <c r="F67" s="40" t="s">
        <v>649</v>
      </c>
      <c r="G67" s="42">
        <v>185</v>
      </c>
      <c r="H67" s="42">
        <v>80</v>
      </c>
      <c r="I67" s="42">
        <f t="shared" si="2"/>
        <v>265</v>
      </c>
      <c r="J67" s="42" t="s">
        <v>68</v>
      </c>
      <c r="K67" s="42">
        <v>100</v>
      </c>
      <c r="L67" s="42">
        <v>40</v>
      </c>
      <c r="M67" s="42">
        <f t="shared" si="3"/>
        <v>140</v>
      </c>
      <c r="N67" s="40" t="s">
        <v>68</v>
      </c>
      <c r="O67" s="40" t="s">
        <v>697</v>
      </c>
      <c r="P67" s="40" t="s">
        <v>694</v>
      </c>
      <c r="Q67" s="40" t="s">
        <v>698</v>
      </c>
    </row>
    <row r="68" spans="1:17" ht="28.5">
      <c r="A68" s="40" t="s">
        <v>275</v>
      </c>
      <c r="B68" s="42">
        <v>64</v>
      </c>
      <c r="C68" s="42">
        <v>16</v>
      </c>
      <c r="D68" s="40" t="s">
        <v>306</v>
      </c>
      <c r="E68" s="40" t="s">
        <v>640</v>
      </c>
      <c r="F68" s="40" t="s">
        <v>649</v>
      </c>
      <c r="G68" s="42">
        <v>185</v>
      </c>
      <c r="H68" s="42">
        <v>80</v>
      </c>
      <c r="I68" s="42">
        <f t="shared" si="2"/>
        <v>265</v>
      </c>
      <c r="J68" s="42" t="s">
        <v>68</v>
      </c>
      <c r="K68" s="42">
        <v>100</v>
      </c>
      <c r="L68" s="42">
        <v>40</v>
      </c>
      <c r="M68" s="42">
        <f t="shared" si="3"/>
        <v>140</v>
      </c>
      <c r="N68" s="40" t="s">
        <v>68</v>
      </c>
      <c r="O68" s="40" t="s">
        <v>68</v>
      </c>
      <c r="P68" s="40" t="s">
        <v>694</v>
      </c>
      <c r="Q68" s="40" t="s">
        <v>696</v>
      </c>
    </row>
    <row r="69" spans="1:17" ht="28.5">
      <c r="A69" s="40" t="s">
        <v>275</v>
      </c>
      <c r="B69" s="42">
        <v>65</v>
      </c>
      <c r="C69" s="42">
        <v>16</v>
      </c>
      <c r="D69" s="40" t="s">
        <v>312</v>
      </c>
      <c r="E69" s="40" t="s">
        <v>640</v>
      </c>
      <c r="F69" s="40" t="s">
        <v>661</v>
      </c>
      <c r="G69" s="42">
        <v>185</v>
      </c>
      <c r="H69" s="42">
        <v>95</v>
      </c>
      <c r="I69" s="42">
        <f t="shared" ref="I69:I100" si="4">G69+H69</f>
        <v>280</v>
      </c>
      <c r="J69" s="42" t="s">
        <v>699</v>
      </c>
      <c r="K69" s="42">
        <v>100</v>
      </c>
      <c r="L69" s="42">
        <v>40</v>
      </c>
      <c r="M69" s="42">
        <f t="shared" ref="M69:M100" si="5">K69+L69</f>
        <v>140</v>
      </c>
      <c r="N69" s="40" t="s">
        <v>68</v>
      </c>
      <c r="O69" s="40" t="s">
        <v>700</v>
      </c>
      <c r="P69" s="40" t="s">
        <v>701</v>
      </c>
      <c r="Q69" s="40" t="s">
        <v>702</v>
      </c>
    </row>
    <row r="70" spans="1:17" ht="28.5">
      <c r="A70" s="40" t="s">
        <v>275</v>
      </c>
      <c r="B70" s="42">
        <v>66</v>
      </c>
      <c r="C70" s="42">
        <v>17</v>
      </c>
      <c r="D70" s="40" t="s">
        <v>316</v>
      </c>
      <c r="E70" s="40" t="s">
        <v>640</v>
      </c>
      <c r="F70" s="40" t="s">
        <v>649</v>
      </c>
      <c r="G70" s="42">
        <v>195</v>
      </c>
      <c r="H70" s="42">
        <v>95</v>
      </c>
      <c r="I70" s="42">
        <f t="shared" si="4"/>
        <v>290</v>
      </c>
      <c r="J70" s="42" t="s">
        <v>68</v>
      </c>
      <c r="K70" s="42">
        <v>105</v>
      </c>
      <c r="L70" s="42">
        <v>40</v>
      </c>
      <c r="M70" s="42">
        <f t="shared" si="5"/>
        <v>145</v>
      </c>
      <c r="N70" s="40" t="s">
        <v>68</v>
      </c>
      <c r="O70" s="40" t="s">
        <v>68</v>
      </c>
      <c r="P70" s="40" t="s">
        <v>701</v>
      </c>
      <c r="Q70" s="40" t="s">
        <v>703</v>
      </c>
    </row>
    <row r="71" spans="1:17" ht="28.5">
      <c r="A71" s="40" t="s">
        <v>275</v>
      </c>
      <c r="B71" s="42">
        <v>67</v>
      </c>
      <c r="C71" s="42">
        <v>17</v>
      </c>
      <c r="D71" s="40" t="s">
        <v>317</v>
      </c>
      <c r="E71" s="40" t="s">
        <v>640</v>
      </c>
      <c r="F71" s="40" t="s">
        <v>649</v>
      </c>
      <c r="G71" s="42">
        <v>195</v>
      </c>
      <c r="H71" s="42">
        <v>95</v>
      </c>
      <c r="I71" s="42">
        <f t="shared" si="4"/>
        <v>290</v>
      </c>
      <c r="J71" s="42" t="s">
        <v>68</v>
      </c>
      <c r="K71" s="42">
        <v>105</v>
      </c>
      <c r="L71" s="42">
        <v>40</v>
      </c>
      <c r="M71" s="42">
        <f t="shared" si="5"/>
        <v>145</v>
      </c>
      <c r="N71" s="40" t="s">
        <v>68</v>
      </c>
      <c r="O71" s="40" t="s">
        <v>68</v>
      </c>
      <c r="P71" s="40" t="s">
        <v>701</v>
      </c>
      <c r="Q71" s="40" t="s">
        <v>703</v>
      </c>
    </row>
    <row r="72" spans="1:17" ht="28.5">
      <c r="A72" s="40" t="s">
        <v>275</v>
      </c>
      <c r="B72" s="42">
        <v>68</v>
      </c>
      <c r="C72" s="42">
        <v>17</v>
      </c>
      <c r="D72" s="40" t="s">
        <v>318</v>
      </c>
      <c r="E72" s="40" t="s">
        <v>640</v>
      </c>
      <c r="F72" s="40" t="s">
        <v>649</v>
      </c>
      <c r="G72" s="42">
        <v>195</v>
      </c>
      <c r="H72" s="42">
        <v>95</v>
      </c>
      <c r="I72" s="42">
        <f t="shared" si="4"/>
        <v>290</v>
      </c>
      <c r="J72" s="42" t="s">
        <v>68</v>
      </c>
      <c r="K72" s="42">
        <v>105</v>
      </c>
      <c r="L72" s="42">
        <v>40</v>
      </c>
      <c r="M72" s="42">
        <f t="shared" si="5"/>
        <v>145</v>
      </c>
      <c r="N72" s="40" t="s">
        <v>68</v>
      </c>
      <c r="O72" s="40" t="s">
        <v>68</v>
      </c>
      <c r="P72" s="40" t="s">
        <v>701</v>
      </c>
      <c r="Q72" s="40" t="s">
        <v>703</v>
      </c>
    </row>
    <row r="73" spans="1:17" ht="28.5">
      <c r="A73" s="40" t="s">
        <v>275</v>
      </c>
      <c r="B73" s="42">
        <v>69</v>
      </c>
      <c r="C73" s="42">
        <v>17</v>
      </c>
      <c r="D73" s="40" t="s">
        <v>319</v>
      </c>
      <c r="E73" s="40" t="s">
        <v>640</v>
      </c>
      <c r="F73" s="40" t="s">
        <v>649</v>
      </c>
      <c r="G73" s="42">
        <v>195</v>
      </c>
      <c r="H73" s="42">
        <v>95</v>
      </c>
      <c r="I73" s="42">
        <f t="shared" si="4"/>
        <v>290</v>
      </c>
      <c r="J73" s="42" t="s">
        <v>68</v>
      </c>
      <c r="K73" s="42">
        <v>105</v>
      </c>
      <c r="L73" s="42">
        <v>40</v>
      </c>
      <c r="M73" s="42">
        <f t="shared" si="5"/>
        <v>145</v>
      </c>
      <c r="N73" s="40" t="s">
        <v>68</v>
      </c>
      <c r="O73" s="40" t="s">
        <v>68</v>
      </c>
      <c r="P73" s="40" t="s">
        <v>701</v>
      </c>
      <c r="Q73" s="40" t="s">
        <v>703</v>
      </c>
    </row>
    <row r="74" spans="1:17" ht="28.5">
      <c r="A74" s="40" t="s">
        <v>275</v>
      </c>
      <c r="B74" s="42">
        <v>70</v>
      </c>
      <c r="C74" s="42">
        <v>18</v>
      </c>
      <c r="D74" s="40" t="s">
        <v>321</v>
      </c>
      <c r="E74" s="40" t="s">
        <v>640</v>
      </c>
      <c r="F74" s="40" t="s">
        <v>649</v>
      </c>
      <c r="G74" s="42">
        <v>205</v>
      </c>
      <c r="H74" s="42">
        <v>95</v>
      </c>
      <c r="I74" s="42">
        <f t="shared" si="4"/>
        <v>300</v>
      </c>
      <c r="J74" s="42" t="s">
        <v>68</v>
      </c>
      <c r="K74" s="42">
        <v>110</v>
      </c>
      <c r="L74" s="42">
        <v>40</v>
      </c>
      <c r="M74" s="42">
        <f t="shared" si="5"/>
        <v>150</v>
      </c>
      <c r="N74" s="40" t="s">
        <v>68</v>
      </c>
      <c r="O74" s="40" t="s">
        <v>68</v>
      </c>
      <c r="P74" s="40" t="s">
        <v>701</v>
      </c>
      <c r="Q74" s="40" t="s">
        <v>704</v>
      </c>
    </row>
    <row r="75" spans="1:17" ht="28.5">
      <c r="A75" s="40" t="s">
        <v>275</v>
      </c>
      <c r="B75" s="42">
        <v>71</v>
      </c>
      <c r="C75" s="42">
        <v>18</v>
      </c>
      <c r="D75" s="40" t="s">
        <v>323</v>
      </c>
      <c r="E75" s="40" t="s">
        <v>640</v>
      </c>
      <c r="F75" s="40" t="s">
        <v>668</v>
      </c>
      <c r="G75" s="42">
        <v>205</v>
      </c>
      <c r="H75" s="42">
        <v>95</v>
      </c>
      <c r="I75" s="42">
        <f t="shared" si="4"/>
        <v>300</v>
      </c>
      <c r="J75" s="42" t="s">
        <v>68</v>
      </c>
      <c r="K75" s="42">
        <v>110</v>
      </c>
      <c r="L75" s="42">
        <v>40</v>
      </c>
      <c r="M75" s="42">
        <f t="shared" si="5"/>
        <v>150</v>
      </c>
      <c r="N75" s="40" t="s">
        <v>68</v>
      </c>
      <c r="O75" s="40" t="s">
        <v>68</v>
      </c>
      <c r="P75" s="40" t="s">
        <v>701</v>
      </c>
      <c r="Q75" s="40" t="s">
        <v>704</v>
      </c>
    </row>
    <row r="76" spans="1:17" ht="28.5">
      <c r="A76" s="40" t="s">
        <v>275</v>
      </c>
      <c r="B76" s="42">
        <v>72</v>
      </c>
      <c r="C76" s="42">
        <v>18</v>
      </c>
      <c r="D76" s="40" t="s">
        <v>331</v>
      </c>
      <c r="E76" s="40" t="s">
        <v>640</v>
      </c>
      <c r="F76" s="40" t="s">
        <v>661</v>
      </c>
      <c r="G76" s="42">
        <v>205</v>
      </c>
      <c r="H76" s="42">
        <v>95</v>
      </c>
      <c r="I76" s="42">
        <f t="shared" si="4"/>
        <v>300</v>
      </c>
      <c r="J76" s="42" t="s">
        <v>68</v>
      </c>
      <c r="K76" s="42">
        <v>110</v>
      </c>
      <c r="L76" s="42">
        <v>40</v>
      </c>
      <c r="M76" s="42">
        <f t="shared" si="5"/>
        <v>150</v>
      </c>
      <c r="N76" s="40" t="s">
        <v>68</v>
      </c>
      <c r="O76" s="40" t="s">
        <v>68</v>
      </c>
      <c r="P76" s="40" t="s">
        <v>701</v>
      </c>
      <c r="Q76" s="40" t="s">
        <v>704</v>
      </c>
    </row>
    <row r="77" spans="1:17" ht="28.5">
      <c r="A77" s="40" t="s">
        <v>335</v>
      </c>
      <c r="B77" s="42">
        <v>73</v>
      </c>
      <c r="C77" s="42">
        <v>18</v>
      </c>
      <c r="D77" s="40" t="s">
        <v>336</v>
      </c>
      <c r="E77" s="40" t="s">
        <v>640</v>
      </c>
      <c r="F77" s="40" t="s">
        <v>661</v>
      </c>
      <c r="G77" s="42">
        <v>205</v>
      </c>
      <c r="H77" s="42">
        <v>95</v>
      </c>
      <c r="I77" s="42">
        <f t="shared" si="4"/>
        <v>300</v>
      </c>
      <c r="J77" s="42" t="s">
        <v>68</v>
      </c>
      <c r="K77" s="42">
        <v>110</v>
      </c>
      <c r="L77" s="42">
        <v>55</v>
      </c>
      <c r="M77" s="42">
        <f t="shared" si="5"/>
        <v>165</v>
      </c>
      <c r="N77" s="40" t="s">
        <v>705</v>
      </c>
      <c r="O77" s="40" t="s">
        <v>706</v>
      </c>
      <c r="P77" s="40" t="s">
        <v>707</v>
      </c>
      <c r="Q77" s="40" t="s">
        <v>708</v>
      </c>
    </row>
    <row r="78" spans="1:17">
      <c r="A78" s="40" t="s">
        <v>335</v>
      </c>
      <c r="B78" s="42">
        <v>74</v>
      </c>
      <c r="C78" s="42">
        <v>19</v>
      </c>
      <c r="D78" s="40" t="s">
        <v>341</v>
      </c>
      <c r="E78" s="40" t="s">
        <v>640</v>
      </c>
      <c r="F78" s="40" t="s">
        <v>649</v>
      </c>
      <c r="G78" s="42">
        <v>215</v>
      </c>
      <c r="H78" s="42">
        <v>95</v>
      </c>
      <c r="I78" s="42">
        <f t="shared" si="4"/>
        <v>310</v>
      </c>
      <c r="J78" s="42" t="s">
        <v>68</v>
      </c>
      <c r="K78" s="42">
        <v>115</v>
      </c>
      <c r="L78" s="42">
        <v>55</v>
      </c>
      <c r="M78" s="42">
        <f t="shared" si="5"/>
        <v>170</v>
      </c>
      <c r="N78" s="40" t="s">
        <v>68</v>
      </c>
      <c r="O78" s="40" t="s">
        <v>68</v>
      </c>
      <c r="P78" s="40" t="s">
        <v>707</v>
      </c>
      <c r="Q78" s="40" t="s">
        <v>709</v>
      </c>
    </row>
    <row r="79" spans="1:17">
      <c r="A79" s="40" t="s">
        <v>335</v>
      </c>
      <c r="B79" s="42">
        <v>75</v>
      </c>
      <c r="C79" s="42">
        <v>19</v>
      </c>
      <c r="D79" s="40" t="s">
        <v>342</v>
      </c>
      <c r="E79" s="40" t="s">
        <v>640</v>
      </c>
      <c r="F79" s="40" t="s">
        <v>661</v>
      </c>
      <c r="G79" s="42">
        <v>215</v>
      </c>
      <c r="H79" s="42">
        <v>95</v>
      </c>
      <c r="I79" s="42">
        <f t="shared" si="4"/>
        <v>310</v>
      </c>
      <c r="J79" s="42" t="s">
        <v>68</v>
      </c>
      <c r="K79" s="42">
        <v>115</v>
      </c>
      <c r="L79" s="42">
        <v>55</v>
      </c>
      <c r="M79" s="42">
        <f t="shared" si="5"/>
        <v>170</v>
      </c>
      <c r="N79" s="40" t="s">
        <v>68</v>
      </c>
      <c r="O79" s="40" t="s">
        <v>68</v>
      </c>
      <c r="P79" s="40" t="s">
        <v>707</v>
      </c>
      <c r="Q79" s="40" t="s">
        <v>709</v>
      </c>
    </row>
    <row r="80" spans="1:17">
      <c r="A80" s="40" t="s">
        <v>335</v>
      </c>
      <c r="B80" s="42">
        <v>76</v>
      </c>
      <c r="C80" s="42">
        <v>19</v>
      </c>
      <c r="D80" s="40" t="s">
        <v>349</v>
      </c>
      <c r="E80" s="40" t="s">
        <v>640</v>
      </c>
      <c r="F80" s="40" t="s">
        <v>661</v>
      </c>
      <c r="G80" s="42">
        <v>215</v>
      </c>
      <c r="H80" s="42">
        <v>95</v>
      </c>
      <c r="I80" s="42">
        <f t="shared" si="4"/>
        <v>310</v>
      </c>
      <c r="J80" s="42" t="s">
        <v>68</v>
      </c>
      <c r="K80" s="42">
        <v>115</v>
      </c>
      <c r="L80" s="42">
        <v>55</v>
      </c>
      <c r="M80" s="42">
        <f t="shared" si="5"/>
        <v>170</v>
      </c>
      <c r="N80" s="40" t="s">
        <v>68</v>
      </c>
      <c r="O80" s="40" t="s">
        <v>68</v>
      </c>
      <c r="P80" s="40" t="s">
        <v>707</v>
      </c>
      <c r="Q80" s="40" t="s">
        <v>709</v>
      </c>
    </row>
    <row r="81" spans="1:17">
      <c r="A81" s="40" t="s">
        <v>335</v>
      </c>
      <c r="B81" s="42">
        <v>77</v>
      </c>
      <c r="C81" s="42">
        <v>19</v>
      </c>
      <c r="D81" s="40" t="s">
        <v>352</v>
      </c>
      <c r="E81" s="40" t="s">
        <v>640</v>
      </c>
      <c r="F81" s="40" t="s">
        <v>649</v>
      </c>
      <c r="G81" s="42">
        <v>215</v>
      </c>
      <c r="H81" s="42">
        <v>95</v>
      </c>
      <c r="I81" s="42">
        <f t="shared" si="4"/>
        <v>310</v>
      </c>
      <c r="J81" s="42" t="s">
        <v>68</v>
      </c>
      <c r="K81" s="42">
        <v>115</v>
      </c>
      <c r="L81" s="42">
        <v>55</v>
      </c>
      <c r="M81" s="42">
        <f t="shared" si="5"/>
        <v>170</v>
      </c>
      <c r="N81" s="40" t="s">
        <v>68</v>
      </c>
      <c r="O81" s="40" t="s">
        <v>68</v>
      </c>
      <c r="P81" s="40" t="s">
        <v>707</v>
      </c>
      <c r="Q81" s="40" t="s">
        <v>709</v>
      </c>
    </row>
    <row r="82" spans="1:17">
      <c r="A82" s="40" t="s">
        <v>335</v>
      </c>
      <c r="B82" s="42">
        <v>78</v>
      </c>
      <c r="C82" s="42">
        <v>20</v>
      </c>
      <c r="D82" s="40" t="s">
        <v>354</v>
      </c>
      <c r="E82" s="40" t="s">
        <v>640</v>
      </c>
      <c r="F82" s="40" t="s">
        <v>649</v>
      </c>
      <c r="G82" s="42">
        <v>225</v>
      </c>
      <c r="H82" s="42">
        <v>95</v>
      </c>
      <c r="I82" s="42">
        <f t="shared" si="4"/>
        <v>320</v>
      </c>
      <c r="J82" s="42" t="s">
        <v>68</v>
      </c>
      <c r="K82" s="42">
        <v>120</v>
      </c>
      <c r="L82" s="42">
        <v>55</v>
      </c>
      <c r="M82" s="42">
        <f t="shared" si="5"/>
        <v>175</v>
      </c>
      <c r="N82" s="40" t="s">
        <v>68</v>
      </c>
      <c r="O82" s="40" t="s">
        <v>68</v>
      </c>
      <c r="P82" s="40" t="s">
        <v>707</v>
      </c>
      <c r="Q82" s="40" t="s">
        <v>710</v>
      </c>
    </row>
    <row r="83" spans="1:17">
      <c r="A83" s="40" t="s">
        <v>335</v>
      </c>
      <c r="B83" s="42">
        <v>79</v>
      </c>
      <c r="C83" s="42">
        <v>20</v>
      </c>
      <c r="D83" s="40" t="s">
        <v>355</v>
      </c>
      <c r="E83" s="40" t="s">
        <v>640</v>
      </c>
      <c r="F83" s="40" t="s">
        <v>649</v>
      </c>
      <c r="G83" s="42">
        <v>225</v>
      </c>
      <c r="H83" s="42">
        <v>95</v>
      </c>
      <c r="I83" s="42">
        <f t="shared" si="4"/>
        <v>320</v>
      </c>
      <c r="J83" s="42" t="s">
        <v>68</v>
      </c>
      <c r="K83" s="42">
        <v>120</v>
      </c>
      <c r="L83" s="42">
        <v>55</v>
      </c>
      <c r="M83" s="42">
        <f t="shared" si="5"/>
        <v>175</v>
      </c>
      <c r="N83" s="40" t="s">
        <v>68</v>
      </c>
      <c r="O83" s="40" t="s">
        <v>68</v>
      </c>
      <c r="P83" s="40" t="s">
        <v>707</v>
      </c>
      <c r="Q83" s="40" t="s">
        <v>710</v>
      </c>
    </row>
    <row r="84" spans="1:17">
      <c r="A84" s="40" t="s">
        <v>335</v>
      </c>
      <c r="B84" s="42">
        <v>80</v>
      </c>
      <c r="C84" s="42">
        <v>20</v>
      </c>
      <c r="D84" s="40" t="s">
        <v>361</v>
      </c>
      <c r="E84" s="40" t="s">
        <v>640</v>
      </c>
      <c r="F84" s="40" t="s">
        <v>649</v>
      </c>
      <c r="G84" s="42">
        <v>225</v>
      </c>
      <c r="H84" s="42">
        <v>95</v>
      </c>
      <c r="I84" s="42">
        <f t="shared" si="4"/>
        <v>320</v>
      </c>
      <c r="J84" s="42" t="s">
        <v>68</v>
      </c>
      <c r="K84" s="42">
        <v>120</v>
      </c>
      <c r="L84" s="42">
        <v>55</v>
      </c>
      <c r="M84" s="42">
        <f t="shared" si="5"/>
        <v>175</v>
      </c>
      <c r="N84" s="40" t="s">
        <v>68</v>
      </c>
      <c r="O84" s="40" t="s">
        <v>68</v>
      </c>
      <c r="P84" s="40" t="s">
        <v>707</v>
      </c>
      <c r="Q84" s="40" t="s">
        <v>710</v>
      </c>
    </row>
    <row r="85" spans="1:17">
      <c r="A85" s="40" t="s">
        <v>335</v>
      </c>
      <c r="B85" s="42">
        <v>81</v>
      </c>
      <c r="C85" s="42">
        <v>20</v>
      </c>
      <c r="D85" s="40" t="s">
        <v>365</v>
      </c>
      <c r="E85" s="40" t="s">
        <v>640</v>
      </c>
      <c r="F85" s="40" t="s">
        <v>661</v>
      </c>
      <c r="G85" s="42">
        <v>225</v>
      </c>
      <c r="H85" s="42">
        <v>95</v>
      </c>
      <c r="I85" s="42">
        <f t="shared" si="4"/>
        <v>320</v>
      </c>
      <c r="J85" s="42" t="s">
        <v>68</v>
      </c>
      <c r="K85" s="42">
        <v>120</v>
      </c>
      <c r="L85" s="42">
        <v>55</v>
      </c>
      <c r="M85" s="42">
        <f t="shared" si="5"/>
        <v>175</v>
      </c>
      <c r="N85" s="40" t="s">
        <v>68</v>
      </c>
      <c r="O85" s="40" t="s">
        <v>68</v>
      </c>
      <c r="P85" s="40" t="s">
        <v>707</v>
      </c>
      <c r="Q85" s="40" t="s">
        <v>710</v>
      </c>
    </row>
    <row r="86" spans="1:17">
      <c r="A86" s="40" t="s">
        <v>335</v>
      </c>
      <c r="B86" s="42">
        <v>82</v>
      </c>
      <c r="C86" s="42">
        <v>20</v>
      </c>
      <c r="D86" s="40" t="s">
        <v>366</v>
      </c>
      <c r="E86" s="40" t="s">
        <v>640</v>
      </c>
      <c r="F86" s="40" t="s">
        <v>649</v>
      </c>
      <c r="G86" s="42">
        <v>225</v>
      </c>
      <c r="H86" s="42">
        <v>95</v>
      </c>
      <c r="I86" s="42">
        <f t="shared" si="4"/>
        <v>320</v>
      </c>
      <c r="J86" s="42" t="s">
        <v>68</v>
      </c>
      <c r="K86" s="42">
        <v>120</v>
      </c>
      <c r="L86" s="42">
        <v>55</v>
      </c>
      <c r="M86" s="42">
        <f t="shared" si="5"/>
        <v>175</v>
      </c>
      <c r="N86" s="40" t="s">
        <v>68</v>
      </c>
      <c r="O86" s="40" t="s">
        <v>68</v>
      </c>
      <c r="P86" s="40" t="s">
        <v>707</v>
      </c>
      <c r="Q86" s="40" t="s">
        <v>710</v>
      </c>
    </row>
    <row r="87" spans="1:17">
      <c r="A87" s="40" t="s">
        <v>335</v>
      </c>
      <c r="B87" s="42">
        <v>83</v>
      </c>
      <c r="C87" s="42">
        <v>21</v>
      </c>
      <c r="D87" s="40" t="s">
        <v>367</v>
      </c>
      <c r="E87" s="40" t="s">
        <v>640</v>
      </c>
      <c r="F87" s="40" t="s">
        <v>661</v>
      </c>
      <c r="G87" s="42">
        <v>235</v>
      </c>
      <c r="H87" s="42">
        <v>95</v>
      </c>
      <c r="I87" s="42">
        <f t="shared" si="4"/>
        <v>330</v>
      </c>
      <c r="J87" s="42" t="s">
        <v>68</v>
      </c>
      <c r="K87" s="42">
        <v>125</v>
      </c>
      <c r="L87" s="42">
        <v>55</v>
      </c>
      <c r="M87" s="42">
        <f t="shared" si="5"/>
        <v>180</v>
      </c>
      <c r="N87" s="40" t="s">
        <v>68</v>
      </c>
      <c r="O87" s="40" t="s">
        <v>68</v>
      </c>
      <c r="P87" s="40" t="s">
        <v>707</v>
      </c>
      <c r="Q87" s="40" t="s">
        <v>711</v>
      </c>
    </row>
    <row r="88" spans="1:17">
      <c r="A88" s="40" t="s">
        <v>335</v>
      </c>
      <c r="B88" s="42">
        <v>84</v>
      </c>
      <c r="C88" s="42">
        <v>21</v>
      </c>
      <c r="D88" s="40" t="s">
        <v>368</v>
      </c>
      <c r="E88" s="40" t="s">
        <v>640</v>
      </c>
      <c r="F88" s="40" t="s">
        <v>649</v>
      </c>
      <c r="G88" s="42">
        <v>235</v>
      </c>
      <c r="H88" s="42">
        <v>95</v>
      </c>
      <c r="I88" s="42">
        <f t="shared" si="4"/>
        <v>330</v>
      </c>
      <c r="J88" s="42" t="s">
        <v>68</v>
      </c>
      <c r="K88" s="42">
        <v>125</v>
      </c>
      <c r="L88" s="42">
        <v>55</v>
      </c>
      <c r="M88" s="42">
        <f t="shared" si="5"/>
        <v>180</v>
      </c>
      <c r="N88" s="40" t="s">
        <v>68</v>
      </c>
      <c r="O88" s="40" t="s">
        <v>68</v>
      </c>
      <c r="P88" s="40" t="s">
        <v>707</v>
      </c>
      <c r="Q88" s="40" t="s">
        <v>711</v>
      </c>
    </row>
    <row r="89" spans="1:17">
      <c r="A89" s="40" t="s">
        <v>335</v>
      </c>
      <c r="B89" s="42">
        <v>85</v>
      </c>
      <c r="C89" s="42">
        <v>21</v>
      </c>
      <c r="D89" s="40" t="s">
        <v>369</v>
      </c>
      <c r="E89" s="40" t="s">
        <v>640</v>
      </c>
      <c r="F89" s="40" t="s">
        <v>661</v>
      </c>
      <c r="G89" s="42">
        <v>235</v>
      </c>
      <c r="H89" s="42">
        <v>95</v>
      </c>
      <c r="I89" s="42">
        <f t="shared" si="4"/>
        <v>330</v>
      </c>
      <c r="J89" s="42" t="s">
        <v>68</v>
      </c>
      <c r="K89" s="42">
        <v>125</v>
      </c>
      <c r="L89" s="42">
        <v>55</v>
      </c>
      <c r="M89" s="42">
        <f t="shared" si="5"/>
        <v>180</v>
      </c>
      <c r="N89" s="40" t="s">
        <v>68</v>
      </c>
      <c r="O89" s="40" t="s">
        <v>68</v>
      </c>
      <c r="P89" s="40" t="s">
        <v>707</v>
      </c>
      <c r="Q89" s="40" t="s">
        <v>711</v>
      </c>
    </row>
    <row r="90" spans="1:17">
      <c r="A90" s="40" t="s">
        <v>335</v>
      </c>
      <c r="B90" s="42">
        <v>86</v>
      </c>
      <c r="C90" s="42">
        <v>21</v>
      </c>
      <c r="D90" s="40" t="s">
        <v>370</v>
      </c>
      <c r="E90" s="40" t="s">
        <v>640</v>
      </c>
      <c r="F90" s="40" t="s">
        <v>649</v>
      </c>
      <c r="G90" s="42">
        <v>235</v>
      </c>
      <c r="H90" s="42">
        <v>95</v>
      </c>
      <c r="I90" s="42">
        <f t="shared" si="4"/>
        <v>330</v>
      </c>
      <c r="J90" s="42" t="s">
        <v>68</v>
      </c>
      <c r="K90" s="42">
        <v>125</v>
      </c>
      <c r="L90" s="42">
        <v>55</v>
      </c>
      <c r="M90" s="42">
        <f t="shared" si="5"/>
        <v>180</v>
      </c>
      <c r="N90" s="40" t="s">
        <v>68</v>
      </c>
      <c r="O90" s="40" t="s">
        <v>712</v>
      </c>
      <c r="P90" s="40" t="s">
        <v>707</v>
      </c>
      <c r="Q90" s="40" t="s">
        <v>713</v>
      </c>
    </row>
    <row r="91" spans="1:17" ht="28.5">
      <c r="A91" s="40" t="s">
        <v>335</v>
      </c>
      <c r="B91" s="42">
        <v>87</v>
      </c>
      <c r="C91" s="42">
        <v>22</v>
      </c>
      <c r="D91" s="40" t="s">
        <v>373</v>
      </c>
      <c r="E91" s="40" t="s">
        <v>640</v>
      </c>
      <c r="F91" s="40" t="s">
        <v>661</v>
      </c>
      <c r="G91" s="42">
        <v>245</v>
      </c>
      <c r="H91" s="42">
        <v>110</v>
      </c>
      <c r="I91" s="42">
        <f t="shared" si="4"/>
        <v>355</v>
      </c>
      <c r="J91" s="42" t="s">
        <v>714</v>
      </c>
      <c r="K91" s="42">
        <v>130</v>
      </c>
      <c r="L91" s="42">
        <v>55</v>
      </c>
      <c r="M91" s="42">
        <f t="shared" si="5"/>
        <v>185</v>
      </c>
      <c r="N91" s="40" t="s">
        <v>68</v>
      </c>
      <c r="O91" s="40" t="s">
        <v>68</v>
      </c>
      <c r="P91" s="40" t="s">
        <v>715</v>
      </c>
      <c r="Q91" s="40" t="s">
        <v>714</v>
      </c>
    </row>
    <row r="92" spans="1:17">
      <c r="A92" s="40" t="s">
        <v>335</v>
      </c>
      <c r="B92" s="42">
        <v>88</v>
      </c>
      <c r="C92" s="42">
        <v>22</v>
      </c>
      <c r="D92" s="40" t="s">
        <v>376</v>
      </c>
      <c r="E92" s="40" t="s">
        <v>640</v>
      </c>
      <c r="F92" s="40" t="s">
        <v>661</v>
      </c>
      <c r="G92" s="42">
        <v>245</v>
      </c>
      <c r="H92" s="42">
        <v>110</v>
      </c>
      <c r="I92" s="42">
        <f t="shared" si="4"/>
        <v>355</v>
      </c>
      <c r="J92" s="42" t="s">
        <v>68</v>
      </c>
      <c r="K92" s="42">
        <v>130</v>
      </c>
      <c r="L92" s="42">
        <v>55</v>
      </c>
      <c r="M92" s="42">
        <f t="shared" si="5"/>
        <v>185</v>
      </c>
      <c r="N92" s="40" t="s">
        <v>68</v>
      </c>
      <c r="O92" s="40" t="s">
        <v>68</v>
      </c>
      <c r="P92" s="40" t="s">
        <v>715</v>
      </c>
      <c r="Q92" s="40" t="s">
        <v>716</v>
      </c>
    </row>
    <row r="93" spans="1:17">
      <c r="A93" s="40" t="s">
        <v>335</v>
      </c>
      <c r="B93" s="42">
        <v>89</v>
      </c>
      <c r="C93" s="42">
        <v>22</v>
      </c>
      <c r="D93" s="40" t="s">
        <v>377</v>
      </c>
      <c r="E93" s="40" t="s">
        <v>640</v>
      </c>
      <c r="F93" s="40" t="s">
        <v>649</v>
      </c>
      <c r="G93" s="42">
        <v>245</v>
      </c>
      <c r="H93" s="42">
        <v>110</v>
      </c>
      <c r="I93" s="42">
        <f t="shared" si="4"/>
        <v>355</v>
      </c>
      <c r="J93" s="42" t="s">
        <v>68</v>
      </c>
      <c r="K93" s="42">
        <v>130</v>
      </c>
      <c r="L93" s="42">
        <v>55</v>
      </c>
      <c r="M93" s="42">
        <f t="shared" si="5"/>
        <v>185</v>
      </c>
      <c r="N93" s="40" t="s">
        <v>68</v>
      </c>
      <c r="O93" s="40" t="s">
        <v>68</v>
      </c>
      <c r="P93" s="40" t="s">
        <v>715</v>
      </c>
      <c r="Q93" s="40" t="s">
        <v>716</v>
      </c>
    </row>
    <row r="94" spans="1:17">
      <c r="A94" s="40" t="s">
        <v>335</v>
      </c>
      <c r="B94" s="42">
        <v>90</v>
      </c>
      <c r="C94" s="42">
        <v>22</v>
      </c>
      <c r="D94" s="40" t="s">
        <v>378</v>
      </c>
      <c r="E94" s="40" t="s">
        <v>640</v>
      </c>
      <c r="F94" s="40" t="s">
        <v>649</v>
      </c>
      <c r="G94" s="42">
        <v>245</v>
      </c>
      <c r="H94" s="42">
        <v>110</v>
      </c>
      <c r="I94" s="42">
        <f t="shared" si="4"/>
        <v>355</v>
      </c>
      <c r="J94" s="42" t="s">
        <v>68</v>
      </c>
      <c r="K94" s="42">
        <v>130</v>
      </c>
      <c r="L94" s="42">
        <v>55</v>
      </c>
      <c r="M94" s="42">
        <f t="shared" si="5"/>
        <v>185</v>
      </c>
      <c r="N94" s="40" t="s">
        <v>68</v>
      </c>
      <c r="O94" s="40" t="s">
        <v>68</v>
      </c>
      <c r="P94" s="40" t="s">
        <v>715</v>
      </c>
      <c r="Q94" s="40" t="s">
        <v>716</v>
      </c>
    </row>
    <row r="95" spans="1:17">
      <c r="A95" s="40" t="s">
        <v>335</v>
      </c>
      <c r="B95" s="42">
        <v>91</v>
      </c>
      <c r="C95" s="42">
        <v>23</v>
      </c>
      <c r="D95" s="40" t="s">
        <v>380</v>
      </c>
      <c r="E95" s="40" t="s">
        <v>640</v>
      </c>
      <c r="F95" s="40" t="s">
        <v>661</v>
      </c>
      <c r="G95" s="42">
        <v>255</v>
      </c>
      <c r="H95" s="42">
        <v>110</v>
      </c>
      <c r="I95" s="42">
        <f t="shared" si="4"/>
        <v>365</v>
      </c>
      <c r="J95" s="42" t="s">
        <v>68</v>
      </c>
      <c r="K95" s="42">
        <v>135</v>
      </c>
      <c r="L95" s="42">
        <v>55</v>
      </c>
      <c r="M95" s="42">
        <f t="shared" si="5"/>
        <v>190</v>
      </c>
      <c r="N95" s="40" t="s">
        <v>68</v>
      </c>
      <c r="O95" s="40" t="s">
        <v>68</v>
      </c>
      <c r="P95" s="40" t="s">
        <v>715</v>
      </c>
      <c r="Q95" s="40" t="s">
        <v>717</v>
      </c>
    </row>
    <row r="96" spans="1:17">
      <c r="A96" s="40" t="s">
        <v>335</v>
      </c>
      <c r="B96" s="42">
        <v>92</v>
      </c>
      <c r="C96" s="42">
        <v>23</v>
      </c>
      <c r="D96" s="40" t="s">
        <v>381</v>
      </c>
      <c r="E96" s="40" t="s">
        <v>640</v>
      </c>
      <c r="F96" s="40" t="s">
        <v>649</v>
      </c>
      <c r="G96" s="42">
        <v>255</v>
      </c>
      <c r="H96" s="42">
        <v>110</v>
      </c>
      <c r="I96" s="42">
        <f t="shared" si="4"/>
        <v>365</v>
      </c>
      <c r="J96" s="42" t="s">
        <v>68</v>
      </c>
      <c r="K96" s="42">
        <v>135</v>
      </c>
      <c r="L96" s="42">
        <v>55</v>
      </c>
      <c r="M96" s="42">
        <f t="shared" si="5"/>
        <v>190</v>
      </c>
      <c r="N96" s="40" t="s">
        <v>68</v>
      </c>
      <c r="O96" s="40" t="s">
        <v>68</v>
      </c>
      <c r="P96" s="40" t="s">
        <v>715</v>
      </c>
      <c r="Q96" s="40" t="s">
        <v>717</v>
      </c>
    </row>
    <row r="97" spans="1:17">
      <c r="A97" s="40" t="s">
        <v>335</v>
      </c>
      <c r="B97" s="42">
        <v>93</v>
      </c>
      <c r="C97" s="42">
        <v>23</v>
      </c>
      <c r="D97" s="40" t="s">
        <v>382</v>
      </c>
      <c r="E97" s="40" t="s">
        <v>640</v>
      </c>
      <c r="F97" s="40" t="s">
        <v>661</v>
      </c>
      <c r="G97" s="42">
        <v>255</v>
      </c>
      <c r="H97" s="42">
        <v>110</v>
      </c>
      <c r="I97" s="42">
        <f t="shared" si="4"/>
        <v>365</v>
      </c>
      <c r="J97" s="42" t="s">
        <v>68</v>
      </c>
      <c r="K97" s="42">
        <v>135</v>
      </c>
      <c r="L97" s="42">
        <v>55</v>
      </c>
      <c r="M97" s="42">
        <f t="shared" si="5"/>
        <v>190</v>
      </c>
      <c r="N97" s="40" t="s">
        <v>68</v>
      </c>
      <c r="O97" s="40" t="s">
        <v>718</v>
      </c>
      <c r="P97" s="40" t="s">
        <v>715</v>
      </c>
      <c r="Q97" s="40" t="s">
        <v>719</v>
      </c>
    </row>
    <row r="98" spans="1:17" ht="28.5">
      <c r="A98" s="40" t="s">
        <v>335</v>
      </c>
      <c r="B98" s="42">
        <v>94</v>
      </c>
      <c r="C98" s="42">
        <v>23</v>
      </c>
      <c r="D98" s="40" t="s">
        <v>385</v>
      </c>
      <c r="E98" s="40" t="s">
        <v>640</v>
      </c>
      <c r="F98" s="40" t="s">
        <v>661</v>
      </c>
      <c r="G98" s="42">
        <v>255</v>
      </c>
      <c r="H98" s="42">
        <v>120</v>
      </c>
      <c r="I98" s="42">
        <f t="shared" si="4"/>
        <v>375</v>
      </c>
      <c r="J98" s="42" t="s">
        <v>720</v>
      </c>
      <c r="K98" s="42">
        <v>135</v>
      </c>
      <c r="L98" s="42">
        <v>55</v>
      </c>
      <c r="M98" s="42">
        <f t="shared" si="5"/>
        <v>190</v>
      </c>
      <c r="N98" s="40" t="s">
        <v>68</v>
      </c>
      <c r="O98" s="40" t="s">
        <v>68</v>
      </c>
      <c r="P98" s="40" t="s">
        <v>721</v>
      </c>
      <c r="Q98" s="40" t="s">
        <v>720</v>
      </c>
    </row>
    <row r="99" spans="1:17">
      <c r="A99" s="40" t="s">
        <v>335</v>
      </c>
      <c r="B99" s="42">
        <v>95</v>
      </c>
      <c r="C99" s="42">
        <v>24</v>
      </c>
      <c r="D99" s="40" t="s">
        <v>390</v>
      </c>
      <c r="E99" s="40" t="s">
        <v>640</v>
      </c>
      <c r="F99" s="40" t="s">
        <v>649</v>
      </c>
      <c r="G99" s="42">
        <v>265</v>
      </c>
      <c r="H99" s="42">
        <v>120</v>
      </c>
      <c r="I99" s="42">
        <f t="shared" si="4"/>
        <v>385</v>
      </c>
      <c r="J99" s="42" t="s">
        <v>68</v>
      </c>
      <c r="K99" s="42">
        <v>140</v>
      </c>
      <c r="L99" s="42">
        <v>55</v>
      </c>
      <c r="M99" s="42">
        <f t="shared" si="5"/>
        <v>195</v>
      </c>
      <c r="N99" s="40" t="s">
        <v>68</v>
      </c>
      <c r="O99" s="40" t="s">
        <v>68</v>
      </c>
      <c r="P99" s="40" t="s">
        <v>721</v>
      </c>
      <c r="Q99" s="40" t="s">
        <v>722</v>
      </c>
    </row>
    <row r="100" spans="1:17">
      <c r="A100" s="40" t="s">
        <v>335</v>
      </c>
      <c r="B100" s="42">
        <v>96</v>
      </c>
      <c r="C100" s="42">
        <v>24</v>
      </c>
      <c r="D100" s="40" t="s">
        <v>391</v>
      </c>
      <c r="E100" s="40" t="s">
        <v>640</v>
      </c>
      <c r="F100" s="40" t="s">
        <v>649</v>
      </c>
      <c r="G100" s="42">
        <v>265</v>
      </c>
      <c r="H100" s="42">
        <v>120</v>
      </c>
      <c r="I100" s="42">
        <f t="shared" si="4"/>
        <v>385</v>
      </c>
      <c r="J100" s="42" t="s">
        <v>68</v>
      </c>
      <c r="K100" s="42">
        <v>140</v>
      </c>
      <c r="L100" s="42">
        <v>55</v>
      </c>
      <c r="M100" s="42">
        <f t="shared" si="5"/>
        <v>195</v>
      </c>
      <c r="N100" s="40" t="s">
        <v>68</v>
      </c>
      <c r="O100" s="40" t="s">
        <v>68</v>
      </c>
      <c r="P100" s="40" t="s">
        <v>721</v>
      </c>
      <c r="Q100" s="40" t="s">
        <v>722</v>
      </c>
    </row>
    <row r="101" spans="1:17">
      <c r="A101" s="40" t="s">
        <v>335</v>
      </c>
      <c r="B101" s="42">
        <v>97</v>
      </c>
      <c r="C101" s="42">
        <v>24</v>
      </c>
      <c r="D101" s="40" t="s">
        <v>392</v>
      </c>
      <c r="E101" s="40" t="s">
        <v>640</v>
      </c>
      <c r="F101" s="40" t="s">
        <v>649</v>
      </c>
      <c r="G101" s="42">
        <v>265</v>
      </c>
      <c r="H101" s="42">
        <v>120</v>
      </c>
      <c r="I101" s="42">
        <f t="shared" ref="I101:I132" si="6">G101+H101</f>
        <v>385</v>
      </c>
      <c r="J101" s="42" t="s">
        <v>68</v>
      </c>
      <c r="K101" s="42">
        <v>140</v>
      </c>
      <c r="L101" s="42">
        <v>55</v>
      </c>
      <c r="M101" s="42">
        <f t="shared" ref="M101:M132" si="7">K101+L101</f>
        <v>195</v>
      </c>
      <c r="N101" s="40" t="s">
        <v>68</v>
      </c>
      <c r="O101" s="40" t="s">
        <v>68</v>
      </c>
      <c r="P101" s="40" t="s">
        <v>721</v>
      </c>
      <c r="Q101" s="40" t="s">
        <v>722</v>
      </c>
    </row>
    <row r="102" spans="1:17">
      <c r="A102" s="40" t="s">
        <v>335</v>
      </c>
      <c r="B102" s="42">
        <v>98</v>
      </c>
      <c r="C102" s="42">
        <v>24</v>
      </c>
      <c r="D102" s="40" t="s">
        <v>393</v>
      </c>
      <c r="E102" s="40" t="s">
        <v>640</v>
      </c>
      <c r="F102" s="40" t="s">
        <v>668</v>
      </c>
      <c r="G102" s="42">
        <v>265</v>
      </c>
      <c r="H102" s="42">
        <v>120</v>
      </c>
      <c r="I102" s="42">
        <f t="shared" si="6"/>
        <v>385</v>
      </c>
      <c r="J102" s="42" t="s">
        <v>68</v>
      </c>
      <c r="K102" s="42">
        <v>140</v>
      </c>
      <c r="L102" s="42">
        <v>55</v>
      </c>
      <c r="M102" s="42">
        <f t="shared" si="7"/>
        <v>195</v>
      </c>
      <c r="N102" s="40" t="s">
        <v>68</v>
      </c>
      <c r="O102" s="40" t="s">
        <v>68</v>
      </c>
      <c r="P102" s="40" t="s">
        <v>721</v>
      </c>
      <c r="Q102" s="40" t="s">
        <v>722</v>
      </c>
    </row>
    <row r="103" spans="1:17">
      <c r="A103" s="40" t="s">
        <v>335</v>
      </c>
      <c r="B103" s="42">
        <v>99</v>
      </c>
      <c r="C103" s="42">
        <v>25</v>
      </c>
      <c r="D103" s="40" t="s">
        <v>401</v>
      </c>
      <c r="E103" s="40" t="s">
        <v>640</v>
      </c>
      <c r="F103" s="40" t="s">
        <v>668</v>
      </c>
      <c r="G103" s="42">
        <v>275</v>
      </c>
      <c r="H103" s="42">
        <v>120</v>
      </c>
      <c r="I103" s="42">
        <f t="shared" si="6"/>
        <v>395</v>
      </c>
      <c r="J103" s="42" t="s">
        <v>68</v>
      </c>
      <c r="K103" s="42">
        <v>145</v>
      </c>
      <c r="L103" s="42">
        <v>55</v>
      </c>
      <c r="M103" s="42">
        <f t="shared" si="7"/>
        <v>200</v>
      </c>
      <c r="N103" s="40" t="s">
        <v>68</v>
      </c>
      <c r="O103" s="40" t="s">
        <v>68</v>
      </c>
      <c r="P103" s="40" t="s">
        <v>721</v>
      </c>
      <c r="Q103" s="40" t="s">
        <v>723</v>
      </c>
    </row>
    <row r="104" spans="1:17">
      <c r="A104" s="40" t="s">
        <v>335</v>
      </c>
      <c r="B104" s="42">
        <v>100</v>
      </c>
      <c r="C104" s="42">
        <v>25</v>
      </c>
      <c r="D104" s="40" t="s">
        <v>409</v>
      </c>
      <c r="E104" s="40" t="s">
        <v>640</v>
      </c>
      <c r="F104" s="40" t="s">
        <v>649</v>
      </c>
      <c r="G104" s="42">
        <v>275</v>
      </c>
      <c r="H104" s="42">
        <v>120</v>
      </c>
      <c r="I104" s="42">
        <f t="shared" si="6"/>
        <v>395</v>
      </c>
      <c r="J104" s="42" t="s">
        <v>68</v>
      </c>
      <c r="K104" s="42">
        <v>145</v>
      </c>
      <c r="L104" s="42">
        <v>55</v>
      </c>
      <c r="M104" s="42">
        <f t="shared" si="7"/>
        <v>200</v>
      </c>
      <c r="N104" s="40" t="s">
        <v>68</v>
      </c>
      <c r="O104" s="40" t="s">
        <v>68</v>
      </c>
      <c r="P104" s="40" t="s">
        <v>721</v>
      </c>
      <c r="Q104" s="40" t="s">
        <v>723</v>
      </c>
    </row>
    <row r="105" spans="1:17" ht="28.5">
      <c r="A105" s="40" t="s">
        <v>419</v>
      </c>
      <c r="B105" s="42">
        <v>101</v>
      </c>
      <c r="C105" s="42">
        <v>25</v>
      </c>
      <c r="D105" s="40" t="s">
        <v>420</v>
      </c>
      <c r="E105" s="40" t="s">
        <v>640</v>
      </c>
      <c r="F105" s="40" t="s">
        <v>649</v>
      </c>
      <c r="G105" s="42">
        <v>275</v>
      </c>
      <c r="H105" s="42">
        <v>120</v>
      </c>
      <c r="I105" s="42">
        <f t="shared" si="6"/>
        <v>395</v>
      </c>
      <c r="J105" s="42" t="s">
        <v>68</v>
      </c>
      <c r="K105" s="42">
        <v>145</v>
      </c>
      <c r="L105" s="42">
        <v>70</v>
      </c>
      <c r="M105" s="42">
        <f t="shared" si="7"/>
        <v>215</v>
      </c>
      <c r="N105" s="40" t="s">
        <v>724</v>
      </c>
      <c r="O105" s="40" t="s">
        <v>725</v>
      </c>
      <c r="P105" s="40" t="s">
        <v>726</v>
      </c>
      <c r="Q105" s="40" t="s">
        <v>727</v>
      </c>
    </row>
    <row r="106" spans="1:17">
      <c r="A106" s="40" t="s">
        <v>419</v>
      </c>
      <c r="B106" s="42">
        <v>102</v>
      </c>
      <c r="C106" s="42">
        <v>25</v>
      </c>
      <c r="D106" s="40" t="s">
        <v>424</v>
      </c>
      <c r="E106" s="40" t="s">
        <v>640</v>
      </c>
      <c r="F106" s="40" t="s">
        <v>649</v>
      </c>
      <c r="G106" s="42">
        <v>275</v>
      </c>
      <c r="H106" s="42">
        <v>120</v>
      </c>
      <c r="I106" s="42">
        <f t="shared" si="6"/>
        <v>395</v>
      </c>
      <c r="J106" s="42" t="s">
        <v>68</v>
      </c>
      <c r="K106" s="42">
        <v>145</v>
      </c>
      <c r="L106" s="42">
        <v>70</v>
      </c>
      <c r="M106" s="42">
        <f t="shared" si="7"/>
        <v>215</v>
      </c>
      <c r="N106" s="40" t="s">
        <v>68</v>
      </c>
      <c r="O106" s="40" t="s">
        <v>68</v>
      </c>
      <c r="P106" s="40" t="s">
        <v>726</v>
      </c>
      <c r="Q106" s="40" t="s">
        <v>723</v>
      </c>
    </row>
    <row r="107" spans="1:17">
      <c r="A107" s="40" t="s">
        <v>419</v>
      </c>
      <c r="B107" s="42">
        <v>103</v>
      </c>
      <c r="C107" s="42">
        <v>26</v>
      </c>
      <c r="D107" s="40" t="s">
        <v>425</v>
      </c>
      <c r="E107" s="40" t="s">
        <v>640</v>
      </c>
      <c r="F107" s="40" t="s">
        <v>649</v>
      </c>
      <c r="G107" s="42">
        <v>285</v>
      </c>
      <c r="H107" s="42">
        <v>120</v>
      </c>
      <c r="I107" s="42">
        <f t="shared" si="6"/>
        <v>405</v>
      </c>
      <c r="J107" s="42" t="s">
        <v>68</v>
      </c>
      <c r="K107" s="42">
        <v>150</v>
      </c>
      <c r="L107" s="42">
        <v>70</v>
      </c>
      <c r="M107" s="42">
        <f t="shared" si="7"/>
        <v>220</v>
      </c>
      <c r="N107" s="40" t="s">
        <v>68</v>
      </c>
      <c r="O107" s="40" t="s">
        <v>68</v>
      </c>
      <c r="P107" s="40" t="s">
        <v>726</v>
      </c>
      <c r="Q107" s="40" t="s">
        <v>728</v>
      </c>
    </row>
    <row r="108" spans="1:17">
      <c r="A108" s="40" t="s">
        <v>419</v>
      </c>
      <c r="B108" s="42">
        <v>104</v>
      </c>
      <c r="C108" s="42">
        <v>26</v>
      </c>
      <c r="D108" s="40" t="s">
        <v>426</v>
      </c>
      <c r="E108" s="40" t="s">
        <v>640</v>
      </c>
      <c r="F108" s="40" t="s">
        <v>649</v>
      </c>
      <c r="G108" s="42">
        <v>285</v>
      </c>
      <c r="H108" s="42">
        <v>120</v>
      </c>
      <c r="I108" s="42">
        <f t="shared" si="6"/>
        <v>405</v>
      </c>
      <c r="J108" s="42" t="s">
        <v>68</v>
      </c>
      <c r="K108" s="42">
        <v>150</v>
      </c>
      <c r="L108" s="42">
        <v>70</v>
      </c>
      <c r="M108" s="42">
        <f t="shared" si="7"/>
        <v>220</v>
      </c>
      <c r="N108" s="40" t="s">
        <v>68</v>
      </c>
      <c r="O108" s="40" t="s">
        <v>68</v>
      </c>
      <c r="P108" s="40" t="s">
        <v>726</v>
      </c>
      <c r="Q108" s="40" t="s">
        <v>728</v>
      </c>
    </row>
    <row r="109" spans="1:17">
      <c r="A109" s="40" t="s">
        <v>419</v>
      </c>
      <c r="B109" s="42">
        <v>105</v>
      </c>
      <c r="C109" s="42">
        <v>26</v>
      </c>
      <c r="D109" s="40" t="s">
        <v>428</v>
      </c>
      <c r="E109" s="40" t="s">
        <v>640</v>
      </c>
      <c r="F109" s="40" t="s">
        <v>649</v>
      </c>
      <c r="G109" s="42">
        <v>285</v>
      </c>
      <c r="H109" s="42">
        <v>120</v>
      </c>
      <c r="I109" s="42">
        <f t="shared" si="6"/>
        <v>405</v>
      </c>
      <c r="J109" s="42" t="s">
        <v>68</v>
      </c>
      <c r="K109" s="42">
        <v>150</v>
      </c>
      <c r="L109" s="42">
        <v>70</v>
      </c>
      <c r="M109" s="42">
        <f t="shared" si="7"/>
        <v>220</v>
      </c>
      <c r="N109" s="40" t="s">
        <v>68</v>
      </c>
      <c r="O109" s="40" t="s">
        <v>68</v>
      </c>
      <c r="P109" s="40" t="s">
        <v>726</v>
      </c>
      <c r="Q109" s="40" t="s">
        <v>728</v>
      </c>
    </row>
    <row r="110" spans="1:17">
      <c r="A110" s="40" t="s">
        <v>419</v>
      </c>
      <c r="B110" s="42">
        <v>106</v>
      </c>
      <c r="C110" s="42">
        <v>26</v>
      </c>
      <c r="D110" s="40" t="s">
        <v>430</v>
      </c>
      <c r="E110" s="40" t="s">
        <v>640</v>
      </c>
      <c r="F110" s="40" t="s">
        <v>668</v>
      </c>
      <c r="G110" s="42">
        <v>285</v>
      </c>
      <c r="H110" s="42">
        <v>120</v>
      </c>
      <c r="I110" s="42">
        <f t="shared" si="6"/>
        <v>405</v>
      </c>
      <c r="J110" s="42" t="s">
        <v>68</v>
      </c>
      <c r="K110" s="42">
        <v>150</v>
      </c>
      <c r="L110" s="42">
        <v>70</v>
      </c>
      <c r="M110" s="42">
        <f t="shared" si="7"/>
        <v>220</v>
      </c>
      <c r="N110" s="40" t="s">
        <v>68</v>
      </c>
      <c r="O110" s="40" t="s">
        <v>68</v>
      </c>
      <c r="P110" s="40" t="s">
        <v>726</v>
      </c>
      <c r="Q110" s="40" t="s">
        <v>728</v>
      </c>
    </row>
    <row r="111" spans="1:17" ht="28.5">
      <c r="A111" s="40" t="s">
        <v>419</v>
      </c>
      <c r="B111" s="42">
        <v>107</v>
      </c>
      <c r="C111" s="42">
        <v>27</v>
      </c>
      <c r="D111" s="40" t="s">
        <v>441</v>
      </c>
      <c r="E111" s="40" t="s">
        <v>640</v>
      </c>
      <c r="F111" s="40" t="s">
        <v>661</v>
      </c>
      <c r="G111" s="42">
        <v>295</v>
      </c>
      <c r="H111" s="42">
        <v>150</v>
      </c>
      <c r="I111" s="42">
        <f t="shared" si="6"/>
        <v>445</v>
      </c>
      <c r="J111" s="42" t="s">
        <v>729</v>
      </c>
      <c r="K111" s="42">
        <v>155</v>
      </c>
      <c r="L111" s="42">
        <v>70</v>
      </c>
      <c r="M111" s="42">
        <f t="shared" si="7"/>
        <v>225</v>
      </c>
      <c r="N111" s="40" t="s">
        <v>68</v>
      </c>
      <c r="O111" s="40" t="s">
        <v>68</v>
      </c>
      <c r="P111" s="40" t="s">
        <v>730</v>
      </c>
      <c r="Q111" s="40" t="s">
        <v>729</v>
      </c>
    </row>
    <row r="112" spans="1:17">
      <c r="A112" s="40" t="s">
        <v>419</v>
      </c>
      <c r="B112" s="42">
        <v>108</v>
      </c>
      <c r="C112" s="42">
        <v>27</v>
      </c>
      <c r="D112" s="40" t="s">
        <v>445</v>
      </c>
      <c r="E112" s="40" t="s">
        <v>640</v>
      </c>
      <c r="F112" s="40" t="s">
        <v>661</v>
      </c>
      <c r="G112" s="42">
        <v>295</v>
      </c>
      <c r="H112" s="42">
        <v>150</v>
      </c>
      <c r="I112" s="42">
        <f t="shared" si="6"/>
        <v>445</v>
      </c>
      <c r="J112" s="42" t="s">
        <v>68</v>
      </c>
      <c r="K112" s="42">
        <v>155</v>
      </c>
      <c r="L112" s="42">
        <v>70</v>
      </c>
      <c r="M112" s="42">
        <f t="shared" si="7"/>
        <v>225</v>
      </c>
      <c r="N112" s="40" t="s">
        <v>68</v>
      </c>
      <c r="O112" s="40" t="s">
        <v>68</v>
      </c>
      <c r="P112" s="40" t="s">
        <v>730</v>
      </c>
      <c r="Q112" s="40" t="s">
        <v>731</v>
      </c>
    </row>
    <row r="113" spans="1:17">
      <c r="A113" s="40" t="s">
        <v>419</v>
      </c>
      <c r="B113" s="42">
        <v>109</v>
      </c>
      <c r="C113" s="42">
        <v>27</v>
      </c>
      <c r="D113" s="40" t="s">
        <v>446</v>
      </c>
      <c r="E113" s="40" t="s">
        <v>640</v>
      </c>
      <c r="F113" s="40" t="s">
        <v>649</v>
      </c>
      <c r="G113" s="42">
        <v>295</v>
      </c>
      <c r="H113" s="42">
        <v>150</v>
      </c>
      <c r="I113" s="42">
        <f t="shared" si="6"/>
        <v>445</v>
      </c>
      <c r="J113" s="42" t="s">
        <v>68</v>
      </c>
      <c r="K113" s="42">
        <v>155</v>
      </c>
      <c r="L113" s="42">
        <v>70</v>
      </c>
      <c r="M113" s="42">
        <f t="shared" si="7"/>
        <v>225</v>
      </c>
      <c r="N113" s="40" t="s">
        <v>68</v>
      </c>
      <c r="O113" s="40" t="s">
        <v>68</v>
      </c>
      <c r="P113" s="40" t="s">
        <v>730</v>
      </c>
      <c r="Q113" s="40" t="s">
        <v>731</v>
      </c>
    </row>
    <row r="114" spans="1:17">
      <c r="A114" s="40" t="s">
        <v>419</v>
      </c>
      <c r="B114" s="42">
        <v>110</v>
      </c>
      <c r="C114" s="42">
        <v>27</v>
      </c>
      <c r="D114" s="40" t="s">
        <v>447</v>
      </c>
      <c r="E114" s="40" t="s">
        <v>640</v>
      </c>
      <c r="F114" s="40" t="s">
        <v>649</v>
      </c>
      <c r="G114" s="42">
        <v>295</v>
      </c>
      <c r="H114" s="42">
        <v>150</v>
      </c>
      <c r="I114" s="42">
        <f t="shared" si="6"/>
        <v>445</v>
      </c>
      <c r="J114" s="42" t="s">
        <v>68</v>
      </c>
      <c r="K114" s="42">
        <v>155</v>
      </c>
      <c r="L114" s="42">
        <v>70</v>
      </c>
      <c r="M114" s="42">
        <f t="shared" si="7"/>
        <v>225</v>
      </c>
      <c r="N114" s="40" t="s">
        <v>68</v>
      </c>
      <c r="O114" s="40" t="s">
        <v>68</v>
      </c>
      <c r="P114" s="40" t="s">
        <v>730</v>
      </c>
      <c r="Q114" s="40" t="s">
        <v>731</v>
      </c>
    </row>
    <row r="115" spans="1:17">
      <c r="A115" s="40" t="s">
        <v>419</v>
      </c>
      <c r="B115" s="42">
        <v>111</v>
      </c>
      <c r="C115" s="42">
        <v>28</v>
      </c>
      <c r="D115" s="40" t="s">
        <v>449</v>
      </c>
      <c r="E115" s="40" t="s">
        <v>640</v>
      </c>
      <c r="F115" s="40" t="s">
        <v>661</v>
      </c>
      <c r="G115" s="42">
        <v>305</v>
      </c>
      <c r="H115" s="42">
        <v>150</v>
      </c>
      <c r="I115" s="42">
        <f t="shared" si="6"/>
        <v>455</v>
      </c>
      <c r="J115" s="42" t="s">
        <v>68</v>
      </c>
      <c r="K115" s="42">
        <v>160</v>
      </c>
      <c r="L115" s="42">
        <v>70</v>
      </c>
      <c r="M115" s="42">
        <f t="shared" si="7"/>
        <v>230</v>
      </c>
      <c r="N115" s="40" t="s">
        <v>68</v>
      </c>
      <c r="O115" s="40" t="s">
        <v>68</v>
      </c>
      <c r="P115" s="40" t="s">
        <v>730</v>
      </c>
      <c r="Q115" s="40" t="s">
        <v>732</v>
      </c>
    </row>
    <row r="116" spans="1:17">
      <c r="A116" s="40" t="s">
        <v>419</v>
      </c>
      <c r="B116" s="42">
        <v>112</v>
      </c>
      <c r="C116" s="42">
        <v>28</v>
      </c>
      <c r="D116" s="40" t="s">
        <v>451</v>
      </c>
      <c r="E116" s="40" t="s">
        <v>640</v>
      </c>
      <c r="F116" s="40" t="s">
        <v>649</v>
      </c>
      <c r="G116" s="42">
        <v>305</v>
      </c>
      <c r="H116" s="42">
        <v>150</v>
      </c>
      <c r="I116" s="42">
        <f t="shared" si="6"/>
        <v>455</v>
      </c>
      <c r="J116" s="42" t="s">
        <v>68</v>
      </c>
      <c r="K116" s="42">
        <v>160</v>
      </c>
      <c r="L116" s="42">
        <v>70</v>
      </c>
      <c r="M116" s="42">
        <f t="shared" si="7"/>
        <v>230</v>
      </c>
      <c r="N116" s="40" t="s">
        <v>68</v>
      </c>
      <c r="O116" s="40" t="s">
        <v>68</v>
      </c>
      <c r="P116" s="40" t="s">
        <v>730</v>
      </c>
      <c r="Q116" s="40" t="s">
        <v>732</v>
      </c>
    </row>
    <row r="117" spans="1:17">
      <c r="A117" s="40" t="s">
        <v>419</v>
      </c>
      <c r="B117" s="42">
        <v>113</v>
      </c>
      <c r="C117" s="42">
        <v>28</v>
      </c>
      <c r="D117" s="40" t="s">
        <v>452</v>
      </c>
      <c r="E117" s="40" t="s">
        <v>640</v>
      </c>
      <c r="F117" s="40" t="s">
        <v>661</v>
      </c>
      <c r="G117" s="42">
        <v>305</v>
      </c>
      <c r="H117" s="42">
        <v>150</v>
      </c>
      <c r="I117" s="42">
        <f t="shared" si="6"/>
        <v>455</v>
      </c>
      <c r="J117" s="42" t="s">
        <v>68</v>
      </c>
      <c r="K117" s="42">
        <v>160</v>
      </c>
      <c r="L117" s="42">
        <v>70</v>
      </c>
      <c r="M117" s="42">
        <f t="shared" si="7"/>
        <v>230</v>
      </c>
      <c r="N117" s="40" t="s">
        <v>68</v>
      </c>
      <c r="O117" s="40" t="s">
        <v>733</v>
      </c>
      <c r="P117" s="40" t="s">
        <v>730</v>
      </c>
      <c r="Q117" s="40" t="s">
        <v>734</v>
      </c>
    </row>
    <row r="118" spans="1:17" ht="28.5">
      <c r="A118" s="40" t="s">
        <v>419</v>
      </c>
      <c r="B118" s="42">
        <v>114</v>
      </c>
      <c r="C118" s="42">
        <v>28</v>
      </c>
      <c r="D118" s="40" t="s">
        <v>456</v>
      </c>
      <c r="E118" s="40" t="s">
        <v>640</v>
      </c>
      <c r="F118" s="40" t="s">
        <v>661</v>
      </c>
      <c r="G118" s="42">
        <v>305</v>
      </c>
      <c r="H118" s="42">
        <v>150</v>
      </c>
      <c r="I118" s="42">
        <f t="shared" si="6"/>
        <v>455</v>
      </c>
      <c r="J118" s="42" t="s">
        <v>68</v>
      </c>
      <c r="K118" s="42">
        <v>160</v>
      </c>
      <c r="L118" s="42">
        <v>90</v>
      </c>
      <c r="M118" s="42">
        <f t="shared" si="7"/>
        <v>250</v>
      </c>
      <c r="N118" s="40" t="s">
        <v>735</v>
      </c>
      <c r="O118" s="40" t="s">
        <v>68</v>
      </c>
      <c r="P118" s="40" t="s">
        <v>736</v>
      </c>
      <c r="Q118" s="40" t="s">
        <v>735</v>
      </c>
    </row>
    <row r="119" spans="1:17" ht="28.5">
      <c r="A119" s="40" t="s">
        <v>419</v>
      </c>
      <c r="B119" s="42">
        <v>115</v>
      </c>
      <c r="C119" s="42">
        <v>29</v>
      </c>
      <c r="D119" s="40" t="s">
        <v>460</v>
      </c>
      <c r="E119" s="40" t="s">
        <v>640</v>
      </c>
      <c r="F119" s="40" t="s">
        <v>668</v>
      </c>
      <c r="G119" s="42">
        <v>315</v>
      </c>
      <c r="H119" s="42">
        <v>150</v>
      </c>
      <c r="I119" s="42">
        <f t="shared" si="6"/>
        <v>465</v>
      </c>
      <c r="J119" s="42" t="s">
        <v>68</v>
      </c>
      <c r="K119" s="42">
        <v>165</v>
      </c>
      <c r="L119" s="42">
        <v>90</v>
      </c>
      <c r="M119" s="42">
        <f t="shared" si="7"/>
        <v>255</v>
      </c>
      <c r="N119" s="40" t="s">
        <v>68</v>
      </c>
      <c r="O119" s="40" t="s">
        <v>68</v>
      </c>
      <c r="P119" s="40" t="s">
        <v>736</v>
      </c>
      <c r="Q119" s="40" t="s">
        <v>737</v>
      </c>
    </row>
    <row r="120" spans="1:17" ht="28.5">
      <c r="A120" s="40" t="s">
        <v>419</v>
      </c>
      <c r="B120" s="42">
        <v>116</v>
      </c>
      <c r="C120" s="42">
        <v>29</v>
      </c>
      <c r="D120" s="40" t="s">
        <v>467</v>
      </c>
      <c r="E120" s="40" t="s">
        <v>640</v>
      </c>
      <c r="F120" s="40" t="s">
        <v>668</v>
      </c>
      <c r="G120" s="42">
        <v>315</v>
      </c>
      <c r="H120" s="42">
        <v>150</v>
      </c>
      <c r="I120" s="42">
        <f t="shared" si="6"/>
        <v>465</v>
      </c>
      <c r="J120" s="42" t="s">
        <v>68</v>
      </c>
      <c r="K120" s="42">
        <v>165</v>
      </c>
      <c r="L120" s="42">
        <v>90</v>
      </c>
      <c r="M120" s="42">
        <f t="shared" si="7"/>
        <v>255</v>
      </c>
      <c r="N120" s="40" t="s">
        <v>68</v>
      </c>
      <c r="O120" s="40" t="s">
        <v>68</v>
      </c>
      <c r="P120" s="40" t="s">
        <v>736</v>
      </c>
      <c r="Q120" s="40" t="s">
        <v>737</v>
      </c>
    </row>
    <row r="121" spans="1:17" ht="28.5">
      <c r="A121" s="40" t="s">
        <v>419</v>
      </c>
      <c r="B121" s="42">
        <v>117</v>
      </c>
      <c r="C121" s="42">
        <v>29</v>
      </c>
      <c r="D121" s="40" t="s">
        <v>474</v>
      </c>
      <c r="E121" s="40" t="s">
        <v>640</v>
      </c>
      <c r="F121" s="40" t="s">
        <v>668</v>
      </c>
      <c r="G121" s="42">
        <v>315</v>
      </c>
      <c r="H121" s="42">
        <v>150</v>
      </c>
      <c r="I121" s="42">
        <f t="shared" si="6"/>
        <v>465</v>
      </c>
      <c r="J121" s="42" t="s">
        <v>68</v>
      </c>
      <c r="K121" s="42">
        <v>165</v>
      </c>
      <c r="L121" s="42">
        <v>90</v>
      </c>
      <c r="M121" s="42">
        <f t="shared" si="7"/>
        <v>255</v>
      </c>
      <c r="N121" s="40" t="s">
        <v>68</v>
      </c>
      <c r="O121" s="40" t="s">
        <v>68</v>
      </c>
      <c r="P121" s="40" t="s">
        <v>736</v>
      </c>
      <c r="Q121" s="40" t="s">
        <v>737</v>
      </c>
    </row>
    <row r="122" spans="1:17" ht="28.5">
      <c r="A122" s="40" t="s">
        <v>419</v>
      </c>
      <c r="B122" s="42">
        <v>118</v>
      </c>
      <c r="C122" s="42">
        <v>29</v>
      </c>
      <c r="D122" s="40" t="s">
        <v>482</v>
      </c>
      <c r="E122" s="40" t="s">
        <v>640</v>
      </c>
      <c r="F122" s="40" t="s">
        <v>668</v>
      </c>
      <c r="G122" s="42">
        <v>315</v>
      </c>
      <c r="H122" s="42">
        <v>150</v>
      </c>
      <c r="I122" s="42">
        <f t="shared" si="6"/>
        <v>465</v>
      </c>
      <c r="J122" s="42" t="s">
        <v>68</v>
      </c>
      <c r="K122" s="42">
        <v>165</v>
      </c>
      <c r="L122" s="42">
        <v>90</v>
      </c>
      <c r="M122" s="42">
        <f t="shared" si="7"/>
        <v>255</v>
      </c>
      <c r="N122" s="40" t="s">
        <v>68</v>
      </c>
      <c r="O122" s="40" t="s">
        <v>738</v>
      </c>
      <c r="P122" s="40" t="s">
        <v>736</v>
      </c>
      <c r="Q122" s="40" t="s">
        <v>739</v>
      </c>
    </row>
    <row r="123" spans="1:17" ht="28.5">
      <c r="A123" s="40" t="s">
        <v>419</v>
      </c>
      <c r="B123" s="42">
        <v>119</v>
      </c>
      <c r="C123" s="42">
        <v>30</v>
      </c>
      <c r="D123" s="40" t="s">
        <v>489</v>
      </c>
      <c r="E123" s="40" t="s">
        <v>640</v>
      </c>
      <c r="F123" s="40" t="s">
        <v>661</v>
      </c>
      <c r="G123" s="42">
        <v>325</v>
      </c>
      <c r="H123" s="42">
        <v>150</v>
      </c>
      <c r="I123" s="42">
        <f t="shared" si="6"/>
        <v>475</v>
      </c>
      <c r="J123" s="42" t="s">
        <v>68</v>
      </c>
      <c r="K123" s="42">
        <v>170</v>
      </c>
      <c r="L123" s="42">
        <v>90</v>
      </c>
      <c r="M123" s="42">
        <f t="shared" si="7"/>
        <v>260</v>
      </c>
      <c r="N123" s="40" t="s">
        <v>68</v>
      </c>
      <c r="O123" s="40" t="s">
        <v>68</v>
      </c>
      <c r="P123" s="40" t="s">
        <v>736</v>
      </c>
      <c r="Q123" s="40" t="s">
        <v>740</v>
      </c>
    </row>
    <row r="124" spans="1:17" ht="28.5">
      <c r="A124" s="40" t="s">
        <v>419</v>
      </c>
      <c r="B124" s="42">
        <v>120</v>
      </c>
      <c r="C124" s="42">
        <v>30</v>
      </c>
      <c r="D124" s="40" t="s">
        <v>490</v>
      </c>
      <c r="E124" s="40" t="s">
        <v>640</v>
      </c>
      <c r="F124" s="40" t="s">
        <v>661</v>
      </c>
      <c r="G124" s="42">
        <v>325</v>
      </c>
      <c r="H124" s="42">
        <v>150</v>
      </c>
      <c r="I124" s="42">
        <f t="shared" si="6"/>
        <v>475</v>
      </c>
      <c r="J124" s="42" t="s">
        <v>68</v>
      </c>
      <c r="K124" s="42">
        <v>170</v>
      </c>
      <c r="L124" s="42">
        <v>90</v>
      </c>
      <c r="M124" s="42">
        <f t="shared" si="7"/>
        <v>260</v>
      </c>
      <c r="N124" s="40" t="s">
        <v>68</v>
      </c>
      <c r="O124" s="40" t="s">
        <v>68</v>
      </c>
      <c r="P124" s="40" t="s">
        <v>736</v>
      </c>
      <c r="Q124" s="40" t="s">
        <v>740</v>
      </c>
    </row>
    <row r="125" spans="1:17" ht="28.5">
      <c r="A125" s="40" t="s">
        <v>419</v>
      </c>
      <c r="B125" s="42">
        <v>121</v>
      </c>
      <c r="C125" s="42">
        <v>30</v>
      </c>
      <c r="D125" s="40" t="s">
        <v>496</v>
      </c>
      <c r="E125" s="40" t="s">
        <v>640</v>
      </c>
      <c r="F125" s="40" t="s">
        <v>661</v>
      </c>
      <c r="G125" s="42">
        <v>325</v>
      </c>
      <c r="H125" s="42">
        <v>150</v>
      </c>
      <c r="I125" s="42">
        <f t="shared" si="6"/>
        <v>475</v>
      </c>
      <c r="J125" s="42" t="s">
        <v>68</v>
      </c>
      <c r="K125" s="42">
        <v>170</v>
      </c>
      <c r="L125" s="42">
        <v>90</v>
      </c>
      <c r="M125" s="42">
        <f t="shared" si="7"/>
        <v>260</v>
      </c>
      <c r="N125" s="40" t="s">
        <v>68</v>
      </c>
      <c r="O125" s="40" t="s">
        <v>68</v>
      </c>
      <c r="P125" s="40" t="s">
        <v>736</v>
      </c>
      <c r="Q125" s="40" t="s">
        <v>740</v>
      </c>
    </row>
    <row r="126" spans="1:17" ht="28.5">
      <c r="A126" s="40" t="s">
        <v>419</v>
      </c>
      <c r="B126" s="42">
        <v>122</v>
      </c>
      <c r="C126" s="42">
        <v>30</v>
      </c>
      <c r="D126" s="40" t="s">
        <v>500</v>
      </c>
      <c r="E126" s="40" t="s">
        <v>640</v>
      </c>
      <c r="F126" s="40" t="s">
        <v>661</v>
      </c>
      <c r="G126" s="42">
        <v>325</v>
      </c>
      <c r="H126" s="42">
        <v>150</v>
      </c>
      <c r="I126" s="42">
        <f t="shared" si="6"/>
        <v>475</v>
      </c>
      <c r="J126" s="42" t="s">
        <v>68</v>
      </c>
      <c r="K126" s="42">
        <v>170</v>
      </c>
      <c r="L126" s="42">
        <v>90</v>
      </c>
      <c r="M126" s="42">
        <f t="shared" si="7"/>
        <v>260</v>
      </c>
      <c r="N126" s="40" t="s">
        <v>68</v>
      </c>
      <c r="O126" s="40" t="s">
        <v>68</v>
      </c>
      <c r="P126" s="40" t="s">
        <v>736</v>
      </c>
      <c r="Q126" s="40" t="s">
        <v>740</v>
      </c>
    </row>
    <row r="127" spans="1:17" ht="28.5">
      <c r="A127" s="40" t="s">
        <v>419</v>
      </c>
      <c r="B127" s="42">
        <v>123</v>
      </c>
      <c r="C127" s="42">
        <v>30</v>
      </c>
      <c r="D127" s="40" t="s">
        <v>501</v>
      </c>
      <c r="E127" s="40" t="s">
        <v>640</v>
      </c>
      <c r="F127" s="40" t="s">
        <v>661</v>
      </c>
      <c r="G127" s="42">
        <v>325</v>
      </c>
      <c r="H127" s="42">
        <v>150</v>
      </c>
      <c r="I127" s="42">
        <f t="shared" si="6"/>
        <v>475</v>
      </c>
      <c r="J127" s="42" t="s">
        <v>68</v>
      </c>
      <c r="K127" s="42">
        <v>170</v>
      </c>
      <c r="L127" s="42">
        <v>90</v>
      </c>
      <c r="M127" s="42">
        <f t="shared" si="7"/>
        <v>260</v>
      </c>
      <c r="N127" s="40" t="s">
        <v>68</v>
      </c>
      <c r="O127" s="40" t="s">
        <v>68</v>
      </c>
      <c r="P127" s="40" t="s">
        <v>736</v>
      </c>
      <c r="Q127" s="40" t="s">
        <v>740</v>
      </c>
    </row>
    <row r="128" spans="1:17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</row>
    <row r="129" spans="1:17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</row>
    <row r="130" spans="1:17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</row>
  </sheetData>
  <mergeCells count="2">
    <mergeCell ref="A1:Q1"/>
    <mergeCell ref="A2:Q2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workbookViewId="0"/>
  </sheetViews>
  <sheetFormatPr defaultRowHeight="14.25"/>
  <cols>
    <col min="1" max="1" width="24" customWidth="1"/>
    <col min="2" max="3" width="18" customWidth="1"/>
    <col min="4" max="4" width="24" customWidth="1"/>
    <col min="5" max="5" width="18" customWidth="1"/>
    <col min="6" max="6" width="28" customWidth="1"/>
    <col min="7" max="7" width="16" customWidth="1"/>
    <col min="8" max="8" width="38" customWidth="1"/>
    <col min="9" max="9" width="12" customWidth="1"/>
    <col min="10" max="10" width="24" customWidth="1"/>
    <col min="11" max="11" width="12" customWidth="1"/>
    <col min="12" max="12" width="24" customWidth="1"/>
    <col min="13" max="13" width="28" customWidth="1"/>
    <col min="14" max="14" width="24" customWidth="1"/>
    <col min="15" max="15" width="40" customWidth="1"/>
    <col min="16" max="16" width="16" customWidth="1"/>
    <col min="17" max="17" width="12" customWidth="1"/>
    <col min="18" max="19" width="14" customWidth="1"/>
    <col min="20" max="20" width="16" customWidth="1"/>
    <col min="21" max="21" width="38" customWidth="1"/>
  </cols>
  <sheetData>
    <row r="1" spans="1:21" ht="27.95" customHeight="1">
      <c r="A1" s="66" t="s">
        <v>741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</row>
    <row r="2" spans="1:21" ht="30" customHeight="1">
      <c r="A2" s="67" t="s">
        <v>742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 spans="1:2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21" ht="42" customHeight="1">
      <c r="A4" s="41" t="s">
        <v>743</v>
      </c>
      <c r="B4" s="41" t="s">
        <v>744</v>
      </c>
      <c r="C4" s="41" t="s">
        <v>745</v>
      </c>
      <c r="D4" s="41" t="s">
        <v>746</v>
      </c>
      <c r="E4" s="41" t="s">
        <v>747</v>
      </c>
      <c r="F4" s="41" t="s">
        <v>748</v>
      </c>
      <c r="G4" s="41" t="s">
        <v>749</v>
      </c>
      <c r="H4" s="41" t="s">
        <v>750</v>
      </c>
      <c r="I4" s="41" t="s">
        <v>751</v>
      </c>
      <c r="J4" s="41" t="s">
        <v>752</v>
      </c>
      <c r="K4" s="41" t="s">
        <v>753</v>
      </c>
      <c r="L4" s="41" t="s">
        <v>754</v>
      </c>
      <c r="M4" s="41" t="s">
        <v>755</v>
      </c>
      <c r="N4" s="41" t="s">
        <v>756</v>
      </c>
      <c r="O4" s="41" t="s">
        <v>757</v>
      </c>
      <c r="P4" s="41" t="s">
        <v>758</v>
      </c>
      <c r="Q4" s="41" t="s">
        <v>759</v>
      </c>
      <c r="R4" s="41" t="s">
        <v>760</v>
      </c>
      <c r="S4" s="41" t="s">
        <v>761</v>
      </c>
      <c r="T4" s="41" t="s">
        <v>762</v>
      </c>
      <c r="U4" s="41" t="s">
        <v>763</v>
      </c>
    </row>
    <row r="5" spans="1:21" ht="28.5">
      <c r="A5" s="40" t="s">
        <v>764</v>
      </c>
      <c r="B5" s="40" t="s">
        <v>765</v>
      </c>
      <c r="C5" s="40" t="s">
        <v>766</v>
      </c>
      <c r="D5" s="40" t="s">
        <v>767</v>
      </c>
      <c r="E5" s="40" t="s">
        <v>768</v>
      </c>
      <c r="F5" s="40" t="s">
        <v>769</v>
      </c>
      <c r="G5" s="40" t="s">
        <v>770</v>
      </c>
      <c r="H5" s="40" t="s">
        <v>771</v>
      </c>
      <c r="I5" s="43">
        <v>20</v>
      </c>
      <c r="J5" s="43" t="s">
        <v>772</v>
      </c>
      <c r="K5" s="43">
        <v>0</v>
      </c>
      <c r="L5" s="43" t="s">
        <v>68</v>
      </c>
      <c r="M5" s="43" t="s">
        <v>773</v>
      </c>
      <c r="N5" s="43" t="s">
        <v>774</v>
      </c>
      <c r="O5" s="43" t="s">
        <v>775</v>
      </c>
      <c r="P5" s="43" t="s">
        <v>776</v>
      </c>
      <c r="Q5" s="43">
        <v>105</v>
      </c>
      <c r="R5" s="43">
        <v>16</v>
      </c>
      <c r="S5" s="43">
        <v>24</v>
      </c>
      <c r="T5" s="42">
        <v>11</v>
      </c>
      <c r="U5" s="40" t="s">
        <v>777</v>
      </c>
    </row>
    <row r="6" spans="1:21" ht="28.5">
      <c r="A6" s="40" t="s">
        <v>778</v>
      </c>
      <c r="B6" s="40" t="s">
        <v>779</v>
      </c>
      <c r="C6" s="40" t="s">
        <v>780</v>
      </c>
      <c r="D6" s="40" t="s">
        <v>767</v>
      </c>
      <c r="E6" s="40" t="s">
        <v>781</v>
      </c>
      <c r="F6" s="40" t="s">
        <v>782</v>
      </c>
      <c r="G6" s="40" t="s">
        <v>770</v>
      </c>
      <c r="H6" s="40" t="s">
        <v>783</v>
      </c>
      <c r="I6" s="43">
        <v>0</v>
      </c>
      <c r="J6" s="43" t="s">
        <v>68</v>
      </c>
      <c r="K6" s="43">
        <v>15</v>
      </c>
      <c r="L6" s="43" t="s">
        <v>784</v>
      </c>
      <c r="M6" s="43" t="s">
        <v>785</v>
      </c>
      <c r="N6" s="43" t="s">
        <v>774</v>
      </c>
      <c r="O6" s="43" t="s">
        <v>775</v>
      </c>
      <c r="P6" s="43" t="s">
        <v>786</v>
      </c>
      <c r="Q6" s="43">
        <v>104</v>
      </c>
      <c r="R6" s="43">
        <v>0</v>
      </c>
      <c r="S6" s="43">
        <v>0</v>
      </c>
      <c r="T6" s="42">
        <v>16</v>
      </c>
      <c r="U6" s="40" t="s">
        <v>787</v>
      </c>
    </row>
    <row r="7" spans="1:21" ht="28.5">
      <c r="A7" s="40" t="s">
        <v>788</v>
      </c>
      <c r="B7" s="40" t="s">
        <v>789</v>
      </c>
      <c r="C7" s="40" t="s">
        <v>790</v>
      </c>
      <c r="D7" s="40" t="s">
        <v>791</v>
      </c>
      <c r="E7" s="40" t="s">
        <v>781</v>
      </c>
      <c r="F7" s="40" t="s">
        <v>792</v>
      </c>
      <c r="G7" s="40" t="s">
        <v>770</v>
      </c>
      <c r="H7" s="40" t="s">
        <v>793</v>
      </c>
      <c r="I7" s="43">
        <v>0</v>
      </c>
      <c r="J7" s="43" t="s">
        <v>68</v>
      </c>
      <c r="K7" s="43">
        <v>0</v>
      </c>
      <c r="L7" s="43" t="s">
        <v>68</v>
      </c>
      <c r="M7" s="43" t="s">
        <v>794</v>
      </c>
      <c r="N7" s="43" t="s">
        <v>774</v>
      </c>
      <c r="O7" s="43" t="s">
        <v>775</v>
      </c>
      <c r="P7" s="43" t="s">
        <v>795</v>
      </c>
      <c r="Q7" s="43">
        <v>0.3</v>
      </c>
      <c r="R7" s="43">
        <v>0</v>
      </c>
      <c r="S7" s="43">
        <v>0</v>
      </c>
      <c r="T7" s="42">
        <v>17</v>
      </c>
      <c r="U7" s="40" t="s">
        <v>796</v>
      </c>
    </row>
    <row r="8" spans="1:21" ht="28.5">
      <c r="A8" s="40" t="s">
        <v>797</v>
      </c>
      <c r="B8" s="40" t="s">
        <v>765</v>
      </c>
      <c r="C8" s="40" t="s">
        <v>798</v>
      </c>
      <c r="D8" s="40" t="s">
        <v>767</v>
      </c>
      <c r="E8" s="40" t="s">
        <v>799</v>
      </c>
      <c r="F8" s="40" t="s">
        <v>800</v>
      </c>
      <c r="G8" s="40" t="s">
        <v>770</v>
      </c>
      <c r="H8" s="40" t="s">
        <v>801</v>
      </c>
      <c r="I8" s="43">
        <v>35</v>
      </c>
      <c r="J8" s="43" t="s">
        <v>802</v>
      </c>
      <c r="K8" s="43">
        <v>0</v>
      </c>
      <c r="L8" s="43" t="s">
        <v>68</v>
      </c>
      <c r="M8" s="43" t="s">
        <v>803</v>
      </c>
      <c r="N8" s="43" t="s">
        <v>804</v>
      </c>
      <c r="O8" s="43" t="s">
        <v>805</v>
      </c>
      <c r="P8" s="43" t="s">
        <v>776</v>
      </c>
      <c r="Q8" s="43">
        <v>108</v>
      </c>
      <c r="R8" s="43">
        <v>28</v>
      </c>
      <c r="S8" s="43">
        <v>42</v>
      </c>
      <c r="T8" s="42">
        <v>23</v>
      </c>
      <c r="U8" s="40" t="s">
        <v>806</v>
      </c>
    </row>
    <row r="9" spans="1:21">
      <c r="A9" s="40" t="s">
        <v>807</v>
      </c>
      <c r="B9" s="40" t="s">
        <v>779</v>
      </c>
      <c r="C9" s="40" t="s">
        <v>808</v>
      </c>
      <c r="D9" s="40" t="s">
        <v>767</v>
      </c>
      <c r="E9" s="40" t="s">
        <v>781</v>
      </c>
      <c r="F9" s="40" t="s">
        <v>809</v>
      </c>
      <c r="G9" s="40" t="s">
        <v>770</v>
      </c>
      <c r="H9" s="40" t="s">
        <v>810</v>
      </c>
      <c r="I9" s="43">
        <v>0</v>
      </c>
      <c r="J9" s="43" t="s">
        <v>68</v>
      </c>
      <c r="K9" s="43">
        <v>25</v>
      </c>
      <c r="L9" s="43" t="s">
        <v>811</v>
      </c>
      <c r="M9" s="43" t="s">
        <v>812</v>
      </c>
      <c r="N9" s="43" t="s">
        <v>804</v>
      </c>
      <c r="O9" s="43" t="s">
        <v>805</v>
      </c>
      <c r="P9" s="43" t="s">
        <v>813</v>
      </c>
      <c r="Q9" s="43">
        <v>115</v>
      </c>
      <c r="R9" s="43">
        <v>0</v>
      </c>
      <c r="S9" s="43">
        <v>0</v>
      </c>
      <c r="T9" s="42">
        <v>31</v>
      </c>
      <c r="U9" s="40" t="s">
        <v>814</v>
      </c>
    </row>
    <row r="10" spans="1:21">
      <c r="A10" s="40" t="s">
        <v>815</v>
      </c>
      <c r="B10" s="40" t="s">
        <v>816</v>
      </c>
      <c r="C10" s="40" t="s">
        <v>817</v>
      </c>
      <c r="D10" s="40" t="s">
        <v>818</v>
      </c>
      <c r="E10" s="40" t="s">
        <v>819</v>
      </c>
      <c r="F10" s="40" t="s">
        <v>820</v>
      </c>
      <c r="G10" s="40" t="s">
        <v>821</v>
      </c>
      <c r="H10" s="40" t="s">
        <v>822</v>
      </c>
      <c r="I10" s="43">
        <v>0</v>
      </c>
      <c r="J10" s="43" t="s">
        <v>68</v>
      </c>
      <c r="K10" s="43">
        <v>0</v>
      </c>
      <c r="L10" s="43" t="s">
        <v>68</v>
      </c>
      <c r="M10" s="43" t="s">
        <v>823</v>
      </c>
      <c r="N10" s="43" t="s">
        <v>68</v>
      </c>
      <c r="O10" s="43" t="s">
        <v>68</v>
      </c>
      <c r="P10" s="43" t="s">
        <v>824</v>
      </c>
      <c r="Q10" s="43">
        <v>30</v>
      </c>
      <c r="R10" s="43">
        <v>0</v>
      </c>
      <c r="S10" s="43">
        <v>0</v>
      </c>
      <c r="T10" s="42">
        <v>33</v>
      </c>
      <c r="U10" s="40" t="s">
        <v>825</v>
      </c>
    </row>
    <row r="11" spans="1:21" ht="28.5">
      <c r="A11" s="40" t="s">
        <v>826</v>
      </c>
      <c r="B11" s="40" t="s">
        <v>765</v>
      </c>
      <c r="C11" s="40" t="s">
        <v>827</v>
      </c>
      <c r="D11" s="40" t="s">
        <v>767</v>
      </c>
      <c r="E11" s="40" t="s">
        <v>799</v>
      </c>
      <c r="F11" s="40" t="s">
        <v>828</v>
      </c>
      <c r="G11" s="40" t="s">
        <v>770</v>
      </c>
      <c r="H11" s="40" t="s">
        <v>829</v>
      </c>
      <c r="I11" s="43">
        <v>55</v>
      </c>
      <c r="J11" s="43" t="s">
        <v>830</v>
      </c>
      <c r="K11" s="43">
        <v>0</v>
      </c>
      <c r="L11" s="43" t="s">
        <v>68</v>
      </c>
      <c r="M11" s="43" t="s">
        <v>831</v>
      </c>
      <c r="N11" s="43" t="s">
        <v>832</v>
      </c>
      <c r="O11" s="43" t="s">
        <v>833</v>
      </c>
      <c r="P11" s="43" t="s">
        <v>834</v>
      </c>
      <c r="Q11" s="43">
        <v>115</v>
      </c>
      <c r="R11" s="43">
        <v>44</v>
      </c>
      <c r="S11" s="43">
        <v>66</v>
      </c>
      <c r="T11" s="42">
        <v>40</v>
      </c>
      <c r="U11" s="40" t="s">
        <v>835</v>
      </c>
    </row>
    <row r="12" spans="1:21" ht="28.5">
      <c r="A12" s="40" t="s">
        <v>836</v>
      </c>
      <c r="B12" s="40" t="s">
        <v>837</v>
      </c>
      <c r="C12" s="40" t="s">
        <v>838</v>
      </c>
      <c r="D12" s="40" t="s">
        <v>767</v>
      </c>
      <c r="E12" s="40" t="s">
        <v>839</v>
      </c>
      <c r="F12" s="40" t="s">
        <v>840</v>
      </c>
      <c r="G12" s="40" t="s">
        <v>770</v>
      </c>
      <c r="H12" s="40" t="s">
        <v>841</v>
      </c>
      <c r="I12" s="43">
        <v>0</v>
      </c>
      <c r="J12" s="43" t="s">
        <v>68</v>
      </c>
      <c r="K12" s="43">
        <v>10</v>
      </c>
      <c r="L12" s="43" t="s">
        <v>842</v>
      </c>
      <c r="M12" s="43" t="s">
        <v>843</v>
      </c>
      <c r="N12" s="43" t="s">
        <v>832</v>
      </c>
      <c r="O12" s="43" t="s">
        <v>833</v>
      </c>
      <c r="P12" s="43" t="s">
        <v>844</v>
      </c>
      <c r="Q12" s="43">
        <v>108</v>
      </c>
      <c r="R12" s="43">
        <v>0</v>
      </c>
      <c r="S12" s="43">
        <v>0</v>
      </c>
      <c r="T12" s="42">
        <v>43</v>
      </c>
      <c r="U12" s="40" t="s">
        <v>845</v>
      </c>
    </row>
    <row r="13" spans="1:21" ht="28.5">
      <c r="A13" s="40" t="s">
        <v>846</v>
      </c>
      <c r="B13" s="40" t="s">
        <v>765</v>
      </c>
      <c r="C13" s="40" t="s">
        <v>847</v>
      </c>
      <c r="D13" s="40" t="s">
        <v>848</v>
      </c>
      <c r="E13" s="40" t="s">
        <v>799</v>
      </c>
      <c r="F13" s="40" t="s">
        <v>849</v>
      </c>
      <c r="G13" s="40" t="s">
        <v>770</v>
      </c>
      <c r="H13" s="40" t="s">
        <v>850</v>
      </c>
      <c r="I13" s="43">
        <v>80</v>
      </c>
      <c r="J13" s="43" t="s">
        <v>851</v>
      </c>
      <c r="K13" s="43">
        <v>0</v>
      </c>
      <c r="L13" s="43" t="s">
        <v>68</v>
      </c>
      <c r="M13" s="43" t="s">
        <v>852</v>
      </c>
      <c r="N13" s="43" t="s">
        <v>853</v>
      </c>
      <c r="O13" s="43" t="s">
        <v>854</v>
      </c>
      <c r="P13" s="43" t="s">
        <v>855</v>
      </c>
      <c r="Q13" s="43">
        <v>120</v>
      </c>
      <c r="R13" s="43">
        <v>64</v>
      </c>
      <c r="S13" s="43">
        <v>96</v>
      </c>
      <c r="T13" s="42">
        <v>47</v>
      </c>
      <c r="U13" s="40" t="s">
        <v>856</v>
      </c>
    </row>
    <row r="14" spans="1:21" ht="28.5">
      <c r="A14" s="40" t="s">
        <v>857</v>
      </c>
      <c r="B14" s="40" t="s">
        <v>779</v>
      </c>
      <c r="C14" s="40" t="s">
        <v>858</v>
      </c>
      <c r="D14" s="40" t="s">
        <v>848</v>
      </c>
      <c r="E14" s="40" t="s">
        <v>799</v>
      </c>
      <c r="F14" s="40" t="s">
        <v>859</v>
      </c>
      <c r="G14" s="40" t="s">
        <v>770</v>
      </c>
      <c r="H14" s="40" t="s">
        <v>860</v>
      </c>
      <c r="I14" s="43">
        <v>0</v>
      </c>
      <c r="J14" s="43" t="s">
        <v>68</v>
      </c>
      <c r="K14" s="43">
        <v>40</v>
      </c>
      <c r="L14" s="43" t="s">
        <v>861</v>
      </c>
      <c r="M14" s="43" t="s">
        <v>862</v>
      </c>
      <c r="N14" s="43" t="s">
        <v>853</v>
      </c>
      <c r="O14" s="43" t="s">
        <v>854</v>
      </c>
      <c r="P14" s="43" t="s">
        <v>863</v>
      </c>
      <c r="Q14" s="43">
        <v>115</v>
      </c>
      <c r="R14" s="43">
        <v>0</v>
      </c>
      <c r="S14" s="43">
        <v>0</v>
      </c>
      <c r="T14" s="42">
        <v>56</v>
      </c>
      <c r="U14" s="40" t="s">
        <v>864</v>
      </c>
    </row>
    <row r="15" spans="1:21" ht="28.5">
      <c r="A15" s="40" t="s">
        <v>865</v>
      </c>
      <c r="B15" s="40" t="s">
        <v>789</v>
      </c>
      <c r="C15" s="40" t="s">
        <v>866</v>
      </c>
      <c r="D15" s="40" t="s">
        <v>767</v>
      </c>
      <c r="E15" s="40" t="s">
        <v>781</v>
      </c>
      <c r="F15" s="40" t="s">
        <v>867</v>
      </c>
      <c r="G15" s="40" t="s">
        <v>770</v>
      </c>
      <c r="H15" s="40" t="s">
        <v>868</v>
      </c>
      <c r="I15" s="43">
        <v>0</v>
      </c>
      <c r="J15" s="43" t="s">
        <v>68</v>
      </c>
      <c r="K15" s="43">
        <v>0</v>
      </c>
      <c r="L15" s="43" t="s">
        <v>68</v>
      </c>
      <c r="M15" s="43" t="s">
        <v>869</v>
      </c>
      <c r="N15" s="43" t="s">
        <v>853</v>
      </c>
      <c r="O15" s="43" t="s">
        <v>854</v>
      </c>
      <c r="P15" s="43" t="s">
        <v>870</v>
      </c>
      <c r="Q15" s="43">
        <v>115</v>
      </c>
      <c r="R15" s="43">
        <v>0</v>
      </c>
      <c r="S15" s="43">
        <v>0</v>
      </c>
      <c r="T15" s="42">
        <v>55</v>
      </c>
      <c r="U15" s="40" t="s">
        <v>871</v>
      </c>
    </row>
    <row r="16" spans="1:21" ht="28.5">
      <c r="A16" s="40" t="s">
        <v>872</v>
      </c>
      <c r="B16" s="40" t="s">
        <v>873</v>
      </c>
      <c r="C16" s="40" t="s">
        <v>874</v>
      </c>
      <c r="D16" s="40" t="s">
        <v>767</v>
      </c>
      <c r="E16" s="40" t="s">
        <v>799</v>
      </c>
      <c r="F16" s="40" t="s">
        <v>875</v>
      </c>
      <c r="G16" s="40" t="s">
        <v>770</v>
      </c>
      <c r="H16" s="40" t="s">
        <v>876</v>
      </c>
      <c r="I16" s="43">
        <v>95</v>
      </c>
      <c r="J16" s="43" t="s">
        <v>877</v>
      </c>
      <c r="K16" s="43">
        <v>0</v>
      </c>
      <c r="L16" s="43" t="s">
        <v>68</v>
      </c>
      <c r="M16" s="43" t="s">
        <v>878</v>
      </c>
      <c r="N16" s="43" t="s">
        <v>879</v>
      </c>
      <c r="O16" s="43" t="s">
        <v>880</v>
      </c>
      <c r="P16" s="43" t="s">
        <v>855</v>
      </c>
      <c r="Q16" s="43">
        <v>118</v>
      </c>
      <c r="R16" s="43">
        <v>76</v>
      </c>
      <c r="S16" s="43">
        <v>114</v>
      </c>
      <c r="T16" s="42">
        <v>65</v>
      </c>
      <c r="U16" s="40" t="s">
        <v>881</v>
      </c>
    </row>
    <row r="17" spans="1:21">
      <c r="A17" s="40" t="s">
        <v>882</v>
      </c>
      <c r="B17" s="40" t="s">
        <v>789</v>
      </c>
      <c r="C17" s="40" t="s">
        <v>883</v>
      </c>
      <c r="D17" s="40" t="s">
        <v>767</v>
      </c>
      <c r="E17" s="40" t="s">
        <v>839</v>
      </c>
      <c r="F17" s="40" t="s">
        <v>884</v>
      </c>
      <c r="G17" s="40" t="s">
        <v>770</v>
      </c>
      <c r="H17" s="40" t="s">
        <v>885</v>
      </c>
      <c r="I17" s="43">
        <v>0</v>
      </c>
      <c r="J17" s="43" t="s">
        <v>68</v>
      </c>
      <c r="K17" s="43">
        <v>0</v>
      </c>
      <c r="L17" s="43" t="s">
        <v>68</v>
      </c>
      <c r="M17" s="43" t="s">
        <v>886</v>
      </c>
      <c r="N17" s="43" t="s">
        <v>879</v>
      </c>
      <c r="O17" s="43" t="s">
        <v>880</v>
      </c>
      <c r="P17" s="43" t="s">
        <v>887</v>
      </c>
      <c r="Q17" s="43">
        <v>120</v>
      </c>
      <c r="R17" s="43">
        <v>0</v>
      </c>
      <c r="S17" s="43">
        <v>0</v>
      </c>
      <c r="T17" s="42">
        <v>69</v>
      </c>
      <c r="U17" s="40" t="s">
        <v>888</v>
      </c>
    </row>
    <row r="18" spans="1:21" ht="28.5">
      <c r="A18" s="40" t="s">
        <v>889</v>
      </c>
      <c r="B18" s="40" t="s">
        <v>779</v>
      </c>
      <c r="C18" s="40" t="s">
        <v>890</v>
      </c>
      <c r="D18" s="40" t="s">
        <v>767</v>
      </c>
      <c r="E18" s="40" t="s">
        <v>799</v>
      </c>
      <c r="F18" s="40" t="s">
        <v>891</v>
      </c>
      <c r="G18" s="40" t="s">
        <v>770</v>
      </c>
      <c r="H18" s="40" t="s">
        <v>892</v>
      </c>
      <c r="I18" s="43">
        <v>0</v>
      </c>
      <c r="J18" s="43" t="s">
        <v>68</v>
      </c>
      <c r="K18" s="43">
        <v>55</v>
      </c>
      <c r="L18" s="43" t="s">
        <v>893</v>
      </c>
      <c r="M18" s="43" t="s">
        <v>894</v>
      </c>
      <c r="N18" s="43" t="s">
        <v>895</v>
      </c>
      <c r="O18" s="43" t="s">
        <v>896</v>
      </c>
      <c r="P18" s="43" t="s">
        <v>897</v>
      </c>
      <c r="Q18" s="43">
        <v>112</v>
      </c>
      <c r="R18" s="43">
        <v>0</v>
      </c>
      <c r="S18" s="43">
        <v>0</v>
      </c>
      <c r="T18" s="42">
        <v>73</v>
      </c>
      <c r="U18" s="40" t="s">
        <v>898</v>
      </c>
    </row>
    <row r="19" spans="1:21" ht="28.5">
      <c r="A19" s="40" t="s">
        <v>899</v>
      </c>
      <c r="B19" s="40" t="s">
        <v>765</v>
      </c>
      <c r="C19" s="40" t="s">
        <v>900</v>
      </c>
      <c r="D19" s="40" t="s">
        <v>767</v>
      </c>
      <c r="E19" s="40" t="s">
        <v>901</v>
      </c>
      <c r="F19" s="40" t="s">
        <v>902</v>
      </c>
      <c r="G19" s="40" t="s">
        <v>68</v>
      </c>
      <c r="H19" s="40" t="s">
        <v>903</v>
      </c>
      <c r="I19" s="43">
        <v>110</v>
      </c>
      <c r="J19" s="43" t="s">
        <v>904</v>
      </c>
      <c r="K19" s="43">
        <v>0</v>
      </c>
      <c r="L19" s="43" t="s">
        <v>68</v>
      </c>
      <c r="M19" s="43" t="s">
        <v>905</v>
      </c>
      <c r="N19" s="43" t="s">
        <v>895</v>
      </c>
      <c r="O19" s="43" t="s">
        <v>896</v>
      </c>
      <c r="P19" s="43" t="s">
        <v>776</v>
      </c>
      <c r="Q19" s="43">
        <v>125</v>
      </c>
      <c r="R19" s="43">
        <v>88</v>
      </c>
      <c r="S19" s="43">
        <v>132</v>
      </c>
      <c r="T19" s="42">
        <v>87</v>
      </c>
      <c r="U19" s="40" t="s">
        <v>906</v>
      </c>
    </row>
    <row r="20" spans="1:21" ht="28.5">
      <c r="A20" s="40" t="s">
        <v>907</v>
      </c>
      <c r="B20" s="40" t="s">
        <v>908</v>
      </c>
      <c r="C20" s="40" t="s">
        <v>909</v>
      </c>
      <c r="D20" s="40" t="s">
        <v>910</v>
      </c>
      <c r="E20" s="40" t="s">
        <v>911</v>
      </c>
      <c r="F20" s="40" t="s">
        <v>912</v>
      </c>
      <c r="G20" s="40" t="s">
        <v>770</v>
      </c>
      <c r="H20" s="40" t="s">
        <v>913</v>
      </c>
      <c r="I20" s="43">
        <v>120</v>
      </c>
      <c r="J20" s="43" t="s">
        <v>914</v>
      </c>
      <c r="K20" s="43">
        <v>0</v>
      </c>
      <c r="L20" s="43" t="s">
        <v>68</v>
      </c>
      <c r="M20" s="43" t="s">
        <v>915</v>
      </c>
      <c r="N20" s="43" t="s">
        <v>916</v>
      </c>
      <c r="O20" s="43" t="s">
        <v>917</v>
      </c>
      <c r="P20" s="43" t="s">
        <v>855</v>
      </c>
      <c r="Q20" s="43">
        <v>130</v>
      </c>
      <c r="R20" s="43">
        <v>96</v>
      </c>
      <c r="S20" s="43">
        <v>144</v>
      </c>
      <c r="T20" s="42">
        <v>94</v>
      </c>
      <c r="U20" s="40" t="s">
        <v>918</v>
      </c>
    </row>
    <row r="21" spans="1:21">
      <c r="A21" s="40" t="s">
        <v>919</v>
      </c>
      <c r="B21" s="40" t="s">
        <v>789</v>
      </c>
      <c r="C21" s="40" t="s">
        <v>920</v>
      </c>
      <c r="D21" s="40" t="s">
        <v>910</v>
      </c>
      <c r="E21" s="40" t="s">
        <v>921</v>
      </c>
      <c r="F21" s="40" t="s">
        <v>922</v>
      </c>
      <c r="G21" s="40" t="s">
        <v>770</v>
      </c>
      <c r="H21" s="40" t="s">
        <v>923</v>
      </c>
      <c r="I21" s="43">
        <v>0</v>
      </c>
      <c r="J21" s="43" t="s">
        <v>68</v>
      </c>
      <c r="K21" s="43">
        <v>0</v>
      </c>
      <c r="L21" s="43" t="s">
        <v>68</v>
      </c>
      <c r="M21" s="43" t="s">
        <v>924</v>
      </c>
      <c r="N21" s="43" t="s">
        <v>916</v>
      </c>
      <c r="O21" s="43" t="s">
        <v>917</v>
      </c>
      <c r="P21" s="43" t="s">
        <v>925</v>
      </c>
      <c r="Q21" s="43">
        <v>110</v>
      </c>
      <c r="R21" s="43">
        <v>0</v>
      </c>
      <c r="S21" s="43">
        <v>0</v>
      </c>
      <c r="T21" s="42">
        <v>100</v>
      </c>
      <c r="U21" s="40" t="s">
        <v>7</v>
      </c>
    </row>
    <row r="22" spans="1:21" ht="28.5">
      <c r="A22" s="40" t="s">
        <v>926</v>
      </c>
      <c r="B22" s="40" t="s">
        <v>779</v>
      </c>
      <c r="C22" s="40" t="s">
        <v>927</v>
      </c>
      <c r="D22" s="40" t="s">
        <v>767</v>
      </c>
      <c r="E22" s="40" t="s">
        <v>799</v>
      </c>
      <c r="F22" s="40" t="s">
        <v>928</v>
      </c>
      <c r="G22" s="40" t="s">
        <v>770</v>
      </c>
      <c r="H22" s="40" t="s">
        <v>929</v>
      </c>
      <c r="I22" s="43">
        <v>0</v>
      </c>
      <c r="J22" s="43" t="s">
        <v>68</v>
      </c>
      <c r="K22" s="43">
        <v>70</v>
      </c>
      <c r="L22" s="43" t="s">
        <v>930</v>
      </c>
      <c r="M22" s="43" t="s">
        <v>931</v>
      </c>
      <c r="N22" s="43" t="s">
        <v>932</v>
      </c>
      <c r="O22" s="43" t="s">
        <v>933</v>
      </c>
      <c r="P22" s="43" t="s">
        <v>934</v>
      </c>
      <c r="Q22" s="43">
        <v>118</v>
      </c>
      <c r="R22" s="43">
        <v>0</v>
      </c>
      <c r="S22" s="43">
        <v>0</v>
      </c>
      <c r="T22" s="42">
        <v>101</v>
      </c>
      <c r="U22" s="40" t="s">
        <v>935</v>
      </c>
    </row>
    <row r="23" spans="1:21" ht="28.5">
      <c r="A23" s="40" t="s">
        <v>936</v>
      </c>
      <c r="B23" s="40" t="s">
        <v>937</v>
      </c>
      <c r="C23" s="40" t="s">
        <v>938</v>
      </c>
      <c r="D23" s="40" t="s">
        <v>910</v>
      </c>
      <c r="E23" s="40" t="s">
        <v>799</v>
      </c>
      <c r="F23" s="40" t="s">
        <v>939</v>
      </c>
      <c r="G23" s="40" t="s">
        <v>770</v>
      </c>
      <c r="H23" s="40" t="s">
        <v>940</v>
      </c>
      <c r="I23" s="43">
        <v>150</v>
      </c>
      <c r="J23" s="43" t="s">
        <v>941</v>
      </c>
      <c r="K23" s="43">
        <v>0</v>
      </c>
      <c r="L23" s="43" t="s">
        <v>68</v>
      </c>
      <c r="M23" s="43" t="s">
        <v>942</v>
      </c>
      <c r="N23" s="43" t="s">
        <v>932</v>
      </c>
      <c r="O23" s="43" t="s">
        <v>933</v>
      </c>
      <c r="P23" s="43" t="s">
        <v>855</v>
      </c>
      <c r="Q23" s="43">
        <v>135</v>
      </c>
      <c r="R23" s="43">
        <v>120</v>
      </c>
      <c r="S23" s="43">
        <v>180</v>
      </c>
      <c r="T23" s="42">
        <v>107</v>
      </c>
      <c r="U23" s="40" t="s">
        <v>943</v>
      </c>
    </row>
    <row r="24" spans="1:21" ht="28.5">
      <c r="A24" s="40" t="s">
        <v>944</v>
      </c>
      <c r="B24" s="40" t="s">
        <v>945</v>
      </c>
      <c r="C24" s="40" t="s">
        <v>946</v>
      </c>
      <c r="D24" s="40" t="s">
        <v>767</v>
      </c>
      <c r="E24" s="40" t="s">
        <v>799</v>
      </c>
      <c r="F24" s="40" t="s">
        <v>947</v>
      </c>
      <c r="G24" s="40" t="s">
        <v>770</v>
      </c>
      <c r="H24" s="40" t="s">
        <v>948</v>
      </c>
      <c r="I24" s="43">
        <v>0</v>
      </c>
      <c r="J24" s="43" t="s">
        <v>68</v>
      </c>
      <c r="K24" s="43">
        <v>20</v>
      </c>
      <c r="L24" s="43" t="s">
        <v>949</v>
      </c>
      <c r="M24" s="43" t="s">
        <v>950</v>
      </c>
      <c r="N24" s="43" t="s">
        <v>932</v>
      </c>
      <c r="O24" s="43" t="s">
        <v>933</v>
      </c>
      <c r="P24" s="43" t="s">
        <v>951</v>
      </c>
      <c r="Q24" s="43">
        <v>112</v>
      </c>
      <c r="R24" s="43">
        <v>0</v>
      </c>
      <c r="S24" s="43">
        <v>0</v>
      </c>
      <c r="T24" s="42">
        <v>114</v>
      </c>
      <c r="U24" s="40" t="s">
        <v>952</v>
      </c>
    </row>
    <row r="25" spans="1:21" ht="28.5">
      <c r="A25" s="40" t="s">
        <v>953</v>
      </c>
      <c r="B25" s="40" t="s">
        <v>816</v>
      </c>
      <c r="C25" s="40" t="s">
        <v>954</v>
      </c>
      <c r="D25" s="40" t="s">
        <v>767</v>
      </c>
      <c r="E25" s="40" t="s">
        <v>819</v>
      </c>
      <c r="F25" s="40" t="s">
        <v>955</v>
      </c>
      <c r="G25" s="40" t="s">
        <v>821</v>
      </c>
      <c r="H25" s="40" t="s">
        <v>956</v>
      </c>
      <c r="I25" s="43">
        <v>0</v>
      </c>
      <c r="J25" s="43" t="s">
        <v>68</v>
      </c>
      <c r="K25" s="43">
        <v>0</v>
      </c>
      <c r="L25" s="43" t="s">
        <v>68</v>
      </c>
      <c r="M25" s="43" t="s">
        <v>957</v>
      </c>
      <c r="N25" s="43" t="s">
        <v>68</v>
      </c>
      <c r="O25" s="43" t="s">
        <v>68</v>
      </c>
      <c r="P25" s="43" t="s">
        <v>958</v>
      </c>
      <c r="Q25" s="43">
        <v>20</v>
      </c>
      <c r="R25" s="43">
        <v>0</v>
      </c>
      <c r="S25" s="43">
        <v>0</v>
      </c>
      <c r="T25" s="42">
        <v>109</v>
      </c>
      <c r="U25" s="40" t="s">
        <v>825</v>
      </c>
    </row>
    <row r="26" spans="1:21">
      <c r="A26" s="40" t="s">
        <v>959</v>
      </c>
      <c r="B26" s="40" t="s">
        <v>816</v>
      </c>
      <c r="C26" s="40" t="s">
        <v>960</v>
      </c>
      <c r="D26" s="40" t="s">
        <v>818</v>
      </c>
      <c r="E26" s="40" t="s">
        <v>961</v>
      </c>
      <c r="F26" s="40" t="s">
        <v>962</v>
      </c>
      <c r="G26" s="40" t="s">
        <v>821</v>
      </c>
      <c r="H26" s="40" t="s">
        <v>963</v>
      </c>
      <c r="I26" s="43">
        <v>0</v>
      </c>
      <c r="J26" s="43" t="s">
        <v>68</v>
      </c>
      <c r="K26" s="43">
        <v>0</v>
      </c>
      <c r="L26" s="43" t="s">
        <v>68</v>
      </c>
      <c r="M26" s="43" t="s">
        <v>964</v>
      </c>
      <c r="N26" s="43" t="s">
        <v>68</v>
      </c>
      <c r="O26" s="43" t="s">
        <v>68</v>
      </c>
      <c r="P26" s="43" t="s">
        <v>844</v>
      </c>
      <c r="Q26" s="43">
        <v>1</v>
      </c>
      <c r="R26" s="43">
        <v>0</v>
      </c>
      <c r="S26" s="43">
        <v>0</v>
      </c>
      <c r="T26" s="42">
        <v>104</v>
      </c>
      <c r="U26" s="40" t="s">
        <v>965</v>
      </c>
    </row>
    <row r="27" spans="1:2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</row>
    <row r="28" spans="1:2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</row>
    <row r="29" spans="1:2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</row>
    <row r="30" spans="1:2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</row>
  </sheetData>
  <mergeCells count="2">
    <mergeCell ref="A1:U1"/>
    <mergeCell ref="A2:U2"/>
  </mergeCells>
  <phoneticPr fontId="8" type="noConversion"/>
  <conditionalFormatting sqref="R5:S26">
    <cfRule type="expression" dxfId="1" priority="1">
      <formula>AND($R5&lt;&gt;0,$S5&lt;&gt;0,$R5&gt;$S5)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7"/>
  <sheetViews>
    <sheetView workbookViewId="0"/>
  </sheetViews>
  <sheetFormatPr defaultRowHeight="14.25"/>
  <cols>
    <col min="1" max="1" width="18" customWidth="1"/>
    <col min="2" max="2" width="10" customWidth="1"/>
    <col min="3" max="3" width="8" customWidth="1"/>
    <col min="4" max="4" width="30" customWidth="1"/>
    <col min="5" max="5" width="22" customWidth="1"/>
    <col min="6" max="6" width="18" customWidth="1"/>
    <col min="7" max="7" width="16" customWidth="1"/>
    <col min="8" max="8" width="22" customWidth="1"/>
    <col min="9" max="9" width="14" customWidth="1"/>
    <col min="10" max="10" width="38" customWidth="1"/>
    <col min="11" max="12" width="10" customWidth="1"/>
    <col min="13" max="13" width="20" customWidth="1"/>
    <col min="14" max="16" width="10" customWidth="1"/>
    <col min="17" max="17" width="20" customWidth="1"/>
    <col min="18" max="19" width="10" customWidth="1"/>
    <col min="20" max="20" width="20" customWidth="1"/>
    <col min="21" max="21" width="10" customWidth="1"/>
    <col min="22" max="22" width="20" customWidth="1"/>
    <col min="23" max="23" width="10" customWidth="1"/>
    <col min="24" max="24" width="20" customWidth="1"/>
    <col min="25" max="25" width="10" customWidth="1"/>
    <col min="26" max="26" width="20" customWidth="1"/>
    <col min="27" max="27" width="10" customWidth="1"/>
    <col min="28" max="28" width="12" customWidth="1"/>
    <col min="29" max="29" width="16" customWidth="1"/>
    <col min="30" max="30" width="12" customWidth="1"/>
    <col min="31" max="31" width="34" customWidth="1"/>
    <col min="32" max="32" width="12" customWidth="1"/>
    <col min="33" max="33" width="22" customWidth="1"/>
    <col min="34" max="34" width="40" customWidth="1"/>
    <col min="36" max="36" width="18" customWidth="1"/>
    <col min="37" max="37" width="12" customWidth="1"/>
  </cols>
  <sheetData>
    <row r="1" spans="1:37" ht="27.95" customHeight="1">
      <c r="A1" s="68" t="s">
        <v>966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70"/>
      <c r="AJ1" s="74" t="s">
        <v>967</v>
      </c>
      <c r="AK1" s="75"/>
    </row>
    <row r="2" spans="1:37" ht="42" customHeight="1">
      <c r="A2" s="71" t="s">
        <v>968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3"/>
      <c r="AJ2" s="44"/>
      <c r="AK2" s="46"/>
    </row>
    <row r="3" spans="1:37" ht="15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6"/>
      <c r="AJ3" s="47" t="s">
        <v>969</v>
      </c>
      <c r="AK3" s="49" t="s">
        <v>620</v>
      </c>
    </row>
    <row r="4" spans="1:37" ht="42" customHeight="1">
      <c r="A4" s="47" t="s">
        <v>11</v>
      </c>
      <c r="B4" s="48" t="s">
        <v>12</v>
      </c>
      <c r="C4" s="48" t="s">
        <v>33</v>
      </c>
      <c r="D4" s="48" t="s">
        <v>626</v>
      </c>
      <c r="E4" s="48" t="s">
        <v>970</v>
      </c>
      <c r="F4" s="48" t="s">
        <v>971</v>
      </c>
      <c r="G4" s="48" t="s">
        <v>969</v>
      </c>
      <c r="H4" s="48" t="s">
        <v>972</v>
      </c>
      <c r="I4" s="48" t="s">
        <v>973</v>
      </c>
      <c r="J4" s="48" t="s">
        <v>974</v>
      </c>
      <c r="K4" s="48" t="s">
        <v>975</v>
      </c>
      <c r="L4" s="48" t="s">
        <v>751</v>
      </c>
      <c r="M4" s="48" t="s">
        <v>976</v>
      </c>
      <c r="N4" s="48" t="s">
        <v>752</v>
      </c>
      <c r="O4" s="48" t="s">
        <v>631</v>
      </c>
      <c r="P4" s="48" t="s">
        <v>753</v>
      </c>
      <c r="Q4" s="48" t="s">
        <v>977</v>
      </c>
      <c r="R4" s="48" t="s">
        <v>754</v>
      </c>
      <c r="S4" s="48" t="s">
        <v>635</v>
      </c>
      <c r="T4" s="48" t="s">
        <v>978</v>
      </c>
      <c r="U4" s="48" t="s">
        <v>979</v>
      </c>
      <c r="V4" s="48" t="s">
        <v>980</v>
      </c>
      <c r="W4" s="48" t="s">
        <v>981</v>
      </c>
      <c r="X4" s="48" t="s">
        <v>982</v>
      </c>
      <c r="Y4" s="48" t="s">
        <v>983</v>
      </c>
      <c r="Z4" s="48" t="s">
        <v>984</v>
      </c>
      <c r="AA4" s="48" t="s">
        <v>985</v>
      </c>
      <c r="AB4" s="48" t="s">
        <v>986</v>
      </c>
      <c r="AC4" s="48" t="s">
        <v>987</v>
      </c>
      <c r="AD4" s="48" t="s">
        <v>988</v>
      </c>
      <c r="AE4" s="48" t="s">
        <v>989</v>
      </c>
      <c r="AF4" s="48" t="s">
        <v>990</v>
      </c>
      <c r="AG4" s="48" t="s">
        <v>991</v>
      </c>
      <c r="AH4" s="49" t="s">
        <v>763</v>
      </c>
      <c r="AJ4" s="50" t="s">
        <v>992</v>
      </c>
      <c r="AK4" s="52">
        <v>40</v>
      </c>
    </row>
    <row r="5" spans="1:37" ht="45" customHeight="1">
      <c r="A5" s="50" t="s">
        <v>58</v>
      </c>
      <c r="B5" s="60">
        <v>1</v>
      </c>
      <c r="C5" s="60">
        <v>1</v>
      </c>
      <c r="D5" s="56" t="s">
        <v>59</v>
      </c>
      <c r="E5" s="56" t="s">
        <v>993</v>
      </c>
      <c r="F5" s="51" t="s">
        <v>68</v>
      </c>
      <c r="G5" s="51" t="s">
        <v>992</v>
      </c>
      <c r="H5" s="56" t="s">
        <v>68</v>
      </c>
      <c r="I5" s="51" t="s">
        <v>68</v>
      </c>
      <c r="J5" s="56" t="s">
        <v>994</v>
      </c>
      <c r="K5" s="60">
        <v>0</v>
      </c>
      <c r="L5" s="60">
        <v>0</v>
      </c>
      <c r="M5" s="56" t="s">
        <v>68</v>
      </c>
      <c r="N5" s="60">
        <v>0</v>
      </c>
      <c r="O5" s="60">
        <f t="shared" ref="O5:O36" si="0">L5+N5</f>
        <v>0</v>
      </c>
      <c r="P5" s="60">
        <v>0</v>
      </c>
      <c r="Q5" s="56" t="s">
        <v>68</v>
      </c>
      <c r="R5" s="60">
        <v>0</v>
      </c>
      <c r="S5" s="60">
        <f t="shared" ref="S5:S36" si="1">P5+R5</f>
        <v>0</v>
      </c>
      <c r="T5" s="56" t="s">
        <v>68</v>
      </c>
      <c r="U5" s="60">
        <v>0</v>
      </c>
      <c r="V5" s="56" t="s">
        <v>68</v>
      </c>
      <c r="W5" s="60">
        <v>0</v>
      </c>
      <c r="X5" s="56" t="s">
        <v>68</v>
      </c>
      <c r="Y5" s="60">
        <v>0</v>
      </c>
      <c r="Z5" s="56" t="s">
        <v>68</v>
      </c>
      <c r="AA5" s="60">
        <v>0</v>
      </c>
      <c r="AB5" s="60">
        <f t="shared" ref="AB5:AB36" si="2">SUM(U5,W5,Y5,AA5)</f>
        <v>0</v>
      </c>
      <c r="AC5" s="62"/>
      <c r="AD5" s="60">
        <v>0</v>
      </c>
      <c r="AE5" s="56" t="s">
        <v>995</v>
      </c>
      <c r="AF5" s="60">
        <v>0</v>
      </c>
      <c r="AG5" s="56" t="s">
        <v>68</v>
      </c>
      <c r="AH5" s="58" t="s">
        <v>996</v>
      </c>
      <c r="AJ5" s="50" t="s">
        <v>997</v>
      </c>
      <c r="AK5" s="52">
        <v>12</v>
      </c>
    </row>
    <row r="6" spans="1:37" ht="45" customHeight="1">
      <c r="A6" s="50" t="s">
        <v>58</v>
      </c>
      <c r="B6" s="60">
        <v>2</v>
      </c>
      <c r="C6" s="60">
        <v>1</v>
      </c>
      <c r="D6" s="56" t="s">
        <v>74</v>
      </c>
      <c r="E6" s="56" t="s">
        <v>993</v>
      </c>
      <c r="F6" s="51" t="s">
        <v>68</v>
      </c>
      <c r="G6" s="51" t="s">
        <v>992</v>
      </c>
      <c r="H6" s="56" t="s">
        <v>68</v>
      </c>
      <c r="I6" s="51" t="s">
        <v>68</v>
      </c>
      <c r="J6" s="56" t="s">
        <v>994</v>
      </c>
      <c r="K6" s="60">
        <v>0</v>
      </c>
      <c r="L6" s="60">
        <v>0</v>
      </c>
      <c r="M6" s="56" t="s">
        <v>68</v>
      </c>
      <c r="N6" s="60">
        <v>0</v>
      </c>
      <c r="O6" s="60">
        <f t="shared" si="0"/>
        <v>0</v>
      </c>
      <c r="P6" s="60">
        <v>0</v>
      </c>
      <c r="Q6" s="56" t="s">
        <v>68</v>
      </c>
      <c r="R6" s="60">
        <v>0</v>
      </c>
      <c r="S6" s="60">
        <f t="shared" si="1"/>
        <v>0</v>
      </c>
      <c r="T6" s="56" t="s">
        <v>68</v>
      </c>
      <c r="U6" s="60">
        <v>0</v>
      </c>
      <c r="V6" s="56" t="s">
        <v>68</v>
      </c>
      <c r="W6" s="60">
        <v>0</v>
      </c>
      <c r="X6" s="56" t="s">
        <v>68</v>
      </c>
      <c r="Y6" s="60">
        <v>0</v>
      </c>
      <c r="Z6" s="56" t="s">
        <v>68</v>
      </c>
      <c r="AA6" s="60">
        <v>0</v>
      </c>
      <c r="AB6" s="60">
        <f t="shared" si="2"/>
        <v>0</v>
      </c>
      <c r="AC6" s="62"/>
      <c r="AD6" s="60">
        <v>0</v>
      </c>
      <c r="AE6" s="56" t="s">
        <v>995</v>
      </c>
      <c r="AF6" s="60">
        <v>0</v>
      </c>
      <c r="AG6" s="56" t="s">
        <v>68</v>
      </c>
      <c r="AH6" s="58" t="s">
        <v>996</v>
      </c>
      <c r="AJ6" s="50" t="s">
        <v>998</v>
      </c>
      <c r="AK6" s="52">
        <v>28</v>
      </c>
    </row>
    <row r="7" spans="1:37" ht="45" customHeight="1">
      <c r="A7" s="50" t="s">
        <v>58</v>
      </c>
      <c r="B7" s="60">
        <v>3</v>
      </c>
      <c r="C7" s="60">
        <v>1</v>
      </c>
      <c r="D7" s="56" t="s">
        <v>85</v>
      </c>
      <c r="E7" s="56" t="s">
        <v>993</v>
      </c>
      <c r="F7" s="51" t="s">
        <v>68</v>
      </c>
      <c r="G7" s="51" t="s">
        <v>992</v>
      </c>
      <c r="H7" s="56" t="s">
        <v>68</v>
      </c>
      <c r="I7" s="51" t="s">
        <v>68</v>
      </c>
      <c r="J7" s="56" t="s">
        <v>994</v>
      </c>
      <c r="K7" s="60">
        <v>0</v>
      </c>
      <c r="L7" s="60">
        <v>0</v>
      </c>
      <c r="M7" s="56" t="s">
        <v>68</v>
      </c>
      <c r="N7" s="60">
        <v>0</v>
      </c>
      <c r="O7" s="60">
        <f t="shared" si="0"/>
        <v>0</v>
      </c>
      <c r="P7" s="60">
        <v>0</v>
      </c>
      <c r="Q7" s="56" t="s">
        <v>68</v>
      </c>
      <c r="R7" s="60">
        <v>0</v>
      </c>
      <c r="S7" s="60">
        <f t="shared" si="1"/>
        <v>0</v>
      </c>
      <c r="T7" s="56" t="s">
        <v>68</v>
      </c>
      <c r="U7" s="60">
        <v>0</v>
      </c>
      <c r="V7" s="56" t="s">
        <v>68</v>
      </c>
      <c r="W7" s="60">
        <v>0</v>
      </c>
      <c r="X7" s="56" t="s">
        <v>68</v>
      </c>
      <c r="Y7" s="60">
        <v>0</v>
      </c>
      <c r="Z7" s="56" t="s">
        <v>68</v>
      </c>
      <c r="AA7" s="60">
        <v>0</v>
      </c>
      <c r="AB7" s="60">
        <f t="shared" si="2"/>
        <v>0</v>
      </c>
      <c r="AC7" s="62"/>
      <c r="AD7" s="60">
        <v>0</v>
      </c>
      <c r="AE7" s="56" t="s">
        <v>995</v>
      </c>
      <c r="AF7" s="60">
        <v>0</v>
      </c>
      <c r="AG7" s="56" t="s">
        <v>68</v>
      </c>
      <c r="AH7" s="58" t="s">
        <v>996</v>
      </c>
      <c r="AJ7" s="50" t="s">
        <v>999</v>
      </c>
      <c r="AK7" s="52">
        <v>27</v>
      </c>
    </row>
    <row r="8" spans="1:37" ht="45" customHeight="1">
      <c r="A8" s="50" t="s">
        <v>58</v>
      </c>
      <c r="B8" s="60">
        <v>4</v>
      </c>
      <c r="C8" s="60">
        <v>1</v>
      </c>
      <c r="D8" s="56" t="s">
        <v>89</v>
      </c>
      <c r="E8" s="56" t="s">
        <v>993</v>
      </c>
      <c r="F8" s="51" t="s">
        <v>68</v>
      </c>
      <c r="G8" s="51" t="s">
        <v>992</v>
      </c>
      <c r="H8" s="56" t="s">
        <v>68</v>
      </c>
      <c r="I8" s="51" t="s">
        <v>68</v>
      </c>
      <c r="J8" s="56" t="s">
        <v>994</v>
      </c>
      <c r="K8" s="60">
        <v>0</v>
      </c>
      <c r="L8" s="60">
        <v>0</v>
      </c>
      <c r="M8" s="56" t="s">
        <v>68</v>
      </c>
      <c r="N8" s="60">
        <v>0</v>
      </c>
      <c r="O8" s="60">
        <f t="shared" si="0"/>
        <v>0</v>
      </c>
      <c r="P8" s="60">
        <v>0</v>
      </c>
      <c r="Q8" s="56" t="s">
        <v>68</v>
      </c>
      <c r="R8" s="60">
        <v>0</v>
      </c>
      <c r="S8" s="60">
        <f t="shared" si="1"/>
        <v>0</v>
      </c>
      <c r="T8" s="56" t="s">
        <v>68</v>
      </c>
      <c r="U8" s="60">
        <v>0</v>
      </c>
      <c r="V8" s="56" t="s">
        <v>68</v>
      </c>
      <c r="W8" s="60">
        <v>0</v>
      </c>
      <c r="X8" s="56" t="s">
        <v>68</v>
      </c>
      <c r="Y8" s="60">
        <v>0</v>
      </c>
      <c r="Z8" s="56" t="s">
        <v>68</v>
      </c>
      <c r="AA8" s="60">
        <v>0</v>
      </c>
      <c r="AB8" s="60">
        <f t="shared" si="2"/>
        <v>0</v>
      </c>
      <c r="AC8" s="62"/>
      <c r="AD8" s="60">
        <v>0</v>
      </c>
      <c r="AE8" s="56" t="s">
        <v>995</v>
      </c>
      <c r="AF8" s="60">
        <v>0</v>
      </c>
      <c r="AG8" s="56" t="s">
        <v>68</v>
      </c>
      <c r="AH8" s="58" t="s">
        <v>996</v>
      </c>
      <c r="AJ8" s="50" t="s">
        <v>1000</v>
      </c>
      <c r="AK8" s="52">
        <v>2</v>
      </c>
    </row>
    <row r="9" spans="1:37" ht="45" customHeight="1">
      <c r="A9" s="50" t="s">
        <v>58</v>
      </c>
      <c r="B9" s="60">
        <v>5</v>
      </c>
      <c r="C9" s="60">
        <v>2</v>
      </c>
      <c r="D9" s="56" t="s">
        <v>90</v>
      </c>
      <c r="E9" s="56" t="s">
        <v>90</v>
      </c>
      <c r="F9" s="51" t="s">
        <v>1001</v>
      </c>
      <c r="G9" s="51" t="s">
        <v>997</v>
      </c>
      <c r="H9" s="56" t="s">
        <v>1002</v>
      </c>
      <c r="I9" s="51" t="s">
        <v>1003</v>
      </c>
      <c r="J9" s="56" t="s">
        <v>1004</v>
      </c>
      <c r="K9" s="60">
        <v>84</v>
      </c>
      <c r="L9" s="60">
        <v>8</v>
      </c>
      <c r="M9" s="56" t="s">
        <v>1005</v>
      </c>
      <c r="N9" s="60">
        <v>1</v>
      </c>
      <c r="O9" s="60">
        <f t="shared" si="0"/>
        <v>9</v>
      </c>
      <c r="P9" s="60">
        <v>4</v>
      </c>
      <c r="Q9" s="56" t="s">
        <v>1006</v>
      </c>
      <c r="R9" s="60">
        <v>1</v>
      </c>
      <c r="S9" s="60">
        <f t="shared" si="1"/>
        <v>5</v>
      </c>
      <c r="T9" s="56" t="s">
        <v>1007</v>
      </c>
      <c r="U9" s="60">
        <v>50</v>
      </c>
      <c r="V9" s="56" t="s">
        <v>1008</v>
      </c>
      <c r="W9" s="60">
        <v>30</v>
      </c>
      <c r="X9" s="56" t="s">
        <v>1009</v>
      </c>
      <c r="Y9" s="60">
        <v>20</v>
      </c>
      <c r="Z9" s="56" t="s">
        <v>68</v>
      </c>
      <c r="AA9" s="60">
        <v>0</v>
      </c>
      <c r="AB9" s="60">
        <f t="shared" si="2"/>
        <v>100</v>
      </c>
      <c r="AC9" s="62">
        <v>8.6805555555555551E-4</v>
      </c>
      <c r="AD9" s="60">
        <v>3</v>
      </c>
      <c r="AE9" s="56" t="s">
        <v>97</v>
      </c>
      <c r="AF9" s="60">
        <v>20</v>
      </c>
      <c r="AG9" s="56" t="s">
        <v>68</v>
      </c>
      <c r="AH9" s="58" t="s">
        <v>1010</v>
      </c>
      <c r="AJ9" s="50" t="s">
        <v>1011</v>
      </c>
      <c r="AK9" s="52">
        <v>0</v>
      </c>
    </row>
    <row r="10" spans="1:37" ht="45" customHeight="1">
      <c r="A10" s="50" t="s">
        <v>58</v>
      </c>
      <c r="B10" s="60">
        <v>6</v>
      </c>
      <c r="C10" s="60">
        <v>2</v>
      </c>
      <c r="D10" s="56" t="s">
        <v>100</v>
      </c>
      <c r="E10" s="56" t="s">
        <v>993</v>
      </c>
      <c r="F10" s="51" t="s">
        <v>68</v>
      </c>
      <c r="G10" s="51" t="s">
        <v>992</v>
      </c>
      <c r="H10" s="56" t="s">
        <v>68</v>
      </c>
      <c r="I10" s="51" t="s">
        <v>68</v>
      </c>
      <c r="J10" s="56" t="s">
        <v>994</v>
      </c>
      <c r="K10" s="60">
        <v>0</v>
      </c>
      <c r="L10" s="60">
        <v>0</v>
      </c>
      <c r="M10" s="56" t="s">
        <v>68</v>
      </c>
      <c r="N10" s="60">
        <v>0</v>
      </c>
      <c r="O10" s="60">
        <f t="shared" si="0"/>
        <v>0</v>
      </c>
      <c r="P10" s="60">
        <v>0</v>
      </c>
      <c r="Q10" s="56" t="s">
        <v>68</v>
      </c>
      <c r="R10" s="60">
        <v>0</v>
      </c>
      <c r="S10" s="60">
        <f t="shared" si="1"/>
        <v>0</v>
      </c>
      <c r="T10" s="56" t="s">
        <v>68</v>
      </c>
      <c r="U10" s="60">
        <v>0</v>
      </c>
      <c r="V10" s="56" t="s">
        <v>68</v>
      </c>
      <c r="W10" s="60">
        <v>0</v>
      </c>
      <c r="X10" s="56" t="s">
        <v>68</v>
      </c>
      <c r="Y10" s="60">
        <v>0</v>
      </c>
      <c r="Z10" s="56" t="s">
        <v>68</v>
      </c>
      <c r="AA10" s="60">
        <v>0</v>
      </c>
      <c r="AB10" s="60">
        <f t="shared" si="2"/>
        <v>0</v>
      </c>
      <c r="AC10" s="62"/>
      <c r="AD10" s="60">
        <v>0</v>
      </c>
      <c r="AE10" s="56" t="s">
        <v>995</v>
      </c>
      <c r="AF10" s="60">
        <v>0</v>
      </c>
      <c r="AG10" s="56" t="s">
        <v>68</v>
      </c>
      <c r="AH10" s="58" t="s">
        <v>996</v>
      </c>
      <c r="AJ10" s="50" t="s">
        <v>1012</v>
      </c>
      <c r="AK10" s="52">
        <v>5</v>
      </c>
    </row>
    <row r="11" spans="1:37" ht="45" customHeight="1">
      <c r="A11" s="50" t="s">
        <v>58</v>
      </c>
      <c r="B11" s="60">
        <v>7</v>
      </c>
      <c r="C11" s="60">
        <v>2</v>
      </c>
      <c r="D11" s="56" t="s">
        <v>107</v>
      </c>
      <c r="E11" s="56" t="s">
        <v>1013</v>
      </c>
      <c r="F11" s="51" t="s">
        <v>1001</v>
      </c>
      <c r="G11" s="51" t="s">
        <v>997</v>
      </c>
      <c r="H11" s="56" t="s">
        <v>1014</v>
      </c>
      <c r="I11" s="51" t="s">
        <v>1003</v>
      </c>
      <c r="J11" s="56" t="s">
        <v>1015</v>
      </c>
      <c r="K11" s="60">
        <v>84</v>
      </c>
      <c r="L11" s="60">
        <v>8</v>
      </c>
      <c r="M11" s="56" t="s">
        <v>1005</v>
      </c>
      <c r="N11" s="60">
        <v>1</v>
      </c>
      <c r="O11" s="60">
        <f t="shared" si="0"/>
        <v>9</v>
      </c>
      <c r="P11" s="60">
        <v>4</v>
      </c>
      <c r="Q11" s="56" t="s">
        <v>1006</v>
      </c>
      <c r="R11" s="60">
        <v>1</v>
      </c>
      <c r="S11" s="60">
        <f t="shared" si="1"/>
        <v>5</v>
      </c>
      <c r="T11" s="56" t="s">
        <v>1007</v>
      </c>
      <c r="U11" s="60">
        <v>50</v>
      </c>
      <c r="V11" s="56" t="s">
        <v>1008</v>
      </c>
      <c r="W11" s="60">
        <v>30</v>
      </c>
      <c r="X11" s="56" t="s">
        <v>1009</v>
      </c>
      <c r="Y11" s="60">
        <v>20</v>
      </c>
      <c r="Z11" s="56" t="s">
        <v>68</v>
      </c>
      <c r="AA11" s="60">
        <v>0</v>
      </c>
      <c r="AB11" s="60">
        <f t="shared" si="2"/>
        <v>100</v>
      </c>
      <c r="AC11" s="62">
        <v>1.273148148148148E-3</v>
      </c>
      <c r="AD11" s="60">
        <v>3</v>
      </c>
      <c r="AE11" s="56" t="s">
        <v>114</v>
      </c>
      <c r="AF11" s="60">
        <v>20</v>
      </c>
      <c r="AG11" s="56" t="s">
        <v>68</v>
      </c>
      <c r="AH11" s="58" t="s">
        <v>1010</v>
      </c>
      <c r="AJ11" s="53" t="s">
        <v>1016</v>
      </c>
      <c r="AK11" s="55">
        <v>9</v>
      </c>
    </row>
    <row r="12" spans="1:37" ht="45" customHeight="1">
      <c r="A12" s="50" t="s">
        <v>58</v>
      </c>
      <c r="B12" s="60">
        <v>8</v>
      </c>
      <c r="C12" s="60">
        <v>2</v>
      </c>
      <c r="D12" s="56" t="s">
        <v>116</v>
      </c>
      <c r="E12" s="56" t="s">
        <v>116</v>
      </c>
      <c r="F12" s="51" t="s">
        <v>1001</v>
      </c>
      <c r="G12" s="51" t="s">
        <v>997</v>
      </c>
      <c r="H12" s="56" t="s">
        <v>1002</v>
      </c>
      <c r="I12" s="51" t="s">
        <v>1003</v>
      </c>
      <c r="J12" s="56" t="s">
        <v>1004</v>
      </c>
      <c r="K12" s="60">
        <v>84</v>
      </c>
      <c r="L12" s="60">
        <v>8</v>
      </c>
      <c r="M12" s="56" t="s">
        <v>1005</v>
      </c>
      <c r="N12" s="60">
        <v>1</v>
      </c>
      <c r="O12" s="60">
        <f t="shared" si="0"/>
        <v>9</v>
      </c>
      <c r="P12" s="60">
        <v>4</v>
      </c>
      <c r="Q12" s="56" t="s">
        <v>1006</v>
      </c>
      <c r="R12" s="60">
        <v>1</v>
      </c>
      <c r="S12" s="60">
        <f t="shared" si="1"/>
        <v>5</v>
      </c>
      <c r="T12" s="56" t="s">
        <v>1007</v>
      </c>
      <c r="U12" s="60">
        <v>50</v>
      </c>
      <c r="V12" s="56" t="s">
        <v>1008</v>
      </c>
      <c r="W12" s="60">
        <v>30</v>
      </c>
      <c r="X12" s="56" t="s">
        <v>1009</v>
      </c>
      <c r="Y12" s="60">
        <v>20</v>
      </c>
      <c r="Z12" s="56" t="s">
        <v>68</v>
      </c>
      <c r="AA12" s="60">
        <v>0</v>
      </c>
      <c r="AB12" s="60">
        <f t="shared" si="2"/>
        <v>100</v>
      </c>
      <c r="AC12" s="62">
        <v>3.4722222222222224E-4</v>
      </c>
      <c r="AD12" s="60">
        <v>1</v>
      </c>
      <c r="AE12" s="56" t="s">
        <v>97</v>
      </c>
      <c r="AF12" s="60">
        <v>16</v>
      </c>
      <c r="AG12" s="56" t="s">
        <v>68</v>
      </c>
      <c r="AH12" s="58" t="s">
        <v>1010</v>
      </c>
    </row>
    <row r="13" spans="1:37" ht="45" customHeight="1">
      <c r="A13" s="50" t="s">
        <v>58</v>
      </c>
      <c r="B13" s="60">
        <v>9</v>
      </c>
      <c r="C13" s="60">
        <v>3</v>
      </c>
      <c r="D13" s="56" t="s">
        <v>128</v>
      </c>
      <c r="E13" s="56" t="s">
        <v>993</v>
      </c>
      <c r="F13" s="51" t="s">
        <v>68</v>
      </c>
      <c r="G13" s="51" t="s">
        <v>992</v>
      </c>
      <c r="H13" s="56" t="s">
        <v>68</v>
      </c>
      <c r="I13" s="51" t="s">
        <v>68</v>
      </c>
      <c r="J13" s="56" t="s">
        <v>994</v>
      </c>
      <c r="K13" s="60">
        <v>0</v>
      </c>
      <c r="L13" s="60">
        <v>0</v>
      </c>
      <c r="M13" s="56" t="s">
        <v>68</v>
      </c>
      <c r="N13" s="60">
        <v>0</v>
      </c>
      <c r="O13" s="60">
        <f t="shared" si="0"/>
        <v>0</v>
      </c>
      <c r="P13" s="60">
        <v>0</v>
      </c>
      <c r="Q13" s="56" t="s">
        <v>68</v>
      </c>
      <c r="R13" s="60">
        <v>0</v>
      </c>
      <c r="S13" s="60">
        <f t="shared" si="1"/>
        <v>0</v>
      </c>
      <c r="T13" s="56" t="s">
        <v>68</v>
      </c>
      <c r="U13" s="60">
        <v>0</v>
      </c>
      <c r="V13" s="56" t="s">
        <v>68</v>
      </c>
      <c r="W13" s="60">
        <v>0</v>
      </c>
      <c r="X13" s="56" t="s">
        <v>68</v>
      </c>
      <c r="Y13" s="60">
        <v>0</v>
      </c>
      <c r="Z13" s="56" t="s">
        <v>68</v>
      </c>
      <c r="AA13" s="60">
        <v>0</v>
      </c>
      <c r="AB13" s="60">
        <f t="shared" si="2"/>
        <v>0</v>
      </c>
      <c r="AC13" s="62"/>
      <c r="AD13" s="60">
        <v>0</v>
      </c>
      <c r="AE13" s="56" t="s">
        <v>995</v>
      </c>
      <c r="AF13" s="60">
        <v>0</v>
      </c>
      <c r="AG13" s="56" t="s">
        <v>68</v>
      </c>
      <c r="AH13" s="58" t="s">
        <v>996</v>
      </c>
    </row>
    <row r="14" spans="1:37" ht="45" customHeight="1">
      <c r="A14" s="50" t="s">
        <v>58</v>
      </c>
      <c r="B14" s="60">
        <v>10</v>
      </c>
      <c r="C14" s="60">
        <v>3</v>
      </c>
      <c r="D14" s="56" t="s">
        <v>131</v>
      </c>
      <c r="E14" s="56" t="s">
        <v>1017</v>
      </c>
      <c r="F14" s="51" t="s">
        <v>1001</v>
      </c>
      <c r="G14" s="51" t="s">
        <v>997</v>
      </c>
      <c r="H14" s="56" t="s">
        <v>1002</v>
      </c>
      <c r="I14" s="51" t="s">
        <v>1003</v>
      </c>
      <c r="J14" s="56" t="s">
        <v>1004</v>
      </c>
      <c r="K14" s="60">
        <v>96</v>
      </c>
      <c r="L14" s="60">
        <v>10</v>
      </c>
      <c r="M14" s="56" t="s">
        <v>1005</v>
      </c>
      <c r="N14" s="60">
        <v>1</v>
      </c>
      <c r="O14" s="60">
        <f t="shared" si="0"/>
        <v>11</v>
      </c>
      <c r="P14" s="60">
        <v>4</v>
      </c>
      <c r="Q14" s="56" t="s">
        <v>1006</v>
      </c>
      <c r="R14" s="60">
        <v>1</v>
      </c>
      <c r="S14" s="60">
        <f t="shared" si="1"/>
        <v>5</v>
      </c>
      <c r="T14" s="56" t="s">
        <v>1007</v>
      </c>
      <c r="U14" s="60">
        <v>50</v>
      </c>
      <c r="V14" s="56" t="s">
        <v>1008</v>
      </c>
      <c r="W14" s="60">
        <v>30</v>
      </c>
      <c r="X14" s="56" t="s">
        <v>1009</v>
      </c>
      <c r="Y14" s="60">
        <v>20</v>
      </c>
      <c r="Z14" s="56" t="s">
        <v>68</v>
      </c>
      <c r="AA14" s="60">
        <v>0</v>
      </c>
      <c r="AB14" s="60">
        <f t="shared" si="2"/>
        <v>100</v>
      </c>
      <c r="AC14" s="62">
        <v>5.7870370370370378E-4</v>
      </c>
      <c r="AD14" s="60">
        <v>1</v>
      </c>
      <c r="AE14" s="56" t="s">
        <v>97</v>
      </c>
      <c r="AF14" s="60">
        <v>21</v>
      </c>
      <c r="AG14" s="56" t="s">
        <v>68</v>
      </c>
      <c r="AH14" s="58" t="s">
        <v>1018</v>
      </c>
    </row>
    <row r="15" spans="1:37" ht="45" customHeight="1">
      <c r="A15" s="50" t="s">
        <v>58</v>
      </c>
      <c r="B15" s="60">
        <v>11</v>
      </c>
      <c r="C15" s="60">
        <v>3</v>
      </c>
      <c r="D15" s="56" t="s">
        <v>132</v>
      </c>
      <c r="E15" s="56" t="s">
        <v>1017</v>
      </c>
      <c r="F15" s="51" t="s">
        <v>1001</v>
      </c>
      <c r="G15" s="51" t="s">
        <v>997</v>
      </c>
      <c r="H15" s="56" t="s">
        <v>1002</v>
      </c>
      <c r="I15" s="51" t="s">
        <v>1003</v>
      </c>
      <c r="J15" s="56" t="s">
        <v>1004</v>
      </c>
      <c r="K15" s="60">
        <v>96</v>
      </c>
      <c r="L15" s="60">
        <v>10</v>
      </c>
      <c r="M15" s="56" t="s">
        <v>1005</v>
      </c>
      <c r="N15" s="60">
        <v>1</v>
      </c>
      <c r="O15" s="60">
        <f t="shared" si="0"/>
        <v>11</v>
      </c>
      <c r="P15" s="60">
        <v>4</v>
      </c>
      <c r="Q15" s="56" t="s">
        <v>1006</v>
      </c>
      <c r="R15" s="60">
        <v>1</v>
      </c>
      <c r="S15" s="60">
        <f t="shared" si="1"/>
        <v>5</v>
      </c>
      <c r="T15" s="56" t="s">
        <v>1007</v>
      </c>
      <c r="U15" s="60">
        <v>50</v>
      </c>
      <c r="V15" s="56" t="s">
        <v>1008</v>
      </c>
      <c r="W15" s="60">
        <v>30</v>
      </c>
      <c r="X15" s="56" t="s">
        <v>1009</v>
      </c>
      <c r="Y15" s="60">
        <v>20</v>
      </c>
      <c r="Z15" s="56" t="s">
        <v>68</v>
      </c>
      <c r="AA15" s="60">
        <v>0</v>
      </c>
      <c r="AB15" s="60">
        <f t="shared" si="2"/>
        <v>100</v>
      </c>
      <c r="AC15" s="62">
        <v>7.5231481481481482E-4</v>
      </c>
      <c r="AD15" s="60">
        <v>3</v>
      </c>
      <c r="AE15" s="56" t="s">
        <v>97</v>
      </c>
      <c r="AF15" s="60">
        <v>23</v>
      </c>
      <c r="AG15" s="56" t="s">
        <v>68</v>
      </c>
      <c r="AH15" s="58" t="s">
        <v>1018</v>
      </c>
    </row>
    <row r="16" spans="1:37" ht="45" customHeight="1">
      <c r="A16" s="50" t="s">
        <v>58</v>
      </c>
      <c r="B16" s="60">
        <v>12</v>
      </c>
      <c r="C16" s="60">
        <v>3</v>
      </c>
      <c r="D16" s="56" t="s">
        <v>141</v>
      </c>
      <c r="E16" s="56" t="s">
        <v>1017</v>
      </c>
      <c r="F16" s="51" t="s">
        <v>1001</v>
      </c>
      <c r="G16" s="51" t="s">
        <v>997</v>
      </c>
      <c r="H16" s="56" t="s">
        <v>1002</v>
      </c>
      <c r="I16" s="51" t="s">
        <v>1003</v>
      </c>
      <c r="J16" s="56" t="s">
        <v>1004</v>
      </c>
      <c r="K16" s="60">
        <v>96</v>
      </c>
      <c r="L16" s="60">
        <v>10</v>
      </c>
      <c r="M16" s="56" t="s">
        <v>1005</v>
      </c>
      <c r="N16" s="60">
        <v>1</v>
      </c>
      <c r="O16" s="60">
        <f t="shared" si="0"/>
        <v>11</v>
      </c>
      <c r="P16" s="60">
        <v>4</v>
      </c>
      <c r="Q16" s="56" t="s">
        <v>1006</v>
      </c>
      <c r="R16" s="60">
        <v>1</v>
      </c>
      <c r="S16" s="60">
        <f t="shared" si="1"/>
        <v>5</v>
      </c>
      <c r="T16" s="56" t="s">
        <v>1007</v>
      </c>
      <c r="U16" s="60">
        <v>50</v>
      </c>
      <c r="V16" s="56" t="s">
        <v>1008</v>
      </c>
      <c r="W16" s="60">
        <v>30</v>
      </c>
      <c r="X16" s="56" t="s">
        <v>1009</v>
      </c>
      <c r="Y16" s="60">
        <v>20</v>
      </c>
      <c r="Z16" s="56" t="s">
        <v>68</v>
      </c>
      <c r="AA16" s="60">
        <v>0</v>
      </c>
      <c r="AB16" s="60">
        <f t="shared" si="2"/>
        <v>100</v>
      </c>
      <c r="AC16" s="62">
        <v>7.5231481481481482E-4</v>
      </c>
      <c r="AD16" s="60">
        <v>3</v>
      </c>
      <c r="AE16" s="56" t="s">
        <v>97</v>
      </c>
      <c r="AF16" s="60">
        <v>23</v>
      </c>
      <c r="AG16" s="56" t="s">
        <v>68</v>
      </c>
      <c r="AH16" s="58" t="s">
        <v>1018</v>
      </c>
    </row>
    <row r="17" spans="1:34" ht="45" customHeight="1">
      <c r="A17" s="50" t="s">
        <v>58</v>
      </c>
      <c r="B17" s="60">
        <v>13</v>
      </c>
      <c r="C17" s="60">
        <v>4</v>
      </c>
      <c r="D17" s="56" t="s">
        <v>143</v>
      </c>
      <c r="E17" s="56" t="s">
        <v>1017</v>
      </c>
      <c r="F17" s="51" t="s">
        <v>1001</v>
      </c>
      <c r="G17" s="51" t="s">
        <v>997</v>
      </c>
      <c r="H17" s="56" t="s">
        <v>1002</v>
      </c>
      <c r="I17" s="51" t="s">
        <v>1003</v>
      </c>
      <c r="J17" s="56" t="s">
        <v>1004</v>
      </c>
      <c r="K17" s="60">
        <v>108</v>
      </c>
      <c r="L17" s="60">
        <v>11</v>
      </c>
      <c r="M17" s="56" t="s">
        <v>1005</v>
      </c>
      <c r="N17" s="60">
        <v>1</v>
      </c>
      <c r="O17" s="60">
        <f t="shared" si="0"/>
        <v>12</v>
      </c>
      <c r="P17" s="60">
        <v>5</v>
      </c>
      <c r="Q17" s="56" t="s">
        <v>1006</v>
      </c>
      <c r="R17" s="60">
        <v>1</v>
      </c>
      <c r="S17" s="60">
        <f t="shared" si="1"/>
        <v>6</v>
      </c>
      <c r="T17" s="56" t="s">
        <v>1007</v>
      </c>
      <c r="U17" s="60">
        <v>50</v>
      </c>
      <c r="V17" s="56" t="s">
        <v>1008</v>
      </c>
      <c r="W17" s="60">
        <v>30</v>
      </c>
      <c r="X17" s="56" t="s">
        <v>1009</v>
      </c>
      <c r="Y17" s="60">
        <v>20</v>
      </c>
      <c r="Z17" s="56" t="s">
        <v>68</v>
      </c>
      <c r="AA17" s="60">
        <v>0</v>
      </c>
      <c r="AB17" s="60">
        <f t="shared" si="2"/>
        <v>100</v>
      </c>
      <c r="AC17" s="62">
        <v>7.5231481481481482E-4</v>
      </c>
      <c r="AD17" s="60">
        <v>3</v>
      </c>
      <c r="AE17" s="56" t="s">
        <v>97</v>
      </c>
      <c r="AF17" s="60">
        <v>30</v>
      </c>
      <c r="AG17" s="56" t="s">
        <v>68</v>
      </c>
      <c r="AH17" s="58" t="s">
        <v>1019</v>
      </c>
    </row>
    <row r="18" spans="1:34" ht="45" customHeight="1">
      <c r="A18" s="50" t="s">
        <v>58</v>
      </c>
      <c r="B18" s="60">
        <v>14</v>
      </c>
      <c r="C18" s="60">
        <v>4</v>
      </c>
      <c r="D18" s="56" t="s">
        <v>145</v>
      </c>
      <c r="E18" s="56" t="s">
        <v>1020</v>
      </c>
      <c r="F18" s="51" t="s">
        <v>1001</v>
      </c>
      <c r="G18" s="51" t="s">
        <v>997</v>
      </c>
      <c r="H18" s="56" t="s">
        <v>1002</v>
      </c>
      <c r="I18" s="51" t="s">
        <v>1003</v>
      </c>
      <c r="J18" s="56" t="s">
        <v>1004</v>
      </c>
      <c r="K18" s="60">
        <v>108</v>
      </c>
      <c r="L18" s="60">
        <v>11</v>
      </c>
      <c r="M18" s="56" t="s">
        <v>1005</v>
      </c>
      <c r="N18" s="60">
        <v>1</v>
      </c>
      <c r="O18" s="60">
        <f t="shared" si="0"/>
        <v>12</v>
      </c>
      <c r="P18" s="60">
        <v>5</v>
      </c>
      <c r="Q18" s="56" t="s">
        <v>1006</v>
      </c>
      <c r="R18" s="60">
        <v>1</v>
      </c>
      <c r="S18" s="60">
        <f t="shared" si="1"/>
        <v>6</v>
      </c>
      <c r="T18" s="56" t="s">
        <v>1007</v>
      </c>
      <c r="U18" s="60">
        <v>50</v>
      </c>
      <c r="V18" s="56" t="s">
        <v>1008</v>
      </c>
      <c r="W18" s="60">
        <v>30</v>
      </c>
      <c r="X18" s="56" t="s">
        <v>1009</v>
      </c>
      <c r="Y18" s="60">
        <v>20</v>
      </c>
      <c r="Z18" s="56" t="s">
        <v>68</v>
      </c>
      <c r="AA18" s="60">
        <v>0</v>
      </c>
      <c r="AB18" s="60">
        <f t="shared" si="2"/>
        <v>100</v>
      </c>
      <c r="AC18" s="62">
        <v>1.0995370370370369E-3</v>
      </c>
      <c r="AD18" s="60">
        <v>3</v>
      </c>
      <c r="AE18" s="56" t="s">
        <v>97</v>
      </c>
      <c r="AF18" s="60">
        <v>33</v>
      </c>
      <c r="AG18" s="56" t="s">
        <v>68</v>
      </c>
      <c r="AH18" s="58" t="s">
        <v>1019</v>
      </c>
    </row>
    <row r="19" spans="1:34" ht="45" customHeight="1">
      <c r="A19" s="50" t="s">
        <v>58</v>
      </c>
      <c r="B19" s="60">
        <v>15</v>
      </c>
      <c r="C19" s="60">
        <v>4</v>
      </c>
      <c r="D19" s="56" t="s">
        <v>152</v>
      </c>
      <c r="E19" s="56" t="s">
        <v>1017</v>
      </c>
      <c r="F19" s="51" t="s">
        <v>1001</v>
      </c>
      <c r="G19" s="51" t="s">
        <v>997</v>
      </c>
      <c r="H19" s="56" t="s">
        <v>1002</v>
      </c>
      <c r="I19" s="51" t="s">
        <v>1003</v>
      </c>
      <c r="J19" s="56" t="s">
        <v>1004</v>
      </c>
      <c r="K19" s="60">
        <v>108</v>
      </c>
      <c r="L19" s="60">
        <v>11</v>
      </c>
      <c r="M19" s="56" t="s">
        <v>1005</v>
      </c>
      <c r="N19" s="60">
        <v>1</v>
      </c>
      <c r="O19" s="60">
        <f t="shared" si="0"/>
        <v>12</v>
      </c>
      <c r="P19" s="60">
        <v>5</v>
      </c>
      <c r="Q19" s="56" t="s">
        <v>1006</v>
      </c>
      <c r="R19" s="60">
        <v>1</v>
      </c>
      <c r="S19" s="60">
        <f t="shared" si="1"/>
        <v>6</v>
      </c>
      <c r="T19" s="56" t="s">
        <v>1007</v>
      </c>
      <c r="U19" s="60">
        <v>50</v>
      </c>
      <c r="V19" s="56" t="s">
        <v>1008</v>
      </c>
      <c r="W19" s="60">
        <v>30</v>
      </c>
      <c r="X19" s="56" t="s">
        <v>1009</v>
      </c>
      <c r="Y19" s="60">
        <v>20</v>
      </c>
      <c r="Z19" s="56" t="s">
        <v>68</v>
      </c>
      <c r="AA19" s="60">
        <v>0</v>
      </c>
      <c r="AB19" s="60">
        <f t="shared" si="2"/>
        <v>100</v>
      </c>
      <c r="AC19" s="62">
        <v>7.5231481481481482E-4</v>
      </c>
      <c r="AD19" s="60">
        <v>3</v>
      </c>
      <c r="AE19" s="56" t="s">
        <v>97</v>
      </c>
      <c r="AF19" s="60">
        <v>30</v>
      </c>
      <c r="AG19" s="56" t="s">
        <v>68</v>
      </c>
      <c r="AH19" s="58" t="s">
        <v>1019</v>
      </c>
    </row>
    <row r="20" spans="1:34" ht="45" customHeight="1">
      <c r="A20" s="50" t="s">
        <v>58</v>
      </c>
      <c r="B20" s="60">
        <v>16</v>
      </c>
      <c r="C20" s="60">
        <v>4</v>
      </c>
      <c r="D20" s="56" t="s">
        <v>154</v>
      </c>
      <c r="E20" s="56" t="s">
        <v>993</v>
      </c>
      <c r="F20" s="51" t="s">
        <v>68</v>
      </c>
      <c r="G20" s="51" t="s">
        <v>992</v>
      </c>
      <c r="H20" s="56" t="s">
        <v>68</v>
      </c>
      <c r="I20" s="51" t="s">
        <v>68</v>
      </c>
      <c r="J20" s="56" t="s">
        <v>994</v>
      </c>
      <c r="K20" s="60">
        <v>0</v>
      </c>
      <c r="L20" s="60">
        <v>0</v>
      </c>
      <c r="M20" s="56" t="s">
        <v>68</v>
      </c>
      <c r="N20" s="60">
        <v>0</v>
      </c>
      <c r="O20" s="60">
        <f t="shared" si="0"/>
        <v>0</v>
      </c>
      <c r="P20" s="60">
        <v>0</v>
      </c>
      <c r="Q20" s="56" t="s">
        <v>68</v>
      </c>
      <c r="R20" s="60">
        <v>0</v>
      </c>
      <c r="S20" s="60">
        <f t="shared" si="1"/>
        <v>0</v>
      </c>
      <c r="T20" s="56" t="s">
        <v>68</v>
      </c>
      <c r="U20" s="60">
        <v>0</v>
      </c>
      <c r="V20" s="56" t="s">
        <v>68</v>
      </c>
      <c r="W20" s="60">
        <v>0</v>
      </c>
      <c r="X20" s="56" t="s">
        <v>68</v>
      </c>
      <c r="Y20" s="60">
        <v>0</v>
      </c>
      <c r="Z20" s="56" t="s">
        <v>68</v>
      </c>
      <c r="AA20" s="60">
        <v>0</v>
      </c>
      <c r="AB20" s="60">
        <f t="shared" si="2"/>
        <v>0</v>
      </c>
      <c r="AC20" s="62"/>
      <c r="AD20" s="60">
        <v>0</v>
      </c>
      <c r="AE20" s="56" t="s">
        <v>995</v>
      </c>
      <c r="AF20" s="60">
        <v>0</v>
      </c>
      <c r="AG20" s="56" t="s">
        <v>68</v>
      </c>
      <c r="AH20" s="58" t="s">
        <v>996</v>
      </c>
    </row>
    <row r="21" spans="1:34" ht="45" customHeight="1">
      <c r="A21" s="50" t="s">
        <v>58</v>
      </c>
      <c r="B21" s="60">
        <v>17</v>
      </c>
      <c r="C21" s="60">
        <v>5</v>
      </c>
      <c r="D21" s="56" t="s">
        <v>163</v>
      </c>
      <c r="E21" s="56" t="s">
        <v>993</v>
      </c>
      <c r="F21" s="51" t="s">
        <v>68</v>
      </c>
      <c r="G21" s="51" t="s">
        <v>992</v>
      </c>
      <c r="H21" s="56" t="s">
        <v>68</v>
      </c>
      <c r="I21" s="51" t="s">
        <v>68</v>
      </c>
      <c r="J21" s="56" t="s">
        <v>994</v>
      </c>
      <c r="K21" s="60">
        <v>0</v>
      </c>
      <c r="L21" s="60">
        <v>0</v>
      </c>
      <c r="M21" s="56" t="s">
        <v>68</v>
      </c>
      <c r="N21" s="60">
        <v>0</v>
      </c>
      <c r="O21" s="60">
        <f t="shared" si="0"/>
        <v>0</v>
      </c>
      <c r="P21" s="60">
        <v>0</v>
      </c>
      <c r="Q21" s="56" t="s">
        <v>68</v>
      </c>
      <c r="R21" s="60">
        <v>0</v>
      </c>
      <c r="S21" s="60">
        <f t="shared" si="1"/>
        <v>0</v>
      </c>
      <c r="T21" s="56" t="s">
        <v>68</v>
      </c>
      <c r="U21" s="60">
        <v>0</v>
      </c>
      <c r="V21" s="56" t="s">
        <v>68</v>
      </c>
      <c r="W21" s="60">
        <v>0</v>
      </c>
      <c r="X21" s="56" t="s">
        <v>68</v>
      </c>
      <c r="Y21" s="60">
        <v>0</v>
      </c>
      <c r="Z21" s="56" t="s">
        <v>68</v>
      </c>
      <c r="AA21" s="60">
        <v>0</v>
      </c>
      <c r="AB21" s="60">
        <f t="shared" si="2"/>
        <v>0</v>
      </c>
      <c r="AC21" s="62"/>
      <c r="AD21" s="60">
        <v>0</v>
      </c>
      <c r="AE21" s="56" t="s">
        <v>995</v>
      </c>
      <c r="AF21" s="60">
        <v>0</v>
      </c>
      <c r="AG21" s="56" t="s">
        <v>68</v>
      </c>
      <c r="AH21" s="58" t="s">
        <v>996</v>
      </c>
    </row>
    <row r="22" spans="1:34" ht="45" customHeight="1">
      <c r="A22" s="50" t="s">
        <v>58</v>
      </c>
      <c r="B22" s="60">
        <v>18</v>
      </c>
      <c r="C22" s="60">
        <v>5</v>
      </c>
      <c r="D22" s="56" t="s">
        <v>167</v>
      </c>
      <c r="E22" s="56" t="s">
        <v>1021</v>
      </c>
      <c r="F22" s="51" t="s">
        <v>1001</v>
      </c>
      <c r="G22" s="51" t="s">
        <v>997</v>
      </c>
      <c r="H22" s="56" t="s">
        <v>1002</v>
      </c>
      <c r="I22" s="51" t="s">
        <v>1022</v>
      </c>
      <c r="J22" s="56" t="s">
        <v>1004</v>
      </c>
      <c r="K22" s="60">
        <v>120</v>
      </c>
      <c r="L22" s="60">
        <v>12</v>
      </c>
      <c r="M22" s="56" t="s">
        <v>1005</v>
      </c>
      <c r="N22" s="60">
        <v>1</v>
      </c>
      <c r="O22" s="60">
        <f t="shared" si="0"/>
        <v>13</v>
      </c>
      <c r="P22" s="60">
        <v>6</v>
      </c>
      <c r="Q22" s="56" t="s">
        <v>1006</v>
      </c>
      <c r="R22" s="60">
        <v>1</v>
      </c>
      <c r="S22" s="60">
        <f t="shared" si="1"/>
        <v>7</v>
      </c>
      <c r="T22" s="56" t="s">
        <v>1007</v>
      </c>
      <c r="U22" s="60">
        <v>50</v>
      </c>
      <c r="V22" s="56" t="s">
        <v>1008</v>
      </c>
      <c r="W22" s="60">
        <v>30</v>
      </c>
      <c r="X22" s="56" t="s">
        <v>1009</v>
      </c>
      <c r="Y22" s="60">
        <v>20</v>
      </c>
      <c r="Z22" s="56" t="s">
        <v>68</v>
      </c>
      <c r="AA22" s="60">
        <v>0</v>
      </c>
      <c r="AB22" s="60">
        <f t="shared" si="2"/>
        <v>100</v>
      </c>
      <c r="AC22" s="62">
        <v>1.0995370370370369E-3</v>
      </c>
      <c r="AD22" s="60">
        <v>4</v>
      </c>
      <c r="AE22" s="56" t="s">
        <v>97</v>
      </c>
      <c r="AF22" s="60">
        <v>42</v>
      </c>
      <c r="AG22" s="56" t="s">
        <v>68</v>
      </c>
      <c r="AH22" s="58" t="s">
        <v>1023</v>
      </c>
    </row>
    <row r="23" spans="1:34" ht="45" customHeight="1">
      <c r="A23" s="50" t="s">
        <v>58</v>
      </c>
      <c r="B23" s="60">
        <v>19</v>
      </c>
      <c r="C23" s="60">
        <v>5</v>
      </c>
      <c r="D23" s="56" t="s">
        <v>170</v>
      </c>
      <c r="E23" s="56" t="s">
        <v>1017</v>
      </c>
      <c r="F23" s="51" t="s">
        <v>1001</v>
      </c>
      <c r="G23" s="51" t="s">
        <v>997</v>
      </c>
      <c r="H23" s="56" t="s">
        <v>1002</v>
      </c>
      <c r="I23" s="51" t="s">
        <v>1022</v>
      </c>
      <c r="J23" s="56" t="s">
        <v>1004</v>
      </c>
      <c r="K23" s="60">
        <v>120</v>
      </c>
      <c r="L23" s="60">
        <v>12</v>
      </c>
      <c r="M23" s="56" t="s">
        <v>1005</v>
      </c>
      <c r="N23" s="60">
        <v>1</v>
      </c>
      <c r="O23" s="60">
        <f t="shared" si="0"/>
        <v>13</v>
      </c>
      <c r="P23" s="60">
        <v>6</v>
      </c>
      <c r="Q23" s="56" t="s">
        <v>1006</v>
      </c>
      <c r="R23" s="60">
        <v>1</v>
      </c>
      <c r="S23" s="60">
        <f t="shared" si="1"/>
        <v>7</v>
      </c>
      <c r="T23" s="56" t="s">
        <v>1007</v>
      </c>
      <c r="U23" s="60">
        <v>50</v>
      </c>
      <c r="V23" s="56" t="s">
        <v>1008</v>
      </c>
      <c r="W23" s="60">
        <v>30</v>
      </c>
      <c r="X23" s="56" t="s">
        <v>1009</v>
      </c>
      <c r="Y23" s="60">
        <v>20</v>
      </c>
      <c r="Z23" s="56" t="s">
        <v>68</v>
      </c>
      <c r="AA23" s="60">
        <v>0</v>
      </c>
      <c r="AB23" s="60">
        <f t="shared" si="2"/>
        <v>100</v>
      </c>
      <c r="AC23" s="62">
        <v>1.5625000000000001E-3</v>
      </c>
      <c r="AD23" s="60">
        <v>3</v>
      </c>
      <c r="AE23" s="56" t="s">
        <v>97</v>
      </c>
      <c r="AF23" s="60">
        <v>42</v>
      </c>
      <c r="AG23" s="56" t="s">
        <v>68</v>
      </c>
      <c r="AH23" s="58" t="s">
        <v>1023</v>
      </c>
    </row>
    <row r="24" spans="1:34" ht="45" customHeight="1">
      <c r="A24" s="50" t="s">
        <v>58</v>
      </c>
      <c r="B24" s="60">
        <v>20</v>
      </c>
      <c r="C24" s="60">
        <v>5</v>
      </c>
      <c r="D24" s="56" t="s">
        <v>178</v>
      </c>
      <c r="E24" s="56" t="s">
        <v>1017</v>
      </c>
      <c r="F24" s="51" t="s">
        <v>1001</v>
      </c>
      <c r="G24" s="51" t="s">
        <v>997</v>
      </c>
      <c r="H24" s="56" t="s">
        <v>1002</v>
      </c>
      <c r="I24" s="51" t="s">
        <v>1022</v>
      </c>
      <c r="J24" s="56" t="s">
        <v>1004</v>
      </c>
      <c r="K24" s="60">
        <v>120</v>
      </c>
      <c r="L24" s="60">
        <v>12</v>
      </c>
      <c r="M24" s="56" t="s">
        <v>1005</v>
      </c>
      <c r="N24" s="60">
        <v>1</v>
      </c>
      <c r="O24" s="60">
        <f t="shared" si="0"/>
        <v>13</v>
      </c>
      <c r="P24" s="60">
        <v>6</v>
      </c>
      <c r="Q24" s="56" t="s">
        <v>1006</v>
      </c>
      <c r="R24" s="60">
        <v>1</v>
      </c>
      <c r="S24" s="60">
        <f t="shared" si="1"/>
        <v>7</v>
      </c>
      <c r="T24" s="56" t="s">
        <v>1007</v>
      </c>
      <c r="U24" s="60">
        <v>50</v>
      </c>
      <c r="V24" s="56" t="s">
        <v>1008</v>
      </c>
      <c r="W24" s="60">
        <v>30</v>
      </c>
      <c r="X24" s="56" t="s">
        <v>1009</v>
      </c>
      <c r="Y24" s="60">
        <v>20</v>
      </c>
      <c r="Z24" s="56" t="s">
        <v>68</v>
      </c>
      <c r="AA24" s="60">
        <v>0</v>
      </c>
      <c r="AB24" s="60">
        <f t="shared" si="2"/>
        <v>100</v>
      </c>
      <c r="AC24" s="62">
        <v>1.5625000000000001E-3</v>
      </c>
      <c r="AD24" s="60">
        <v>1</v>
      </c>
      <c r="AE24" s="56" t="s">
        <v>97</v>
      </c>
      <c r="AF24" s="60">
        <v>47</v>
      </c>
      <c r="AG24" s="56" t="s">
        <v>68</v>
      </c>
      <c r="AH24" s="58" t="s">
        <v>1023</v>
      </c>
    </row>
    <row r="25" spans="1:34" ht="45" customHeight="1">
      <c r="A25" s="50" t="s">
        <v>58</v>
      </c>
      <c r="B25" s="60">
        <v>21</v>
      </c>
      <c r="C25" s="60">
        <v>6</v>
      </c>
      <c r="D25" s="56" t="s">
        <v>185</v>
      </c>
      <c r="E25" s="56" t="s">
        <v>1017</v>
      </c>
      <c r="F25" s="51" t="s">
        <v>1001</v>
      </c>
      <c r="G25" s="51" t="s">
        <v>998</v>
      </c>
      <c r="H25" s="56" t="s">
        <v>1024</v>
      </c>
      <c r="I25" s="51" t="s">
        <v>1022</v>
      </c>
      <c r="J25" s="56" t="s">
        <v>1025</v>
      </c>
      <c r="K25" s="60">
        <v>252</v>
      </c>
      <c r="L25" s="60">
        <v>21</v>
      </c>
      <c r="M25" s="56" t="s">
        <v>1005</v>
      </c>
      <c r="N25" s="60">
        <v>4</v>
      </c>
      <c r="O25" s="60">
        <f t="shared" si="0"/>
        <v>25</v>
      </c>
      <c r="P25" s="60">
        <v>13</v>
      </c>
      <c r="Q25" s="56" t="s">
        <v>1006</v>
      </c>
      <c r="R25" s="60">
        <v>2</v>
      </c>
      <c r="S25" s="60">
        <f t="shared" si="1"/>
        <v>15</v>
      </c>
      <c r="T25" s="56" t="s">
        <v>1026</v>
      </c>
      <c r="U25" s="60">
        <v>45</v>
      </c>
      <c r="V25" s="56" t="s">
        <v>1027</v>
      </c>
      <c r="W25" s="60">
        <v>35</v>
      </c>
      <c r="X25" s="56" t="s">
        <v>1028</v>
      </c>
      <c r="Y25" s="60">
        <v>20</v>
      </c>
      <c r="Z25" s="56" t="s">
        <v>68</v>
      </c>
      <c r="AA25" s="60">
        <v>0</v>
      </c>
      <c r="AB25" s="60">
        <f t="shared" si="2"/>
        <v>100</v>
      </c>
      <c r="AC25" s="62">
        <v>1.0995370370370369E-3</v>
      </c>
      <c r="AD25" s="60">
        <v>4</v>
      </c>
      <c r="AE25" s="56" t="s">
        <v>97</v>
      </c>
      <c r="AF25" s="60">
        <v>52</v>
      </c>
      <c r="AG25" s="56" t="s">
        <v>68</v>
      </c>
      <c r="AH25" s="58" t="s">
        <v>1029</v>
      </c>
    </row>
    <row r="26" spans="1:34" ht="45" customHeight="1">
      <c r="A26" s="50" t="s">
        <v>58</v>
      </c>
      <c r="B26" s="60">
        <v>22</v>
      </c>
      <c r="C26" s="60">
        <v>6</v>
      </c>
      <c r="D26" s="56" t="s">
        <v>186</v>
      </c>
      <c r="E26" s="56" t="s">
        <v>1030</v>
      </c>
      <c r="F26" s="51" t="s">
        <v>1001</v>
      </c>
      <c r="G26" s="51" t="s">
        <v>1016</v>
      </c>
      <c r="H26" s="56" t="s">
        <v>1031</v>
      </c>
      <c r="I26" s="51" t="s">
        <v>1022</v>
      </c>
      <c r="J26" s="56" t="s">
        <v>1032</v>
      </c>
      <c r="K26" s="60">
        <v>1800</v>
      </c>
      <c r="L26" s="60">
        <v>75</v>
      </c>
      <c r="M26" s="56" t="s">
        <v>1005</v>
      </c>
      <c r="N26" s="60">
        <v>12</v>
      </c>
      <c r="O26" s="60">
        <f t="shared" si="0"/>
        <v>87</v>
      </c>
      <c r="P26" s="60">
        <v>48</v>
      </c>
      <c r="Q26" s="56" t="s">
        <v>1006</v>
      </c>
      <c r="R26" s="60">
        <v>11</v>
      </c>
      <c r="S26" s="60">
        <f t="shared" si="1"/>
        <v>59</v>
      </c>
      <c r="T26" s="56" t="s">
        <v>1033</v>
      </c>
      <c r="U26" s="60">
        <v>30</v>
      </c>
      <c r="V26" s="56" t="s">
        <v>1034</v>
      </c>
      <c r="W26" s="60">
        <v>25</v>
      </c>
      <c r="X26" s="56" t="s">
        <v>1035</v>
      </c>
      <c r="Y26" s="60">
        <v>20</v>
      </c>
      <c r="Z26" s="56" t="s">
        <v>1036</v>
      </c>
      <c r="AA26" s="60">
        <v>25</v>
      </c>
      <c r="AB26" s="60">
        <f t="shared" si="2"/>
        <v>100</v>
      </c>
      <c r="AC26" s="62">
        <v>3.8194444444444443E-3</v>
      </c>
      <c r="AD26" s="60">
        <v>1</v>
      </c>
      <c r="AE26" s="56" t="s">
        <v>193</v>
      </c>
      <c r="AF26" s="60">
        <v>466</v>
      </c>
      <c r="AG26" s="56" t="s">
        <v>797</v>
      </c>
      <c r="AH26" s="58" t="s">
        <v>1029</v>
      </c>
    </row>
    <row r="27" spans="1:34" ht="45" customHeight="1">
      <c r="A27" s="50" t="s">
        <v>200</v>
      </c>
      <c r="B27" s="60">
        <v>23</v>
      </c>
      <c r="C27" s="60">
        <v>6</v>
      </c>
      <c r="D27" s="56" t="s">
        <v>201</v>
      </c>
      <c r="E27" s="56" t="s">
        <v>993</v>
      </c>
      <c r="F27" s="51" t="s">
        <v>68</v>
      </c>
      <c r="G27" s="51" t="s">
        <v>992</v>
      </c>
      <c r="H27" s="56" t="s">
        <v>68</v>
      </c>
      <c r="I27" s="51" t="s">
        <v>68</v>
      </c>
      <c r="J27" s="56" t="s">
        <v>994</v>
      </c>
      <c r="K27" s="60">
        <v>0</v>
      </c>
      <c r="L27" s="60">
        <v>0</v>
      </c>
      <c r="M27" s="56" t="s">
        <v>68</v>
      </c>
      <c r="N27" s="60">
        <v>0</v>
      </c>
      <c r="O27" s="60">
        <f t="shared" si="0"/>
        <v>0</v>
      </c>
      <c r="P27" s="60">
        <v>0</v>
      </c>
      <c r="Q27" s="56" t="s">
        <v>68</v>
      </c>
      <c r="R27" s="60">
        <v>0</v>
      </c>
      <c r="S27" s="60">
        <f t="shared" si="1"/>
        <v>0</v>
      </c>
      <c r="T27" s="56" t="s">
        <v>68</v>
      </c>
      <c r="U27" s="60">
        <v>0</v>
      </c>
      <c r="V27" s="56" t="s">
        <v>68</v>
      </c>
      <c r="W27" s="60">
        <v>0</v>
      </c>
      <c r="X27" s="56" t="s">
        <v>68</v>
      </c>
      <c r="Y27" s="60">
        <v>0</v>
      </c>
      <c r="Z27" s="56" t="s">
        <v>68</v>
      </c>
      <c r="AA27" s="60">
        <v>0</v>
      </c>
      <c r="AB27" s="60">
        <f t="shared" si="2"/>
        <v>0</v>
      </c>
      <c r="AC27" s="62"/>
      <c r="AD27" s="60">
        <v>0</v>
      </c>
      <c r="AE27" s="56" t="s">
        <v>995</v>
      </c>
      <c r="AF27" s="60">
        <v>0</v>
      </c>
      <c r="AG27" s="56" t="s">
        <v>68</v>
      </c>
      <c r="AH27" s="58" t="s">
        <v>996</v>
      </c>
    </row>
    <row r="28" spans="1:34" ht="45" customHeight="1">
      <c r="A28" s="50" t="s">
        <v>200</v>
      </c>
      <c r="B28" s="60">
        <v>24</v>
      </c>
      <c r="C28" s="60">
        <v>6</v>
      </c>
      <c r="D28" s="56" t="s">
        <v>206</v>
      </c>
      <c r="E28" s="56" t="s">
        <v>993</v>
      </c>
      <c r="F28" s="51" t="s">
        <v>68</v>
      </c>
      <c r="G28" s="51" t="s">
        <v>992</v>
      </c>
      <c r="H28" s="56" t="s">
        <v>68</v>
      </c>
      <c r="I28" s="51" t="s">
        <v>68</v>
      </c>
      <c r="J28" s="56" t="s">
        <v>994</v>
      </c>
      <c r="K28" s="60">
        <v>0</v>
      </c>
      <c r="L28" s="60">
        <v>0</v>
      </c>
      <c r="M28" s="56" t="s">
        <v>68</v>
      </c>
      <c r="N28" s="60">
        <v>0</v>
      </c>
      <c r="O28" s="60">
        <f t="shared" si="0"/>
        <v>0</v>
      </c>
      <c r="P28" s="60">
        <v>0</v>
      </c>
      <c r="Q28" s="56" t="s">
        <v>68</v>
      </c>
      <c r="R28" s="60">
        <v>0</v>
      </c>
      <c r="S28" s="60">
        <f t="shared" si="1"/>
        <v>0</v>
      </c>
      <c r="T28" s="56" t="s">
        <v>68</v>
      </c>
      <c r="U28" s="60">
        <v>0</v>
      </c>
      <c r="V28" s="56" t="s">
        <v>68</v>
      </c>
      <c r="W28" s="60">
        <v>0</v>
      </c>
      <c r="X28" s="56" t="s">
        <v>68</v>
      </c>
      <c r="Y28" s="60">
        <v>0</v>
      </c>
      <c r="Z28" s="56" t="s">
        <v>68</v>
      </c>
      <c r="AA28" s="60">
        <v>0</v>
      </c>
      <c r="AB28" s="60">
        <f t="shared" si="2"/>
        <v>0</v>
      </c>
      <c r="AC28" s="62"/>
      <c r="AD28" s="60">
        <v>0</v>
      </c>
      <c r="AE28" s="56" t="s">
        <v>995</v>
      </c>
      <c r="AF28" s="60">
        <v>0</v>
      </c>
      <c r="AG28" s="56" t="s">
        <v>68</v>
      </c>
      <c r="AH28" s="58" t="s">
        <v>996</v>
      </c>
    </row>
    <row r="29" spans="1:34" ht="45" customHeight="1">
      <c r="A29" s="50" t="s">
        <v>200</v>
      </c>
      <c r="B29" s="60">
        <v>25</v>
      </c>
      <c r="C29" s="60">
        <v>7</v>
      </c>
      <c r="D29" s="56" t="s">
        <v>207</v>
      </c>
      <c r="E29" s="56" t="s">
        <v>993</v>
      </c>
      <c r="F29" s="51" t="s">
        <v>68</v>
      </c>
      <c r="G29" s="51" t="s">
        <v>992</v>
      </c>
      <c r="H29" s="56" t="s">
        <v>68</v>
      </c>
      <c r="I29" s="51" t="s">
        <v>68</v>
      </c>
      <c r="J29" s="56" t="s">
        <v>994</v>
      </c>
      <c r="K29" s="60">
        <v>0</v>
      </c>
      <c r="L29" s="60">
        <v>0</v>
      </c>
      <c r="M29" s="56" t="s">
        <v>68</v>
      </c>
      <c r="N29" s="60">
        <v>0</v>
      </c>
      <c r="O29" s="60">
        <f t="shared" si="0"/>
        <v>0</v>
      </c>
      <c r="P29" s="60">
        <v>0</v>
      </c>
      <c r="Q29" s="56" t="s">
        <v>68</v>
      </c>
      <c r="R29" s="60">
        <v>0</v>
      </c>
      <c r="S29" s="60">
        <f t="shared" si="1"/>
        <v>0</v>
      </c>
      <c r="T29" s="56" t="s">
        <v>68</v>
      </c>
      <c r="U29" s="60">
        <v>0</v>
      </c>
      <c r="V29" s="56" t="s">
        <v>68</v>
      </c>
      <c r="W29" s="60">
        <v>0</v>
      </c>
      <c r="X29" s="56" t="s">
        <v>68</v>
      </c>
      <c r="Y29" s="60">
        <v>0</v>
      </c>
      <c r="Z29" s="56" t="s">
        <v>68</v>
      </c>
      <c r="AA29" s="60">
        <v>0</v>
      </c>
      <c r="AB29" s="60">
        <f t="shared" si="2"/>
        <v>0</v>
      </c>
      <c r="AC29" s="62"/>
      <c r="AD29" s="60">
        <v>0</v>
      </c>
      <c r="AE29" s="56" t="s">
        <v>995</v>
      </c>
      <c r="AF29" s="60">
        <v>0</v>
      </c>
      <c r="AG29" s="56" t="s">
        <v>68</v>
      </c>
      <c r="AH29" s="58" t="s">
        <v>996</v>
      </c>
    </row>
    <row r="30" spans="1:34" ht="45" customHeight="1">
      <c r="A30" s="50" t="s">
        <v>200</v>
      </c>
      <c r="B30" s="60">
        <v>26</v>
      </c>
      <c r="C30" s="60">
        <v>7</v>
      </c>
      <c r="D30" s="56" t="s">
        <v>209</v>
      </c>
      <c r="E30" s="56" t="s">
        <v>1037</v>
      </c>
      <c r="F30" s="51" t="s">
        <v>1001</v>
      </c>
      <c r="G30" s="51" t="s">
        <v>998</v>
      </c>
      <c r="H30" s="56" t="s">
        <v>1024</v>
      </c>
      <c r="I30" s="51" t="s">
        <v>1022</v>
      </c>
      <c r="J30" s="56" t="s">
        <v>1025</v>
      </c>
      <c r="K30" s="60">
        <v>274</v>
      </c>
      <c r="L30" s="60">
        <v>23</v>
      </c>
      <c r="M30" s="56" t="s">
        <v>1005</v>
      </c>
      <c r="N30" s="60">
        <v>4</v>
      </c>
      <c r="O30" s="60">
        <f t="shared" si="0"/>
        <v>27</v>
      </c>
      <c r="P30" s="60">
        <v>14</v>
      </c>
      <c r="Q30" s="56" t="s">
        <v>1006</v>
      </c>
      <c r="R30" s="60">
        <v>2</v>
      </c>
      <c r="S30" s="60">
        <f t="shared" si="1"/>
        <v>16</v>
      </c>
      <c r="T30" s="56" t="s">
        <v>1026</v>
      </c>
      <c r="U30" s="60">
        <v>45</v>
      </c>
      <c r="V30" s="56" t="s">
        <v>1027</v>
      </c>
      <c r="W30" s="60">
        <v>35</v>
      </c>
      <c r="X30" s="56" t="s">
        <v>1028</v>
      </c>
      <c r="Y30" s="60">
        <v>20</v>
      </c>
      <c r="Z30" s="56" t="s">
        <v>68</v>
      </c>
      <c r="AA30" s="60">
        <v>0</v>
      </c>
      <c r="AB30" s="60">
        <f t="shared" si="2"/>
        <v>100</v>
      </c>
      <c r="AC30" s="62">
        <v>1.2152777777777778E-3</v>
      </c>
      <c r="AD30" s="60">
        <v>5</v>
      </c>
      <c r="AE30" s="56" t="s">
        <v>97</v>
      </c>
      <c r="AF30" s="60">
        <v>64</v>
      </c>
      <c r="AG30" s="56" t="s">
        <v>68</v>
      </c>
      <c r="AH30" s="58" t="s">
        <v>1038</v>
      </c>
    </row>
    <row r="31" spans="1:34" ht="45" customHeight="1">
      <c r="A31" s="50" t="s">
        <v>200</v>
      </c>
      <c r="B31" s="60">
        <v>27</v>
      </c>
      <c r="C31" s="60">
        <v>7</v>
      </c>
      <c r="D31" s="56" t="s">
        <v>212</v>
      </c>
      <c r="E31" s="56" t="s">
        <v>212</v>
      </c>
      <c r="F31" s="51" t="s">
        <v>1001</v>
      </c>
      <c r="G31" s="51" t="s">
        <v>998</v>
      </c>
      <c r="H31" s="56" t="s">
        <v>1039</v>
      </c>
      <c r="I31" s="51" t="s">
        <v>1022</v>
      </c>
      <c r="J31" s="56" t="s">
        <v>1040</v>
      </c>
      <c r="K31" s="60">
        <v>274</v>
      </c>
      <c r="L31" s="60">
        <v>23</v>
      </c>
      <c r="M31" s="56" t="s">
        <v>1005</v>
      </c>
      <c r="N31" s="60">
        <v>4</v>
      </c>
      <c r="O31" s="60">
        <f t="shared" si="0"/>
        <v>27</v>
      </c>
      <c r="P31" s="60">
        <v>14</v>
      </c>
      <c r="Q31" s="56" t="s">
        <v>1006</v>
      </c>
      <c r="R31" s="60">
        <v>2</v>
      </c>
      <c r="S31" s="60">
        <f t="shared" si="1"/>
        <v>16</v>
      </c>
      <c r="T31" s="56" t="s">
        <v>1026</v>
      </c>
      <c r="U31" s="60">
        <v>45</v>
      </c>
      <c r="V31" s="56" t="s">
        <v>1027</v>
      </c>
      <c r="W31" s="60">
        <v>35</v>
      </c>
      <c r="X31" s="56" t="s">
        <v>1028</v>
      </c>
      <c r="Y31" s="60">
        <v>20</v>
      </c>
      <c r="Z31" s="56" t="s">
        <v>68</v>
      </c>
      <c r="AA31" s="60">
        <v>0</v>
      </c>
      <c r="AB31" s="60">
        <f t="shared" si="2"/>
        <v>100</v>
      </c>
      <c r="AC31" s="62">
        <v>1.2152777777777778E-3</v>
      </c>
      <c r="AD31" s="60">
        <v>5</v>
      </c>
      <c r="AE31" s="56" t="s">
        <v>213</v>
      </c>
      <c r="AF31" s="60">
        <v>64</v>
      </c>
      <c r="AG31" s="56" t="s">
        <v>68</v>
      </c>
      <c r="AH31" s="58" t="s">
        <v>1038</v>
      </c>
    </row>
    <row r="32" spans="1:34" ht="45" customHeight="1">
      <c r="A32" s="50" t="s">
        <v>200</v>
      </c>
      <c r="B32" s="60">
        <v>28</v>
      </c>
      <c r="C32" s="60">
        <v>7</v>
      </c>
      <c r="D32" s="56" t="s">
        <v>214</v>
      </c>
      <c r="E32" s="56" t="s">
        <v>1017</v>
      </c>
      <c r="F32" s="51" t="s">
        <v>1001</v>
      </c>
      <c r="G32" s="51" t="s">
        <v>998</v>
      </c>
      <c r="H32" s="56" t="s">
        <v>1024</v>
      </c>
      <c r="I32" s="51" t="s">
        <v>1022</v>
      </c>
      <c r="J32" s="56" t="s">
        <v>1025</v>
      </c>
      <c r="K32" s="60">
        <v>274</v>
      </c>
      <c r="L32" s="60">
        <v>23</v>
      </c>
      <c r="M32" s="56" t="s">
        <v>1005</v>
      </c>
      <c r="N32" s="60">
        <v>4</v>
      </c>
      <c r="O32" s="60">
        <f t="shared" si="0"/>
        <v>27</v>
      </c>
      <c r="P32" s="60">
        <v>14</v>
      </c>
      <c r="Q32" s="56" t="s">
        <v>1006</v>
      </c>
      <c r="R32" s="60">
        <v>2</v>
      </c>
      <c r="S32" s="60">
        <f t="shared" si="1"/>
        <v>16</v>
      </c>
      <c r="T32" s="56" t="s">
        <v>1026</v>
      </c>
      <c r="U32" s="60">
        <v>45</v>
      </c>
      <c r="V32" s="56" t="s">
        <v>1027</v>
      </c>
      <c r="W32" s="60">
        <v>35</v>
      </c>
      <c r="X32" s="56" t="s">
        <v>1028</v>
      </c>
      <c r="Y32" s="60">
        <v>20</v>
      </c>
      <c r="Z32" s="56" t="s">
        <v>68</v>
      </c>
      <c r="AA32" s="60">
        <v>0</v>
      </c>
      <c r="AB32" s="60">
        <f t="shared" si="2"/>
        <v>100</v>
      </c>
      <c r="AC32" s="62">
        <v>1.6782407407407406E-3</v>
      </c>
      <c r="AD32" s="60">
        <v>3</v>
      </c>
      <c r="AE32" s="56" t="s">
        <v>97</v>
      </c>
      <c r="AF32" s="60">
        <v>72</v>
      </c>
      <c r="AG32" s="56" t="s">
        <v>68</v>
      </c>
      <c r="AH32" s="58" t="s">
        <v>1038</v>
      </c>
    </row>
    <row r="33" spans="1:34" ht="45" customHeight="1">
      <c r="A33" s="50" t="s">
        <v>200</v>
      </c>
      <c r="B33" s="60">
        <v>29</v>
      </c>
      <c r="C33" s="60">
        <v>8</v>
      </c>
      <c r="D33" s="56" t="s">
        <v>216</v>
      </c>
      <c r="E33" s="56" t="s">
        <v>1013</v>
      </c>
      <c r="F33" s="51" t="s">
        <v>1001</v>
      </c>
      <c r="G33" s="51" t="s">
        <v>998</v>
      </c>
      <c r="H33" s="56" t="s">
        <v>1014</v>
      </c>
      <c r="I33" s="51" t="s">
        <v>1022</v>
      </c>
      <c r="J33" s="56" t="s">
        <v>1015</v>
      </c>
      <c r="K33" s="60">
        <v>296</v>
      </c>
      <c r="L33" s="60">
        <v>24</v>
      </c>
      <c r="M33" s="56" t="s">
        <v>1005</v>
      </c>
      <c r="N33" s="60">
        <v>4</v>
      </c>
      <c r="O33" s="60">
        <f t="shared" si="0"/>
        <v>28</v>
      </c>
      <c r="P33" s="60">
        <v>16</v>
      </c>
      <c r="Q33" s="56" t="s">
        <v>1006</v>
      </c>
      <c r="R33" s="60">
        <v>3</v>
      </c>
      <c r="S33" s="60">
        <f t="shared" si="1"/>
        <v>19</v>
      </c>
      <c r="T33" s="56" t="s">
        <v>1026</v>
      </c>
      <c r="U33" s="60">
        <v>45</v>
      </c>
      <c r="V33" s="56" t="s">
        <v>1027</v>
      </c>
      <c r="W33" s="60">
        <v>35</v>
      </c>
      <c r="X33" s="56" t="s">
        <v>1028</v>
      </c>
      <c r="Y33" s="60">
        <v>20</v>
      </c>
      <c r="Z33" s="56" t="s">
        <v>68</v>
      </c>
      <c r="AA33" s="60">
        <v>0</v>
      </c>
      <c r="AB33" s="60">
        <f t="shared" si="2"/>
        <v>100</v>
      </c>
      <c r="AC33" s="62">
        <v>1.5046296296296296E-3</v>
      </c>
      <c r="AD33" s="60">
        <v>3</v>
      </c>
      <c r="AE33" s="56" t="s">
        <v>114</v>
      </c>
      <c r="AF33" s="60">
        <v>76</v>
      </c>
      <c r="AG33" s="56" t="s">
        <v>68</v>
      </c>
      <c r="AH33" s="58" t="s">
        <v>1041</v>
      </c>
    </row>
    <row r="34" spans="1:34" ht="45" customHeight="1">
      <c r="A34" s="50" t="s">
        <v>200</v>
      </c>
      <c r="B34" s="60">
        <v>30</v>
      </c>
      <c r="C34" s="60">
        <v>8</v>
      </c>
      <c r="D34" s="56" t="s">
        <v>223</v>
      </c>
      <c r="E34" s="56" t="s">
        <v>1042</v>
      </c>
      <c r="F34" s="51" t="s">
        <v>1001</v>
      </c>
      <c r="G34" s="51" t="s">
        <v>1000</v>
      </c>
      <c r="H34" s="56" t="s">
        <v>1043</v>
      </c>
      <c r="I34" s="51" t="s">
        <v>1022</v>
      </c>
      <c r="J34" s="56" t="s">
        <v>1044</v>
      </c>
      <c r="K34" s="60">
        <v>1060</v>
      </c>
      <c r="L34" s="60">
        <v>44</v>
      </c>
      <c r="M34" s="56" t="s">
        <v>1005</v>
      </c>
      <c r="N34" s="60">
        <v>10</v>
      </c>
      <c r="O34" s="60">
        <f t="shared" si="0"/>
        <v>54</v>
      </c>
      <c r="P34" s="60">
        <v>31</v>
      </c>
      <c r="Q34" s="56" t="s">
        <v>1006</v>
      </c>
      <c r="R34" s="60">
        <v>7</v>
      </c>
      <c r="S34" s="60">
        <f t="shared" si="1"/>
        <v>38</v>
      </c>
      <c r="T34" s="56" t="s">
        <v>1045</v>
      </c>
      <c r="U34" s="60">
        <v>30</v>
      </c>
      <c r="V34" s="56" t="s">
        <v>1046</v>
      </c>
      <c r="W34" s="60">
        <v>25</v>
      </c>
      <c r="X34" s="56" t="s">
        <v>1047</v>
      </c>
      <c r="Y34" s="60">
        <v>25</v>
      </c>
      <c r="Z34" s="56" t="s">
        <v>1048</v>
      </c>
      <c r="AA34" s="60">
        <v>20</v>
      </c>
      <c r="AB34" s="60">
        <f t="shared" si="2"/>
        <v>100</v>
      </c>
      <c r="AC34" s="62">
        <v>1.6782407407407406E-3</v>
      </c>
      <c r="AD34" s="60">
        <v>1</v>
      </c>
      <c r="AE34" s="56" t="s">
        <v>225</v>
      </c>
      <c r="AF34" s="60">
        <v>228</v>
      </c>
      <c r="AG34" s="56" t="s">
        <v>1049</v>
      </c>
      <c r="AH34" s="58" t="s">
        <v>1041</v>
      </c>
    </row>
    <row r="35" spans="1:34" ht="45" customHeight="1">
      <c r="A35" s="50" t="s">
        <v>200</v>
      </c>
      <c r="B35" s="60">
        <v>31</v>
      </c>
      <c r="C35" s="60">
        <v>8</v>
      </c>
      <c r="D35" s="56" t="s">
        <v>230</v>
      </c>
      <c r="E35" s="56" t="s">
        <v>993</v>
      </c>
      <c r="F35" s="51" t="s">
        <v>68</v>
      </c>
      <c r="G35" s="51" t="s">
        <v>992</v>
      </c>
      <c r="H35" s="56" t="s">
        <v>68</v>
      </c>
      <c r="I35" s="51" t="s">
        <v>68</v>
      </c>
      <c r="J35" s="56" t="s">
        <v>994</v>
      </c>
      <c r="K35" s="60">
        <v>0</v>
      </c>
      <c r="L35" s="60">
        <v>0</v>
      </c>
      <c r="M35" s="56" t="s">
        <v>68</v>
      </c>
      <c r="N35" s="60">
        <v>0</v>
      </c>
      <c r="O35" s="60">
        <f t="shared" si="0"/>
        <v>0</v>
      </c>
      <c r="P35" s="60">
        <v>0</v>
      </c>
      <c r="Q35" s="56" t="s">
        <v>68</v>
      </c>
      <c r="R35" s="60">
        <v>0</v>
      </c>
      <c r="S35" s="60">
        <f t="shared" si="1"/>
        <v>0</v>
      </c>
      <c r="T35" s="56" t="s">
        <v>68</v>
      </c>
      <c r="U35" s="60">
        <v>0</v>
      </c>
      <c r="V35" s="56" t="s">
        <v>68</v>
      </c>
      <c r="W35" s="60">
        <v>0</v>
      </c>
      <c r="X35" s="56" t="s">
        <v>68</v>
      </c>
      <c r="Y35" s="60">
        <v>0</v>
      </c>
      <c r="Z35" s="56" t="s">
        <v>68</v>
      </c>
      <c r="AA35" s="60">
        <v>0</v>
      </c>
      <c r="AB35" s="60">
        <f t="shared" si="2"/>
        <v>0</v>
      </c>
      <c r="AC35" s="62"/>
      <c r="AD35" s="60">
        <v>0</v>
      </c>
      <c r="AE35" s="56" t="s">
        <v>995</v>
      </c>
      <c r="AF35" s="60">
        <v>0</v>
      </c>
      <c r="AG35" s="56" t="s">
        <v>68</v>
      </c>
      <c r="AH35" s="58" t="s">
        <v>996</v>
      </c>
    </row>
    <row r="36" spans="1:34" ht="45" customHeight="1">
      <c r="A36" s="50" t="s">
        <v>200</v>
      </c>
      <c r="B36" s="60">
        <v>32</v>
      </c>
      <c r="C36" s="60">
        <v>8</v>
      </c>
      <c r="D36" s="56" t="s">
        <v>236</v>
      </c>
      <c r="E36" s="56" t="s">
        <v>1050</v>
      </c>
      <c r="F36" s="51" t="s">
        <v>1001</v>
      </c>
      <c r="G36" s="51" t="s">
        <v>998</v>
      </c>
      <c r="H36" s="56" t="s">
        <v>1051</v>
      </c>
      <c r="I36" s="51" t="s">
        <v>1022</v>
      </c>
      <c r="J36" s="56" t="s">
        <v>1052</v>
      </c>
      <c r="K36" s="60">
        <v>296</v>
      </c>
      <c r="L36" s="60">
        <v>24</v>
      </c>
      <c r="M36" s="56" t="s">
        <v>1005</v>
      </c>
      <c r="N36" s="60">
        <v>4</v>
      </c>
      <c r="O36" s="60">
        <f t="shared" si="0"/>
        <v>28</v>
      </c>
      <c r="P36" s="60">
        <v>16</v>
      </c>
      <c r="Q36" s="56" t="s">
        <v>1006</v>
      </c>
      <c r="R36" s="60">
        <v>3</v>
      </c>
      <c r="S36" s="60">
        <f t="shared" si="1"/>
        <v>19</v>
      </c>
      <c r="T36" s="56" t="s">
        <v>1026</v>
      </c>
      <c r="U36" s="60">
        <v>45</v>
      </c>
      <c r="V36" s="56" t="s">
        <v>1027</v>
      </c>
      <c r="W36" s="60">
        <v>35</v>
      </c>
      <c r="X36" s="56" t="s">
        <v>1028</v>
      </c>
      <c r="Y36" s="60">
        <v>20</v>
      </c>
      <c r="Z36" s="56" t="s">
        <v>68</v>
      </c>
      <c r="AA36" s="60">
        <v>0</v>
      </c>
      <c r="AB36" s="60">
        <f t="shared" si="2"/>
        <v>100</v>
      </c>
      <c r="AC36" s="62">
        <v>6.3657407407407402E-4</v>
      </c>
      <c r="AD36" s="60">
        <v>3</v>
      </c>
      <c r="AE36" s="56" t="s">
        <v>237</v>
      </c>
      <c r="AF36" s="60">
        <v>69</v>
      </c>
      <c r="AG36" s="56" t="s">
        <v>68</v>
      </c>
      <c r="AH36" s="58" t="s">
        <v>1053</v>
      </c>
    </row>
    <row r="37" spans="1:34" ht="45" customHeight="1">
      <c r="A37" s="50" t="s">
        <v>200</v>
      </c>
      <c r="B37" s="60">
        <v>33</v>
      </c>
      <c r="C37" s="60">
        <v>9</v>
      </c>
      <c r="D37" s="56" t="s">
        <v>238</v>
      </c>
      <c r="E37" s="56" t="s">
        <v>1050</v>
      </c>
      <c r="F37" s="51" t="s">
        <v>1001</v>
      </c>
      <c r="G37" s="51" t="s">
        <v>998</v>
      </c>
      <c r="H37" s="56" t="s">
        <v>1051</v>
      </c>
      <c r="I37" s="51" t="s">
        <v>1022</v>
      </c>
      <c r="J37" s="56" t="s">
        <v>1052</v>
      </c>
      <c r="K37" s="60">
        <v>318</v>
      </c>
      <c r="L37" s="60">
        <v>26</v>
      </c>
      <c r="M37" s="56" t="s">
        <v>1005</v>
      </c>
      <c r="N37" s="60">
        <v>4</v>
      </c>
      <c r="O37" s="60">
        <f t="shared" ref="O37:O68" si="3">L37+N37</f>
        <v>30</v>
      </c>
      <c r="P37" s="60">
        <v>17</v>
      </c>
      <c r="Q37" s="56" t="s">
        <v>1006</v>
      </c>
      <c r="R37" s="60">
        <v>3</v>
      </c>
      <c r="S37" s="60">
        <f t="shared" ref="S37:S68" si="4">P37+R37</f>
        <v>20</v>
      </c>
      <c r="T37" s="56" t="s">
        <v>1026</v>
      </c>
      <c r="U37" s="60">
        <v>45</v>
      </c>
      <c r="V37" s="56" t="s">
        <v>1027</v>
      </c>
      <c r="W37" s="60">
        <v>35</v>
      </c>
      <c r="X37" s="56" t="s">
        <v>1028</v>
      </c>
      <c r="Y37" s="60">
        <v>20</v>
      </c>
      <c r="Z37" s="56" t="s">
        <v>68</v>
      </c>
      <c r="AA37" s="60">
        <v>0</v>
      </c>
      <c r="AB37" s="60">
        <f t="shared" ref="AB37:AB68" si="5">SUM(U37,W37,Y37,AA37)</f>
        <v>100</v>
      </c>
      <c r="AC37" s="62">
        <v>1.6782407407407406E-3</v>
      </c>
      <c r="AD37" s="60">
        <v>1</v>
      </c>
      <c r="AE37" s="56" t="s">
        <v>237</v>
      </c>
      <c r="AF37" s="60">
        <v>102</v>
      </c>
      <c r="AG37" s="56" t="s">
        <v>68</v>
      </c>
      <c r="AH37" s="58" t="s">
        <v>1054</v>
      </c>
    </row>
    <row r="38" spans="1:34" ht="45" customHeight="1">
      <c r="A38" s="50" t="s">
        <v>200</v>
      </c>
      <c r="B38" s="60">
        <v>34</v>
      </c>
      <c r="C38" s="60">
        <v>9</v>
      </c>
      <c r="D38" s="56" t="s">
        <v>240</v>
      </c>
      <c r="E38" s="56" t="s">
        <v>1017</v>
      </c>
      <c r="F38" s="51" t="s">
        <v>1001</v>
      </c>
      <c r="G38" s="51" t="s">
        <v>998</v>
      </c>
      <c r="H38" s="56" t="s">
        <v>1024</v>
      </c>
      <c r="I38" s="51" t="s">
        <v>1022</v>
      </c>
      <c r="J38" s="56" t="s">
        <v>1025</v>
      </c>
      <c r="K38" s="60">
        <v>318</v>
      </c>
      <c r="L38" s="60">
        <v>26</v>
      </c>
      <c r="M38" s="56" t="s">
        <v>1005</v>
      </c>
      <c r="N38" s="60">
        <v>4</v>
      </c>
      <c r="O38" s="60">
        <f t="shared" si="3"/>
        <v>30</v>
      </c>
      <c r="P38" s="60">
        <v>17</v>
      </c>
      <c r="Q38" s="56" t="s">
        <v>1006</v>
      </c>
      <c r="R38" s="60">
        <v>3</v>
      </c>
      <c r="S38" s="60">
        <f t="shared" si="4"/>
        <v>20</v>
      </c>
      <c r="T38" s="56" t="s">
        <v>1026</v>
      </c>
      <c r="U38" s="60">
        <v>45</v>
      </c>
      <c r="V38" s="56" t="s">
        <v>1027</v>
      </c>
      <c r="W38" s="60">
        <v>35</v>
      </c>
      <c r="X38" s="56" t="s">
        <v>1028</v>
      </c>
      <c r="Y38" s="60">
        <v>20</v>
      </c>
      <c r="Z38" s="56" t="s">
        <v>68</v>
      </c>
      <c r="AA38" s="60">
        <v>0</v>
      </c>
      <c r="AB38" s="60">
        <f t="shared" si="5"/>
        <v>100</v>
      </c>
      <c r="AC38" s="62">
        <v>1.2152777777777778E-3</v>
      </c>
      <c r="AD38" s="60">
        <v>5</v>
      </c>
      <c r="AE38" s="56" t="s">
        <v>97</v>
      </c>
      <c r="AF38" s="60">
        <v>91</v>
      </c>
      <c r="AG38" s="56" t="s">
        <v>68</v>
      </c>
      <c r="AH38" s="58" t="s">
        <v>1054</v>
      </c>
    </row>
    <row r="39" spans="1:34" ht="45" customHeight="1">
      <c r="A39" s="50" t="s">
        <v>200</v>
      </c>
      <c r="B39" s="60">
        <v>35</v>
      </c>
      <c r="C39" s="60">
        <v>9</v>
      </c>
      <c r="D39" s="56" t="s">
        <v>241</v>
      </c>
      <c r="E39" s="56" t="s">
        <v>1017</v>
      </c>
      <c r="F39" s="51" t="s">
        <v>1001</v>
      </c>
      <c r="G39" s="51" t="s">
        <v>998</v>
      </c>
      <c r="H39" s="56" t="s">
        <v>1024</v>
      </c>
      <c r="I39" s="51" t="s">
        <v>1022</v>
      </c>
      <c r="J39" s="56" t="s">
        <v>1025</v>
      </c>
      <c r="K39" s="60">
        <v>318</v>
      </c>
      <c r="L39" s="60">
        <v>26</v>
      </c>
      <c r="M39" s="56" t="s">
        <v>1005</v>
      </c>
      <c r="N39" s="60">
        <v>4</v>
      </c>
      <c r="O39" s="60">
        <f t="shared" si="3"/>
        <v>30</v>
      </c>
      <c r="P39" s="60">
        <v>17</v>
      </c>
      <c r="Q39" s="56" t="s">
        <v>1006</v>
      </c>
      <c r="R39" s="60">
        <v>3</v>
      </c>
      <c r="S39" s="60">
        <f t="shared" si="4"/>
        <v>20</v>
      </c>
      <c r="T39" s="56" t="s">
        <v>1026</v>
      </c>
      <c r="U39" s="60">
        <v>45</v>
      </c>
      <c r="V39" s="56" t="s">
        <v>1027</v>
      </c>
      <c r="W39" s="60">
        <v>35</v>
      </c>
      <c r="X39" s="56" t="s">
        <v>1028</v>
      </c>
      <c r="Y39" s="60">
        <v>20</v>
      </c>
      <c r="Z39" s="56" t="s">
        <v>68</v>
      </c>
      <c r="AA39" s="60">
        <v>0</v>
      </c>
      <c r="AB39" s="60">
        <f t="shared" si="5"/>
        <v>100</v>
      </c>
      <c r="AC39" s="62">
        <v>1.2152777777777778E-3</v>
      </c>
      <c r="AD39" s="60">
        <v>5</v>
      </c>
      <c r="AE39" s="56" t="s">
        <v>97</v>
      </c>
      <c r="AF39" s="60">
        <v>91</v>
      </c>
      <c r="AG39" s="56" t="s">
        <v>68</v>
      </c>
      <c r="AH39" s="58" t="s">
        <v>1054</v>
      </c>
    </row>
    <row r="40" spans="1:34" ht="45" customHeight="1">
      <c r="A40" s="50" t="s">
        <v>200</v>
      </c>
      <c r="B40" s="60">
        <v>36</v>
      </c>
      <c r="C40" s="60">
        <v>9</v>
      </c>
      <c r="D40" s="56" t="s">
        <v>242</v>
      </c>
      <c r="E40" s="56" t="s">
        <v>1050</v>
      </c>
      <c r="F40" s="51" t="s">
        <v>1001</v>
      </c>
      <c r="G40" s="51" t="s">
        <v>998</v>
      </c>
      <c r="H40" s="56" t="s">
        <v>1051</v>
      </c>
      <c r="I40" s="51" t="s">
        <v>1022</v>
      </c>
      <c r="J40" s="56" t="s">
        <v>1052</v>
      </c>
      <c r="K40" s="60">
        <v>318</v>
      </c>
      <c r="L40" s="60">
        <v>26</v>
      </c>
      <c r="M40" s="56" t="s">
        <v>1005</v>
      </c>
      <c r="N40" s="60">
        <v>4</v>
      </c>
      <c r="O40" s="60">
        <f t="shared" si="3"/>
        <v>30</v>
      </c>
      <c r="P40" s="60">
        <v>17</v>
      </c>
      <c r="Q40" s="56" t="s">
        <v>1006</v>
      </c>
      <c r="R40" s="60">
        <v>3</v>
      </c>
      <c r="S40" s="60">
        <f t="shared" si="4"/>
        <v>20</v>
      </c>
      <c r="T40" s="56" t="s">
        <v>1026</v>
      </c>
      <c r="U40" s="60">
        <v>45</v>
      </c>
      <c r="V40" s="56" t="s">
        <v>1027</v>
      </c>
      <c r="W40" s="60">
        <v>35</v>
      </c>
      <c r="X40" s="56" t="s">
        <v>1028</v>
      </c>
      <c r="Y40" s="60">
        <v>20</v>
      </c>
      <c r="Z40" s="56" t="s">
        <v>68</v>
      </c>
      <c r="AA40" s="60">
        <v>0</v>
      </c>
      <c r="AB40" s="60">
        <f t="shared" si="5"/>
        <v>100</v>
      </c>
      <c r="AC40" s="62">
        <v>1.6782407407407406E-3</v>
      </c>
      <c r="AD40" s="60">
        <v>2</v>
      </c>
      <c r="AE40" s="56" t="s">
        <v>237</v>
      </c>
      <c r="AF40" s="60">
        <v>102</v>
      </c>
      <c r="AG40" s="56" t="s">
        <v>68</v>
      </c>
      <c r="AH40" s="58" t="s">
        <v>1054</v>
      </c>
    </row>
    <row r="41" spans="1:34" ht="45" customHeight="1">
      <c r="A41" s="50" t="s">
        <v>200</v>
      </c>
      <c r="B41" s="60">
        <v>37</v>
      </c>
      <c r="C41" s="60">
        <v>10</v>
      </c>
      <c r="D41" s="56" t="s">
        <v>244</v>
      </c>
      <c r="E41" s="56" t="s">
        <v>1017</v>
      </c>
      <c r="F41" s="51" t="s">
        <v>1001</v>
      </c>
      <c r="G41" s="51" t="s">
        <v>998</v>
      </c>
      <c r="H41" s="56" t="s">
        <v>1024</v>
      </c>
      <c r="I41" s="51" t="s">
        <v>1022</v>
      </c>
      <c r="J41" s="56" t="s">
        <v>1025</v>
      </c>
      <c r="K41" s="60">
        <v>340</v>
      </c>
      <c r="L41" s="60">
        <v>28</v>
      </c>
      <c r="M41" s="56" t="s">
        <v>1005</v>
      </c>
      <c r="N41" s="60">
        <v>4</v>
      </c>
      <c r="O41" s="60">
        <f t="shared" si="3"/>
        <v>32</v>
      </c>
      <c r="P41" s="60">
        <v>18</v>
      </c>
      <c r="Q41" s="56" t="s">
        <v>1006</v>
      </c>
      <c r="R41" s="60">
        <v>3</v>
      </c>
      <c r="S41" s="60">
        <f t="shared" si="4"/>
        <v>21</v>
      </c>
      <c r="T41" s="56" t="s">
        <v>1026</v>
      </c>
      <c r="U41" s="60">
        <v>45</v>
      </c>
      <c r="V41" s="56" t="s">
        <v>1027</v>
      </c>
      <c r="W41" s="60">
        <v>35</v>
      </c>
      <c r="X41" s="56" t="s">
        <v>1028</v>
      </c>
      <c r="Y41" s="60">
        <v>20</v>
      </c>
      <c r="Z41" s="56" t="s">
        <v>68</v>
      </c>
      <c r="AA41" s="60">
        <v>0</v>
      </c>
      <c r="AB41" s="60">
        <f t="shared" si="5"/>
        <v>100</v>
      </c>
      <c r="AC41" s="62">
        <v>1.6782407407407406E-3</v>
      </c>
      <c r="AD41" s="60">
        <v>3</v>
      </c>
      <c r="AE41" s="56" t="s">
        <v>97</v>
      </c>
      <c r="AF41" s="60">
        <v>119</v>
      </c>
      <c r="AG41" s="56" t="s">
        <v>68</v>
      </c>
      <c r="AH41" s="58" t="s">
        <v>1055</v>
      </c>
    </row>
    <row r="42" spans="1:34" ht="45" customHeight="1">
      <c r="A42" s="50" t="s">
        <v>200</v>
      </c>
      <c r="B42" s="60">
        <v>38</v>
      </c>
      <c r="C42" s="60">
        <v>10</v>
      </c>
      <c r="D42" s="56" t="s">
        <v>245</v>
      </c>
      <c r="E42" s="56" t="s">
        <v>1017</v>
      </c>
      <c r="F42" s="51" t="s">
        <v>1001</v>
      </c>
      <c r="G42" s="51" t="s">
        <v>998</v>
      </c>
      <c r="H42" s="56" t="s">
        <v>1024</v>
      </c>
      <c r="I42" s="51" t="s">
        <v>1022</v>
      </c>
      <c r="J42" s="56" t="s">
        <v>1025</v>
      </c>
      <c r="K42" s="60">
        <v>340</v>
      </c>
      <c r="L42" s="60">
        <v>28</v>
      </c>
      <c r="M42" s="56" t="s">
        <v>1005</v>
      </c>
      <c r="N42" s="60">
        <v>4</v>
      </c>
      <c r="O42" s="60">
        <f t="shared" si="3"/>
        <v>32</v>
      </c>
      <c r="P42" s="60">
        <v>18</v>
      </c>
      <c r="Q42" s="56" t="s">
        <v>1006</v>
      </c>
      <c r="R42" s="60">
        <v>3</v>
      </c>
      <c r="S42" s="60">
        <f t="shared" si="4"/>
        <v>21</v>
      </c>
      <c r="T42" s="56" t="s">
        <v>1026</v>
      </c>
      <c r="U42" s="60">
        <v>45</v>
      </c>
      <c r="V42" s="56" t="s">
        <v>1027</v>
      </c>
      <c r="W42" s="60">
        <v>35</v>
      </c>
      <c r="X42" s="56" t="s">
        <v>1028</v>
      </c>
      <c r="Y42" s="60">
        <v>20</v>
      </c>
      <c r="Z42" s="56" t="s">
        <v>68</v>
      </c>
      <c r="AA42" s="60">
        <v>0</v>
      </c>
      <c r="AB42" s="60">
        <f t="shared" si="5"/>
        <v>100</v>
      </c>
      <c r="AC42" s="62">
        <v>1.5046296296296296E-3</v>
      </c>
      <c r="AD42" s="60">
        <v>3</v>
      </c>
      <c r="AE42" s="56" t="s">
        <v>97</v>
      </c>
      <c r="AF42" s="60">
        <v>106</v>
      </c>
      <c r="AG42" s="56" t="s">
        <v>68</v>
      </c>
      <c r="AH42" s="58" t="s">
        <v>1055</v>
      </c>
    </row>
    <row r="43" spans="1:34" ht="45" customHeight="1">
      <c r="A43" s="50" t="s">
        <v>200</v>
      </c>
      <c r="B43" s="60">
        <v>39</v>
      </c>
      <c r="C43" s="60">
        <v>10</v>
      </c>
      <c r="D43" s="56" t="s">
        <v>247</v>
      </c>
      <c r="E43" s="56" t="s">
        <v>1056</v>
      </c>
      <c r="F43" s="51" t="s">
        <v>1001</v>
      </c>
      <c r="G43" s="51" t="s">
        <v>1012</v>
      </c>
      <c r="H43" s="56" t="s">
        <v>1043</v>
      </c>
      <c r="I43" s="51" t="s">
        <v>1022</v>
      </c>
      <c r="J43" s="56" t="s">
        <v>1044</v>
      </c>
      <c r="K43" s="60">
        <v>1200</v>
      </c>
      <c r="L43" s="60">
        <v>50</v>
      </c>
      <c r="M43" s="56" t="s">
        <v>1005</v>
      </c>
      <c r="N43" s="60">
        <v>10</v>
      </c>
      <c r="O43" s="60">
        <f t="shared" si="3"/>
        <v>60</v>
      </c>
      <c r="P43" s="60">
        <v>35</v>
      </c>
      <c r="Q43" s="56" t="s">
        <v>1006</v>
      </c>
      <c r="R43" s="60">
        <v>8</v>
      </c>
      <c r="S43" s="60">
        <f t="shared" si="4"/>
        <v>43</v>
      </c>
      <c r="T43" s="56" t="s">
        <v>1045</v>
      </c>
      <c r="U43" s="60">
        <v>30</v>
      </c>
      <c r="V43" s="56" t="s">
        <v>1046</v>
      </c>
      <c r="W43" s="60">
        <v>25</v>
      </c>
      <c r="X43" s="56" t="s">
        <v>1047</v>
      </c>
      <c r="Y43" s="60">
        <v>25</v>
      </c>
      <c r="Z43" s="56" t="s">
        <v>1048</v>
      </c>
      <c r="AA43" s="60">
        <v>20</v>
      </c>
      <c r="AB43" s="60">
        <f t="shared" si="5"/>
        <v>100</v>
      </c>
      <c r="AC43" s="62">
        <v>2.7777777777777779E-3</v>
      </c>
      <c r="AD43" s="60">
        <v>1</v>
      </c>
      <c r="AE43" s="56" t="s">
        <v>225</v>
      </c>
      <c r="AF43" s="60">
        <v>317</v>
      </c>
      <c r="AG43" s="56" t="s">
        <v>826</v>
      </c>
      <c r="AH43" s="58" t="s">
        <v>1055</v>
      </c>
    </row>
    <row r="44" spans="1:34" ht="45" customHeight="1">
      <c r="A44" s="50" t="s">
        <v>200</v>
      </c>
      <c r="B44" s="60">
        <v>40</v>
      </c>
      <c r="C44" s="60">
        <v>10</v>
      </c>
      <c r="D44" s="56" t="s">
        <v>256</v>
      </c>
      <c r="E44" s="56" t="s">
        <v>1057</v>
      </c>
      <c r="F44" s="51" t="s">
        <v>1001</v>
      </c>
      <c r="G44" s="51" t="s">
        <v>998</v>
      </c>
      <c r="H44" s="56" t="s">
        <v>1051</v>
      </c>
      <c r="I44" s="51" t="s">
        <v>1022</v>
      </c>
      <c r="J44" s="56" t="s">
        <v>1052</v>
      </c>
      <c r="K44" s="60">
        <v>340</v>
      </c>
      <c r="L44" s="60">
        <v>28</v>
      </c>
      <c r="M44" s="56" t="s">
        <v>1005</v>
      </c>
      <c r="N44" s="60">
        <v>4</v>
      </c>
      <c r="O44" s="60">
        <f t="shared" si="3"/>
        <v>32</v>
      </c>
      <c r="P44" s="60">
        <v>18</v>
      </c>
      <c r="Q44" s="56" t="s">
        <v>1006</v>
      </c>
      <c r="R44" s="60">
        <v>3</v>
      </c>
      <c r="S44" s="60">
        <f t="shared" si="4"/>
        <v>21</v>
      </c>
      <c r="T44" s="56" t="s">
        <v>1026</v>
      </c>
      <c r="U44" s="60">
        <v>45</v>
      </c>
      <c r="V44" s="56" t="s">
        <v>1027</v>
      </c>
      <c r="W44" s="60">
        <v>35</v>
      </c>
      <c r="X44" s="56" t="s">
        <v>1028</v>
      </c>
      <c r="Y44" s="60">
        <v>20</v>
      </c>
      <c r="Z44" s="56" t="s">
        <v>68</v>
      </c>
      <c r="AA44" s="60">
        <v>0</v>
      </c>
      <c r="AB44" s="60">
        <f t="shared" si="5"/>
        <v>100</v>
      </c>
      <c r="AC44" s="62">
        <v>6.3657407407407402E-4</v>
      </c>
      <c r="AD44" s="60">
        <v>3</v>
      </c>
      <c r="AE44" s="56" t="s">
        <v>237</v>
      </c>
      <c r="AF44" s="60">
        <v>95</v>
      </c>
      <c r="AG44" s="56" t="s">
        <v>68</v>
      </c>
      <c r="AH44" s="58" t="s">
        <v>1058</v>
      </c>
    </row>
    <row r="45" spans="1:34" ht="45" customHeight="1">
      <c r="A45" s="50" t="s">
        <v>200</v>
      </c>
      <c r="B45" s="60">
        <v>41</v>
      </c>
      <c r="C45" s="60">
        <v>10</v>
      </c>
      <c r="D45" s="56" t="s">
        <v>259</v>
      </c>
      <c r="E45" s="56" t="s">
        <v>993</v>
      </c>
      <c r="F45" s="51" t="s">
        <v>68</v>
      </c>
      <c r="G45" s="51" t="s">
        <v>992</v>
      </c>
      <c r="H45" s="56" t="s">
        <v>68</v>
      </c>
      <c r="I45" s="51" t="s">
        <v>68</v>
      </c>
      <c r="J45" s="56" t="s">
        <v>994</v>
      </c>
      <c r="K45" s="60">
        <v>0</v>
      </c>
      <c r="L45" s="60">
        <v>0</v>
      </c>
      <c r="M45" s="56" t="s">
        <v>68</v>
      </c>
      <c r="N45" s="60">
        <v>0</v>
      </c>
      <c r="O45" s="60">
        <f t="shared" si="3"/>
        <v>0</v>
      </c>
      <c r="P45" s="60">
        <v>0</v>
      </c>
      <c r="Q45" s="56" t="s">
        <v>68</v>
      </c>
      <c r="R45" s="60">
        <v>0</v>
      </c>
      <c r="S45" s="60">
        <f t="shared" si="4"/>
        <v>0</v>
      </c>
      <c r="T45" s="56" t="s">
        <v>68</v>
      </c>
      <c r="U45" s="60">
        <v>0</v>
      </c>
      <c r="V45" s="56" t="s">
        <v>68</v>
      </c>
      <c r="W45" s="60">
        <v>0</v>
      </c>
      <c r="X45" s="56" t="s">
        <v>68</v>
      </c>
      <c r="Y45" s="60">
        <v>0</v>
      </c>
      <c r="Z45" s="56" t="s">
        <v>68</v>
      </c>
      <c r="AA45" s="60">
        <v>0</v>
      </c>
      <c r="AB45" s="60">
        <f t="shared" si="5"/>
        <v>0</v>
      </c>
      <c r="AC45" s="62"/>
      <c r="AD45" s="60">
        <v>0</v>
      </c>
      <c r="AE45" s="56" t="s">
        <v>995</v>
      </c>
      <c r="AF45" s="60">
        <v>0</v>
      </c>
      <c r="AG45" s="56" t="s">
        <v>68</v>
      </c>
      <c r="AH45" s="58" t="s">
        <v>996</v>
      </c>
    </row>
    <row r="46" spans="1:34" ht="45" customHeight="1">
      <c r="A46" s="50" t="s">
        <v>200</v>
      </c>
      <c r="B46" s="60">
        <v>42</v>
      </c>
      <c r="C46" s="60">
        <v>11</v>
      </c>
      <c r="D46" s="56" t="s">
        <v>260</v>
      </c>
      <c r="E46" s="56" t="s">
        <v>1017</v>
      </c>
      <c r="F46" s="51" t="s">
        <v>1001</v>
      </c>
      <c r="G46" s="51" t="s">
        <v>998</v>
      </c>
      <c r="H46" s="56" t="s">
        <v>1024</v>
      </c>
      <c r="I46" s="51" t="s">
        <v>1022</v>
      </c>
      <c r="J46" s="56" t="s">
        <v>1025</v>
      </c>
      <c r="K46" s="60">
        <v>362</v>
      </c>
      <c r="L46" s="60">
        <v>30</v>
      </c>
      <c r="M46" s="56" t="s">
        <v>1005</v>
      </c>
      <c r="N46" s="60">
        <v>4</v>
      </c>
      <c r="O46" s="60">
        <f t="shared" si="3"/>
        <v>34</v>
      </c>
      <c r="P46" s="60">
        <v>19</v>
      </c>
      <c r="Q46" s="56" t="s">
        <v>1006</v>
      </c>
      <c r="R46" s="60">
        <v>3</v>
      </c>
      <c r="S46" s="60">
        <f t="shared" si="4"/>
        <v>22</v>
      </c>
      <c r="T46" s="56" t="s">
        <v>1026</v>
      </c>
      <c r="U46" s="60">
        <v>45</v>
      </c>
      <c r="V46" s="56" t="s">
        <v>1027</v>
      </c>
      <c r="W46" s="60">
        <v>35</v>
      </c>
      <c r="X46" s="56" t="s">
        <v>1028</v>
      </c>
      <c r="Y46" s="60">
        <v>20</v>
      </c>
      <c r="Z46" s="56" t="s">
        <v>68</v>
      </c>
      <c r="AA46" s="60">
        <v>0</v>
      </c>
      <c r="AB46" s="60">
        <f t="shared" si="5"/>
        <v>100</v>
      </c>
      <c r="AC46" s="62">
        <v>1.273148148148148E-3</v>
      </c>
      <c r="AD46" s="60">
        <v>5</v>
      </c>
      <c r="AE46" s="56" t="s">
        <v>97</v>
      </c>
      <c r="AF46" s="60">
        <v>123</v>
      </c>
      <c r="AG46" s="56" t="s">
        <v>68</v>
      </c>
      <c r="AH46" s="58" t="s">
        <v>1059</v>
      </c>
    </row>
    <row r="47" spans="1:34" ht="45" customHeight="1">
      <c r="A47" s="50" t="s">
        <v>200</v>
      </c>
      <c r="B47" s="60">
        <v>43</v>
      </c>
      <c r="C47" s="60">
        <v>11</v>
      </c>
      <c r="D47" s="56" t="s">
        <v>261</v>
      </c>
      <c r="E47" s="56" t="s">
        <v>261</v>
      </c>
      <c r="F47" s="51" t="s">
        <v>1001</v>
      </c>
      <c r="G47" s="51" t="s">
        <v>998</v>
      </c>
      <c r="H47" s="56" t="s">
        <v>1024</v>
      </c>
      <c r="I47" s="51" t="s">
        <v>1022</v>
      </c>
      <c r="J47" s="56" t="s">
        <v>1025</v>
      </c>
      <c r="K47" s="60">
        <v>362</v>
      </c>
      <c r="L47" s="60">
        <v>30</v>
      </c>
      <c r="M47" s="56" t="s">
        <v>1005</v>
      </c>
      <c r="N47" s="60">
        <v>4</v>
      </c>
      <c r="O47" s="60">
        <f t="shared" si="3"/>
        <v>34</v>
      </c>
      <c r="P47" s="60">
        <v>19</v>
      </c>
      <c r="Q47" s="56" t="s">
        <v>1006</v>
      </c>
      <c r="R47" s="60">
        <v>3</v>
      </c>
      <c r="S47" s="60">
        <f t="shared" si="4"/>
        <v>22</v>
      </c>
      <c r="T47" s="56" t="s">
        <v>1026</v>
      </c>
      <c r="U47" s="60">
        <v>45</v>
      </c>
      <c r="V47" s="56" t="s">
        <v>1027</v>
      </c>
      <c r="W47" s="60">
        <v>35</v>
      </c>
      <c r="X47" s="56" t="s">
        <v>1028</v>
      </c>
      <c r="Y47" s="60">
        <v>20</v>
      </c>
      <c r="Z47" s="56" t="s">
        <v>68</v>
      </c>
      <c r="AA47" s="60">
        <v>0</v>
      </c>
      <c r="AB47" s="60">
        <f t="shared" si="5"/>
        <v>100</v>
      </c>
      <c r="AC47" s="62">
        <v>1.273148148148148E-3</v>
      </c>
      <c r="AD47" s="60">
        <v>3</v>
      </c>
      <c r="AE47" s="56" t="s">
        <v>97</v>
      </c>
      <c r="AF47" s="60">
        <v>123</v>
      </c>
      <c r="AG47" s="56" t="s">
        <v>68</v>
      </c>
      <c r="AH47" s="58" t="s">
        <v>1059</v>
      </c>
    </row>
    <row r="48" spans="1:34" ht="45" customHeight="1">
      <c r="A48" s="50" t="s">
        <v>200</v>
      </c>
      <c r="B48" s="60">
        <v>44</v>
      </c>
      <c r="C48" s="60">
        <v>11</v>
      </c>
      <c r="D48" s="56" t="s">
        <v>263</v>
      </c>
      <c r="E48" s="56" t="s">
        <v>1017</v>
      </c>
      <c r="F48" s="51" t="s">
        <v>1001</v>
      </c>
      <c r="G48" s="51" t="s">
        <v>998</v>
      </c>
      <c r="H48" s="56" t="s">
        <v>1024</v>
      </c>
      <c r="I48" s="51" t="s">
        <v>1022</v>
      </c>
      <c r="J48" s="56" t="s">
        <v>1025</v>
      </c>
      <c r="K48" s="60">
        <v>362</v>
      </c>
      <c r="L48" s="60">
        <v>30</v>
      </c>
      <c r="M48" s="56" t="s">
        <v>1005</v>
      </c>
      <c r="N48" s="60">
        <v>4</v>
      </c>
      <c r="O48" s="60">
        <f t="shared" si="3"/>
        <v>34</v>
      </c>
      <c r="P48" s="60">
        <v>19</v>
      </c>
      <c r="Q48" s="56" t="s">
        <v>1006</v>
      </c>
      <c r="R48" s="60">
        <v>3</v>
      </c>
      <c r="S48" s="60">
        <f t="shared" si="4"/>
        <v>22</v>
      </c>
      <c r="T48" s="56" t="s">
        <v>1026</v>
      </c>
      <c r="U48" s="60">
        <v>45</v>
      </c>
      <c r="V48" s="56" t="s">
        <v>1027</v>
      </c>
      <c r="W48" s="60">
        <v>35</v>
      </c>
      <c r="X48" s="56" t="s">
        <v>1028</v>
      </c>
      <c r="Y48" s="60">
        <v>20</v>
      </c>
      <c r="Z48" s="56" t="s">
        <v>68</v>
      </c>
      <c r="AA48" s="60">
        <v>0</v>
      </c>
      <c r="AB48" s="60">
        <f t="shared" si="5"/>
        <v>100</v>
      </c>
      <c r="AC48" s="62">
        <v>1.736111111111111E-3</v>
      </c>
      <c r="AD48" s="60">
        <v>1</v>
      </c>
      <c r="AE48" s="56" t="s">
        <v>97</v>
      </c>
      <c r="AF48" s="60">
        <v>138</v>
      </c>
      <c r="AG48" s="56" t="s">
        <v>68</v>
      </c>
      <c r="AH48" s="58" t="s">
        <v>1059</v>
      </c>
    </row>
    <row r="49" spans="1:34" ht="45" customHeight="1">
      <c r="A49" s="50" t="s">
        <v>200</v>
      </c>
      <c r="B49" s="60">
        <v>45</v>
      </c>
      <c r="C49" s="60">
        <v>11</v>
      </c>
      <c r="D49" s="56" t="s">
        <v>264</v>
      </c>
      <c r="E49" s="56" t="s">
        <v>1017</v>
      </c>
      <c r="F49" s="51" t="s">
        <v>1001</v>
      </c>
      <c r="G49" s="51" t="s">
        <v>998</v>
      </c>
      <c r="H49" s="56" t="s">
        <v>1024</v>
      </c>
      <c r="I49" s="51" t="s">
        <v>1022</v>
      </c>
      <c r="J49" s="56" t="s">
        <v>1025</v>
      </c>
      <c r="K49" s="60">
        <v>362</v>
      </c>
      <c r="L49" s="60">
        <v>30</v>
      </c>
      <c r="M49" s="56" t="s">
        <v>1005</v>
      </c>
      <c r="N49" s="60">
        <v>4</v>
      </c>
      <c r="O49" s="60">
        <f t="shared" si="3"/>
        <v>34</v>
      </c>
      <c r="P49" s="60">
        <v>19</v>
      </c>
      <c r="Q49" s="56" t="s">
        <v>1006</v>
      </c>
      <c r="R49" s="60">
        <v>3</v>
      </c>
      <c r="S49" s="60">
        <f t="shared" si="4"/>
        <v>22</v>
      </c>
      <c r="T49" s="56" t="s">
        <v>1026</v>
      </c>
      <c r="U49" s="60">
        <v>45</v>
      </c>
      <c r="V49" s="56" t="s">
        <v>1027</v>
      </c>
      <c r="W49" s="60">
        <v>35</v>
      </c>
      <c r="X49" s="56" t="s">
        <v>1028</v>
      </c>
      <c r="Y49" s="60">
        <v>20</v>
      </c>
      <c r="Z49" s="56" t="s">
        <v>68</v>
      </c>
      <c r="AA49" s="60">
        <v>0</v>
      </c>
      <c r="AB49" s="60">
        <f t="shared" si="5"/>
        <v>100</v>
      </c>
      <c r="AC49" s="62">
        <v>1.736111111111111E-3</v>
      </c>
      <c r="AD49" s="60">
        <v>3</v>
      </c>
      <c r="AE49" s="56" t="s">
        <v>97</v>
      </c>
      <c r="AF49" s="60">
        <v>138</v>
      </c>
      <c r="AG49" s="56" t="s">
        <v>68</v>
      </c>
      <c r="AH49" s="58" t="s">
        <v>1059</v>
      </c>
    </row>
    <row r="50" spans="1:34" ht="45" customHeight="1">
      <c r="A50" s="50" t="s">
        <v>200</v>
      </c>
      <c r="B50" s="60">
        <v>46</v>
      </c>
      <c r="C50" s="60">
        <v>12</v>
      </c>
      <c r="D50" s="56" t="s">
        <v>265</v>
      </c>
      <c r="E50" s="56" t="s">
        <v>1060</v>
      </c>
      <c r="F50" s="51" t="s">
        <v>1001</v>
      </c>
      <c r="G50" s="51" t="s">
        <v>1016</v>
      </c>
      <c r="H50" s="56" t="s">
        <v>1061</v>
      </c>
      <c r="I50" s="51" t="s">
        <v>1022</v>
      </c>
      <c r="J50" s="56" t="s">
        <v>1032</v>
      </c>
      <c r="K50" s="60">
        <v>3200</v>
      </c>
      <c r="L50" s="60">
        <v>105</v>
      </c>
      <c r="M50" s="56" t="s">
        <v>1005</v>
      </c>
      <c r="N50" s="60">
        <v>14</v>
      </c>
      <c r="O50" s="60">
        <f t="shared" si="3"/>
        <v>119</v>
      </c>
      <c r="P50" s="60">
        <v>66</v>
      </c>
      <c r="Q50" s="56" t="s">
        <v>1006</v>
      </c>
      <c r="R50" s="60">
        <v>13</v>
      </c>
      <c r="S50" s="60">
        <f t="shared" si="4"/>
        <v>79</v>
      </c>
      <c r="T50" s="56" t="s">
        <v>1062</v>
      </c>
      <c r="U50" s="60">
        <v>30</v>
      </c>
      <c r="V50" s="56" t="s">
        <v>1063</v>
      </c>
      <c r="W50" s="60">
        <v>25</v>
      </c>
      <c r="X50" s="56" t="s">
        <v>1064</v>
      </c>
      <c r="Y50" s="60">
        <v>25</v>
      </c>
      <c r="Z50" s="56" t="s">
        <v>1065</v>
      </c>
      <c r="AA50" s="60">
        <v>20</v>
      </c>
      <c r="AB50" s="60">
        <f t="shared" si="5"/>
        <v>100</v>
      </c>
      <c r="AC50" s="62">
        <v>5.9027777777777776E-3</v>
      </c>
      <c r="AD50" s="60">
        <v>1</v>
      </c>
      <c r="AE50" s="56" t="s">
        <v>271</v>
      </c>
      <c r="AF50" s="60">
        <v>1264</v>
      </c>
      <c r="AG50" s="56" t="s">
        <v>846</v>
      </c>
      <c r="AH50" s="58" t="s">
        <v>1066</v>
      </c>
    </row>
    <row r="51" spans="1:34" ht="45" customHeight="1">
      <c r="A51" s="50" t="s">
        <v>275</v>
      </c>
      <c r="B51" s="60">
        <v>47</v>
      </c>
      <c r="C51" s="60">
        <v>12</v>
      </c>
      <c r="D51" s="56" t="s">
        <v>276</v>
      </c>
      <c r="E51" s="56" t="s">
        <v>993</v>
      </c>
      <c r="F51" s="51" t="s">
        <v>68</v>
      </c>
      <c r="G51" s="51" t="s">
        <v>992</v>
      </c>
      <c r="H51" s="56" t="s">
        <v>68</v>
      </c>
      <c r="I51" s="51" t="s">
        <v>68</v>
      </c>
      <c r="J51" s="56" t="s">
        <v>994</v>
      </c>
      <c r="K51" s="60">
        <v>0</v>
      </c>
      <c r="L51" s="60">
        <v>0</v>
      </c>
      <c r="M51" s="56" t="s">
        <v>68</v>
      </c>
      <c r="N51" s="60">
        <v>0</v>
      </c>
      <c r="O51" s="60">
        <f t="shared" si="3"/>
        <v>0</v>
      </c>
      <c r="P51" s="60">
        <v>0</v>
      </c>
      <c r="Q51" s="56" t="s">
        <v>68</v>
      </c>
      <c r="R51" s="60">
        <v>0</v>
      </c>
      <c r="S51" s="60">
        <f t="shared" si="4"/>
        <v>0</v>
      </c>
      <c r="T51" s="56" t="s">
        <v>68</v>
      </c>
      <c r="U51" s="60">
        <v>0</v>
      </c>
      <c r="V51" s="56" t="s">
        <v>68</v>
      </c>
      <c r="W51" s="60">
        <v>0</v>
      </c>
      <c r="X51" s="56" t="s">
        <v>68</v>
      </c>
      <c r="Y51" s="60">
        <v>0</v>
      </c>
      <c r="Z51" s="56" t="s">
        <v>68</v>
      </c>
      <c r="AA51" s="60">
        <v>0</v>
      </c>
      <c r="AB51" s="60">
        <f t="shared" si="5"/>
        <v>0</v>
      </c>
      <c r="AC51" s="62"/>
      <c r="AD51" s="60">
        <v>0</v>
      </c>
      <c r="AE51" s="56" t="s">
        <v>995</v>
      </c>
      <c r="AF51" s="60">
        <v>0</v>
      </c>
      <c r="AG51" s="56" t="s">
        <v>68</v>
      </c>
      <c r="AH51" s="58" t="s">
        <v>996</v>
      </c>
    </row>
    <row r="52" spans="1:34" ht="45" customHeight="1">
      <c r="A52" s="50" t="s">
        <v>275</v>
      </c>
      <c r="B52" s="60">
        <v>48</v>
      </c>
      <c r="C52" s="60">
        <v>12</v>
      </c>
      <c r="D52" s="56" t="s">
        <v>281</v>
      </c>
      <c r="E52" s="56" t="s">
        <v>1017</v>
      </c>
      <c r="F52" s="51" t="s">
        <v>1001</v>
      </c>
      <c r="G52" s="51" t="s">
        <v>998</v>
      </c>
      <c r="H52" s="56" t="s">
        <v>1024</v>
      </c>
      <c r="I52" s="51" t="s">
        <v>1022</v>
      </c>
      <c r="J52" s="56" t="s">
        <v>1025</v>
      </c>
      <c r="K52" s="60">
        <v>384</v>
      </c>
      <c r="L52" s="60">
        <v>32</v>
      </c>
      <c r="M52" s="56" t="s">
        <v>1005</v>
      </c>
      <c r="N52" s="60">
        <v>5</v>
      </c>
      <c r="O52" s="60">
        <f t="shared" si="3"/>
        <v>37</v>
      </c>
      <c r="P52" s="60">
        <v>20</v>
      </c>
      <c r="Q52" s="56" t="s">
        <v>1006</v>
      </c>
      <c r="R52" s="60">
        <v>3</v>
      </c>
      <c r="S52" s="60">
        <f t="shared" si="4"/>
        <v>23</v>
      </c>
      <c r="T52" s="56" t="s">
        <v>1026</v>
      </c>
      <c r="U52" s="60">
        <v>45</v>
      </c>
      <c r="V52" s="56" t="s">
        <v>1027</v>
      </c>
      <c r="W52" s="60">
        <v>35</v>
      </c>
      <c r="X52" s="56" t="s">
        <v>1028</v>
      </c>
      <c r="Y52" s="60">
        <v>20</v>
      </c>
      <c r="Z52" s="56" t="s">
        <v>68</v>
      </c>
      <c r="AA52" s="60">
        <v>0</v>
      </c>
      <c r="AB52" s="60">
        <f t="shared" si="5"/>
        <v>100</v>
      </c>
      <c r="AC52" s="62">
        <v>8.1018518518518527E-4</v>
      </c>
      <c r="AD52" s="60">
        <v>1</v>
      </c>
      <c r="AE52" s="56" t="s">
        <v>97</v>
      </c>
      <c r="AF52" s="60">
        <v>127</v>
      </c>
      <c r="AG52" s="56" t="s">
        <v>68</v>
      </c>
      <c r="AH52" s="58" t="s">
        <v>1067</v>
      </c>
    </row>
    <row r="53" spans="1:34" ht="45" customHeight="1">
      <c r="A53" s="50" t="s">
        <v>275</v>
      </c>
      <c r="B53" s="60">
        <v>49</v>
      </c>
      <c r="C53" s="60">
        <v>12</v>
      </c>
      <c r="D53" s="56" t="s">
        <v>282</v>
      </c>
      <c r="E53" s="56" t="s">
        <v>1017</v>
      </c>
      <c r="F53" s="51" t="s">
        <v>1001</v>
      </c>
      <c r="G53" s="51" t="s">
        <v>998</v>
      </c>
      <c r="H53" s="56" t="s">
        <v>1024</v>
      </c>
      <c r="I53" s="51" t="s">
        <v>1022</v>
      </c>
      <c r="J53" s="56" t="s">
        <v>1025</v>
      </c>
      <c r="K53" s="60">
        <v>384</v>
      </c>
      <c r="L53" s="60">
        <v>32</v>
      </c>
      <c r="M53" s="56" t="s">
        <v>1005</v>
      </c>
      <c r="N53" s="60">
        <v>5</v>
      </c>
      <c r="O53" s="60">
        <f t="shared" si="3"/>
        <v>37</v>
      </c>
      <c r="P53" s="60">
        <v>20</v>
      </c>
      <c r="Q53" s="56" t="s">
        <v>1006</v>
      </c>
      <c r="R53" s="60">
        <v>3</v>
      </c>
      <c r="S53" s="60">
        <f t="shared" si="4"/>
        <v>23</v>
      </c>
      <c r="T53" s="56" t="s">
        <v>1026</v>
      </c>
      <c r="U53" s="60">
        <v>45</v>
      </c>
      <c r="V53" s="56" t="s">
        <v>1027</v>
      </c>
      <c r="W53" s="60">
        <v>35</v>
      </c>
      <c r="X53" s="56" t="s">
        <v>1028</v>
      </c>
      <c r="Y53" s="60">
        <v>20</v>
      </c>
      <c r="Z53" s="56" t="s">
        <v>68</v>
      </c>
      <c r="AA53" s="60">
        <v>0</v>
      </c>
      <c r="AB53" s="60">
        <f t="shared" si="5"/>
        <v>100</v>
      </c>
      <c r="AC53" s="62">
        <v>9.2592592592592585E-4</v>
      </c>
      <c r="AD53" s="60">
        <v>3</v>
      </c>
      <c r="AE53" s="56" t="s">
        <v>97</v>
      </c>
      <c r="AF53" s="60">
        <v>141</v>
      </c>
      <c r="AG53" s="56" t="s">
        <v>68</v>
      </c>
      <c r="AH53" s="58" t="s">
        <v>1067</v>
      </c>
    </row>
    <row r="54" spans="1:34" ht="45" customHeight="1">
      <c r="A54" s="50" t="s">
        <v>275</v>
      </c>
      <c r="B54" s="60">
        <v>50</v>
      </c>
      <c r="C54" s="60">
        <v>13</v>
      </c>
      <c r="D54" s="56" t="s">
        <v>284</v>
      </c>
      <c r="E54" s="56" t="s">
        <v>993</v>
      </c>
      <c r="F54" s="51" t="s">
        <v>68</v>
      </c>
      <c r="G54" s="51" t="s">
        <v>992</v>
      </c>
      <c r="H54" s="56" t="s">
        <v>68</v>
      </c>
      <c r="I54" s="51" t="s">
        <v>68</v>
      </c>
      <c r="J54" s="56" t="s">
        <v>994</v>
      </c>
      <c r="K54" s="60">
        <v>0</v>
      </c>
      <c r="L54" s="60">
        <v>0</v>
      </c>
      <c r="M54" s="56" t="s">
        <v>68</v>
      </c>
      <c r="N54" s="60">
        <v>0</v>
      </c>
      <c r="O54" s="60">
        <f t="shared" si="3"/>
        <v>0</v>
      </c>
      <c r="P54" s="60">
        <v>0</v>
      </c>
      <c r="Q54" s="56" t="s">
        <v>68</v>
      </c>
      <c r="R54" s="60">
        <v>0</v>
      </c>
      <c r="S54" s="60">
        <f t="shared" si="4"/>
        <v>0</v>
      </c>
      <c r="T54" s="56" t="s">
        <v>68</v>
      </c>
      <c r="U54" s="60">
        <v>0</v>
      </c>
      <c r="V54" s="56" t="s">
        <v>68</v>
      </c>
      <c r="W54" s="60">
        <v>0</v>
      </c>
      <c r="X54" s="56" t="s">
        <v>68</v>
      </c>
      <c r="Y54" s="60">
        <v>0</v>
      </c>
      <c r="Z54" s="56" t="s">
        <v>68</v>
      </c>
      <c r="AA54" s="60">
        <v>0</v>
      </c>
      <c r="AB54" s="60">
        <f t="shared" si="5"/>
        <v>0</v>
      </c>
      <c r="AC54" s="62"/>
      <c r="AD54" s="60">
        <v>0</v>
      </c>
      <c r="AE54" s="56" t="s">
        <v>995</v>
      </c>
      <c r="AF54" s="60">
        <v>0</v>
      </c>
      <c r="AG54" s="56" t="s">
        <v>68</v>
      </c>
      <c r="AH54" s="58" t="s">
        <v>996</v>
      </c>
    </row>
    <row r="55" spans="1:34" ht="45" customHeight="1">
      <c r="A55" s="50" t="s">
        <v>275</v>
      </c>
      <c r="B55" s="60">
        <v>51</v>
      </c>
      <c r="C55" s="60">
        <v>13</v>
      </c>
      <c r="D55" s="56" t="s">
        <v>285</v>
      </c>
      <c r="E55" s="56" t="s">
        <v>1068</v>
      </c>
      <c r="F55" s="51" t="s">
        <v>1001</v>
      </c>
      <c r="G55" s="51" t="s">
        <v>998</v>
      </c>
      <c r="H55" s="56" t="s">
        <v>1024</v>
      </c>
      <c r="I55" s="51" t="s">
        <v>1022</v>
      </c>
      <c r="J55" s="56" t="s">
        <v>1025</v>
      </c>
      <c r="K55" s="60">
        <v>406</v>
      </c>
      <c r="L55" s="60">
        <v>33</v>
      </c>
      <c r="M55" s="56" t="s">
        <v>1005</v>
      </c>
      <c r="N55" s="60">
        <v>5</v>
      </c>
      <c r="O55" s="60">
        <f t="shared" si="3"/>
        <v>38</v>
      </c>
      <c r="P55" s="60">
        <v>22</v>
      </c>
      <c r="Q55" s="56" t="s">
        <v>1006</v>
      </c>
      <c r="R55" s="60">
        <v>3</v>
      </c>
      <c r="S55" s="60">
        <f t="shared" si="4"/>
        <v>25</v>
      </c>
      <c r="T55" s="56" t="s">
        <v>1026</v>
      </c>
      <c r="U55" s="60">
        <v>45</v>
      </c>
      <c r="V55" s="56" t="s">
        <v>1027</v>
      </c>
      <c r="W55" s="60">
        <v>35</v>
      </c>
      <c r="X55" s="56" t="s">
        <v>1028</v>
      </c>
      <c r="Y55" s="60">
        <v>20</v>
      </c>
      <c r="Z55" s="56" t="s">
        <v>68</v>
      </c>
      <c r="AA55" s="60">
        <v>0</v>
      </c>
      <c r="AB55" s="60">
        <f t="shared" si="5"/>
        <v>100</v>
      </c>
      <c r="AC55" s="62">
        <v>1.3888888888888889E-3</v>
      </c>
      <c r="AD55" s="60">
        <v>6</v>
      </c>
      <c r="AE55" s="56" t="s">
        <v>97</v>
      </c>
      <c r="AF55" s="60">
        <v>160</v>
      </c>
      <c r="AG55" s="56" t="s">
        <v>68</v>
      </c>
      <c r="AH55" s="58" t="s">
        <v>1069</v>
      </c>
    </row>
    <row r="56" spans="1:34" ht="45" customHeight="1">
      <c r="A56" s="50" t="s">
        <v>275</v>
      </c>
      <c r="B56" s="60">
        <v>52</v>
      </c>
      <c r="C56" s="60">
        <v>13</v>
      </c>
      <c r="D56" s="56" t="s">
        <v>287</v>
      </c>
      <c r="E56" s="56" t="s">
        <v>1017</v>
      </c>
      <c r="F56" s="51" t="s">
        <v>1001</v>
      </c>
      <c r="G56" s="51" t="s">
        <v>998</v>
      </c>
      <c r="H56" s="56" t="s">
        <v>1024</v>
      </c>
      <c r="I56" s="51" t="s">
        <v>1022</v>
      </c>
      <c r="J56" s="56" t="s">
        <v>1025</v>
      </c>
      <c r="K56" s="60">
        <v>406</v>
      </c>
      <c r="L56" s="60">
        <v>33</v>
      </c>
      <c r="M56" s="56" t="s">
        <v>1005</v>
      </c>
      <c r="N56" s="60">
        <v>5</v>
      </c>
      <c r="O56" s="60">
        <f t="shared" si="3"/>
        <v>38</v>
      </c>
      <c r="P56" s="60">
        <v>22</v>
      </c>
      <c r="Q56" s="56" t="s">
        <v>1006</v>
      </c>
      <c r="R56" s="60">
        <v>3</v>
      </c>
      <c r="S56" s="60">
        <f t="shared" si="4"/>
        <v>25</v>
      </c>
      <c r="T56" s="56" t="s">
        <v>1026</v>
      </c>
      <c r="U56" s="60">
        <v>45</v>
      </c>
      <c r="V56" s="56" t="s">
        <v>1027</v>
      </c>
      <c r="W56" s="60">
        <v>35</v>
      </c>
      <c r="X56" s="56" t="s">
        <v>1028</v>
      </c>
      <c r="Y56" s="60">
        <v>20</v>
      </c>
      <c r="Z56" s="56" t="s">
        <v>68</v>
      </c>
      <c r="AA56" s="60">
        <v>0</v>
      </c>
      <c r="AB56" s="60">
        <f t="shared" si="5"/>
        <v>100</v>
      </c>
      <c r="AC56" s="62">
        <v>1.6203703703703705E-3</v>
      </c>
      <c r="AD56" s="60">
        <v>3</v>
      </c>
      <c r="AE56" s="56" t="s">
        <v>97</v>
      </c>
      <c r="AF56" s="60">
        <v>160</v>
      </c>
      <c r="AG56" s="56" t="s">
        <v>68</v>
      </c>
      <c r="AH56" s="58" t="s">
        <v>1069</v>
      </c>
    </row>
    <row r="57" spans="1:34" ht="45" customHeight="1">
      <c r="A57" s="50" t="s">
        <v>275</v>
      </c>
      <c r="B57" s="60">
        <v>53</v>
      </c>
      <c r="C57" s="60">
        <v>13</v>
      </c>
      <c r="D57" s="56" t="s">
        <v>288</v>
      </c>
      <c r="E57" s="56" t="s">
        <v>1017</v>
      </c>
      <c r="F57" s="51" t="s">
        <v>1001</v>
      </c>
      <c r="G57" s="51" t="s">
        <v>998</v>
      </c>
      <c r="H57" s="56" t="s">
        <v>1024</v>
      </c>
      <c r="I57" s="51" t="s">
        <v>1022</v>
      </c>
      <c r="J57" s="56" t="s">
        <v>1025</v>
      </c>
      <c r="K57" s="60">
        <v>406</v>
      </c>
      <c r="L57" s="60">
        <v>33</v>
      </c>
      <c r="M57" s="56" t="s">
        <v>1005</v>
      </c>
      <c r="N57" s="60">
        <v>5</v>
      </c>
      <c r="O57" s="60">
        <f t="shared" si="3"/>
        <v>38</v>
      </c>
      <c r="P57" s="60">
        <v>22</v>
      </c>
      <c r="Q57" s="56" t="s">
        <v>1006</v>
      </c>
      <c r="R57" s="60">
        <v>3</v>
      </c>
      <c r="S57" s="60">
        <f t="shared" si="4"/>
        <v>25</v>
      </c>
      <c r="T57" s="56" t="s">
        <v>1026</v>
      </c>
      <c r="U57" s="60">
        <v>45</v>
      </c>
      <c r="V57" s="56" t="s">
        <v>1027</v>
      </c>
      <c r="W57" s="60">
        <v>35</v>
      </c>
      <c r="X57" s="56" t="s">
        <v>1028</v>
      </c>
      <c r="Y57" s="60">
        <v>20</v>
      </c>
      <c r="Z57" s="56" t="s">
        <v>68</v>
      </c>
      <c r="AA57" s="60">
        <v>0</v>
      </c>
      <c r="AB57" s="60">
        <f t="shared" si="5"/>
        <v>100</v>
      </c>
      <c r="AC57" s="62">
        <v>1.8518518518518517E-3</v>
      </c>
      <c r="AD57" s="60">
        <v>1</v>
      </c>
      <c r="AE57" s="56" t="s">
        <v>97</v>
      </c>
      <c r="AF57" s="60">
        <v>180</v>
      </c>
      <c r="AG57" s="56" t="s">
        <v>68</v>
      </c>
      <c r="AH57" s="58" t="s">
        <v>1069</v>
      </c>
    </row>
    <row r="58" spans="1:34" ht="45" customHeight="1">
      <c r="A58" s="50" t="s">
        <v>275</v>
      </c>
      <c r="B58" s="60">
        <v>54</v>
      </c>
      <c r="C58" s="60">
        <v>14</v>
      </c>
      <c r="D58" s="56" t="s">
        <v>289</v>
      </c>
      <c r="E58" s="56" t="s">
        <v>1070</v>
      </c>
      <c r="F58" s="51" t="s">
        <v>1001</v>
      </c>
      <c r="G58" s="51" t="s">
        <v>998</v>
      </c>
      <c r="H58" s="56" t="s">
        <v>1051</v>
      </c>
      <c r="I58" s="51" t="s">
        <v>1022</v>
      </c>
      <c r="J58" s="56" t="s">
        <v>1052</v>
      </c>
      <c r="K58" s="60">
        <v>428</v>
      </c>
      <c r="L58" s="60">
        <v>35</v>
      </c>
      <c r="M58" s="56" t="s">
        <v>1005</v>
      </c>
      <c r="N58" s="60">
        <v>5</v>
      </c>
      <c r="O58" s="60">
        <f t="shared" si="3"/>
        <v>40</v>
      </c>
      <c r="P58" s="60">
        <v>23</v>
      </c>
      <c r="Q58" s="56" t="s">
        <v>1006</v>
      </c>
      <c r="R58" s="60">
        <v>3</v>
      </c>
      <c r="S58" s="60">
        <f t="shared" si="4"/>
        <v>26</v>
      </c>
      <c r="T58" s="56" t="s">
        <v>1026</v>
      </c>
      <c r="U58" s="60">
        <v>45</v>
      </c>
      <c r="V58" s="56" t="s">
        <v>1027</v>
      </c>
      <c r="W58" s="60">
        <v>35</v>
      </c>
      <c r="X58" s="56" t="s">
        <v>1028</v>
      </c>
      <c r="Y58" s="60">
        <v>20</v>
      </c>
      <c r="Z58" s="56" t="s">
        <v>68</v>
      </c>
      <c r="AA58" s="60">
        <v>0</v>
      </c>
      <c r="AB58" s="60">
        <f t="shared" si="5"/>
        <v>100</v>
      </c>
      <c r="AC58" s="62">
        <v>1.8518518518518517E-3</v>
      </c>
      <c r="AD58" s="60">
        <v>3</v>
      </c>
      <c r="AE58" s="56" t="s">
        <v>237</v>
      </c>
      <c r="AF58" s="60">
        <v>204</v>
      </c>
      <c r="AG58" s="56" t="s">
        <v>68</v>
      </c>
      <c r="AH58" s="58" t="s">
        <v>1071</v>
      </c>
    </row>
    <row r="59" spans="1:34" ht="45" customHeight="1">
      <c r="A59" s="50" t="s">
        <v>275</v>
      </c>
      <c r="B59" s="60">
        <v>55</v>
      </c>
      <c r="C59" s="60">
        <v>14</v>
      </c>
      <c r="D59" s="56" t="s">
        <v>291</v>
      </c>
      <c r="E59" s="56" t="s">
        <v>1017</v>
      </c>
      <c r="F59" s="51" t="s">
        <v>1001</v>
      </c>
      <c r="G59" s="51" t="s">
        <v>998</v>
      </c>
      <c r="H59" s="56" t="s">
        <v>1024</v>
      </c>
      <c r="I59" s="51" t="s">
        <v>1022</v>
      </c>
      <c r="J59" s="56" t="s">
        <v>1025</v>
      </c>
      <c r="K59" s="60">
        <v>428</v>
      </c>
      <c r="L59" s="60">
        <v>35</v>
      </c>
      <c r="M59" s="56" t="s">
        <v>1005</v>
      </c>
      <c r="N59" s="60">
        <v>5</v>
      </c>
      <c r="O59" s="60">
        <f t="shared" si="3"/>
        <v>40</v>
      </c>
      <c r="P59" s="60">
        <v>23</v>
      </c>
      <c r="Q59" s="56" t="s">
        <v>1006</v>
      </c>
      <c r="R59" s="60">
        <v>3</v>
      </c>
      <c r="S59" s="60">
        <f t="shared" si="4"/>
        <v>26</v>
      </c>
      <c r="T59" s="56" t="s">
        <v>1026</v>
      </c>
      <c r="U59" s="60">
        <v>45</v>
      </c>
      <c r="V59" s="56" t="s">
        <v>1027</v>
      </c>
      <c r="W59" s="60">
        <v>35</v>
      </c>
      <c r="X59" s="56" t="s">
        <v>1028</v>
      </c>
      <c r="Y59" s="60">
        <v>20</v>
      </c>
      <c r="Z59" s="56" t="s">
        <v>68</v>
      </c>
      <c r="AA59" s="60">
        <v>0</v>
      </c>
      <c r="AB59" s="60">
        <f t="shared" si="5"/>
        <v>100</v>
      </c>
      <c r="AC59" s="62">
        <v>3.1828703703703702E-3</v>
      </c>
      <c r="AD59" s="60">
        <v>1</v>
      </c>
      <c r="AE59" s="56" t="s">
        <v>97</v>
      </c>
      <c r="AF59" s="60">
        <v>233</v>
      </c>
      <c r="AG59" s="56" t="s">
        <v>865</v>
      </c>
      <c r="AH59" s="58" t="s">
        <v>1071</v>
      </c>
    </row>
    <row r="60" spans="1:34" ht="45" customHeight="1">
      <c r="A60" s="50" t="s">
        <v>275</v>
      </c>
      <c r="B60" s="60">
        <v>56</v>
      </c>
      <c r="C60" s="60">
        <v>14</v>
      </c>
      <c r="D60" s="56" t="s">
        <v>294</v>
      </c>
      <c r="E60" s="56" t="s">
        <v>993</v>
      </c>
      <c r="F60" s="51" t="s">
        <v>68</v>
      </c>
      <c r="G60" s="51" t="s">
        <v>992</v>
      </c>
      <c r="H60" s="56" t="s">
        <v>68</v>
      </c>
      <c r="I60" s="51" t="s">
        <v>68</v>
      </c>
      <c r="J60" s="56" t="s">
        <v>994</v>
      </c>
      <c r="K60" s="60">
        <v>0</v>
      </c>
      <c r="L60" s="60">
        <v>0</v>
      </c>
      <c r="M60" s="56" t="s">
        <v>68</v>
      </c>
      <c r="N60" s="60">
        <v>0</v>
      </c>
      <c r="O60" s="60">
        <f t="shared" si="3"/>
        <v>0</v>
      </c>
      <c r="P60" s="60">
        <v>0</v>
      </c>
      <c r="Q60" s="56" t="s">
        <v>68</v>
      </c>
      <c r="R60" s="60">
        <v>0</v>
      </c>
      <c r="S60" s="60">
        <f t="shared" si="4"/>
        <v>0</v>
      </c>
      <c r="T60" s="56" t="s">
        <v>68</v>
      </c>
      <c r="U60" s="60">
        <v>0</v>
      </c>
      <c r="V60" s="56" t="s">
        <v>68</v>
      </c>
      <c r="W60" s="60">
        <v>0</v>
      </c>
      <c r="X60" s="56" t="s">
        <v>68</v>
      </c>
      <c r="Y60" s="60">
        <v>0</v>
      </c>
      <c r="Z60" s="56" t="s">
        <v>68</v>
      </c>
      <c r="AA60" s="60">
        <v>0</v>
      </c>
      <c r="AB60" s="60">
        <f t="shared" si="5"/>
        <v>0</v>
      </c>
      <c r="AC60" s="62"/>
      <c r="AD60" s="60">
        <v>0</v>
      </c>
      <c r="AE60" s="56" t="s">
        <v>995</v>
      </c>
      <c r="AF60" s="60">
        <v>0</v>
      </c>
      <c r="AG60" s="56" t="s">
        <v>68</v>
      </c>
      <c r="AH60" s="58" t="s">
        <v>996</v>
      </c>
    </row>
    <row r="61" spans="1:34" ht="45" customHeight="1">
      <c r="A61" s="50" t="s">
        <v>275</v>
      </c>
      <c r="B61" s="60">
        <v>57</v>
      </c>
      <c r="C61" s="60">
        <v>14</v>
      </c>
      <c r="D61" s="56" t="s">
        <v>298</v>
      </c>
      <c r="E61" s="56" t="s">
        <v>993</v>
      </c>
      <c r="F61" s="51" t="s">
        <v>68</v>
      </c>
      <c r="G61" s="51" t="s">
        <v>992</v>
      </c>
      <c r="H61" s="56" t="s">
        <v>68</v>
      </c>
      <c r="I61" s="51" t="s">
        <v>68</v>
      </c>
      <c r="J61" s="56" t="s">
        <v>994</v>
      </c>
      <c r="K61" s="60">
        <v>0</v>
      </c>
      <c r="L61" s="60">
        <v>0</v>
      </c>
      <c r="M61" s="56" t="s">
        <v>68</v>
      </c>
      <c r="N61" s="60">
        <v>0</v>
      </c>
      <c r="O61" s="60">
        <f t="shared" si="3"/>
        <v>0</v>
      </c>
      <c r="P61" s="60">
        <v>0</v>
      </c>
      <c r="Q61" s="56" t="s">
        <v>68</v>
      </c>
      <c r="R61" s="60">
        <v>0</v>
      </c>
      <c r="S61" s="60">
        <f t="shared" si="4"/>
        <v>0</v>
      </c>
      <c r="T61" s="56" t="s">
        <v>68</v>
      </c>
      <c r="U61" s="60">
        <v>0</v>
      </c>
      <c r="V61" s="56" t="s">
        <v>68</v>
      </c>
      <c r="W61" s="60">
        <v>0</v>
      </c>
      <c r="X61" s="56" t="s">
        <v>68</v>
      </c>
      <c r="Y61" s="60">
        <v>0</v>
      </c>
      <c r="Z61" s="56" t="s">
        <v>68</v>
      </c>
      <c r="AA61" s="60">
        <v>0</v>
      </c>
      <c r="AB61" s="60">
        <f t="shared" si="5"/>
        <v>0</v>
      </c>
      <c r="AC61" s="62"/>
      <c r="AD61" s="60">
        <v>0</v>
      </c>
      <c r="AE61" s="56" t="s">
        <v>995</v>
      </c>
      <c r="AF61" s="60">
        <v>0</v>
      </c>
      <c r="AG61" s="56" t="s">
        <v>68</v>
      </c>
      <c r="AH61" s="58" t="s">
        <v>996</v>
      </c>
    </row>
    <row r="62" spans="1:34" ht="45" customHeight="1">
      <c r="A62" s="50" t="s">
        <v>275</v>
      </c>
      <c r="B62" s="60">
        <v>58</v>
      </c>
      <c r="C62" s="60">
        <v>15</v>
      </c>
      <c r="D62" s="56" t="s">
        <v>299</v>
      </c>
      <c r="E62" s="56" t="s">
        <v>1017</v>
      </c>
      <c r="F62" s="51" t="s">
        <v>1001</v>
      </c>
      <c r="G62" s="51" t="s">
        <v>998</v>
      </c>
      <c r="H62" s="56" t="s">
        <v>1024</v>
      </c>
      <c r="I62" s="51" t="s">
        <v>1022</v>
      </c>
      <c r="J62" s="56" t="s">
        <v>1025</v>
      </c>
      <c r="K62" s="60">
        <v>450</v>
      </c>
      <c r="L62" s="60">
        <v>37</v>
      </c>
      <c r="M62" s="56" t="s">
        <v>1005</v>
      </c>
      <c r="N62" s="60">
        <v>5</v>
      </c>
      <c r="O62" s="60">
        <f t="shared" si="3"/>
        <v>42</v>
      </c>
      <c r="P62" s="60">
        <v>24</v>
      </c>
      <c r="Q62" s="56" t="s">
        <v>1006</v>
      </c>
      <c r="R62" s="60">
        <v>3</v>
      </c>
      <c r="S62" s="60">
        <f t="shared" si="4"/>
        <v>27</v>
      </c>
      <c r="T62" s="56" t="s">
        <v>1026</v>
      </c>
      <c r="U62" s="60">
        <v>45</v>
      </c>
      <c r="V62" s="56" t="s">
        <v>1027</v>
      </c>
      <c r="W62" s="60">
        <v>35</v>
      </c>
      <c r="X62" s="56" t="s">
        <v>1028</v>
      </c>
      <c r="Y62" s="60">
        <v>20</v>
      </c>
      <c r="Z62" s="56" t="s">
        <v>68</v>
      </c>
      <c r="AA62" s="60">
        <v>0</v>
      </c>
      <c r="AB62" s="60">
        <f t="shared" si="5"/>
        <v>100</v>
      </c>
      <c r="AC62" s="62">
        <v>1.4467592592592594E-3</v>
      </c>
      <c r="AD62" s="60">
        <v>6</v>
      </c>
      <c r="AE62" s="56" t="s">
        <v>97</v>
      </c>
      <c r="AF62" s="60">
        <v>203</v>
      </c>
      <c r="AG62" s="56" t="s">
        <v>68</v>
      </c>
      <c r="AH62" s="58" t="s">
        <v>1072</v>
      </c>
    </row>
    <row r="63" spans="1:34" ht="45" customHeight="1">
      <c r="A63" s="50" t="s">
        <v>275</v>
      </c>
      <c r="B63" s="60">
        <v>59</v>
      </c>
      <c r="C63" s="60">
        <v>15</v>
      </c>
      <c r="D63" s="56" t="s">
        <v>300</v>
      </c>
      <c r="E63" s="56" t="s">
        <v>1073</v>
      </c>
      <c r="F63" s="51" t="s">
        <v>1001</v>
      </c>
      <c r="G63" s="51" t="s">
        <v>998</v>
      </c>
      <c r="H63" s="56" t="s">
        <v>1051</v>
      </c>
      <c r="I63" s="51" t="s">
        <v>1022</v>
      </c>
      <c r="J63" s="56" t="s">
        <v>1052</v>
      </c>
      <c r="K63" s="60">
        <v>450</v>
      </c>
      <c r="L63" s="60">
        <v>37</v>
      </c>
      <c r="M63" s="56" t="s">
        <v>1005</v>
      </c>
      <c r="N63" s="60">
        <v>5</v>
      </c>
      <c r="O63" s="60">
        <f t="shared" si="3"/>
        <v>42</v>
      </c>
      <c r="P63" s="60">
        <v>24</v>
      </c>
      <c r="Q63" s="56" t="s">
        <v>1006</v>
      </c>
      <c r="R63" s="60">
        <v>3</v>
      </c>
      <c r="S63" s="60">
        <f t="shared" si="4"/>
        <v>27</v>
      </c>
      <c r="T63" s="56" t="s">
        <v>1026</v>
      </c>
      <c r="U63" s="60">
        <v>45</v>
      </c>
      <c r="V63" s="56" t="s">
        <v>1027</v>
      </c>
      <c r="W63" s="60">
        <v>35</v>
      </c>
      <c r="X63" s="56" t="s">
        <v>1028</v>
      </c>
      <c r="Y63" s="60">
        <v>20</v>
      </c>
      <c r="Z63" s="56" t="s">
        <v>68</v>
      </c>
      <c r="AA63" s="60">
        <v>0</v>
      </c>
      <c r="AB63" s="60">
        <f t="shared" si="5"/>
        <v>100</v>
      </c>
      <c r="AC63" s="62">
        <v>1.9097222222222222E-3</v>
      </c>
      <c r="AD63" s="60">
        <v>3</v>
      </c>
      <c r="AE63" s="56" t="s">
        <v>237</v>
      </c>
      <c r="AF63" s="60">
        <v>229</v>
      </c>
      <c r="AG63" s="56" t="s">
        <v>68</v>
      </c>
      <c r="AH63" s="58" t="s">
        <v>1072</v>
      </c>
    </row>
    <row r="64" spans="1:34" ht="45" customHeight="1">
      <c r="A64" s="50" t="s">
        <v>275</v>
      </c>
      <c r="B64" s="60">
        <v>60</v>
      </c>
      <c r="C64" s="60">
        <v>15</v>
      </c>
      <c r="D64" s="56" t="s">
        <v>301</v>
      </c>
      <c r="E64" s="56" t="s">
        <v>1074</v>
      </c>
      <c r="F64" s="51" t="s">
        <v>1001</v>
      </c>
      <c r="G64" s="51" t="s">
        <v>998</v>
      </c>
      <c r="H64" s="56" t="s">
        <v>1024</v>
      </c>
      <c r="I64" s="51" t="s">
        <v>1022</v>
      </c>
      <c r="J64" s="56" t="s">
        <v>1025</v>
      </c>
      <c r="K64" s="60">
        <v>450</v>
      </c>
      <c r="L64" s="60">
        <v>37</v>
      </c>
      <c r="M64" s="56" t="s">
        <v>1005</v>
      </c>
      <c r="N64" s="60">
        <v>5</v>
      </c>
      <c r="O64" s="60">
        <f t="shared" si="3"/>
        <v>42</v>
      </c>
      <c r="P64" s="60">
        <v>24</v>
      </c>
      <c r="Q64" s="56" t="s">
        <v>1006</v>
      </c>
      <c r="R64" s="60">
        <v>3</v>
      </c>
      <c r="S64" s="60">
        <f t="shared" si="4"/>
        <v>27</v>
      </c>
      <c r="T64" s="56" t="s">
        <v>1026</v>
      </c>
      <c r="U64" s="60">
        <v>45</v>
      </c>
      <c r="V64" s="56" t="s">
        <v>1027</v>
      </c>
      <c r="W64" s="60">
        <v>35</v>
      </c>
      <c r="X64" s="56" t="s">
        <v>1028</v>
      </c>
      <c r="Y64" s="60">
        <v>20</v>
      </c>
      <c r="Z64" s="56" t="s">
        <v>68</v>
      </c>
      <c r="AA64" s="60">
        <v>0</v>
      </c>
      <c r="AB64" s="60">
        <f t="shared" si="5"/>
        <v>100</v>
      </c>
      <c r="AC64" s="62">
        <v>1.9097222222222222E-3</v>
      </c>
      <c r="AD64" s="60">
        <v>1</v>
      </c>
      <c r="AE64" s="56" t="s">
        <v>97</v>
      </c>
      <c r="AF64" s="60">
        <v>229</v>
      </c>
      <c r="AG64" s="56" t="s">
        <v>68</v>
      </c>
      <c r="AH64" s="58" t="s">
        <v>1072</v>
      </c>
    </row>
    <row r="65" spans="1:34" ht="45" customHeight="1">
      <c r="A65" s="50" t="s">
        <v>275</v>
      </c>
      <c r="B65" s="60">
        <v>61</v>
      </c>
      <c r="C65" s="60">
        <v>15</v>
      </c>
      <c r="D65" s="56" t="s">
        <v>302</v>
      </c>
      <c r="E65" s="56" t="s">
        <v>1017</v>
      </c>
      <c r="F65" s="51" t="s">
        <v>1001</v>
      </c>
      <c r="G65" s="51" t="s">
        <v>998</v>
      </c>
      <c r="H65" s="56" t="s">
        <v>1024</v>
      </c>
      <c r="I65" s="51" t="s">
        <v>1022</v>
      </c>
      <c r="J65" s="56" t="s">
        <v>1025</v>
      </c>
      <c r="K65" s="60">
        <v>450</v>
      </c>
      <c r="L65" s="60">
        <v>37</v>
      </c>
      <c r="M65" s="56" t="s">
        <v>1005</v>
      </c>
      <c r="N65" s="60">
        <v>5</v>
      </c>
      <c r="O65" s="60">
        <f t="shared" si="3"/>
        <v>42</v>
      </c>
      <c r="P65" s="60">
        <v>24</v>
      </c>
      <c r="Q65" s="56" t="s">
        <v>1006</v>
      </c>
      <c r="R65" s="60">
        <v>3</v>
      </c>
      <c r="S65" s="60">
        <f t="shared" si="4"/>
        <v>27</v>
      </c>
      <c r="T65" s="56" t="s">
        <v>1026</v>
      </c>
      <c r="U65" s="60">
        <v>45</v>
      </c>
      <c r="V65" s="56" t="s">
        <v>1027</v>
      </c>
      <c r="W65" s="60">
        <v>35</v>
      </c>
      <c r="X65" s="56" t="s">
        <v>1028</v>
      </c>
      <c r="Y65" s="60">
        <v>20</v>
      </c>
      <c r="Z65" s="56" t="s">
        <v>68</v>
      </c>
      <c r="AA65" s="60">
        <v>0</v>
      </c>
      <c r="AB65" s="60">
        <f t="shared" si="5"/>
        <v>100</v>
      </c>
      <c r="AC65" s="62">
        <v>1.4467592592592594E-3</v>
      </c>
      <c r="AD65" s="60">
        <v>6</v>
      </c>
      <c r="AE65" s="56" t="s">
        <v>97</v>
      </c>
      <c r="AF65" s="60">
        <v>203</v>
      </c>
      <c r="AG65" s="56" t="s">
        <v>68</v>
      </c>
      <c r="AH65" s="58" t="s">
        <v>1072</v>
      </c>
    </row>
    <row r="66" spans="1:34" ht="45" customHeight="1">
      <c r="A66" s="50" t="s">
        <v>275</v>
      </c>
      <c r="B66" s="60">
        <v>62</v>
      </c>
      <c r="C66" s="60">
        <v>16</v>
      </c>
      <c r="D66" s="56" t="s">
        <v>303</v>
      </c>
      <c r="E66" s="56" t="s">
        <v>1013</v>
      </c>
      <c r="F66" s="51" t="s">
        <v>1001</v>
      </c>
      <c r="G66" s="51" t="s">
        <v>999</v>
      </c>
      <c r="H66" s="56" t="s">
        <v>1014</v>
      </c>
      <c r="I66" s="51" t="s">
        <v>1022</v>
      </c>
      <c r="J66" s="56" t="s">
        <v>1015</v>
      </c>
      <c r="K66" s="60">
        <v>820</v>
      </c>
      <c r="L66" s="60">
        <v>52</v>
      </c>
      <c r="M66" s="56" t="s">
        <v>1005</v>
      </c>
      <c r="N66" s="60">
        <v>8</v>
      </c>
      <c r="O66" s="60">
        <f t="shared" si="3"/>
        <v>60</v>
      </c>
      <c r="P66" s="60">
        <v>34</v>
      </c>
      <c r="Q66" s="56" t="s">
        <v>1006</v>
      </c>
      <c r="R66" s="60">
        <v>6</v>
      </c>
      <c r="S66" s="60">
        <f t="shared" si="4"/>
        <v>40</v>
      </c>
      <c r="T66" s="56" t="s">
        <v>1075</v>
      </c>
      <c r="U66" s="60">
        <v>40</v>
      </c>
      <c r="V66" s="56" t="s">
        <v>1076</v>
      </c>
      <c r="W66" s="60">
        <v>35</v>
      </c>
      <c r="X66" s="56" t="s">
        <v>1077</v>
      </c>
      <c r="Y66" s="60">
        <v>25</v>
      </c>
      <c r="Z66" s="56" t="s">
        <v>68</v>
      </c>
      <c r="AA66" s="60">
        <v>0</v>
      </c>
      <c r="AB66" s="60">
        <f t="shared" si="5"/>
        <v>100</v>
      </c>
      <c r="AC66" s="62">
        <v>1.6782407407407406E-3</v>
      </c>
      <c r="AD66" s="60">
        <v>3</v>
      </c>
      <c r="AE66" s="56" t="s">
        <v>114</v>
      </c>
      <c r="AF66" s="60">
        <v>227</v>
      </c>
      <c r="AG66" s="56" t="s">
        <v>68</v>
      </c>
      <c r="AH66" s="58" t="s">
        <v>1078</v>
      </c>
    </row>
    <row r="67" spans="1:34" ht="45" customHeight="1">
      <c r="A67" s="50" t="s">
        <v>275</v>
      </c>
      <c r="B67" s="60">
        <v>63</v>
      </c>
      <c r="C67" s="60">
        <v>16</v>
      </c>
      <c r="D67" s="56" t="s">
        <v>304</v>
      </c>
      <c r="E67" s="56" t="s">
        <v>1079</v>
      </c>
      <c r="F67" s="51" t="s">
        <v>1001</v>
      </c>
      <c r="G67" s="51" t="s">
        <v>1012</v>
      </c>
      <c r="H67" s="56" t="s">
        <v>1043</v>
      </c>
      <c r="I67" s="51" t="s">
        <v>1022</v>
      </c>
      <c r="J67" s="56" t="s">
        <v>1044</v>
      </c>
      <c r="K67" s="60">
        <v>1620</v>
      </c>
      <c r="L67" s="60">
        <v>68</v>
      </c>
      <c r="M67" s="56" t="s">
        <v>1005</v>
      </c>
      <c r="N67" s="60">
        <v>12</v>
      </c>
      <c r="O67" s="60">
        <f t="shared" si="3"/>
        <v>80</v>
      </c>
      <c r="P67" s="60">
        <v>47</v>
      </c>
      <c r="Q67" s="56" t="s">
        <v>1006</v>
      </c>
      <c r="R67" s="60">
        <v>9</v>
      </c>
      <c r="S67" s="60">
        <f t="shared" si="4"/>
        <v>56</v>
      </c>
      <c r="T67" s="56" t="s">
        <v>1045</v>
      </c>
      <c r="U67" s="60">
        <v>30</v>
      </c>
      <c r="V67" s="56" t="s">
        <v>1046</v>
      </c>
      <c r="W67" s="60">
        <v>25</v>
      </c>
      <c r="X67" s="56" t="s">
        <v>1047</v>
      </c>
      <c r="Y67" s="60">
        <v>25</v>
      </c>
      <c r="Z67" s="56" t="s">
        <v>1048</v>
      </c>
      <c r="AA67" s="60">
        <v>20</v>
      </c>
      <c r="AB67" s="60">
        <f t="shared" si="5"/>
        <v>100</v>
      </c>
      <c r="AC67" s="62">
        <v>3.1828703703703702E-3</v>
      </c>
      <c r="AD67" s="60">
        <v>1</v>
      </c>
      <c r="AE67" s="56" t="s">
        <v>225</v>
      </c>
      <c r="AF67" s="60">
        <v>679</v>
      </c>
      <c r="AG67" s="56" t="s">
        <v>68</v>
      </c>
      <c r="AH67" s="58" t="s">
        <v>1078</v>
      </c>
    </row>
    <row r="68" spans="1:34" ht="45" customHeight="1">
      <c r="A68" s="50" t="s">
        <v>275</v>
      </c>
      <c r="B68" s="60">
        <v>64</v>
      </c>
      <c r="C68" s="60">
        <v>16</v>
      </c>
      <c r="D68" s="56" t="s">
        <v>306</v>
      </c>
      <c r="E68" s="56" t="s">
        <v>1017</v>
      </c>
      <c r="F68" s="51" t="s">
        <v>1001</v>
      </c>
      <c r="G68" s="51" t="s">
        <v>999</v>
      </c>
      <c r="H68" s="56" t="s">
        <v>1080</v>
      </c>
      <c r="I68" s="51" t="s">
        <v>1022</v>
      </c>
      <c r="J68" s="56" t="s">
        <v>1081</v>
      </c>
      <c r="K68" s="60">
        <v>820</v>
      </c>
      <c r="L68" s="60">
        <v>52</v>
      </c>
      <c r="M68" s="56" t="s">
        <v>1005</v>
      </c>
      <c r="N68" s="60">
        <v>8</v>
      </c>
      <c r="O68" s="60">
        <f t="shared" si="3"/>
        <v>60</v>
      </c>
      <c r="P68" s="60">
        <v>34</v>
      </c>
      <c r="Q68" s="56" t="s">
        <v>1006</v>
      </c>
      <c r="R68" s="60">
        <v>6</v>
      </c>
      <c r="S68" s="60">
        <f t="shared" si="4"/>
        <v>40</v>
      </c>
      <c r="T68" s="56" t="s">
        <v>1075</v>
      </c>
      <c r="U68" s="60">
        <v>40</v>
      </c>
      <c r="V68" s="56" t="s">
        <v>1076</v>
      </c>
      <c r="W68" s="60">
        <v>35</v>
      </c>
      <c r="X68" s="56" t="s">
        <v>1077</v>
      </c>
      <c r="Y68" s="60">
        <v>25</v>
      </c>
      <c r="Z68" s="56" t="s">
        <v>68</v>
      </c>
      <c r="AA68" s="60">
        <v>0</v>
      </c>
      <c r="AB68" s="60">
        <f t="shared" si="5"/>
        <v>100</v>
      </c>
      <c r="AC68" s="62">
        <v>8.1018518518518527E-4</v>
      </c>
      <c r="AD68" s="60">
        <v>1</v>
      </c>
      <c r="AE68" s="56" t="s">
        <v>97</v>
      </c>
      <c r="AF68" s="60">
        <v>204</v>
      </c>
      <c r="AG68" s="56" t="s">
        <v>1082</v>
      </c>
      <c r="AH68" s="58" t="s">
        <v>1078</v>
      </c>
    </row>
    <row r="69" spans="1:34" ht="45" customHeight="1">
      <c r="A69" s="50" t="s">
        <v>275</v>
      </c>
      <c r="B69" s="60">
        <v>65</v>
      </c>
      <c r="C69" s="60">
        <v>16</v>
      </c>
      <c r="D69" s="56" t="s">
        <v>312</v>
      </c>
      <c r="E69" s="56" t="s">
        <v>993</v>
      </c>
      <c r="F69" s="51" t="s">
        <v>68</v>
      </c>
      <c r="G69" s="51" t="s">
        <v>992</v>
      </c>
      <c r="H69" s="56" t="s">
        <v>68</v>
      </c>
      <c r="I69" s="51" t="s">
        <v>68</v>
      </c>
      <c r="J69" s="56" t="s">
        <v>994</v>
      </c>
      <c r="K69" s="60">
        <v>0</v>
      </c>
      <c r="L69" s="60">
        <v>0</v>
      </c>
      <c r="M69" s="56" t="s">
        <v>68</v>
      </c>
      <c r="N69" s="60">
        <v>0</v>
      </c>
      <c r="O69" s="60">
        <f t="shared" ref="O69:O100" si="6">L69+N69</f>
        <v>0</v>
      </c>
      <c r="P69" s="60">
        <v>0</v>
      </c>
      <c r="Q69" s="56" t="s">
        <v>68</v>
      </c>
      <c r="R69" s="60">
        <v>0</v>
      </c>
      <c r="S69" s="60">
        <f t="shared" ref="S69:S100" si="7">P69+R69</f>
        <v>0</v>
      </c>
      <c r="T69" s="56" t="s">
        <v>68</v>
      </c>
      <c r="U69" s="60">
        <v>0</v>
      </c>
      <c r="V69" s="56" t="s">
        <v>68</v>
      </c>
      <c r="W69" s="60">
        <v>0</v>
      </c>
      <c r="X69" s="56" t="s">
        <v>68</v>
      </c>
      <c r="Y69" s="60">
        <v>0</v>
      </c>
      <c r="Z69" s="56" t="s">
        <v>68</v>
      </c>
      <c r="AA69" s="60">
        <v>0</v>
      </c>
      <c r="AB69" s="60">
        <f t="shared" ref="AB69:AB100" si="8">SUM(U69,W69,Y69,AA69)</f>
        <v>0</v>
      </c>
      <c r="AC69" s="62"/>
      <c r="AD69" s="60">
        <v>0</v>
      </c>
      <c r="AE69" s="56" t="s">
        <v>995</v>
      </c>
      <c r="AF69" s="60">
        <v>0</v>
      </c>
      <c r="AG69" s="56" t="s">
        <v>68</v>
      </c>
      <c r="AH69" s="58" t="s">
        <v>996</v>
      </c>
    </row>
    <row r="70" spans="1:34" ht="45" customHeight="1">
      <c r="A70" s="50" t="s">
        <v>275</v>
      </c>
      <c r="B70" s="60">
        <v>66</v>
      </c>
      <c r="C70" s="60">
        <v>17</v>
      </c>
      <c r="D70" s="56" t="s">
        <v>316</v>
      </c>
      <c r="E70" s="56" t="s">
        <v>1017</v>
      </c>
      <c r="F70" s="51" t="s">
        <v>1001</v>
      </c>
      <c r="G70" s="51" t="s">
        <v>999</v>
      </c>
      <c r="H70" s="56" t="s">
        <v>1080</v>
      </c>
      <c r="I70" s="51" t="s">
        <v>1022</v>
      </c>
      <c r="J70" s="56" t="s">
        <v>1081</v>
      </c>
      <c r="K70" s="60">
        <v>855</v>
      </c>
      <c r="L70" s="60">
        <v>55</v>
      </c>
      <c r="M70" s="56" t="s">
        <v>1005</v>
      </c>
      <c r="N70" s="60">
        <v>8</v>
      </c>
      <c r="O70" s="60">
        <f t="shared" si="6"/>
        <v>63</v>
      </c>
      <c r="P70" s="60">
        <v>36</v>
      </c>
      <c r="Q70" s="56" t="s">
        <v>1006</v>
      </c>
      <c r="R70" s="60">
        <v>6</v>
      </c>
      <c r="S70" s="60">
        <f t="shared" si="7"/>
        <v>42</v>
      </c>
      <c r="T70" s="56" t="s">
        <v>1075</v>
      </c>
      <c r="U70" s="60">
        <v>40</v>
      </c>
      <c r="V70" s="56" t="s">
        <v>1076</v>
      </c>
      <c r="W70" s="60">
        <v>35</v>
      </c>
      <c r="X70" s="56" t="s">
        <v>1077</v>
      </c>
      <c r="Y70" s="60">
        <v>25</v>
      </c>
      <c r="Z70" s="56" t="s">
        <v>68</v>
      </c>
      <c r="AA70" s="60">
        <v>0</v>
      </c>
      <c r="AB70" s="60">
        <f t="shared" si="8"/>
        <v>100</v>
      </c>
      <c r="AC70" s="62">
        <v>7.5231481481481482E-4</v>
      </c>
      <c r="AD70" s="60">
        <v>3</v>
      </c>
      <c r="AE70" s="56" t="s">
        <v>97</v>
      </c>
      <c r="AF70" s="60">
        <v>226</v>
      </c>
      <c r="AG70" s="56" t="s">
        <v>68</v>
      </c>
      <c r="AH70" s="58" t="s">
        <v>1083</v>
      </c>
    </row>
    <row r="71" spans="1:34" ht="45" customHeight="1">
      <c r="A71" s="50" t="s">
        <v>275</v>
      </c>
      <c r="B71" s="60">
        <v>67</v>
      </c>
      <c r="C71" s="60">
        <v>17</v>
      </c>
      <c r="D71" s="56" t="s">
        <v>317</v>
      </c>
      <c r="E71" s="56" t="s">
        <v>317</v>
      </c>
      <c r="F71" s="51" t="s">
        <v>1001</v>
      </c>
      <c r="G71" s="51" t="s">
        <v>999</v>
      </c>
      <c r="H71" s="56" t="s">
        <v>1080</v>
      </c>
      <c r="I71" s="51" t="s">
        <v>1022</v>
      </c>
      <c r="J71" s="56" t="s">
        <v>1081</v>
      </c>
      <c r="K71" s="60">
        <v>855</v>
      </c>
      <c r="L71" s="60">
        <v>55</v>
      </c>
      <c r="M71" s="56" t="s">
        <v>1005</v>
      </c>
      <c r="N71" s="60">
        <v>8</v>
      </c>
      <c r="O71" s="60">
        <f t="shared" si="6"/>
        <v>63</v>
      </c>
      <c r="P71" s="60">
        <v>36</v>
      </c>
      <c r="Q71" s="56" t="s">
        <v>1006</v>
      </c>
      <c r="R71" s="60">
        <v>6</v>
      </c>
      <c r="S71" s="60">
        <f t="shared" si="7"/>
        <v>42</v>
      </c>
      <c r="T71" s="56" t="s">
        <v>1075</v>
      </c>
      <c r="U71" s="60">
        <v>40</v>
      </c>
      <c r="V71" s="56" t="s">
        <v>1076</v>
      </c>
      <c r="W71" s="60">
        <v>35</v>
      </c>
      <c r="X71" s="56" t="s">
        <v>1077</v>
      </c>
      <c r="Y71" s="60">
        <v>25</v>
      </c>
      <c r="Z71" s="56" t="s">
        <v>68</v>
      </c>
      <c r="AA71" s="60">
        <v>0</v>
      </c>
      <c r="AB71" s="60">
        <f t="shared" si="8"/>
        <v>100</v>
      </c>
      <c r="AC71" s="62">
        <v>1.4467592592592594E-3</v>
      </c>
      <c r="AD71" s="60">
        <v>6</v>
      </c>
      <c r="AE71" s="56" t="s">
        <v>97</v>
      </c>
      <c r="AF71" s="60">
        <v>251</v>
      </c>
      <c r="AG71" s="56" t="s">
        <v>68</v>
      </c>
      <c r="AH71" s="58" t="s">
        <v>1083</v>
      </c>
    </row>
    <row r="72" spans="1:34" ht="45" customHeight="1">
      <c r="A72" s="50" t="s">
        <v>275</v>
      </c>
      <c r="B72" s="60">
        <v>68</v>
      </c>
      <c r="C72" s="60">
        <v>17</v>
      </c>
      <c r="D72" s="56" t="s">
        <v>318</v>
      </c>
      <c r="E72" s="56" t="s">
        <v>1017</v>
      </c>
      <c r="F72" s="51" t="s">
        <v>1001</v>
      </c>
      <c r="G72" s="51" t="s">
        <v>999</v>
      </c>
      <c r="H72" s="56" t="s">
        <v>1080</v>
      </c>
      <c r="I72" s="51" t="s">
        <v>1022</v>
      </c>
      <c r="J72" s="56" t="s">
        <v>1081</v>
      </c>
      <c r="K72" s="60">
        <v>855</v>
      </c>
      <c r="L72" s="60">
        <v>55</v>
      </c>
      <c r="M72" s="56" t="s">
        <v>1005</v>
      </c>
      <c r="N72" s="60">
        <v>8</v>
      </c>
      <c r="O72" s="60">
        <f t="shared" si="6"/>
        <v>63</v>
      </c>
      <c r="P72" s="60">
        <v>36</v>
      </c>
      <c r="Q72" s="56" t="s">
        <v>1006</v>
      </c>
      <c r="R72" s="60">
        <v>6</v>
      </c>
      <c r="S72" s="60">
        <f t="shared" si="7"/>
        <v>42</v>
      </c>
      <c r="T72" s="56" t="s">
        <v>1075</v>
      </c>
      <c r="U72" s="60">
        <v>40</v>
      </c>
      <c r="V72" s="56" t="s">
        <v>1076</v>
      </c>
      <c r="W72" s="60">
        <v>35</v>
      </c>
      <c r="X72" s="56" t="s">
        <v>1077</v>
      </c>
      <c r="Y72" s="60">
        <v>25</v>
      </c>
      <c r="Z72" s="56" t="s">
        <v>68</v>
      </c>
      <c r="AA72" s="60">
        <v>0</v>
      </c>
      <c r="AB72" s="60">
        <f t="shared" si="8"/>
        <v>100</v>
      </c>
      <c r="AC72" s="62">
        <v>1.9097222222222222E-3</v>
      </c>
      <c r="AD72" s="60">
        <v>3</v>
      </c>
      <c r="AE72" s="56" t="s">
        <v>97</v>
      </c>
      <c r="AF72" s="60">
        <v>283</v>
      </c>
      <c r="AG72" s="56" t="s">
        <v>68</v>
      </c>
      <c r="AH72" s="58" t="s">
        <v>1083</v>
      </c>
    </row>
    <row r="73" spans="1:34" ht="45" customHeight="1">
      <c r="A73" s="50" t="s">
        <v>275</v>
      </c>
      <c r="B73" s="60">
        <v>69</v>
      </c>
      <c r="C73" s="60">
        <v>17</v>
      </c>
      <c r="D73" s="56" t="s">
        <v>319</v>
      </c>
      <c r="E73" s="56" t="s">
        <v>1084</v>
      </c>
      <c r="F73" s="51" t="s">
        <v>1001</v>
      </c>
      <c r="G73" s="51" t="s">
        <v>999</v>
      </c>
      <c r="H73" s="56" t="s">
        <v>1080</v>
      </c>
      <c r="I73" s="51" t="s">
        <v>1022</v>
      </c>
      <c r="J73" s="56" t="s">
        <v>1081</v>
      </c>
      <c r="K73" s="60">
        <v>855</v>
      </c>
      <c r="L73" s="60">
        <v>55</v>
      </c>
      <c r="M73" s="56" t="s">
        <v>1005</v>
      </c>
      <c r="N73" s="60">
        <v>8</v>
      </c>
      <c r="O73" s="60">
        <f t="shared" si="6"/>
        <v>63</v>
      </c>
      <c r="P73" s="60">
        <v>36</v>
      </c>
      <c r="Q73" s="56" t="s">
        <v>1006</v>
      </c>
      <c r="R73" s="60">
        <v>6</v>
      </c>
      <c r="S73" s="60">
        <f t="shared" si="7"/>
        <v>42</v>
      </c>
      <c r="T73" s="56" t="s">
        <v>1075</v>
      </c>
      <c r="U73" s="60">
        <v>40</v>
      </c>
      <c r="V73" s="56" t="s">
        <v>1076</v>
      </c>
      <c r="W73" s="60">
        <v>35</v>
      </c>
      <c r="X73" s="56" t="s">
        <v>1077</v>
      </c>
      <c r="Y73" s="60">
        <v>25</v>
      </c>
      <c r="Z73" s="56" t="s">
        <v>68</v>
      </c>
      <c r="AA73" s="60">
        <v>0</v>
      </c>
      <c r="AB73" s="60">
        <f t="shared" si="8"/>
        <v>100</v>
      </c>
      <c r="AC73" s="62">
        <v>1.9097222222222222E-3</v>
      </c>
      <c r="AD73" s="60">
        <v>3</v>
      </c>
      <c r="AE73" s="56" t="s">
        <v>97</v>
      </c>
      <c r="AF73" s="60">
        <v>283</v>
      </c>
      <c r="AG73" s="56" t="s">
        <v>68</v>
      </c>
      <c r="AH73" s="58" t="s">
        <v>1083</v>
      </c>
    </row>
    <row r="74" spans="1:34" ht="45" customHeight="1">
      <c r="A74" s="50" t="s">
        <v>275</v>
      </c>
      <c r="B74" s="60">
        <v>70</v>
      </c>
      <c r="C74" s="60">
        <v>18</v>
      </c>
      <c r="D74" s="56" t="s">
        <v>321</v>
      </c>
      <c r="E74" s="56" t="s">
        <v>1085</v>
      </c>
      <c r="F74" s="51" t="s">
        <v>1001</v>
      </c>
      <c r="G74" s="51" t="s">
        <v>999</v>
      </c>
      <c r="H74" s="56" t="s">
        <v>1039</v>
      </c>
      <c r="I74" s="51" t="s">
        <v>1022</v>
      </c>
      <c r="J74" s="56" t="s">
        <v>1040</v>
      </c>
      <c r="K74" s="60">
        <v>890</v>
      </c>
      <c r="L74" s="60">
        <v>57</v>
      </c>
      <c r="M74" s="56" t="s">
        <v>1005</v>
      </c>
      <c r="N74" s="60">
        <v>8</v>
      </c>
      <c r="O74" s="60">
        <f t="shared" si="6"/>
        <v>65</v>
      </c>
      <c r="P74" s="60">
        <v>37</v>
      </c>
      <c r="Q74" s="56" t="s">
        <v>1006</v>
      </c>
      <c r="R74" s="60">
        <v>7</v>
      </c>
      <c r="S74" s="60">
        <f t="shared" si="7"/>
        <v>44</v>
      </c>
      <c r="T74" s="56" t="s">
        <v>1075</v>
      </c>
      <c r="U74" s="60">
        <v>40</v>
      </c>
      <c r="V74" s="56" t="s">
        <v>1076</v>
      </c>
      <c r="W74" s="60">
        <v>35</v>
      </c>
      <c r="X74" s="56" t="s">
        <v>1077</v>
      </c>
      <c r="Y74" s="60">
        <v>25</v>
      </c>
      <c r="Z74" s="56" t="s">
        <v>68</v>
      </c>
      <c r="AA74" s="60">
        <v>0</v>
      </c>
      <c r="AB74" s="60">
        <f t="shared" si="8"/>
        <v>100</v>
      </c>
      <c r="AC74" s="62">
        <v>1.5046296296296296E-3</v>
      </c>
      <c r="AD74" s="60">
        <v>6</v>
      </c>
      <c r="AE74" s="56" t="s">
        <v>213</v>
      </c>
      <c r="AF74" s="60">
        <v>312</v>
      </c>
      <c r="AG74" s="56" t="s">
        <v>68</v>
      </c>
      <c r="AH74" s="58" t="s">
        <v>1086</v>
      </c>
    </row>
    <row r="75" spans="1:34" ht="45" customHeight="1">
      <c r="A75" s="50" t="s">
        <v>275</v>
      </c>
      <c r="B75" s="60">
        <v>71</v>
      </c>
      <c r="C75" s="60">
        <v>18</v>
      </c>
      <c r="D75" s="56" t="s">
        <v>323</v>
      </c>
      <c r="E75" s="56" t="s">
        <v>1087</v>
      </c>
      <c r="F75" s="51" t="s">
        <v>1001</v>
      </c>
      <c r="G75" s="51" t="s">
        <v>1016</v>
      </c>
      <c r="H75" s="56" t="s">
        <v>1088</v>
      </c>
      <c r="I75" s="51" t="s">
        <v>1022</v>
      </c>
      <c r="J75" s="56" t="s">
        <v>1032</v>
      </c>
      <c r="K75" s="60">
        <v>5200</v>
      </c>
      <c r="L75" s="60">
        <v>135</v>
      </c>
      <c r="M75" s="56" t="s">
        <v>1005</v>
      </c>
      <c r="N75" s="60">
        <v>16</v>
      </c>
      <c r="O75" s="60">
        <f t="shared" si="6"/>
        <v>151</v>
      </c>
      <c r="P75" s="60">
        <v>84</v>
      </c>
      <c r="Q75" s="56" t="s">
        <v>1006</v>
      </c>
      <c r="R75" s="60">
        <v>14</v>
      </c>
      <c r="S75" s="60">
        <f t="shared" si="7"/>
        <v>98</v>
      </c>
      <c r="T75" s="56" t="s">
        <v>1089</v>
      </c>
      <c r="U75" s="60">
        <v>30</v>
      </c>
      <c r="V75" s="56" t="s">
        <v>1090</v>
      </c>
      <c r="W75" s="60">
        <v>25</v>
      </c>
      <c r="X75" s="56" t="s">
        <v>1091</v>
      </c>
      <c r="Y75" s="60">
        <v>20</v>
      </c>
      <c r="Z75" s="56" t="s">
        <v>1092</v>
      </c>
      <c r="AA75" s="60">
        <v>25</v>
      </c>
      <c r="AB75" s="60">
        <f t="shared" si="8"/>
        <v>100</v>
      </c>
      <c r="AC75" s="62">
        <v>9.3749999999999997E-3</v>
      </c>
      <c r="AD75" s="60">
        <v>1</v>
      </c>
      <c r="AE75" s="56" t="s">
        <v>329</v>
      </c>
      <c r="AF75" s="60">
        <v>2494</v>
      </c>
      <c r="AG75" s="56" t="s">
        <v>889</v>
      </c>
      <c r="AH75" s="58" t="s">
        <v>1086</v>
      </c>
    </row>
    <row r="76" spans="1:34" ht="45" customHeight="1">
      <c r="A76" s="50" t="s">
        <v>275</v>
      </c>
      <c r="B76" s="60">
        <v>72</v>
      </c>
      <c r="C76" s="60">
        <v>18</v>
      </c>
      <c r="D76" s="56" t="s">
        <v>331</v>
      </c>
      <c r="E76" s="56" t="s">
        <v>993</v>
      </c>
      <c r="F76" s="51" t="s">
        <v>68</v>
      </c>
      <c r="G76" s="51" t="s">
        <v>992</v>
      </c>
      <c r="H76" s="56" t="s">
        <v>68</v>
      </c>
      <c r="I76" s="51" t="s">
        <v>68</v>
      </c>
      <c r="J76" s="56" t="s">
        <v>994</v>
      </c>
      <c r="K76" s="60">
        <v>0</v>
      </c>
      <c r="L76" s="60">
        <v>0</v>
      </c>
      <c r="M76" s="56" t="s">
        <v>68</v>
      </c>
      <c r="N76" s="60">
        <v>0</v>
      </c>
      <c r="O76" s="60">
        <f t="shared" si="6"/>
        <v>0</v>
      </c>
      <c r="P76" s="60">
        <v>0</v>
      </c>
      <c r="Q76" s="56" t="s">
        <v>68</v>
      </c>
      <c r="R76" s="60">
        <v>0</v>
      </c>
      <c r="S76" s="60">
        <f t="shared" si="7"/>
        <v>0</v>
      </c>
      <c r="T76" s="56" t="s">
        <v>68</v>
      </c>
      <c r="U76" s="60">
        <v>0</v>
      </c>
      <c r="V76" s="56" t="s">
        <v>68</v>
      </c>
      <c r="W76" s="60">
        <v>0</v>
      </c>
      <c r="X76" s="56" t="s">
        <v>68</v>
      </c>
      <c r="Y76" s="60">
        <v>0</v>
      </c>
      <c r="Z76" s="56" t="s">
        <v>68</v>
      </c>
      <c r="AA76" s="60">
        <v>0</v>
      </c>
      <c r="AB76" s="60">
        <f t="shared" si="8"/>
        <v>0</v>
      </c>
      <c r="AC76" s="62"/>
      <c r="AD76" s="60">
        <v>0</v>
      </c>
      <c r="AE76" s="56" t="s">
        <v>995</v>
      </c>
      <c r="AF76" s="60">
        <v>0</v>
      </c>
      <c r="AG76" s="56" t="s">
        <v>68</v>
      </c>
      <c r="AH76" s="58" t="s">
        <v>996</v>
      </c>
    </row>
    <row r="77" spans="1:34" ht="45" customHeight="1">
      <c r="A77" s="50" t="s">
        <v>335</v>
      </c>
      <c r="B77" s="60">
        <v>73</v>
      </c>
      <c r="C77" s="60">
        <v>18</v>
      </c>
      <c r="D77" s="56" t="s">
        <v>336</v>
      </c>
      <c r="E77" s="56" t="s">
        <v>993</v>
      </c>
      <c r="F77" s="51" t="s">
        <v>68</v>
      </c>
      <c r="G77" s="51" t="s">
        <v>992</v>
      </c>
      <c r="H77" s="56" t="s">
        <v>68</v>
      </c>
      <c r="I77" s="51" t="s">
        <v>68</v>
      </c>
      <c r="J77" s="56" t="s">
        <v>994</v>
      </c>
      <c r="K77" s="60">
        <v>0</v>
      </c>
      <c r="L77" s="60">
        <v>0</v>
      </c>
      <c r="M77" s="56" t="s">
        <v>68</v>
      </c>
      <c r="N77" s="60">
        <v>0</v>
      </c>
      <c r="O77" s="60">
        <f t="shared" si="6"/>
        <v>0</v>
      </c>
      <c r="P77" s="60">
        <v>0</v>
      </c>
      <c r="Q77" s="56" t="s">
        <v>68</v>
      </c>
      <c r="R77" s="60">
        <v>0</v>
      </c>
      <c r="S77" s="60">
        <f t="shared" si="7"/>
        <v>0</v>
      </c>
      <c r="T77" s="56" t="s">
        <v>68</v>
      </c>
      <c r="U77" s="60">
        <v>0</v>
      </c>
      <c r="V77" s="56" t="s">
        <v>68</v>
      </c>
      <c r="W77" s="60">
        <v>0</v>
      </c>
      <c r="X77" s="56" t="s">
        <v>68</v>
      </c>
      <c r="Y77" s="60">
        <v>0</v>
      </c>
      <c r="Z77" s="56" t="s">
        <v>68</v>
      </c>
      <c r="AA77" s="60">
        <v>0</v>
      </c>
      <c r="AB77" s="60">
        <f t="shared" si="8"/>
        <v>0</v>
      </c>
      <c r="AC77" s="62"/>
      <c r="AD77" s="60">
        <v>0</v>
      </c>
      <c r="AE77" s="56" t="s">
        <v>995</v>
      </c>
      <c r="AF77" s="60">
        <v>0</v>
      </c>
      <c r="AG77" s="56" t="s">
        <v>68</v>
      </c>
      <c r="AH77" s="58" t="s">
        <v>996</v>
      </c>
    </row>
    <row r="78" spans="1:34" ht="45" customHeight="1">
      <c r="A78" s="50" t="s">
        <v>335</v>
      </c>
      <c r="B78" s="60">
        <v>74</v>
      </c>
      <c r="C78" s="60">
        <v>19</v>
      </c>
      <c r="D78" s="56" t="s">
        <v>341</v>
      </c>
      <c r="E78" s="56" t="s">
        <v>1017</v>
      </c>
      <c r="F78" s="51" t="s">
        <v>1001</v>
      </c>
      <c r="G78" s="51" t="s">
        <v>999</v>
      </c>
      <c r="H78" s="56" t="s">
        <v>1080</v>
      </c>
      <c r="I78" s="51" t="s">
        <v>1022</v>
      </c>
      <c r="J78" s="56" t="s">
        <v>1081</v>
      </c>
      <c r="K78" s="60">
        <v>925</v>
      </c>
      <c r="L78" s="60">
        <v>60</v>
      </c>
      <c r="M78" s="56" t="s">
        <v>1005</v>
      </c>
      <c r="N78" s="60">
        <v>8</v>
      </c>
      <c r="O78" s="60">
        <f t="shared" si="6"/>
        <v>68</v>
      </c>
      <c r="P78" s="60">
        <v>38</v>
      </c>
      <c r="Q78" s="56" t="s">
        <v>1006</v>
      </c>
      <c r="R78" s="60">
        <v>7</v>
      </c>
      <c r="S78" s="60">
        <f t="shared" si="7"/>
        <v>45</v>
      </c>
      <c r="T78" s="56" t="s">
        <v>1075</v>
      </c>
      <c r="U78" s="60">
        <v>40</v>
      </c>
      <c r="V78" s="56" t="s">
        <v>1076</v>
      </c>
      <c r="W78" s="60">
        <v>35</v>
      </c>
      <c r="X78" s="56" t="s">
        <v>1077</v>
      </c>
      <c r="Y78" s="60">
        <v>25</v>
      </c>
      <c r="Z78" s="56" t="s">
        <v>68</v>
      </c>
      <c r="AA78" s="60">
        <v>0</v>
      </c>
      <c r="AB78" s="60">
        <f t="shared" si="8"/>
        <v>100</v>
      </c>
      <c r="AC78" s="62">
        <v>1.5625000000000001E-3</v>
      </c>
      <c r="AD78" s="60">
        <v>6</v>
      </c>
      <c r="AE78" s="56" t="s">
        <v>97</v>
      </c>
      <c r="AF78" s="60">
        <v>343</v>
      </c>
      <c r="AG78" s="56" t="s">
        <v>68</v>
      </c>
      <c r="AH78" s="58" t="s">
        <v>1093</v>
      </c>
    </row>
    <row r="79" spans="1:34" ht="45" customHeight="1">
      <c r="A79" s="50" t="s">
        <v>335</v>
      </c>
      <c r="B79" s="60">
        <v>75</v>
      </c>
      <c r="C79" s="60">
        <v>19</v>
      </c>
      <c r="D79" s="56" t="s">
        <v>342</v>
      </c>
      <c r="E79" s="56" t="s">
        <v>993</v>
      </c>
      <c r="F79" s="51" t="s">
        <v>68</v>
      </c>
      <c r="G79" s="51" t="s">
        <v>992</v>
      </c>
      <c r="H79" s="56" t="s">
        <v>68</v>
      </c>
      <c r="I79" s="51" t="s">
        <v>68</v>
      </c>
      <c r="J79" s="56" t="s">
        <v>994</v>
      </c>
      <c r="K79" s="60">
        <v>0</v>
      </c>
      <c r="L79" s="60">
        <v>0</v>
      </c>
      <c r="M79" s="56" t="s">
        <v>68</v>
      </c>
      <c r="N79" s="60">
        <v>0</v>
      </c>
      <c r="O79" s="60">
        <f t="shared" si="6"/>
        <v>0</v>
      </c>
      <c r="P79" s="60">
        <v>0</v>
      </c>
      <c r="Q79" s="56" t="s">
        <v>68</v>
      </c>
      <c r="R79" s="60">
        <v>0</v>
      </c>
      <c r="S79" s="60">
        <f t="shared" si="7"/>
        <v>0</v>
      </c>
      <c r="T79" s="56" t="s">
        <v>68</v>
      </c>
      <c r="U79" s="60">
        <v>0</v>
      </c>
      <c r="V79" s="56" t="s">
        <v>68</v>
      </c>
      <c r="W79" s="60">
        <v>0</v>
      </c>
      <c r="X79" s="56" t="s">
        <v>68</v>
      </c>
      <c r="Y79" s="60">
        <v>0</v>
      </c>
      <c r="Z79" s="56" t="s">
        <v>68</v>
      </c>
      <c r="AA79" s="60">
        <v>0</v>
      </c>
      <c r="AB79" s="60">
        <f t="shared" si="8"/>
        <v>0</v>
      </c>
      <c r="AC79" s="62"/>
      <c r="AD79" s="60">
        <v>0</v>
      </c>
      <c r="AE79" s="56" t="s">
        <v>995</v>
      </c>
      <c r="AF79" s="60">
        <v>0</v>
      </c>
      <c r="AG79" s="56" t="s">
        <v>68</v>
      </c>
      <c r="AH79" s="58" t="s">
        <v>996</v>
      </c>
    </row>
    <row r="80" spans="1:34" ht="45" customHeight="1">
      <c r="A80" s="50" t="s">
        <v>335</v>
      </c>
      <c r="B80" s="60">
        <v>76</v>
      </c>
      <c r="C80" s="60">
        <v>19</v>
      </c>
      <c r="D80" s="56" t="s">
        <v>349</v>
      </c>
      <c r="E80" s="56" t="s">
        <v>993</v>
      </c>
      <c r="F80" s="51" t="s">
        <v>68</v>
      </c>
      <c r="G80" s="51" t="s">
        <v>992</v>
      </c>
      <c r="H80" s="56" t="s">
        <v>68</v>
      </c>
      <c r="I80" s="51" t="s">
        <v>68</v>
      </c>
      <c r="J80" s="56" t="s">
        <v>994</v>
      </c>
      <c r="K80" s="60">
        <v>0</v>
      </c>
      <c r="L80" s="60">
        <v>0</v>
      </c>
      <c r="M80" s="56" t="s">
        <v>68</v>
      </c>
      <c r="N80" s="60">
        <v>0</v>
      </c>
      <c r="O80" s="60">
        <f t="shared" si="6"/>
        <v>0</v>
      </c>
      <c r="P80" s="60">
        <v>0</v>
      </c>
      <c r="Q80" s="56" t="s">
        <v>68</v>
      </c>
      <c r="R80" s="60">
        <v>0</v>
      </c>
      <c r="S80" s="60">
        <f t="shared" si="7"/>
        <v>0</v>
      </c>
      <c r="T80" s="56" t="s">
        <v>68</v>
      </c>
      <c r="U80" s="60">
        <v>0</v>
      </c>
      <c r="V80" s="56" t="s">
        <v>68</v>
      </c>
      <c r="W80" s="60">
        <v>0</v>
      </c>
      <c r="X80" s="56" t="s">
        <v>68</v>
      </c>
      <c r="Y80" s="60">
        <v>0</v>
      </c>
      <c r="Z80" s="56" t="s">
        <v>68</v>
      </c>
      <c r="AA80" s="60">
        <v>0</v>
      </c>
      <c r="AB80" s="60">
        <f t="shared" si="8"/>
        <v>0</v>
      </c>
      <c r="AC80" s="62"/>
      <c r="AD80" s="60">
        <v>0</v>
      </c>
      <c r="AE80" s="56" t="s">
        <v>995</v>
      </c>
      <c r="AF80" s="60">
        <v>0</v>
      </c>
      <c r="AG80" s="56" t="s">
        <v>68</v>
      </c>
      <c r="AH80" s="58" t="s">
        <v>996</v>
      </c>
    </row>
    <row r="81" spans="1:34" ht="45" customHeight="1">
      <c r="A81" s="50" t="s">
        <v>335</v>
      </c>
      <c r="B81" s="60">
        <v>77</v>
      </c>
      <c r="C81" s="60">
        <v>19</v>
      </c>
      <c r="D81" s="56" t="s">
        <v>352</v>
      </c>
      <c r="E81" s="56" t="s">
        <v>1017</v>
      </c>
      <c r="F81" s="51" t="s">
        <v>1001</v>
      </c>
      <c r="G81" s="51" t="s">
        <v>999</v>
      </c>
      <c r="H81" s="56" t="s">
        <v>1080</v>
      </c>
      <c r="I81" s="51" t="s">
        <v>1022</v>
      </c>
      <c r="J81" s="56" t="s">
        <v>1081</v>
      </c>
      <c r="K81" s="60">
        <v>925</v>
      </c>
      <c r="L81" s="60">
        <v>60</v>
      </c>
      <c r="M81" s="56" t="s">
        <v>1005</v>
      </c>
      <c r="N81" s="60">
        <v>8</v>
      </c>
      <c r="O81" s="60">
        <f t="shared" si="6"/>
        <v>68</v>
      </c>
      <c r="P81" s="60">
        <v>38</v>
      </c>
      <c r="Q81" s="56" t="s">
        <v>1006</v>
      </c>
      <c r="R81" s="60">
        <v>7</v>
      </c>
      <c r="S81" s="60">
        <f t="shared" si="7"/>
        <v>45</v>
      </c>
      <c r="T81" s="56" t="s">
        <v>1075</v>
      </c>
      <c r="U81" s="60">
        <v>40</v>
      </c>
      <c r="V81" s="56" t="s">
        <v>1076</v>
      </c>
      <c r="W81" s="60">
        <v>35</v>
      </c>
      <c r="X81" s="56" t="s">
        <v>1077</v>
      </c>
      <c r="Y81" s="60">
        <v>25</v>
      </c>
      <c r="Z81" s="56" t="s">
        <v>68</v>
      </c>
      <c r="AA81" s="60">
        <v>0</v>
      </c>
      <c r="AB81" s="60">
        <f t="shared" si="8"/>
        <v>100</v>
      </c>
      <c r="AC81" s="62">
        <v>1.5625000000000001E-3</v>
      </c>
      <c r="AD81" s="60">
        <v>7</v>
      </c>
      <c r="AE81" s="56" t="s">
        <v>97</v>
      </c>
      <c r="AF81" s="60">
        <v>343</v>
      </c>
      <c r="AG81" s="56" t="s">
        <v>68</v>
      </c>
      <c r="AH81" s="58" t="s">
        <v>1093</v>
      </c>
    </row>
    <row r="82" spans="1:34" ht="45" customHeight="1">
      <c r="A82" s="50" t="s">
        <v>335</v>
      </c>
      <c r="B82" s="60">
        <v>78</v>
      </c>
      <c r="C82" s="60">
        <v>20</v>
      </c>
      <c r="D82" s="56" t="s">
        <v>354</v>
      </c>
      <c r="E82" s="56" t="s">
        <v>1017</v>
      </c>
      <c r="F82" s="51" t="s">
        <v>1001</v>
      </c>
      <c r="G82" s="51" t="s">
        <v>999</v>
      </c>
      <c r="H82" s="56" t="s">
        <v>1080</v>
      </c>
      <c r="I82" s="51" t="s">
        <v>1022</v>
      </c>
      <c r="J82" s="56" t="s">
        <v>1081</v>
      </c>
      <c r="K82" s="60">
        <v>960</v>
      </c>
      <c r="L82" s="60">
        <v>62</v>
      </c>
      <c r="M82" s="56" t="s">
        <v>1005</v>
      </c>
      <c r="N82" s="60">
        <v>9</v>
      </c>
      <c r="O82" s="60">
        <f t="shared" si="6"/>
        <v>71</v>
      </c>
      <c r="P82" s="60">
        <v>40</v>
      </c>
      <c r="Q82" s="56" t="s">
        <v>1006</v>
      </c>
      <c r="R82" s="60">
        <v>7</v>
      </c>
      <c r="S82" s="60">
        <f t="shared" si="7"/>
        <v>47</v>
      </c>
      <c r="T82" s="56" t="s">
        <v>1075</v>
      </c>
      <c r="U82" s="60">
        <v>40</v>
      </c>
      <c r="V82" s="56" t="s">
        <v>1076</v>
      </c>
      <c r="W82" s="60">
        <v>35</v>
      </c>
      <c r="X82" s="56" t="s">
        <v>1077</v>
      </c>
      <c r="Y82" s="60">
        <v>25</v>
      </c>
      <c r="Z82" s="56" t="s">
        <v>68</v>
      </c>
      <c r="AA82" s="60">
        <v>0</v>
      </c>
      <c r="AB82" s="60">
        <f t="shared" si="8"/>
        <v>100</v>
      </c>
      <c r="AC82" s="62">
        <v>8.1018518518518527E-4</v>
      </c>
      <c r="AD82" s="60">
        <v>1</v>
      </c>
      <c r="AE82" s="56" t="s">
        <v>97</v>
      </c>
      <c r="AF82" s="60">
        <v>334</v>
      </c>
      <c r="AG82" s="56" t="s">
        <v>68</v>
      </c>
      <c r="AH82" s="58" t="s">
        <v>1094</v>
      </c>
    </row>
    <row r="83" spans="1:34" ht="45" customHeight="1">
      <c r="A83" s="50" t="s">
        <v>335</v>
      </c>
      <c r="B83" s="60">
        <v>79</v>
      </c>
      <c r="C83" s="60">
        <v>20</v>
      </c>
      <c r="D83" s="56" t="s">
        <v>355</v>
      </c>
      <c r="E83" s="56" t="s">
        <v>1095</v>
      </c>
      <c r="F83" s="51" t="s">
        <v>1001</v>
      </c>
      <c r="G83" s="51" t="s">
        <v>1012</v>
      </c>
      <c r="H83" s="56" t="s">
        <v>1043</v>
      </c>
      <c r="I83" s="51" t="s">
        <v>1022</v>
      </c>
      <c r="J83" s="56" t="s">
        <v>1044</v>
      </c>
      <c r="K83" s="60">
        <v>1900</v>
      </c>
      <c r="L83" s="60">
        <v>80</v>
      </c>
      <c r="M83" s="56" t="s">
        <v>1005</v>
      </c>
      <c r="N83" s="60">
        <v>13</v>
      </c>
      <c r="O83" s="60">
        <f t="shared" si="6"/>
        <v>93</v>
      </c>
      <c r="P83" s="60">
        <v>55</v>
      </c>
      <c r="Q83" s="56" t="s">
        <v>1006</v>
      </c>
      <c r="R83" s="60">
        <v>10</v>
      </c>
      <c r="S83" s="60">
        <f t="shared" si="7"/>
        <v>65</v>
      </c>
      <c r="T83" s="56" t="s">
        <v>1045</v>
      </c>
      <c r="U83" s="60">
        <v>30</v>
      </c>
      <c r="V83" s="56" t="s">
        <v>1046</v>
      </c>
      <c r="W83" s="60">
        <v>25</v>
      </c>
      <c r="X83" s="56" t="s">
        <v>1047</v>
      </c>
      <c r="Y83" s="60">
        <v>25</v>
      </c>
      <c r="Z83" s="56" t="s">
        <v>1048</v>
      </c>
      <c r="AA83" s="60">
        <v>20</v>
      </c>
      <c r="AB83" s="60">
        <f t="shared" si="8"/>
        <v>100</v>
      </c>
      <c r="AC83" s="62">
        <v>2.0254629629629629E-3</v>
      </c>
      <c r="AD83" s="60">
        <v>1</v>
      </c>
      <c r="AE83" s="56" t="s">
        <v>225</v>
      </c>
      <c r="AF83" s="60">
        <v>1000</v>
      </c>
      <c r="AG83" s="56" t="s">
        <v>1096</v>
      </c>
      <c r="AH83" s="58" t="s">
        <v>1094</v>
      </c>
    </row>
    <row r="84" spans="1:34" ht="45" customHeight="1">
      <c r="A84" s="50" t="s">
        <v>335</v>
      </c>
      <c r="B84" s="60">
        <v>80</v>
      </c>
      <c r="C84" s="60">
        <v>20</v>
      </c>
      <c r="D84" s="56" t="s">
        <v>361</v>
      </c>
      <c r="E84" s="56" t="s">
        <v>1097</v>
      </c>
      <c r="F84" s="51" t="s">
        <v>1001</v>
      </c>
      <c r="G84" s="51" t="s">
        <v>999</v>
      </c>
      <c r="H84" s="56" t="s">
        <v>1051</v>
      </c>
      <c r="I84" s="51" t="s">
        <v>1022</v>
      </c>
      <c r="J84" s="56" t="s">
        <v>1052</v>
      </c>
      <c r="K84" s="60">
        <v>960</v>
      </c>
      <c r="L84" s="60">
        <v>62</v>
      </c>
      <c r="M84" s="56" t="s">
        <v>1005</v>
      </c>
      <c r="N84" s="60">
        <v>9</v>
      </c>
      <c r="O84" s="60">
        <f t="shared" si="6"/>
        <v>71</v>
      </c>
      <c r="P84" s="60">
        <v>40</v>
      </c>
      <c r="Q84" s="56" t="s">
        <v>1006</v>
      </c>
      <c r="R84" s="60">
        <v>7</v>
      </c>
      <c r="S84" s="60">
        <f t="shared" si="7"/>
        <v>47</v>
      </c>
      <c r="T84" s="56" t="s">
        <v>1075</v>
      </c>
      <c r="U84" s="60">
        <v>40</v>
      </c>
      <c r="V84" s="56" t="s">
        <v>1076</v>
      </c>
      <c r="W84" s="60">
        <v>35</v>
      </c>
      <c r="X84" s="56" t="s">
        <v>1077</v>
      </c>
      <c r="Y84" s="60">
        <v>25</v>
      </c>
      <c r="Z84" s="56" t="s">
        <v>68</v>
      </c>
      <c r="AA84" s="60">
        <v>0</v>
      </c>
      <c r="AB84" s="60">
        <f t="shared" si="8"/>
        <v>100</v>
      </c>
      <c r="AC84" s="62">
        <v>2.0254629629629629E-3</v>
      </c>
      <c r="AD84" s="60">
        <v>3</v>
      </c>
      <c r="AE84" s="56" t="s">
        <v>237</v>
      </c>
      <c r="AF84" s="60">
        <v>375</v>
      </c>
      <c r="AG84" s="56" t="s">
        <v>68</v>
      </c>
      <c r="AH84" s="58" t="s">
        <v>1098</v>
      </c>
    </row>
    <row r="85" spans="1:34" ht="45" customHeight="1">
      <c r="A85" s="50" t="s">
        <v>335</v>
      </c>
      <c r="B85" s="60">
        <v>81</v>
      </c>
      <c r="C85" s="60">
        <v>20</v>
      </c>
      <c r="D85" s="56" t="s">
        <v>365</v>
      </c>
      <c r="E85" s="56" t="s">
        <v>993</v>
      </c>
      <c r="F85" s="51" t="s">
        <v>68</v>
      </c>
      <c r="G85" s="51" t="s">
        <v>992</v>
      </c>
      <c r="H85" s="56" t="s">
        <v>68</v>
      </c>
      <c r="I85" s="51" t="s">
        <v>68</v>
      </c>
      <c r="J85" s="56" t="s">
        <v>994</v>
      </c>
      <c r="K85" s="60">
        <v>0</v>
      </c>
      <c r="L85" s="60">
        <v>0</v>
      </c>
      <c r="M85" s="56" t="s">
        <v>68</v>
      </c>
      <c r="N85" s="60">
        <v>0</v>
      </c>
      <c r="O85" s="60">
        <f t="shared" si="6"/>
        <v>0</v>
      </c>
      <c r="P85" s="60">
        <v>0</v>
      </c>
      <c r="Q85" s="56" t="s">
        <v>68</v>
      </c>
      <c r="R85" s="60">
        <v>0</v>
      </c>
      <c r="S85" s="60">
        <f t="shared" si="7"/>
        <v>0</v>
      </c>
      <c r="T85" s="56" t="s">
        <v>68</v>
      </c>
      <c r="U85" s="60">
        <v>0</v>
      </c>
      <c r="V85" s="56" t="s">
        <v>68</v>
      </c>
      <c r="W85" s="60">
        <v>0</v>
      </c>
      <c r="X85" s="56" t="s">
        <v>68</v>
      </c>
      <c r="Y85" s="60">
        <v>0</v>
      </c>
      <c r="Z85" s="56" t="s">
        <v>68</v>
      </c>
      <c r="AA85" s="60">
        <v>0</v>
      </c>
      <c r="AB85" s="60">
        <f t="shared" si="8"/>
        <v>0</v>
      </c>
      <c r="AC85" s="62"/>
      <c r="AD85" s="60">
        <v>0</v>
      </c>
      <c r="AE85" s="56" t="s">
        <v>995</v>
      </c>
      <c r="AF85" s="60">
        <v>0</v>
      </c>
      <c r="AG85" s="56" t="s">
        <v>68</v>
      </c>
      <c r="AH85" s="58" t="s">
        <v>996</v>
      </c>
    </row>
    <row r="86" spans="1:34" ht="45" customHeight="1">
      <c r="A86" s="50" t="s">
        <v>335</v>
      </c>
      <c r="B86" s="60">
        <v>82</v>
      </c>
      <c r="C86" s="60">
        <v>20</v>
      </c>
      <c r="D86" s="56" t="s">
        <v>366</v>
      </c>
      <c r="E86" s="56" t="s">
        <v>1017</v>
      </c>
      <c r="F86" s="51" t="s">
        <v>1001</v>
      </c>
      <c r="G86" s="51" t="s">
        <v>999</v>
      </c>
      <c r="H86" s="56" t="s">
        <v>1080</v>
      </c>
      <c r="I86" s="51" t="s">
        <v>1022</v>
      </c>
      <c r="J86" s="56" t="s">
        <v>1081</v>
      </c>
      <c r="K86" s="60">
        <v>960</v>
      </c>
      <c r="L86" s="60">
        <v>62</v>
      </c>
      <c r="M86" s="56" t="s">
        <v>1005</v>
      </c>
      <c r="N86" s="60">
        <v>9</v>
      </c>
      <c r="O86" s="60">
        <f t="shared" si="6"/>
        <v>71</v>
      </c>
      <c r="P86" s="60">
        <v>40</v>
      </c>
      <c r="Q86" s="56" t="s">
        <v>1006</v>
      </c>
      <c r="R86" s="60">
        <v>7</v>
      </c>
      <c r="S86" s="60">
        <f t="shared" si="7"/>
        <v>47</v>
      </c>
      <c r="T86" s="56" t="s">
        <v>1075</v>
      </c>
      <c r="U86" s="60">
        <v>40</v>
      </c>
      <c r="V86" s="56" t="s">
        <v>1076</v>
      </c>
      <c r="W86" s="60">
        <v>35</v>
      </c>
      <c r="X86" s="56" t="s">
        <v>1077</v>
      </c>
      <c r="Y86" s="60">
        <v>25</v>
      </c>
      <c r="Z86" s="56" t="s">
        <v>68</v>
      </c>
      <c r="AA86" s="60">
        <v>0</v>
      </c>
      <c r="AB86" s="60">
        <f t="shared" si="8"/>
        <v>100</v>
      </c>
      <c r="AC86" s="62">
        <v>1.5625000000000001E-3</v>
      </c>
      <c r="AD86" s="60">
        <v>7</v>
      </c>
      <c r="AE86" s="56" t="s">
        <v>97</v>
      </c>
      <c r="AF86" s="60">
        <v>375</v>
      </c>
      <c r="AG86" s="56" t="s">
        <v>68</v>
      </c>
      <c r="AH86" s="58" t="s">
        <v>1098</v>
      </c>
    </row>
    <row r="87" spans="1:34" ht="45" customHeight="1">
      <c r="A87" s="50" t="s">
        <v>335</v>
      </c>
      <c r="B87" s="60">
        <v>83</v>
      </c>
      <c r="C87" s="60">
        <v>21</v>
      </c>
      <c r="D87" s="56" t="s">
        <v>367</v>
      </c>
      <c r="E87" s="56" t="s">
        <v>993</v>
      </c>
      <c r="F87" s="51" t="s">
        <v>68</v>
      </c>
      <c r="G87" s="51" t="s">
        <v>992</v>
      </c>
      <c r="H87" s="56" t="s">
        <v>68</v>
      </c>
      <c r="I87" s="51" t="s">
        <v>68</v>
      </c>
      <c r="J87" s="56" t="s">
        <v>994</v>
      </c>
      <c r="K87" s="60">
        <v>0</v>
      </c>
      <c r="L87" s="60">
        <v>0</v>
      </c>
      <c r="M87" s="56" t="s">
        <v>68</v>
      </c>
      <c r="N87" s="60">
        <v>0</v>
      </c>
      <c r="O87" s="60">
        <f t="shared" si="6"/>
        <v>0</v>
      </c>
      <c r="P87" s="60">
        <v>0</v>
      </c>
      <c r="Q87" s="56" t="s">
        <v>68</v>
      </c>
      <c r="R87" s="60">
        <v>0</v>
      </c>
      <c r="S87" s="60">
        <f t="shared" si="7"/>
        <v>0</v>
      </c>
      <c r="T87" s="56" t="s">
        <v>68</v>
      </c>
      <c r="U87" s="60">
        <v>0</v>
      </c>
      <c r="V87" s="56" t="s">
        <v>68</v>
      </c>
      <c r="W87" s="60">
        <v>0</v>
      </c>
      <c r="X87" s="56" t="s">
        <v>68</v>
      </c>
      <c r="Y87" s="60">
        <v>0</v>
      </c>
      <c r="Z87" s="56" t="s">
        <v>68</v>
      </c>
      <c r="AA87" s="60">
        <v>0</v>
      </c>
      <c r="AB87" s="60">
        <f t="shared" si="8"/>
        <v>0</v>
      </c>
      <c r="AC87" s="62"/>
      <c r="AD87" s="60">
        <v>0</v>
      </c>
      <c r="AE87" s="56" t="s">
        <v>995</v>
      </c>
      <c r="AF87" s="60">
        <v>0</v>
      </c>
      <c r="AG87" s="56" t="s">
        <v>68</v>
      </c>
      <c r="AH87" s="58" t="s">
        <v>996</v>
      </c>
    </row>
    <row r="88" spans="1:34" ht="45" customHeight="1">
      <c r="A88" s="50" t="s">
        <v>335</v>
      </c>
      <c r="B88" s="60">
        <v>84</v>
      </c>
      <c r="C88" s="60">
        <v>21</v>
      </c>
      <c r="D88" s="56" t="s">
        <v>368</v>
      </c>
      <c r="E88" s="56" t="s">
        <v>1085</v>
      </c>
      <c r="F88" s="51" t="s">
        <v>1001</v>
      </c>
      <c r="G88" s="51" t="s">
        <v>999</v>
      </c>
      <c r="H88" s="56" t="s">
        <v>1039</v>
      </c>
      <c r="I88" s="51" t="s">
        <v>1022</v>
      </c>
      <c r="J88" s="56" t="s">
        <v>1040</v>
      </c>
      <c r="K88" s="60">
        <v>995</v>
      </c>
      <c r="L88" s="60">
        <v>64</v>
      </c>
      <c r="M88" s="56" t="s">
        <v>1005</v>
      </c>
      <c r="N88" s="60">
        <v>9</v>
      </c>
      <c r="O88" s="60">
        <f t="shared" si="6"/>
        <v>73</v>
      </c>
      <c r="P88" s="60">
        <v>42</v>
      </c>
      <c r="Q88" s="56" t="s">
        <v>1006</v>
      </c>
      <c r="R88" s="60">
        <v>7</v>
      </c>
      <c r="S88" s="60">
        <f t="shared" si="7"/>
        <v>49</v>
      </c>
      <c r="T88" s="56" t="s">
        <v>1075</v>
      </c>
      <c r="U88" s="60">
        <v>40</v>
      </c>
      <c r="V88" s="56" t="s">
        <v>1076</v>
      </c>
      <c r="W88" s="60">
        <v>35</v>
      </c>
      <c r="X88" s="56" t="s">
        <v>1077</v>
      </c>
      <c r="Y88" s="60">
        <v>25</v>
      </c>
      <c r="Z88" s="56" t="s">
        <v>68</v>
      </c>
      <c r="AA88" s="60">
        <v>0</v>
      </c>
      <c r="AB88" s="60">
        <f t="shared" si="8"/>
        <v>100</v>
      </c>
      <c r="AC88" s="62">
        <v>2.0254629629629629E-3</v>
      </c>
      <c r="AD88" s="60">
        <v>1</v>
      </c>
      <c r="AE88" s="56" t="s">
        <v>213</v>
      </c>
      <c r="AF88" s="60">
        <v>468</v>
      </c>
      <c r="AG88" s="56" t="s">
        <v>68</v>
      </c>
      <c r="AH88" s="58" t="s">
        <v>1099</v>
      </c>
    </row>
    <row r="89" spans="1:34" ht="45" customHeight="1">
      <c r="A89" s="50" t="s">
        <v>335</v>
      </c>
      <c r="B89" s="60">
        <v>85</v>
      </c>
      <c r="C89" s="60">
        <v>21</v>
      </c>
      <c r="D89" s="56" t="s">
        <v>369</v>
      </c>
      <c r="E89" s="56" t="s">
        <v>993</v>
      </c>
      <c r="F89" s="51" t="s">
        <v>68</v>
      </c>
      <c r="G89" s="51" t="s">
        <v>992</v>
      </c>
      <c r="H89" s="56" t="s">
        <v>68</v>
      </c>
      <c r="I89" s="51" t="s">
        <v>68</v>
      </c>
      <c r="J89" s="56" t="s">
        <v>994</v>
      </c>
      <c r="K89" s="60">
        <v>0</v>
      </c>
      <c r="L89" s="60">
        <v>0</v>
      </c>
      <c r="M89" s="56" t="s">
        <v>68</v>
      </c>
      <c r="N89" s="60">
        <v>0</v>
      </c>
      <c r="O89" s="60">
        <f t="shared" si="6"/>
        <v>0</v>
      </c>
      <c r="P89" s="60">
        <v>0</v>
      </c>
      <c r="Q89" s="56" t="s">
        <v>68</v>
      </c>
      <c r="R89" s="60">
        <v>0</v>
      </c>
      <c r="S89" s="60">
        <f t="shared" si="7"/>
        <v>0</v>
      </c>
      <c r="T89" s="56" t="s">
        <v>68</v>
      </c>
      <c r="U89" s="60">
        <v>0</v>
      </c>
      <c r="V89" s="56" t="s">
        <v>68</v>
      </c>
      <c r="W89" s="60">
        <v>0</v>
      </c>
      <c r="X89" s="56" t="s">
        <v>68</v>
      </c>
      <c r="Y89" s="60">
        <v>0</v>
      </c>
      <c r="Z89" s="56" t="s">
        <v>68</v>
      </c>
      <c r="AA89" s="60">
        <v>0</v>
      </c>
      <c r="AB89" s="60">
        <f t="shared" si="8"/>
        <v>0</v>
      </c>
      <c r="AC89" s="62"/>
      <c r="AD89" s="60">
        <v>0</v>
      </c>
      <c r="AE89" s="56" t="s">
        <v>995</v>
      </c>
      <c r="AF89" s="60">
        <v>0</v>
      </c>
      <c r="AG89" s="56" t="s">
        <v>68</v>
      </c>
      <c r="AH89" s="58" t="s">
        <v>996</v>
      </c>
    </row>
    <row r="90" spans="1:34" ht="45" customHeight="1">
      <c r="A90" s="50" t="s">
        <v>335</v>
      </c>
      <c r="B90" s="60">
        <v>86</v>
      </c>
      <c r="C90" s="60">
        <v>21</v>
      </c>
      <c r="D90" s="56" t="s">
        <v>370</v>
      </c>
      <c r="E90" s="56" t="s">
        <v>1100</v>
      </c>
      <c r="F90" s="51" t="s">
        <v>1001</v>
      </c>
      <c r="G90" s="51" t="s">
        <v>1012</v>
      </c>
      <c r="H90" s="56" t="s">
        <v>1043</v>
      </c>
      <c r="I90" s="51" t="s">
        <v>1022</v>
      </c>
      <c r="J90" s="56" t="s">
        <v>1044</v>
      </c>
      <c r="K90" s="60">
        <v>1970</v>
      </c>
      <c r="L90" s="60">
        <v>83</v>
      </c>
      <c r="M90" s="56" t="s">
        <v>1005</v>
      </c>
      <c r="N90" s="60">
        <v>13</v>
      </c>
      <c r="O90" s="60">
        <f t="shared" si="6"/>
        <v>96</v>
      </c>
      <c r="P90" s="60">
        <v>57</v>
      </c>
      <c r="Q90" s="56" t="s">
        <v>1006</v>
      </c>
      <c r="R90" s="60">
        <v>10</v>
      </c>
      <c r="S90" s="60">
        <f t="shared" si="7"/>
        <v>67</v>
      </c>
      <c r="T90" s="56" t="s">
        <v>1045</v>
      </c>
      <c r="U90" s="60">
        <v>30</v>
      </c>
      <c r="V90" s="56" t="s">
        <v>1046</v>
      </c>
      <c r="W90" s="60">
        <v>25</v>
      </c>
      <c r="X90" s="56" t="s">
        <v>1047</v>
      </c>
      <c r="Y90" s="60">
        <v>25</v>
      </c>
      <c r="Z90" s="56" t="s">
        <v>1048</v>
      </c>
      <c r="AA90" s="60">
        <v>20</v>
      </c>
      <c r="AB90" s="60">
        <f t="shared" si="8"/>
        <v>100</v>
      </c>
      <c r="AC90" s="62">
        <v>3.5879629629629634E-3</v>
      </c>
      <c r="AD90" s="60">
        <v>1</v>
      </c>
      <c r="AE90" s="56" t="s">
        <v>225</v>
      </c>
      <c r="AF90" s="60">
        <v>1091</v>
      </c>
      <c r="AG90" s="56" t="s">
        <v>899</v>
      </c>
      <c r="AH90" s="58" t="s">
        <v>1099</v>
      </c>
    </row>
    <row r="91" spans="1:34" ht="45" customHeight="1">
      <c r="A91" s="50" t="s">
        <v>335</v>
      </c>
      <c r="B91" s="60">
        <v>87</v>
      </c>
      <c r="C91" s="60">
        <v>22</v>
      </c>
      <c r="D91" s="56" t="s">
        <v>373</v>
      </c>
      <c r="E91" s="56" t="s">
        <v>993</v>
      </c>
      <c r="F91" s="51" t="s">
        <v>68</v>
      </c>
      <c r="G91" s="51" t="s">
        <v>992</v>
      </c>
      <c r="H91" s="56" t="s">
        <v>68</v>
      </c>
      <c r="I91" s="51" t="s">
        <v>68</v>
      </c>
      <c r="J91" s="56" t="s">
        <v>994</v>
      </c>
      <c r="K91" s="60">
        <v>0</v>
      </c>
      <c r="L91" s="60">
        <v>0</v>
      </c>
      <c r="M91" s="56" t="s">
        <v>68</v>
      </c>
      <c r="N91" s="60">
        <v>0</v>
      </c>
      <c r="O91" s="60">
        <f t="shared" si="6"/>
        <v>0</v>
      </c>
      <c r="P91" s="60">
        <v>0</v>
      </c>
      <c r="Q91" s="56" t="s">
        <v>68</v>
      </c>
      <c r="R91" s="60">
        <v>0</v>
      </c>
      <c r="S91" s="60">
        <f t="shared" si="7"/>
        <v>0</v>
      </c>
      <c r="T91" s="56" t="s">
        <v>68</v>
      </c>
      <c r="U91" s="60">
        <v>0</v>
      </c>
      <c r="V91" s="56" t="s">
        <v>68</v>
      </c>
      <c r="W91" s="60">
        <v>0</v>
      </c>
      <c r="X91" s="56" t="s">
        <v>68</v>
      </c>
      <c r="Y91" s="60">
        <v>0</v>
      </c>
      <c r="Z91" s="56" t="s">
        <v>68</v>
      </c>
      <c r="AA91" s="60">
        <v>0</v>
      </c>
      <c r="AB91" s="60">
        <f t="shared" si="8"/>
        <v>0</v>
      </c>
      <c r="AC91" s="62"/>
      <c r="AD91" s="60">
        <v>0</v>
      </c>
      <c r="AE91" s="56" t="s">
        <v>995</v>
      </c>
      <c r="AF91" s="60">
        <v>0</v>
      </c>
      <c r="AG91" s="56" t="s">
        <v>68</v>
      </c>
      <c r="AH91" s="58" t="s">
        <v>996</v>
      </c>
    </row>
    <row r="92" spans="1:34" ht="45" customHeight="1">
      <c r="A92" s="50" t="s">
        <v>335</v>
      </c>
      <c r="B92" s="60">
        <v>88</v>
      </c>
      <c r="C92" s="60">
        <v>22</v>
      </c>
      <c r="D92" s="56" t="s">
        <v>376</v>
      </c>
      <c r="E92" s="56" t="s">
        <v>993</v>
      </c>
      <c r="F92" s="51" t="s">
        <v>68</v>
      </c>
      <c r="G92" s="51" t="s">
        <v>992</v>
      </c>
      <c r="H92" s="56" t="s">
        <v>68</v>
      </c>
      <c r="I92" s="51" t="s">
        <v>68</v>
      </c>
      <c r="J92" s="56" t="s">
        <v>994</v>
      </c>
      <c r="K92" s="60">
        <v>0</v>
      </c>
      <c r="L92" s="60">
        <v>0</v>
      </c>
      <c r="M92" s="56" t="s">
        <v>68</v>
      </c>
      <c r="N92" s="60">
        <v>0</v>
      </c>
      <c r="O92" s="60">
        <f t="shared" si="6"/>
        <v>0</v>
      </c>
      <c r="P92" s="60">
        <v>0</v>
      </c>
      <c r="Q92" s="56" t="s">
        <v>68</v>
      </c>
      <c r="R92" s="60">
        <v>0</v>
      </c>
      <c r="S92" s="60">
        <f t="shared" si="7"/>
        <v>0</v>
      </c>
      <c r="T92" s="56" t="s">
        <v>68</v>
      </c>
      <c r="U92" s="60">
        <v>0</v>
      </c>
      <c r="V92" s="56" t="s">
        <v>68</v>
      </c>
      <c r="W92" s="60">
        <v>0</v>
      </c>
      <c r="X92" s="56" t="s">
        <v>68</v>
      </c>
      <c r="Y92" s="60">
        <v>0</v>
      </c>
      <c r="Z92" s="56" t="s">
        <v>68</v>
      </c>
      <c r="AA92" s="60">
        <v>0</v>
      </c>
      <c r="AB92" s="60">
        <f t="shared" si="8"/>
        <v>0</v>
      </c>
      <c r="AC92" s="62"/>
      <c r="AD92" s="60">
        <v>0</v>
      </c>
      <c r="AE92" s="56" t="s">
        <v>995</v>
      </c>
      <c r="AF92" s="60">
        <v>0</v>
      </c>
      <c r="AG92" s="56" t="s">
        <v>68</v>
      </c>
      <c r="AH92" s="58" t="s">
        <v>996</v>
      </c>
    </row>
    <row r="93" spans="1:34" ht="45" customHeight="1">
      <c r="A93" s="50" t="s">
        <v>335</v>
      </c>
      <c r="B93" s="60">
        <v>89</v>
      </c>
      <c r="C93" s="60">
        <v>22</v>
      </c>
      <c r="D93" s="56" t="s">
        <v>377</v>
      </c>
      <c r="E93" s="56" t="s">
        <v>1017</v>
      </c>
      <c r="F93" s="51" t="s">
        <v>1001</v>
      </c>
      <c r="G93" s="51" t="s">
        <v>999</v>
      </c>
      <c r="H93" s="56" t="s">
        <v>1080</v>
      </c>
      <c r="I93" s="51" t="s">
        <v>1022</v>
      </c>
      <c r="J93" s="56" t="s">
        <v>1081</v>
      </c>
      <c r="K93" s="60">
        <v>1030</v>
      </c>
      <c r="L93" s="60">
        <v>67</v>
      </c>
      <c r="M93" s="56" t="s">
        <v>1005</v>
      </c>
      <c r="N93" s="60">
        <v>9</v>
      </c>
      <c r="O93" s="60">
        <f t="shared" si="6"/>
        <v>76</v>
      </c>
      <c r="P93" s="60">
        <v>43</v>
      </c>
      <c r="Q93" s="56" t="s">
        <v>1006</v>
      </c>
      <c r="R93" s="60">
        <v>7</v>
      </c>
      <c r="S93" s="60">
        <f t="shared" si="7"/>
        <v>50</v>
      </c>
      <c r="T93" s="56" t="s">
        <v>1075</v>
      </c>
      <c r="U93" s="60">
        <v>40</v>
      </c>
      <c r="V93" s="56" t="s">
        <v>1076</v>
      </c>
      <c r="W93" s="60">
        <v>35</v>
      </c>
      <c r="X93" s="56" t="s">
        <v>1077</v>
      </c>
      <c r="Y93" s="60">
        <v>25</v>
      </c>
      <c r="Z93" s="56" t="s">
        <v>68</v>
      </c>
      <c r="AA93" s="60">
        <v>0</v>
      </c>
      <c r="AB93" s="60">
        <f t="shared" si="8"/>
        <v>100</v>
      </c>
      <c r="AC93" s="62">
        <v>1.6203703703703705E-3</v>
      </c>
      <c r="AD93" s="60">
        <v>7</v>
      </c>
      <c r="AE93" s="56" t="s">
        <v>97</v>
      </c>
      <c r="AF93" s="60">
        <v>445</v>
      </c>
      <c r="AG93" s="56" t="s">
        <v>68</v>
      </c>
      <c r="AH93" s="58" t="s">
        <v>1101</v>
      </c>
    </row>
    <row r="94" spans="1:34" ht="45" customHeight="1">
      <c r="A94" s="50" t="s">
        <v>335</v>
      </c>
      <c r="B94" s="60">
        <v>90</v>
      </c>
      <c r="C94" s="60">
        <v>22</v>
      </c>
      <c r="D94" s="56" t="s">
        <v>378</v>
      </c>
      <c r="E94" s="56" t="s">
        <v>1102</v>
      </c>
      <c r="F94" s="51" t="s">
        <v>1001</v>
      </c>
      <c r="G94" s="51" t="s">
        <v>999</v>
      </c>
      <c r="H94" s="56" t="s">
        <v>1051</v>
      </c>
      <c r="I94" s="51" t="s">
        <v>1022</v>
      </c>
      <c r="J94" s="56" t="s">
        <v>1052</v>
      </c>
      <c r="K94" s="60">
        <v>1030</v>
      </c>
      <c r="L94" s="60">
        <v>67</v>
      </c>
      <c r="M94" s="56" t="s">
        <v>1005</v>
      </c>
      <c r="N94" s="60">
        <v>9</v>
      </c>
      <c r="O94" s="60">
        <f t="shared" si="6"/>
        <v>76</v>
      </c>
      <c r="P94" s="60">
        <v>43</v>
      </c>
      <c r="Q94" s="56" t="s">
        <v>1006</v>
      </c>
      <c r="R94" s="60">
        <v>7</v>
      </c>
      <c r="S94" s="60">
        <f t="shared" si="7"/>
        <v>50</v>
      </c>
      <c r="T94" s="56" t="s">
        <v>1075</v>
      </c>
      <c r="U94" s="60">
        <v>40</v>
      </c>
      <c r="V94" s="56" t="s">
        <v>1076</v>
      </c>
      <c r="W94" s="60">
        <v>35</v>
      </c>
      <c r="X94" s="56" t="s">
        <v>1077</v>
      </c>
      <c r="Y94" s="60">
        <v>25</v>
      </c>
      <c r="Z94" s="56" t="s">
        <v>68</v>
      </c>
      <c r="AA94" s="60">
        <v>0</v>
      </c>
      <c r="AB94" s="60">
        <f t="shared" si="8"/>
        <v>100</v>
      </c>
      <c r="AC94" s="62">
        <v>2.0833333333333333E-3</v>
      </c>
      <c r="AD94" s="60">
        <v>4</v>
      </c>
      <c r="AE94" s="56" t="s">
        <v>237</v>
      </c>
      <c r="AF94" s="60">
        <v>445</v>
      </c>
      <c r="AG94" s="56" t="s">
        <v>68</v>
      </c>
      <c r="AH94" s="58" t="s">
        <v>1101</v>
      </c>
    </row>
    <row r="95" spans="1:34" ht="45" customHeight="1">
      <c r="A95" s="50" t="s">
        <v>335</v>
      </c>
      <c r="B95" s="60">
        <v>91</v>
      </c>
      <c r="C95" s="60">
        <v>23</v>
      </c>
      <c r="D95" s="56" t="s">
        <v>380</v>
      </c>
      <c r="E95" s="56" t="s">
        <v>993</v>
      </c>
      <c r="F95" s="51" t="s">
        <v>68</v>
      </c>
      <c r="G95" s="51" t="s">
        <v>992</v>
      </c>
      <c r="H95" s="56" t="s">
        <v>68</v>
      </c>
      <c r="I95" s="51" t="s">
        <v>68</v>
      </c>
      <c r="J95" s="56" t="s">
        <v>994</v>
      </c>
      <c r="K95" s="60">
        <v>0</v>
      </c>
      <c r="L95" s="60">
        <v>0</v>
      </c>
      <c r="M95" s="56" t="s">
        <v>68</v>
      </c>
      <c r="N95" s="60">
        <v>0</v>
      </c>
      <c r="O95" s="60">
        <f t="shared" si="6"/>
        <v>0</v>
      </c>
      <c r="P95" s="60">
        <v>0</v>
      </c>
      <c r="Q95" s="56" t="s">
        <v>68</v>
      </c>
      <c r="R95" s="60">
        <v>0</v>
      </c>
      <c r="S95" s="60">
        <f t="shared" si="7"/>
        <v>0</v>
      </c>
      <c r="T95" s="56" t="s">
        <v>68</v>
      </c>
      <c r="U95" s="60">
        <v>0</v>
      </c>
      <c r="V95" s="56" t="s">
        <v>68</v>
      </c>
      <c r="W95" s="60">
        <v>0</v>
      </c>
      <c r="X95" s="56" t="s">
        <v>68</v>
      </c>
      <c r="Y95" s="60">
        <v>0</v>
      </c>
      <c r="Z95" s="56" t="s">
        <v>68</v>
      </c>
      <c r="AA95" s="60">
        <v>0</v>
      </c>
      <c r="AB95" s="60">
        <f t="shared" si="8"/>
        <v>0</v>
      </c>
      <c r="AC95" s="62"/>
      <c r="AD95" s="60">
        <v>0</v>
      </c>
      <c r="AE95" s="56" t="s">
        <v>995</v>
      </c>
      <c r="AF95" s="60">
        <v>0</v>
      </c>
      <c r="AG95" s="56" t="s">
        <v>68</v>
      </c>
      <c r="AH95" s="58" t="s">
        <v>996</v>
      </c>
    </row>
    <row r="96" spans="1:34" ht="45" customHeight="1">
      <c r="A96" s="50" t="s">
        <v>335</v>
      </c>
      <c r="B96" s="60">
        <v>92</v>
      </c>
      <c r="C96" s="60">
        <v>23</v>
      </c>
      <c r="D96" s="56" t="s">
        <v>381</v>
      </c>
      <c r="E96" s="56" t="s">
        <v>1103</v>
      </c>
      <c r="F96" s="51" t="s">
        <v>1001</v>
      </c>
      <c r="G96" s="51" t="s">
        <v>1000</v>
      </c>
      <c r="H96" s="56" t="s">
        <v>1043</v>
      </c>
      <c r="I96" s="51" t="s">
        <v>1022</v>
      </c>
      <c r="J96" s="56" t="s">
        <v>1044</v>
      </c>
      <c r="K96" s="60">
        <v>2110</v>
      </c>
      <c r="L96" s="60">
        <v>89</v>
      </c>
      <c r="M96" s="56" t="s">
        <v>1005</v>
      </c>
      <c r="N96" s="60">
        <v>13</v>
      </c>
      <c r="O96" s="60">
        <f t="shared" si="6"/>
        <v>102</v>
      </c>
      <c r="P96" s="60">
        <v>61</v>
      </c>
      <c r="Q96" s="56" t="s">
        <v>1006</v>
      </c>
      <c r="R96" s="60">
        <v>10</v>
      </c>
      <c r="S96" s="60">
        <f t="shared" si="7"/>
        <v>71</v>
      </c>
      <c r="T96" s="56" t="s">
        <v>1045</v>
      </c>
      <c r="U96" s="60">
        <v>30</v>
      </c>
      <c r="V96" s="56" t="s">
        <v>1046</v>
      </c>
      <c r="W96" s="60">
        <v>25</v>
      </c>
      <c r="X96" s="56" t="s">
        <v>1047</v>
      </c>
      <c r="Y96" s="60">
        <v>25</v>
      </c>
      <c r="Z96" s="56" t="s">
        <v>1048</v>
      </c>
      <c r="AA96" s="60">
        <v>20</v>
      </c>
      <c r="AB96" s="60">
        <f t="shared" si="8"/>
        <v>100</v>
      </c>
      <c r="AC96" s="62">
        <v>2.0833333333333333E-3</v>
      </c>
      <c r="AD96" s="60">
        <v>1</v>
      </c>
      <c r="AE96" s="56" t="s">
        <v>225</v>
      </c>
      <c r="AF96" s="60">
        <v>1283</v>
      </c>
      <c r="AG96" s="56" t="s">
        <v>68</v>
      </c>
      <c r="AH96" s="58" t="s">
        <v>1104</v>
      </c>
    </row>
    <row r="97" spans="1:34" ht="45" customHeight="1">
      <c r="A97" s="50" t="s">
        <v>335</v>
      </c>
      <c r="B97" s="60">
        <v>93</v>
      </c>
      <c r="C97" s="60">
        <v>23</v>
      </c>
      <c r="D97" s="56" t="s">
        <v>382</v>
      </c>
      <c r="E97" s="56" t="s">
        <v>993</v>
      </c>
      <c r="F97" s="51" t="s">
        <v>68</v>
      </c>
      <c r="G97" s="51" t="s">
        <v>992</v>
      </c>
      <c r="H97" s="56" t="s">
        <v>68</v>
      </c>
      <c r="I97" s="51" t="s">
        <v>68</v>
      </c>
      <c r="J97" s="56" t="s">
        <v>994</v>
      </c>
      <c r="K97" s="60">
        <v>0</v>
      </c>
      <c r="L97" s="60">
        <v>0</v>
      </c>
      <c r="M97" s="56" t="s">
        <v>68</v>
      </c>
      <c r="N97" s="60">
        <v>0</v>
      </c>
      <c r="O97" s="60">
        <f t="shared" si="6"/>
        <v>0</v>
      </c>
      <c r="P97" s="60">
        <v>0</v>
      </c>
      <c r="Q97" s="56" t="s">
        <v>68</v>
      </c>
      <c r="R97" s="60">
        <v>0</v>
      </c>
      <c r="S97" s="60">
        <f t="shared" si="7"/>
        <v>0</v>
      </c>
      <c r="T97" s="56" t="s">
        <v>68</v>
      </c>
      <c r="U97" s="60">
        <v>0</v>
      </c>
      <c r="V97" s="56" t="s">
        <v>68</v>
      </c>
      <c r="W97" s="60">
        <v>0</v>
      </c>
      <c r="X97" s="56" t="s">
        <v>68</v>
      </c>
      <c r="Y97" s="60">
        <v>0</v>
      </c>
      <c r="Z97" s="56" t="s">
        <v>68</v>
      </c>
      <c r="AA97" s="60">
        <v>0</v>
      </c>
      <c r="AB97" s="60">
        <f t="shared" si="8"/>
        <v>0</v>
      </c>
      <c r="AC97" s="62"/>
      <c r="AD97" s="60">
        <v>0</v>
      </c>
      <c r="AE97" s="56" t="s">
        <v>995</v>
      </c>
      <c r="AF97" s="60">
        <v>0</v>
      </c>
      <c r="AG97" s="56" t="s">
        <v>68</v>
      </c>
      <c r="AH97" s="58" t="s">
        <v>996</v>
      </c>
    </row>
    <row r="98" spans="1:34" ht="45" customHeight="1">
      <c r="A98" s="50" t="s">
        <v>335</v>
      </c>
      <c r="B98" s="60">
        <v>94</v>
      </c>
      <c r="C98" s="60">
        <v>23</v>
      </c>
      <c r="D98" s="56" t="s">
        <v>385</v>
      </c>
      <c r="E98" s="56" t="s">
        <v>993</v>
      </c>
      <c r="F98" s="51" t="s">
        <v>68</v>
      </c>
      <c r="G98" s="51" t="s">
        <v>992</v>
      </c>
      <c r="H98" s="56" t="s">
        <v>68</v>
      </c>
      <c r="I98" s="51" t="s">
        <v>68</v>
      </c>
      <c r="J98" s="56" t="s">
        <v>994</v>
      </c>
      <c r="K98" s="60">
        <v>0</v>
      </c>
      <c r="L98" s="60">
        <v>0</v>
      </c>
      <c r="M98" s="56" t="s">
        <v>68</v>
      </c>
      <c r="N98" s="60">
        <v>0</v>
      </c>
      <c r="O98" s="60">
        <f t="shared" si="6"/>
        <v>0</v>
      </c>
      <c r="P98" s="60">
        <v>0</v>
      </c>
      <c r="Q98" s="56" t="s">
        <v>68</v>
      </c>
      <c r="R98" s="60">
        <v>0</v>
      </c>
      <c r="S98" s="60">
        <f t="shared" si="7"/>
        <v>0</v>
      </c>
      <c r="T98" s="56" t="s">
        <v>68</v>
      </c>
      <c r="U98" s="60">
        <v>0</v>
      </c>
      <c r="V98" s="56" t="s">
        <v>68</v>
      </c>
      <c r="W98" s="60">
        <v>0</v>
      </c>
      <c r="X98" s="56" t="s">
        <v>68</v>
      </c>
      <c r="Y98" s="60">
        <v>0</v>
      </c>
      <c r="Z98" s="56" t="s">
        <v>68</v>
      </c>
      <c r="AA98" s="60">
        <v>0</v>
      </c>
      <c r="AB98" s="60">
        <f t="shared" si="8"/>
        <v>0</v>
      </c>
      <c r="AC98" s="62"/>
      <c r="AD98" s="60">
        <v>0</v>
      </c>
      <c r="AE98" s="56" t="s">
        <v>995</v>
      </c>
      <c r="AF98" s="60">
        <v>0</v>
      </c>
      <c r="AG98" s="56" t="s">
        <v>68</v>
      </c>
      <c r="AH98" s="58" t="s">
        <v>996</v>
      </c>
    </row>
    <row r="99" spans="1:34" ht="45" customHeight="1">
      <c r="A99" s="50" t="s">
        <v>335</v>
      </c>
      <c r="B99" s="60">
        <v>95</v>
      </c>
      <c r="C99" s="60">
        <v>24</v>
      </c>
      <c r="D99" s="56" t="s">
        <v>390</v>
      </c>
      <c r="E99" s="56" t="s">
        <v>1105</v>
      </c>
      <c r="F99" s="51" t="s">
        <v>1001</v>
      </c>
      <c r="G99" s="51" t="s">
        <v>999</v>
      </c>
      <c r="H99" s="56" t="s">
        <v>1051</v>
      </c>
      <c r="I99" s="51" t="s">
        <v>1022</v>
      </c>
      <c r="J99" s="56" t="s">
        <v>1052</v>
      </c>
      <c r="K99" s="60">
        <v>1100</v>
      </c>
      <c r="L99" s="60">
        <v>72</v>
      </c>
      <c r="M99" s="56" t="s">
        <v>1005</v>
      </c>
      <c r="N99" s="60">
        <v>9</v>
      </c>
      <c r="O99" s="60">
        <f t="shared" si="6"/>
        <v>81</v>
      </c>
      <c r="P99" s="60">
        <v>46</v>
      </c>
      <c r="Q99" s="56" t="s">
        <v>1006</v>
      </c>
      <c r="R99" s="60">
        <v>8</v>
      </c>
      <c r="S99" s="60">
        <f t="shared" si="7"/>
        <v>54</v>
      </c>
      <c r="T99" s="56" t="s">
        <v>1075</v>
      </c>
      <c r="U99" s="60">
        <v>40</v>
      </c>
      <c r="V99" s="56" t="s">
        <v>1076</v>
      </c>
      <c r="W99" s="60">
        <v>35</v>
      </c>
      <c r="X99" s="56" t="s">
        <v>1077</v>
      </c>
      <c r="Y99" s="60">
        <v>25</v>
      </c>
      <c r="Z99" s="56" t="s">
        <v>68</v>
      </c>
      <c r="AA99" s="60">
        <v>0</v>
      </c>
      <c r="AB99" s="60">
        <f t="shared" si="8"/>
        <v>100</v>
      </c>
      <c r="AC99" s="62">
        <v>2.0833333333333333E-3</v>
      </c>
      <c r="AD99" s="60">
        <v>1</v>
      </c>
      <c r="AE99" s="56" t="s">
        <v>237</v>
      </c>
      <c r="AF99" s="60">
        <v>520</v>
      </c>
      <c r="AG99" s="56" t="s">
        <v>68</v>
      </c>
      <c r="AH99" s="58" t="s">
        <v>1106</v>
      </c>
    </row>
    <row r="100" spans="1:34" ht="45" customHeight="1">
      <c r="A100" s="50" t="s">
        <v>335</v>
      </c>
      <c r="B100" s="60">
        <v>96</v>
      </c>
      <c r="C100" s="60">
        <v>24</v>
      </c>
      <c r="D100" s="56" t="s">
        <v>391</v>
      </c>
      <c r="E100" s="56" t="s">
        <v>1105</v>
      </c>
      <c r="F100" s="51" t="s">
        <v>1001</v>
      </c>
      <c r="G100" s="51" t="s">
        <v>999</v>
      </c>
      <c r="H100" s="56" t="s">
        <v>1051</v>
      </c>
      <c r="I100" s="51" t="s">
        <v>1022</v>
      </c>
      <c r="J100" s="56" t="s">
        <v>1052</v>
      </c>
      <c r="K100" s="60">
        <v>1100</v>
      </c>
      <c r="L100" s="60">
        <v>72</v>
      </c>
      <c r="M100" s="56" t="s">
        <v>1005</v>
      </c>
      <c r="N100" s="60">
        <v>9</v>
      </c>
      <c r="O100" s="60">
        <f t="shared" si="6"/>
        <v>81</v>
      </c>
      <c r="P100" s="60">
        <v>46</v>
      </c>
      <c r="Q100" s="56" t="s">
        <v>1006</v>
      </c>
      <c r="R100" s="60">
        <v>8</v>
      </c>
      <c r="S100" s="60">
        <f t="shared" si="7"/>
        <v>54</v>
      </c>
      <c r="T100" s="56" t="s">
        <v>1075</v>
      </c>
      <c r="U100" s="60">
        <v>40</v>
      </c>
      <c r="V100" s="56" t="s">
        <v>1076</v>
      </c>
      <c r="W100" s="60">
        <v>35</v>
      </c>
      <c r="X100" s="56" t="s">
        <v>1077</v>
      </c>
      <c r="Y100" s="60">
        <v>25</v>
      </c>
      <c r="Z100" s="56" t="s">
        <v>68</v>
      </c>
      <c r="AA100" s="60">
        <v>0</v>
      </c>
      <c r="AB100" s="60">
        <f t="shared" si="8"/>
        <v>100</v>
      </c>
      <c r="AC100" s="62">
        <v>2.0833333333333333E-3</v>
      </c>
      <c r="AD100" s="60">
        <v>2</v>
      </c>
      <c r="AE100" s="56" t="s">
        <v>237</v>
      </c>
      <c r="AF100" s="60">
        <v>520</v>
      </c>
      <c r="AG100" s="56" t="s">
        <v>68</v>
      </c>
      <c r="AH100" s="58" t="s">
        <v>1106</v>
      </c>
    </row>
    <row r="101" spans="1:34" ht="45" customHeight="1">
      <c r="A101" s="50" t="s">
        <v>335</v>
      </c>
      <c r="B101" s="60">
        <v>97</v>
      </c>
      <c r="C101" s="60">
        <v>24</v>
      </c>
      <c r="D101" s="56" t="s">
        <v>392</v>
      </c>
      <c r="E101" s="56" t="s">
        <v>392</v>
      </c>
      <c r="F101" s="51" t="s">
        <v>1001</v>
      </c>
      <c r="G101" s="51" t="s">
        <v>999</v>
      </c>
      <c r="H101" s="56" t="s">
        <v>1080</v>
      </c>
      <c r="I101" s="51" t="s">
        <v>1022</v>
      </c>
      <c r="J101" s="56" t="s">
        <v>1081</v>
      </c>
      <c r="K101" s="60">
        <v>1100</v>
      </c>
      <c r="L101" s="60">
        <v>72</v>
      </c>
      <c r="M101" s="56" t="s">
        <v>1005</v>
      </c>
      <c r="N101" s="60">
        <v>9</v>
      </c>
      <c r="O101" s="60">
        <f t="shared" ref="O101:O132" si="9">L101+N101</f>
        <v>81</v>
      </c>
      <c r="P101" s="60">
        <v>46</v>
      </c>
      <c r="Q101" s="56" t="s">
        <v>1006</v>
      </c>
      <c r="R101" s="60">
        <v>8</v>
      </c>
      <c r="S101" s="60">
        <f t="shared" ref="S101:S132" si="10">P101+R101</f>
        <v>54</v>
      </c>
      <c r="T101" s="56" t="s">
        <v>1075</v>
      </c>
      <c r="U101" s="60">
        <v>40</v>
      </c>
      <c r="V101" s="56" t="s">
        <v>1076</v>
      </c>
      <c r="W101" s="60">
        <v>35</v>
      </c>
      <c r="X101" s="56" t="s">
        <v>1077</v>
      </c>
      <c r="Y101" s="60">
        <v>25</v>
      </c>
      <c r="Z101" s="56" t="s">
        <v>68</v>
      </c>
      <c r="AA101" s="60">
        <v>0</v>
      </c>
      <c r="AB101" s="60">
        <f t="shared" ref="AB101:AB132" si="11">SUM(U101,W101,Y101,AA101)</f>
        <v>100</v>
      </c>
      <c r="AC101" s="62">
        <v>1.2152777777777778E-3</v>
      </c>
      <c r="AD101" s="60">
        <v>1</v>
      </c>
      <c r="AE101" s="56" t="s">
        <v>97</v>
      </c>
      <c r="AF101" s="60">
        <v>416</v>
      </c>
      <c r="AG101" s="56" t="s">
        <v>68</v>
      </c>
      <c r="AH101" s="58" t="s">
        <v>1106</v>
      </c>
    </row>
    <row r="102" spans="1:34" ht="45" customHeight="1">
      <c r="A102" s="50" t="s">
        <v>335</v>
      </c>
      <c r="B102" s="60">
        <v>98</v>
      </c>
      <c r="C102" s="60">
        <v>24</v>
      </c>
      <c r="D102" s="56" t="s">
        <v>393</v>
      </c>
      <c r="E102" s="56" t="s">
        <v>1107</v>
      </c>
      <c r="F102" s="51" t="s">
        <v>1001</v>
      </c>
      <c r="G102" s="51" t="s">
        <v>1016</v>
      </c>
      <c r="H102" s="56" t="s">
        <v>1108</v>
      </c>
      <c r="I102" s="51" t="s">
        <v>1022</v>
      </c>
      <c r="J102" s="56" t="s">
        <v>1032</v>
      </c>
      <c r="K102" s="60">
        <v>6500</v>
      </c>
      <c r="L102" s="60">
        <v>165</v>
      </c>
      <c r="M102" s="56" t="s">
        <v>1005</v>
      </c>
      <c r="N102" s="60">
        <v>18</v>
      </c>
      <c r="O102" s="60">
        <f t="shared" si="9"/>
        <v>183</v>
      </c>
      <c r="P102" s="60">
        <v>102</v>
      </c>
      <c r="Q102" s="56" t="s">
        <v>1006</v>
      </c>
      <c r="R102" s="60">
        <v>16</v>
      </c>
      <c r="S102" s="60">
        <f t="shared" si="10"/>
        <v>118</v>
      </c>
      <c r="T102" s="56" t="s">
        <v>1109</v>
      </c>
      <c r="U102" s="60">
        <v>30</v>
      </c>
      <c r="V102" s="56" t="s">
        <v>1110</v>
      </c>
      <c r="W102" s="60">
        <v>25</v>
      </c>
      <c r="X102" s="56" t="s">
        <v>1111</v>
      </c>
      <c r="Y102" s="60">
        <v>25</v>
      </c>
      <c r="Z102" s="56" t="s">
        <v>1112</v>
      </c>
      <c r="AA102" s="60">
        <v>20</v>
      </c>
      <c r="AB102" s="60">
        <f t="shared" si="11"/>
        <v>100</v>
      </c>
      <c r="AC102" s="62">
        <v>7.8125E-3</v>
      </c>
      <c r="AD102" s="60">
        <v>1</v>
      </c>
      <c r="AE102" s="56" t="s">
        <v>399</v>
      </c>
      <c r="AF102" s="60">
        <v>4156</v>
      </c>
      <c r="AG102" s="56" t="s">
        <v>907</v>
      </c>
      <c r="AH102" s="58" t="s">
        <v>1106</v>
      </c>
    </row>
    <row r="103" spans="1:34" ht="45" customHeight="1">
      <c r="A103" s="50" t="s">
        <v>335</v>
      </c>
      <c r="B103" s="60">
        <v>99</v>
      </c>
      <c r="C103" s="60">
        <v>25</v>
      </c>
      <c r="D103" s="56" t="s">
        <v>401</v>
      </c>
      <c r="E103" s="56" t="s">
        <v>1107</v>
      </c>
      <c r="F103" s="51" t="s">
        <v>1001</v>
      </c>
      <c r="G103" s="51" t="s">
        <v>1016</v>
      </c>
      <c r="H103" s="56" t="s">
        <v>1113</v>
      </c>
      <c r="I103" s="51" t="s">
        <v>1022</v>
      </c>
      <c r="J103" s="56" t="s">
        <v>1032</v>
      </c>
      <c r="K103" s="60">
        <v>7200</v>
      </c>
      <c r="L103" s="60">
        <v>170</v>
      </c>
      <c r="M103" s="56" t="s">
        <v>1005</v>
      </c>
      <c r="N103" s="60">
        <v>18</v>
      </c>
      <c r="O103" s="60">
        <f t="shared" si="9"/>
        <v>188</v>
      </c>
      <c r="P103" s="60">
        <v>105</v>
      </c>
      <c r="Q103" s="56" t="s">
        <v>1006</v>
      </c>
      <c r="R103" s="60">
        <v>16</v>
      </c>
      <c r="S103" s="60">
        <f t="shared" si="10"/>
        <v>121</v>
      </c>
      <c r="T103" s="56" t="s">
        <v>691</v>
      </c>
      <c r="U103" s="60">
        <v>30</v>
      </c>
      <c r="V103" s="56" t="s">
        <v>1114</v>
      </c>
      <c r="W103" s="60">
        <v>25</v>
      </c>
      <c r="X103" s="56" t="s">
        <v>1115</v>
      </c>
      <c r="Y103" s="60">
        <v>20</v>
      </c>
      <c r="Z103" s="56" t="s">
        <v>1116</v>
      </c>
      <c r="AA103" s="60">
        <v>25</v>
      </c>
      <c r="AB103" s="60">
        <f t="shared" si="11"/>
        <v>100</v>
      </c>
      <c r="AC103" s="62">
        <v>7.8125E-3</v>
      </c>
      <c r="AD103" s="60">
        <v>1</v>
      </c>
      <c r="AE103" s="56" t="s">
        <v>407</v>
      </c>
      <c r="AF103" s="60">
        <v>4475</v>
      </c>
      <c r="AG103" s="56" t="s">
        <v>919</v>
      </c>
      <c r="AH103" s="58" t="s">
        <v>1117</v>
      </c>
    </row>
    <row r="104" spans="1:34" ht="45" customHeight="1">
      <c r="A104" s="50" t="s">
        <v>335</v>
      </c>
      <c r="B104" s="60">
        <v>100</v>
      </c>
      <c r="C104" s="60">
        <v>25</v>
      </c>
      <c r="D104" s="56" t="s">
        <v>409</v>
      </c>
      <c r="E104" s="56" t="s">
        <v>1017</v>
      </c>
      <c r="F104" s="51" t="s">
        <v>1001</v>
      </c>
      <c r="G104" s="51" t="s">
        <v>999</v>
      </c>
      <c r="H104" s="56" t="s">
        <v>1080</v>
      </c>
      <c r="I104" s="51" t="s">
        <v>1022</v>
      </c>
      <c r="J104" s="56" t="s">
        <v>1081</v>
      </c>
      <c r="K104" s="60">
        <v>1135</v>
      </c>
      <c r="L104" s="60">
        <v>74</v>
      </c>
      <c r="M104" s="56" t="s">
        <v>1005</v>
      </c>
      <c r="N104" s="60">
        <v>10</v>
      </c>
      <c r="O104" s="60">
        <f t="shared" si="9"/>
        <v>84</v>
      </c>
      <c r="P104" s="60">
        <v>48</v>
      </c>
      <c r="Q104" s="56" t="s">
        <v>1006</v>
      </c>
      <c r="R104" s="60">
        <v>8</v>
      </c>
      <c r="S104" s="60">
        <f t="shared" si="10"/>
        <v>56</v>
      </c>
      <c r="T104" s="56" t="s">
        <v>1075</v>
      </c>
      <c r="U104" s="60">
        <v>40</v>
      </c>
      <c r="V104" s="56" t="s">
        <v>1076</v>
      </c>
      <c r="W104" s="60">
        <v>35</v>
      </c>
      <c r="X104" s="56" t="s">
        <v>1077</v>
      </c>
      <c r="Y104" s="60">
        <v>25</v>
      </c>
      <c r="Z104" s="56" t="s">
        <v>68</v>
      </c>
      <c r="AA104" s="60">
        <v>0</v>
      </c>
      <c r="AB104" s="60">
        <f t="shared" si="11"/>
        <v>100</v>
      </c>
      <c r="AC104" s="62">
        <v>1.0416666666666667E-3</v>
      </c>
      <c r="AD104" s="60">
        <v>1</v>
      </c>
      <c r="AE104" s="56" t="s">
        <v>97</v>
      </c>
      <c r="AF104" s="60">
        <v>448</v>
      </c>
      <c r="AG104" s="56" t="s">
        <v>68</v>
      </c>
      <c r="AH104" s="58" t="s">
        <v>1117</v>
      </c>
    </row>
    <row r="105" spans="1:34" ht="45" customHeight="1">
      <c r="A105" s="50" t="s">
        <v>419</v>
      </c>
      <c r="B105" s="60">
        <v>101</v>
      </c>
      <c r="C105" s="60">
        <v>25</v>
      </c>
      <c r="D105" s="56" t="s">
        <v>420</v>
      </c>
      <c r="E105" s="56" t="s">
        <v>1017</v>
      </c>
      <c r="F105" s="51" t="s">
        <v>1001</v>
      </c>
      <c r="G105" s="51" t="s">
        <v>999</v>
      </c>
      <c r="H105" s="56" t="s">
        <v>1080</v>
      </c>
      <c r="I105" s="51" t="s">
        <v>1022</v>
      </c>
      <c r="J105" s="56" t="s">
        <v>1081</v>
      </c>
      <c r="K105" s="60">
        <v>1135</v>
      </c>
      <c r="L105" s="60">
        <v>74</v>
      </c>
      <c r="M105" s="56" t="s">
        <v>1005</v>
      </c>
      <c r="N105" s="60">
        <v>10</v>
      </c>
      <c r="O105" s="60">
        <f t="shared" si="9"/>
        <v>84</v>
      </c>
      <c r="P105" s="60">
        <v>48</v>
      </c>
      <c r="Q105" s="56" t="s">
        <v>1006</v>
      </c>
      <c r="R105" s="60">
        <v>8</v>
      </c>
      <c r="S105" s="60">
        <f t="shared" si="10"/>
        <v>56</v>
      </c>
      <c r="T105" s="56" t="s">
        <v>1075</v>
      </c>
      <c r="U105" s="60">
        <v>40</v>
      </c>
      <c r="V105" s="56" t="s">
        <v>1076</v>
      </c>
      <c r="W105" s="60">
        <v>35</v>
      </c>
      <c r="X105" s="56" t="s">
        <v>1077</v>
      </c>
      <c r="Y105" s="60">
        <v>25</v>
      </c>
      <c r="Z105" s="56" t="s">
        <v>68</v>
      </c>
      <c r="AA105" s="60">
        <v>0</v>
      </c>
      <c r="AB105" s="60">
        <f t="shared" si="11"/>
        <v>100</v>
      </c>
      <c r="AC105" s="62">
        <v>1.273148148148148E-3</v>
      </c>
      <c r="AD105" s="60">
        <v>1</v>
      </c>
      <c r="AE105" s="56" t="s">
        <v>97</v>
      </c>
      <c r="AF105" s="60">
        <v>448</v>
      </c>
      <c r="AG105" s="56" t="s">
        <v>68</v>
      </c>
      <c r="AH105" s="58" t="s">
        <v>1118</v>
      </c>
    </row>
    <row r="106" spans="1:34" ht="45" customHeight="1">
      <c r="A106" s="50" t="s">
        <v>419</v>
      </c>
      <c r="B106" s="60">
        <v>102</v>
      </c>
      <c r="C106" s="60">
        <v>25</v>
      </c>
      <c r="D106" s="56" t="s">
        <v>424</v>
      </c>
      <c r="E106" s="56" t="s">
        <v>1017</v>
      </c>
      <c r="F106" s="51" t="s">
        <v>1001</v>
      </c>
      <c r="G106" s="51" t="s">
        <v>999</v>
      </c>
      <c r="H106" s="56" t="s">
        <v>1080</v>
      </c>
      <c r="I106" s="51" t="s">
        <v>1022</v>
      </c>
      <c r="J106" s="56" t="s">
        <v>1081</v>
      </c>
      <c r="K106" s="60">
        <v>1135</v>
      </c>
      <c r="L106" s="60">
        <v>74</v>
      </c>
      <c r="M106" s="56" t="s">
        <v>1005</v>
      </c>
      <c r="N106" s="60">
        <v>10</v>
      </c>
      <c r="O106" s="60">
        <f t="shared" si="9"/>
        <v>84</v>
      </c>
      <c r="P106" s="60">
        <v>48</v>
      </c>
      <c r="Q106" s="56" t="s">
        <v>1006</v>
      </c>
      <c r="R106" s="60">
        <v>8</v>
      </c>
      <c r="S106" s="60">
        <f t="shared" si="10"/>
        <v>56</v>
      </c>
      <c r="T106" s="56" t="s">
        <v>1075</v>
      </c>
      <c r="U106" s="60">
        <v>40</v>
      </c>
      <c r="V106" s="56" t="s">
        <v>1076</v>
      </c>
      <c r="W106" s="60">
        <v>35</v>
      </c>
      <c r="X106" s="56" t="s">
        <v>1077</v>
      </c>
      <c r="Y106" s="60">
        <v>25</v>
      </c>
      <c r="Z106" s="56" t="s">
        <v>68</v>
      </c>
      <c r="AA106" s="60">
        <v>0</v>
      </c>
      <c r="AB106" s="60">
        <f t="shared" si="11"/>
        <v>100</v>
      </c>
      <c r="AC106" s="62">
        <v>9.8379629629629642E-4</v>
      </c>
      <c r="AD106" s="60">
        <v>1</v>
      </c>
      <c r="AE106" s="56" t="s">
        <v>97</v>
      </c>
      <c r="AF106" s="60">
        <v>448</v>
      </c>
      <c r="AG106" s="56" t="s">
        <v>68</v>
      </c>
      <c r="AH106" s="58" t="s">
        <v>1118</v>
      </c>
    </row>
    <row r="107" spans="1:34" ht="45" customHeight="1">
      <c r="A107" s="50" t="s">
        <v>419</v>
      </c>
      <c r="B107" s="60">
        <v>103</v>
      </c>
      <c r="C107" s="60">
        <v>26</v>
      </c>
      <c r="D107" s="56" t="s">
        <v>425</v>
      </c>
      <c r="E107" s="56" t="s">
        <v>1017</v>
      </c>
      <c r="F107" s="51" t="s">
        <v>1001</v>
      </c>
      <c r="G107" s="51" t="s">
        <v>999</v>
      </c>
      <c r="H107" s="56" t="s">
        <v>1080</v>
      </c>
      <c r="I107" s="51" t="s">
        <v>1022</v>
      </c>
      <c r="J107" s="56" t="s">
        <v>1081</v>
      </c>
      <c r="K107" s="60">
        <v>1170</v>
      </c>
      <c r="L107" s="60">
        <v>76</v>
      </c>
      <c r="M107" s="56" t="s">
        <v>1005</v>
      </c>
      <c r="N107" s="60">
        <v>10</v>
      </c>
      <c r="O107" s="60">
        <f t="shared" si="9"/>
        <v>86</v>
      </c>
      <c r="P107" s="60">
        <v>49</v>
      </c>
      <c r="Q107" s="56" t="s">
        <v>1006</v>
      </c>
      <c r="R107" s="60">
        <v>8</v>
      </c>
      <c r="S107" s="60">
        <f t="shared" si="10"/>
        <v>57</v>
      </c>
      <c r="T107" s="56" t="s">
        <v>1075</v>
      </c>
      <c r="U107" s="60">
        <v>40</v>
      </c>
      <c r="V107" s="56" t="s">
        <v>1076</v>
      </c>
      <c r="W107" s="60">
        <v>35</v>
      </c>
      <c r="X107" s="56" t="s">
        <v>1077</v>
      </c>
      <c r="Y107" s="60">
        <v>25</v>
      </c>
      <c r="Z107" s="56" t="s">
        <v>68</v>
      </c>
      <c r="AA107" s="60">
        <v>0</v>
      </c>
      <c r="AB107" s="60">
        <f t="shared" si="11"/>
        <v>100</v>
      </c>
      <c r="AC107" s="62">
        <v>9.2592592592592585E-4</v>
      </c>
      <c r="AD107" s="60">
        <v>3</v>
      </c>
      <c r="AE107" s="56" t="s">
        <v>97</v>
      </c>
      <c r="AF107" s="60">
        <v>481</v>
      </c>
      <c r="AG107" s="56" t="s">
        <v>68</v>
      </c>
      <c r="AH107" s="58" t="s">
        <v>1119</v>
      </c>
    </row>
    <row r="108" spans="1:34" ht="45" customHeight="1">
      <c r="A108" s="50" t="s">
        <v>419</v>
      </c>
      <c r="B108" s="60">
        <v>104</v>
      </c>
      <c r="C108" s="60">
        <v>26</v>
      </c>
      <c r="D108" s="56" t="s">
        <v>426</v>
      </c>
      <c r="E108" s="56" t="s">
        <v>1017</v>
      </c>
      <c r="F108" s="51" t="s">
        <v>1001</v>
      </c>
      <c r="G108" s="51" t="s">
        <v>999</v>
      </c>
      <c r="H108" s="56" t="s">
        <v>1080</v>
      </c>
      <c r="I108" s="51" t="s">
        <v>1022</v>
      </c>
      <c r="J108" s="56" t="s">
        <v>1081</v>
      </c>
      <c r="K108" s="60">
        <v>1170</v>
      </c>
      <c r="L108" s="60">
        <v>76</v>
      </c>
      <c r="M108" s="56" t="s">
        <v>1005</v>
      </c>
      <c r="N108" s="60">
        <v>10</v>
      </c>
      <c r="O108" s="60">
        <f t="shared" si="9"/>
        <v>86</v>
      </c>
      <c r="P108" s="60">
        <v>49</v>
      </c>
      <c r="Q108" s="56" t="s">
        <v>1006</v>
      </c>
      <c r="R108" s="60">
        <v>8</v>
      </c>
      <c r="S108" s="60">
        <f t="shared" si="10"/>
        <v>57</v>
      </c>
      <c r="T108" s="56" t="s">
        <v>1075</v>
      </c>
      <c r="U108" s="60">
        <v>40</v>
      </c>
      <c r="V108" s="56" t="s">
        <v>1076</v>
      </c>
      <c r="W108" s="60">
        <v>35</v>
      </c>
      <c r="X108" s="56" t="s">
        <v>1077</v>
      </c>
      <c r="Y108" s="60">
        <v>25</v>
      </c>
      <c r="Z108" s="56" t="s">
        <v>68</v>
      </c>
      <c r="AA108" s="60">
        <v>0</v>
      </c>
      <c r="AB108" s="60">
        <f t="shared" si="11"/>
        <v>100</v>
      </c>
      <c r="AC108" s="62">
        <v>1.7939814814814817E-3</v>
      </c>
      <c r="AD108" s="60">
        <v>4</v>
      </c>
      <c r="AE108" s="56" t="s">
        <v>97</v>
      </c>
      <c r="AF108" s="60">
        <v>601</v>
      </c>
      <c r="AG108" s="56" t="s">
        <v>68</v>
      </c>
      <c r="AH108" s="58" t="s">
        <v>1119</v>
      </c>
    </row>
    <row r="109" spans="1:34" ht="45" customHeight="1">
      <c r="A109" s="50" t="s">
        <v>419</v>
      </c>
      <c r="B109" s="60">
        <v>105</v>
      </c>
      <c r="C109" s="60">
        <v>26</v>
      </c>
      <c r="D109" s="56" t="s">
        <v>428</v>
      </c>
      <c r="E109" s="56" t="s">
        <v>1120</v>
      </c>
      <c r="F109" s="51" t="s">
        <v>1001</v>
      </c>
      <c r="G109" s="51" t="s">
        <v>999</v>
      </c>
      <c r="H109" s="56" t="s">
        <v>1051</v>
      </c>
      <c r="I109" s="51" t="s">
        <v>1022</v>
      </c>
      <c r="J109" s="56" t="s">
        <v>1052</v>
      </c>
      <c r="K109" s="60">
        <v>1170</v>
      </c>
      <c r="L109" s="60">
        <v>76</v>
      </c>
      <c r="M109" s="56" t="s">
        <v>1005</v>
      </c>
      <c r="N109" s="60">
        <v>10</v>
      </c>
      <c r="O109" s="60">
        <f t="shared" si="9"/>
        <v>86</v>
      </c>
      <c r="P109" s="60">
        <v>49</v>
      </c>
      <c r="Q109" s="56" t="s">
        <v>1006</v>
      </c>
      <c r="R109" s="60">
        <v>8</v>
      </c>
      <c r="S109" s="60">
        <f t="shared" si="10"/>
        <v>57</v>
      </c>
      <c r="T109" s="56" t="s">
        <v>1075</v>
      </c>
      <c r="U109" s="60">
        <v>40</v>
      </c>
      <c r="V109" s="56" t="s">
        <v>1076</v>
      </c>
      <c r="W109" s="60">
        <v>35</v>
      </c>
      <c r="X109" s="56" t="s">
        <v>1077</v>
      </c>
      <c r="Y109" s="60">
        <v>25</v>
      </c>
      <c r="Z109" s="56" t="s">
        <v>68</v>
      </c>
      <c r="AA109" s="60">
        <v>0</v>
      </c>
      <c r="AB109" s="60">
        <f t="shared" si="11"/>
        <v>100</v>
      </c>
      <c r="AC109" s="62">
        <v>2.2569444444444442E-3</v>
      </c>
      <c r="AD109" s="60">
        <v>4</v>
      </c>
      <c r="AE109" s="56" t="s">
        <v>237</v>
      </c>
      <c r="AF109" s="60">
        <v>687</v>
      </c>
      <c r="AG109" s="56" t="s">
        <v>68</v>
      </c>
      <c r="AH109" s="58" t="s">
        <v>1119</v>
      </c>
    </row>
    <row r="110" spans="1:34" ht="45" customHeight="1">
      <c r="A110" s="50" t="s">
        <v>419</v>
      </c>
      <c r="B110" s="60">
        <v>106</v>
      </c>
      <c r="C110" s="60">
        <v>26</v>
      </c>
      <c r="D110" s="56" t="s">
        <v>430</v>
      </c>
      <c r="E110" s="56" t="s">
        <v>1121</v>
      </c>
      <c r="F110" s="51" t="s">
        <v>1001</v>
      </c>
      <c r="G110" s="51" t="s">
        <v>1012</v>
      </c>
      <c r="H110" s="56" t="s">
        <v>1122</v>
      </c>
      <c r="I110" s="51" t="s">
        <v>1022</v>
      </c>
      <c r="J110" s="56" t="s">
        <v>1123</v>
      </c>
      <c r="K110" s="60">
        <v>3760</v>
      </c>
      <c r="L110" s="60">
        <v>139</v>
      </c>
      <c r="M110" s="56" t="s">
        <v>1005</v>
      </c>
      <c r="N110" s="60">
        <v>12</v>
      </c>
      <c r="O110" s="60">
        <f t="shared" si="9"/>
        <v>151</v>
      </c>
      <c r="P110" s="60">
        <v>103</v>
      </c>
      <c r="Q110" s="56" t="s">
        <v>1006</v>
      </c>
      <c r="R110" s="60">
        <v>10</v>
      </c>
      <c r="S110" s="60">
        <f t="shared" si="10"/>
        <v>113</v>
      </c>
      <c r="T110" s="56" t="s">
        <v>1124</v>
      </c>
      <c r="U110" s="60">
        <v>30</v>
      </c>
      <c r="V110" s="56" t="s">
        <v>1125</v>
      </c>
      <c r="W110" s="60">
        <v>25</v>
      </c>
      <c r="X110" s="56" t="s">
        <v>1126</v>
      </c>
      <c r="Y110" s="60">
        <v>25</v>
      </c>
      <c r="Z110" s="56" t="s">
        <v>1127</v>
      </c>
      <c r="AA110" s="60">
        <v>20</v>
      </c>
      <c r="AB110" s="60">
        <f t="shared" si="11"/>
        <v>100</v>
      </c>
      <c r="AC110" s="62">
        <v>4.8611111111111112E-3</v>
      </c>
      <c r="AD110" s="60">
        <v>1</v>
      </c>
      <c r="AE110" s="56" t="s">
        <v>436</v>
      </c>
      <c r="AF110" s="60">
        <v>1602</v>
      </c>
      <c r="AG110" s="56" t="s">
        <v>936</v>
      </c>
      <c r="AH110" s="58" t="s">
        <v>1119</v>
      </c>
    </row>
    <row r="111" spans="1:34" ht="45" customHeight="1">
      <c r="A111" s="50" t="s">
        <v>419</v>
      </c>
      <c r="B111" s="60">
        <v>107</v>
      </c>
      <c r="C111" s="60">
        <v>27</v>
      </c>
      <c r="D111" s="56" t="s">
        <v>441</v>
      </c>
      <c r="E111" s="56" t="s">
        <v>993</v>
      </c>
      <c r="F111" s="51" t="s">
        <v>68</v>
      </c>
      <c r="G111" s="51" t="s">
        <v>992</v>
      </c>
      <c r="H111" s="56" t="s">
        <v>68</v>
      </c>
      <c r="I111" s="51" t="s">
        <v>68</v>
      </c>
      <c r="J111" s="56" t="s">
        <v>994</v>
      </c>
      <c r="K111" s="60">
        <v>0</v>
      </c>
      <c r="L111" s="60">
        <v>0</v>
      </c>
      <c r="M111" s="56" t="s">
        <v>68</v>
      </c>
      <c r="N111" s="60">
        <v>0</v>
      </c>
      <c r="O111" s="60">
        <f t="shared" si="9"/>
        <v>0</v>
      </c>
      <c r="P111" s="60">
        <v>0</v>
      </c>
      <c r="Q111" s="56" t="s">
        <v>68</v>
      </c>
      <c r="R111" s="60">
        <v>0</v>
      </c>
      <c r="S111" s="60">
        <f t="shared" si="10"/>
        <v>0</v>
      </c>
      <c r="T111" s="56" t="s">
        <v>68</v>
      </c>
      <c r="U111" s="60">
        <v>0</v>
      </c>
      <c r="V111" s="56" t="s">
        <v>68</v>
      </c>
      <c r="W111" s="60">
        <v>0</v>
      </c>
      <c r="X111" s="56" t="s">
        <v>68</v>
      </c>
      <c r="Y111" s="60">
        <v>0</v>
      </c>
      <c r="Z111" s="56" t="s">
        <v>68</v>
      </c>
      <c r="AA111" s="60">
        <v>0</v>
      </c>
      <c r="AB111" s="60">
        <f t="shared" si="11"/>
        <v>0</v>
      </c>
      <c r="AC111" s="62"/>
      <c r="AD111" s="60">
        <v>0</v>
      </c>
      <c r="AE111" s="56" t="s">
        <v>995</v>
      </c>
      <c r="AF111" s="60">
        <v>0</v>
      </c>
      <c r="AG111" s="56" t="s">
        <v>68</v>
      </c>
      <c r="AH111" s="58" t="s">
        <v>996</v>
      </c>
    </row>
    <row r="112" spans="1:34" ht="45" customHeight="1">
      <c r="A112" s="50" t="s">
        <v>419</v>
      </c>
      <c r="B112" s="60">
        <v>108</v>
      </c>
      <c r="C112" s="60">
        <v>27</v>
      </c>
      <c r="D112" s="56" t="s">
        <v>445</v>
      </c>
      <c r="E112" s="56" t="s">
        <v>993</v>
      </c>
      <c r="F112" s="51" t="s">
        <v>68</v>
      </c>
      <c r="G112" s="51" t="s">
        <v>992</v>
      </c>
      <c r="H112" s="56" t="s">
        <v>68</v>
      </c>
      <c r="I112" s="51" t="s">
        <v>68</v>
      </c>
      <c r="J112" s="56" t="s">
        <v>994</v>
      </c>
      <c r="K112" s="60">
        <v>0</v>
      </c>
      <c r="L112" s="60">
        <v>0</v>
      </c>
      <c r="M112" s="56" t="s">
        <v>68</v>
      </c>
      <c r="N112" s="60">
        <v>0</v>
      </c>
      <c r="O112" s="60">
        <f t="shared" si="9"/>
        <v>0</v>
      </c>
      <c r="P112" s="60">
        <v>0</v>
      </c>
      <c r="Q112" s="56" t="s">
        <v>68</v>
      </c>
      <c r="R112" s="60">
        <v>0</v>
      </c>
      <c r="S112" s="60">
        <f t="shared" si="10"/>
        <v>0</v>
      </c>
      <c r="T112" s="56" t="s">
        <v>68</v>
      </c>
      <c r="U112" s="60">
        <v>0</v>
      </c>
      <c r="V112" s="56" t="s">
        <v>68</v>
      </c>
      <c r="W112" s="60">
        <v>0</v>
      </c>
      <c r="X112" s="56" t="s">
        <v>68</v>
      </c>
      <c r="Y112" s="60">
        <v>0</v>
      </c>
      <c r="Z112" s="56" t="s">
        <v>68</v>
      </c>
      <c r="AA112" s="60">
        <v>0</v>
      </c>
      <c r="AB112" s="60">
        <f t="shared" si="11"/>
        <v>0</v>
      </c>
      <c r="AC112" s="62"/>
      <c r="AD112" s="60">
        <v>0</v>
      </c>
      <c r="AE112" s="56" t="s">
        <v>995</v>
      </c>
      <c r="AF112" s="60">
        <v>0</v>
      </c>
      <c r="AG112" s="56" t="s">
        <v>68</v>
      </c>
      <c r="AH112" s="58" t="s">
        <v>996</v>
      </c>
    </row>
    <row r="113" spans="1:34" ht="45" customHeight="1">
      <c r="A113" s="50" t="s">
        <v>419</v>
      </c>
      <c r="B113" s="60">
        <v>109</v>
      </c>
      <c r="C113" s="60">
        <v>27</v>
      </c>
      <c r="D113" s="56" t="s">
        <v>446</v>
      </c>
      <c r="E113" s="56" t="s">
        <v>1128</v>
      </c>
      <c r="F113" s="51" t="s">
        <v>1001</v>
      </c>
      <c r="G113" s="51" t="s">
        <v>999</v>
      </c>
      <c r="H113" s="56" t="s">
        <v>1080</v>
      </c>
      <c r="I113" s="51" t="s">
        <v>1022</v>
      </c>
      <c r="J113" s="56" t="s">
        <v>1081</v>
      </c>
      <c r="K113" s="60">
        <v>1205</v>
      </c>
      <c r="L113" s="60">
        <v>79</v>
      </c>
      <c r="M113" s="56" t="s">
        <v>1005</v>
      </c>
      <c r="N113" s="60">
        <v>10</v>
      </c>
      <c r="O113" s="60">
        <f t="shared" si="9"/>
        <v>89</v>
      </c>
      <c r="P113" s="60">
        <v>50</v>
      </c>
      <c r="Q113" s="56" t="s">
        <v>1006</v>
      </c>
      <c r="R113" s="60">
        <v>8</v>
      </c>
      <c r="S113" s="60">
        <f t="shared" si="10"/>
        <v>58</v>
      </c>
      <c r="T113" s="56" t="s">
        <v>1075</v>
      </c>
      <c r="U113" s="60">
        <v>40</v>
      </c>
      <c r="V113" s="56" t="s">
        <v>1076</v>
      </c>
      <c r="W113" s="60">
        <v>35</v>
      </c>
      <c r="X113" s="56" t="s">
        <v>1077</v>
      </c>
      <c r="Y113" s="60">
        <v>25</v>
      </c>
      <c r="Z113" s="56" t="s">
        <v>68</v>
      </c>
      <c r="AA113" s="60">
        <v>0</v>
      </c>
      <c r="AB113" s="60">
        <f t="shared" si="11"/>
        <v>100</v>
      </c>
      <c r="AC113" s="62">
        <v>1.7939814814814817E-3</v>
      </c>
      <c r="AD113" s="60">
        <v>4</v>
      </c>
      <c r="AE113" s="56" t="s">
        <v>97</v>
      </c>
      <c r="AF113" s="60">
        <v>644</v>
      </c>
      <c r="AG113" s="56" t="s">
        <v>68</v>
      </c>
      <c r="AH113" s="58" t="s">
        <v>1129</v>
      </c>
    </row>
    <row r="114" spans="1:34" ht="45" customHeight="1">
      <c r="A114" s="50" t="s">
        <v>419</v>
      </c>
      <c r="B114" s="60">
        <v>110</v>
      </c>
      <c r="C114" s="60">
        <v>27</v>
      </c>
      <c r="D114" s="56" t="s">
        <v>447</v>
      </c>
      <c r="E114" s="56" t="s">
        <v>1017</v>
      </c>
      <c r="F114" s="51" t="s">
        <v>1001</v>
      </c>
      <c r="G114" s="51" t="s">
        <v>999</v>
      </c>
      <c r="H114" s="56" t="s">
        <v>1080</v>
      </c>
      <c r="I114" s="51" t="s">
        <v>1022</v>
      </c>
      <c r="J114" s="56" t="s">
        <v>1081</v>
      </c>
      <c r="K114" s="60">
        <v>1205</v>
      </c>
      <c r="L114" s="60">
        <v>79</v>
      </c>
      <c r="M114" s="56" t="s">
        <v>1005</v>
      </c>
      <c r="N114" s="60">
        <v>10</v>
      </c>
      <c r="O114" s="60">
        <f t="shared" si="9"/>
        <v>89</v>
      </c>
      <c r="P114" s="60">
        <v>50</v>
      </c>
      <c r="Q114" s="56" t="s">
        <v>1006</v>
      </c>
      <c r="R114" s="60">
        <v>8</v>
      </c>
      <c r="S114" s="60">
        <f t="shared" si="10"/>
        <v>58</v>
      </c>
      <c r="T114" s="56" t="s">
        <v>1075</v>
      </c>
      <c r="U114" s="60">
        <v>40</v>
      </c>
      <c r="V114" s="56" t="s">
        <v>1076</v>
      </c>
      <c r="W114" s="60">
        <v>35</v>
      </c>
      <c r="X114" s="56" t="s">
        <v>1077</v>
      </c>
      <c r="Y114" s="60">
        <v>25</v>
      </c>
      <c r="Z114" s="56" t="s">
        <v>68</v>
      </c>
      <c r="AA114" s="60">
        <v>0</v>
      </c>
      <c r="AB114" s="60">
        <f t="shared" si="11"/>
        <v>100</v>
      </c>
      <c r="AC114" s="62">
        <v>2.2569444444444442E-3</v>
      </c>
      <c r="AD114" s="60">
        <v>1</v>
      </c>
      <c r="AE114" s="56" t="s">
        <v>97</v>
      </c>
      <c r="AF114" s="60">
        <v>736</v>
      </c>
      <c r="AG114" s="56" t="s">
        <v>68</v>
      </c>
      <c r="AH114" s="58" t="s">
        <v>1129</v>
      </c>
    </row>
    <row r="115" spans="1:34" ht="45" customHeight="1">
      <c r="A115" s="50" t="s">
        <v>419</v>
      </c>
      <c r="B115" s="60">
        <v>111</v>
      </c>
      <c r="C115" s="60">
        <v>28</v>
      </c>
      <c r="D115" s="56" t="s">
        <v>449</v>
      </c>
      <c r="E115" s="56" t="s">
        <v>993</v>
      </c>
      <c r="F115" s="51" t="s">
        <v>68</v>
      </c>
      <c r="G115" s="51" t="s">
        <v>992</v>
      </c>
      <c r="H115" s="56" t="s">
        <v>68</v>
      </c>
      <c r="I115" s="51" t="s">
        <v>68</v>
      </c>
      <c r="J115" s="56" t="s">
        <v>994</v>
      </c>
      <c r="K115" s="60">
        <v>0</v>
      </c>
      <c r="L115" s="60">
        <v>0</v>
      </c>
      <c r="M115" s="56" t="s">
        <v>68</v>
      </c>
      <c r="N115" s="60">
        <v>0</v>
      </c>
      <c r="O115" s="60">
        <f t="shared" si="9"/>
        <v>0</v>
      </c>
      <c r="P115" s="60">
        <v>0</v>
      </c>
      <c r="Q115" s="56" t="s">
        <v>68</v>
      </c>
      <c r="R115" s="60">
        <v>0</v>
      </c>
      <c r="S115" s="60">
        <f t="shared" si="10"/>
        <v>0</v>
      </c>
      <c r="T115" s="56" t="s">
        <v>68</v>
      </c>
      <c r="U115" s="60">
        <v>0</v>
      </c>
      <c r="V115" s="56" t="s">
        <v>68</v>
      </c>
      <c r="W115" s="60">
        <v>0</v>
      </c>
      <c r="X115" s="56" t="s">
        <v>68</v>
      </c>
      <c r="Y115" s="60">
        <v>0</v>
      </c>
      <c r="Z115" s="56" t="s">
        <v>68</v>
      </c>
      <c r="AA115" s="60">
        <v>0</v>
      </c>
      <c r="AB115" s="60">
        <f t="shared" si="11"/>
        <v>0</v>
      </c>
      <c r="AC115" s="62"/>
      <c r="AD115" s="60">
        <v>0</v>
      </c>
      <c r="AE115" s="56" t="s">
        <v>995</v>
      </c>
      <c r="AF115" s="60">
        <v>0</v>
      </c>
      <c r="AG115" s="56" t="s">
        <v>68</v>
      </c>
      <c r="AH115" s="58" t="s">
        <v>996</v>
      </c>
    </row>
    <row r="116" spans="1:34" ht="45" customHeight="1">
      <c r="A116" s="50" t="s">
        <v>419</v>
      </c>
      <c r="B116" s="60">
        <v>112</v>
      </c>
      <c r="C116" s="60">
        <v>28</v>
      </c>
      <c r="D116" s="56" t="s">
        <v>451</v>
      </c>
      <c r="E116" s="56" t="s">
        <v>1017</v>
      </c>
      <c r="F116" s="51" t="s">
        <v>1001</v>
      </c>
      <c r="G116" s="51" t="s">
        <v>999</v>
      </c>
      <c r="H116" s="56" t="s">
        <v>1080</v>
      </c>
      <c r="I116" s="51" t="s">
        <v>1022</v>
      </c>
      <c r="J116" s="56" t="s">
        <v>1081</v>
      </c>
      <c r="K116" s="60">
        <v>1240</v>
      </c>
      <c r="L116" s="60">
        <v>81</v>
      </c>
      <c r="M116" s="56" t="s">
        <v>1005</v>
      </c>
      <c r="N116" s="60">
        <v>10</v>
      </c>
      <c r="O116" s="60">
        <f t="shared" si="9"/>
        <v>91</v>
      </c>
      <c r="P116" s="60">
        <v>52</v>
      </c>
      <c r="Q116" s="56" t="s">
        <v>1006</v>
      </c>
      <c r="R116" s="60">
        <v>8</v>
      </c>
      <c r="S116" s="60">
        <f t="shared" si="10"/>
        <v>60</v>
      </c>
      <c r="T116" s="56" t="s">
        <v>1075</v>
      </c>
      <c r="U116" s="60">
        <v>40</v>
      </c>
      <c r="V116" s="56" t="s">
        <v>1076</v>
      </c>
      <c r="W116" s="60">
        <v>35</v>
      </c>
      <c r="X116" s="56" t="s">
        <v>1077</v>
      </c>
      <c r="Y116" s="60">
        <v>25</v>
      </c>
      <c r="Z116" s="56" t="s">
        <v>68</v>
      </c>
      <c r="AA116" s="60">
        <v>0</v>
      </c>
      <c r="AB116" s="60">
        <f t="shared" si="11"/>
        <v>100</v>
      </c>
      <c r="AC116" s="62">
        <v>2.2569444444444442E-3</v>
      </c>
      <c r="AD116" s="60">
        <v>1</v>
      </c>
      <c r="AE116" s="56" t="s">
        <v>97</v>
      </c>
      <c r="AF116" s="60">
        <v>787</v>
      </c>
      <c r="AG116" s="56" t="s">
        <v>68</v>
      </c>
      <c r="AH116" s="58" t="s">
        <v>1130</v>
      </c>
    </row>
    <row r="117" spans="1:34" ht="45" customHeight="1">
      <c r="A117" s="50" t="s">
        <v>419</v>
      </c>
      <c r="B117" s="60">
        <v>113</v>
      </c>
      <c r="C117" s="60">
        <v>28</v>
      </c>
      <c r="D117" s="56" t="s">
        <v>452</v>
      </c>
      <c r="E117" s="56" t="s">
        <v>993</v>
      </c>
      <c r="F117" s="51" t="s">
        <v>68</v>
      </c>
      <c r="G117" s="51" t="s">
        <v>992</v>
      </c>
      <c r="H117" s="56" t="s">
        <v>68</v>
      </c>
      <c r="I117" s="51" t="s">
        <v>68</v>
      </c>
      <c r="J117" s="56" t="s">
        <v>994</v>
      </c>
      <c r="K117" s="60">
        <v>0</v>
      </c>
      <c r="L117" s="60">
        <v>0</v>
      </c>
      <c r="M117" s="56" t="s">
        <v>68</v>
      </c>
      <c r="N117" s="60">
        <v>0</v>
      </c>
      <c r="O117" s="60">
        <f t="shared" si="9"/>
        <v>0</v>
      </c>
      <c r="P117" s="60">
        <v>0</v>
      </c>
      <c r="Q117" s="56" t="s">
        <v>68</v>
      </c>
      <c r="R117" s="60">
        <v>0</v>
      </c>
      <c r="S117" s="60">
        <f t="shared" si="10"/>
        <v>0</v>
      </c>
      <c r="T117" s="56" t="s">
        <v>68</v>
      </c>
      <c r="U117" s="60">
        <v>0</v>
      </c>
      <c r="V117" s="56" t="s">
        <v>68</v>
      </c>
      <c r="W117" s="60">
        <v>0</v>
      </c>
      <c r="X117" s="56" t="s">
        <v>68</v>
      </c>
      <c r="Y117" s="60">
        <v>0</v>
      </c>
      <c r="Z117" s="56" t="s">
        <v>68</v>
      </c>
      <c r="AA117" s="60">
        <v>0</v>
      </c>
      <c r="AB117" s="60">
        <f t="shared" si="11"/>
        <v>0</v>
      </c>
      <c r="AC117" s="62"/>
      <c r="AD117" s="60">
        <v>0</v>
      </c>
      <c r="AE117" s="56" t="s">
        <v>995</v>
      </c>
      <c r="AF117" s="60">
        <v>0</v>
      </c>
      <c r="AG117" s="56" t="s">
        <v>68</v>
      </c>
      <c r="AH117" s="58" t="s">
        <v>996</v>
      </c>
    </row>
    <row r="118" spans="1:34" ht="45" customHeight="1">
      <c r="A118" s="50" t="s">
        <v>419</v>
      </c>
      <c r="B118" s="60">
        <v>114</v>
      </c>
      <c r="C118" s="60">
        <v>28</v>
      </c>
      <c r="D118" s="56" t="s">
        <v>456</v>
      </c>
      <c r="E118" s="56" t="s">
        <v>993</v>
      </c>
      <c r="F118" s="51" t="s">
        <v>68</v>
      </c>
      <c r="G118" s="51" t="s">
        <v>992</v>
      </c>
      <c r="H118" s="56" t="s">
        <v>68</v>
      </c>
      <c r="I118" s="51" t="s">
        <v>68</v>
      </c>
      <c r="J118" s="56" t="s">
        <v>994</v>
      </c>
      <c r="K118" s="60">
        <v>0</v>
      </c>
      <c r="L118" s="60">
        <v>0</v>
      </c>
      <c r="M118" s="56" t="s">
        <v>68</v>
      </c>
      <c r="N118" s="60">
        <v>0</v>
      </c>
      <c r="O118" s="60">
        <f t="shared" si="9"/>
        <v>0</v>
      </c>
      <c r="P118" s="60">
        <v>0</v>
      </c>
      <c r="Q118" s="56" t="s">
        <v>68</v>
      </c>
      <c r="R118" s="60">
        <v>0</v>
      </c>
      <c r="S118" s="60">
        <f t="shared" si="10"/>
        <v>0</v>
      </c>
      <c r="T118" s="56" t="s">
        <v>68</v>
      </c>
      <c r="U118" s="60">
        <v>0</v>
      </c>
      <c r="V118" s="56" t="s">
        <v>68</v>
      </c>
      <c r="W118" s="60">
        <v>0</v>
      </c>
      <c r="X118" s="56" t="s">
        <v>68</v>
      </c>
      <c r="Y118" s="60">
        <v>0</v>
      </c>
      <c r="Z118" s="56" t="s">
        <v>68</v>
      </c>
      <c r="AA118" s="60">
        <v>0</v>
      </c>
      <c r="AB118" s="60">
        <f t="shared" si="11"/>
        <v>0</v>
      </c>
      <c r="AC118" s="62"/>
      <c r="AD118" s="60">
        <v>0</v>
      </c>
      <c r="AE118" s="56" t="s">
        <v>995</v>
      </c>
      <c r="AF118" s="60">
        <v>0</v>
      </c>
      <c r="AG118" s="56" t="s">
        <v>68</v>
      </c>
      <c r="AH118" s="58" t="s">
        <v>996</v>
      </c>
    </row>
    <row r="119" spans="1:34" ht="45" customHeight="1">
      <c r="A119" s="50" t="s">
        <v>419</v>
      </c>
      <c r="B119" s="60">
        <v>115</v>
      </c>
      <c r="C119" s="60">
        <v>29</v>
      </c>
      <c r="D119" s="56" t="s">
        <v>460</v>
      </c>
      <c r="E119" s="56" t="s">
        <v>1131</v>
      </c>
      <c r="F119" s="51" t="s">
        <v>1001</v>
      </c>
      <c r="G119" s="51" t="s">
        <v>1016</v>
      </c>
      <c r="H119" s="56" t="s">
        <v>1132</v>
      </c>
      <c r="I119" s="51" t="s">
        <v>1022</v>
      </c>
      <c r="J119" s="56" t="s">
        <v>1032</v>
      </c>
      <c r="K119" s="60">
        <v>8000</v>
      </c>
      <c r="L119" s="60">
        <v>190</v>
      </c>
      <c r="M119" s="56" t="s">
        <v>1005</v>
      </c>
      <c r="N119" s="60">
        <v>19</v>
      </c>
      <c r="O119" s="60">
        <f t="shared" si="9"/>
        <v>209</v>
      </c>
      <c r="P119" s="60">
        <v>117</v>
      </c>
      <c r="Q119" s="56" t="s">
        <v>1006</v>
      </c>
      <c r="R119" s="60">
        <v>17</v>
      </c>
      <c r="S119" s="60">
        <f t="shared" si="10"/>
        <v>134</v>
      </c>
      <c r="T119" s="56" t="s">
        <v>1133</v>
      </c>
      <c r="U119" s="60">
        <v>30</v>
      </c>
      <c r="V119" s="56" t="s">
        <v>1134</v>
      </c>
      <c r="W119" s="60">
        <v>25</v>
      </c>
      <c r="X119" s="56" t="s">
        <v>1135</v>
      </c>
      <c r="Y119" s="60">
        <v>20</v>
      </c>
      <c r="Z119" s="56" t="s">
        <v>1136</v>
      </c>
      <c r="AA119" s="60">
        <v>25</v>
      </c>
      <c r="AB119" s="60">
        <f t="shared" si="11"/>
        <v>100</v>
      </c>
      <c r="AC119" s="62">
        <v>5.208333333333333E-3</v>
      </c>
      <c r="AD119" s="60">
        <v>1</v>
      </c>
      <c r="AE119" s="56" t="s">
        <v>466</v>
      </c>
      <c r="AF119" s="60">
        <v>5871</v>
      </c>
      <c r="AG119" s="56" t="s">
        <v>953</v>
      </c>
      <c r="AH119" s="58" t="s">
        <v>1137</v>
      </c>
    </row>
    <row r="120" spans="1:34" ht="45" customHeight="1">
      <c r="A120" s="50" t="s">
        <v>419</v>
      </c>
      <c r="B120" s="60">
        <v>116</v>
      </c>
      <c r="C120" s="60">
        <v>29</v>
      </c>
      <c r="D120" s="56" t="s">
        <v>467</v>
      </c>
      <c r="E120" s="56" t="s">
        <v>1131</v>
      </c>
      <c r="F120" s="51" t="s">
        <v>1001</v>
      </c>
      <c r="G120" s="51" t="s">
        <v>1016</v>
      </c>
      <c r="H120" s="56" t="s">
        <v>1138</v>
      </c>
      <c r="I120" s="51" t="s">
        <v>1022</v>
      </c>
      <c r="J120" s="56" t="s">
        <v>1032</v>
      </c>
      <c r="K120" s="60">
        <v>9000</v>
      </c>
      <c r="L120" s="60">
        <v>190</v>
      </c>
      <c r="M120" s="56" t="s">
        <v>1005</v>
      </c>
      <c r="N120" s="60">
        <v>19</v>
      </c>
      <c r="O120" s="60">
        <f t="shared" si="9"/>
        <v>209</v>
      </c>
      <c r="P120" s="60">
        <v>117</v>
      </c>
      <c r="Q120" s="56" t="s">
        <v>1006</v>
      </c>
      <c r="R120" s="60">
        <v>17</v>
      </c>
      <c r="S120" s="60">
        <f t="shared" si="10"/>
        <v>134</v>
      </c>
      <c r="T120" s="56" t="s">
        <v>1139</v>
      </c>
      <c r="U120" s="60">
        <v>25</v>
      </c>
      <c r="V120" s="56" t="s">
        <v>1140</v>
      </c>
      <c r="W120" s="60">
        <v>30</v>
      </c>
      <c r="X120" s="56" t="s">
        <v>1141</v>
      </c>
      <c r="Y120" s="60">
        <v>20</v>
      </c>
      <c r="Z120" s="56" t="s">
        <v>1142</v>
      </c>
      <c r="AA120" s="60">
        <v>25</v>
      </c>
      <c r="AB120" s="60">
        <f t="shared" si="11"/>
        <v>100</v>
      </c>
      <c r="AC120" s="62">
        <v>5.208333333333333E-3</v>
      </c>
      <c r="AD120" s="60">
        <v>1</v>
      </c>
      <c r="AE120" s="56" t="s">
        <v>473</v>
      </c>
      <c r="AF120" s="60">
        <v>5871</v>
      </c>
      <c r="AG120" s="56" t="s">
        <v>68</v>
      </c>
      <c r="AH120" s="58" t="s">
        <v>1137</v>
      </c>
    </row>
    <row r="121" spans="1:34" ht="45" customHeight="1">
      <c r="A121" s="50" t="s">
        <v>419</v>
      </c>
      <c r="B121" s="60">
        <v>117</v>
      </c>
      <c r="C121" s="60">
        <v>29</v>
      </c>
      <c r="D121" s="56" t="s">
        <v>474</v>
      </c>
      <c r="E121" s="56" t="s">
        <v>1131</v>
      </c>
      <c r="F121" s="51" t="s">
        <v>1001</v>
      </c>
      <c r="G121" s="51" t="s">
        <v>1016</v>
      </c>
      <c r="H121" s="56" t="s">
        <v>1143</v>
      </c>
      <c r="I121" s="51" t="s">
        <v>1022</v>
      </c>
      <c r="J121" s="56" t="s">
        <v>1032</v>
      </c>
      <c r="K121" s="60">
        <v>6000</v>
      </c>
      <c r="L121" s="60">
        <v>190</v>
      </c>
      <c r="M121" s="56" t="s">
        <v>1005</v>
      </c>
      <c r="N121" s="60">
        <v>19</v>
      </c>
      <c r="O121" s="60">
        <f t="shared" si="9"/>
        <v>209</v>
      </c>
      <c r="P121" s="60">
        <v>117</v>
      </c>
      <c r="Q121" s="56" t="s">
        <v>1006</v>
      </c>
      <c r="R121" s="60">
        <v>17</v>
      </c>
      <c r="S121" s="60">
        <f t="shared" si="10"/>
        <v>134</v>
      </c>
      <c r="T121" s="56" t="s">
        <v>1144</v>
      </c>
      <c r="U121" s="60">
        <v>35</v>
      </c>
      <c r="V121" s="56" t="s">
        <v>1145</v>
      </c>
      <c r="W121" s="60">
        <v>25</v>
      </c>
      <c r="X121" s="56" t="s">
        <v>1146</v>
      </c>
      <c r="Y121" s="60">
        <v>20</v>
      </c>
      <c r="Z121" s="56" t="s">
        <v>1147</v>
      </c>
      <c r="AA121" s="60">
        <v>20</v>
      </c>
      <c r="AB121" s="60">
        <f t="shared" si="11"/>
        <v>100</v>
      </c>
      <c r="AC121" s="62">
        <v>2.0833333333333333E-3</v>
      </c>
      <c r="AD121" s="60">
        <v>1</v>
      </c>
      <c r="AE121" s="56" t="s">
        <v>480</v>
      </c>
      <c r="AF121" s="60">
        <v>5871</v>
      </c>
      <c r="AG121" s="56" t="s">
        <v>68</v>
      </c>
      <c r="AH121" s="58" t="s">
        <v>1137</v>
      </c>
    </row>
    <row r="122" spans="1:34" ht="45" customHeight="1">
      <c r="A122" s="50" t="s">
        <v>419</v>
      </c>
      <c r="B122" s="60">
        <v>118</v>
      </c>
      <c r="C122" s="60">
        <v>29</v>
      </c>
      <c r="D122" s="56" t="s">
        <v>482</v>
      </c>
      <c r="E122" s="56" t="s">
        <v>1131</v>
      </c>
      <c r="F122" s="51" t="s">
        <v>1001</v>
      </c>
      <c r="G122" s="51" t="s">
        <v>1016</v>
      </c>
      <c r="H122" s="56" t="s">
        <v>1148</v>
      </c>
      <c r="I122" s="51" t="s">
        <v>1022</v>
      </c>
      <c r="J122" s="56" t="s">
        <v>1032</v>
      </c>
      <c r="K122" s="60">
        <v>10500</v>
      </c>
      <c r="L122" s="60">
        <v>190</v>
      </c>
      <c r="M122" s="56" t="s">
        <v>1005</v>
      </c>
      <c r="N122" s="60">
        <v>19</v>
      </c>
      <c r="O122" s="60">
        <f t="shared" si="9"/>
        <v>209</v>
      </c>
      <c r="P122" s="60">
        <v>117</v>
      </c>
      <c r="Q122" s="56" t="s">
        <v>1006</v>
      </c>
      <c r="R122" s="60">
        <v>17</v>
      </c>
      <c r="S122" s="60">
        <f t="shared" si="10"/>
        <v>134</v>
      </c>
      <c r="T122" s="56" t="s">
        <v>1149</v>
      </c>
      <c r="U122" s="60">
        <v>40</v>
      </c>
      <c r="V122" s="56" t="s">
        <v>1150</v>
      </c>
      <c r="W122" s="60">
        <v>20</v>
      </c>
      <c r="X122" s="56" t="s">
        <v>1151</v>
      </c>
      <c r="Y122" s="60">
        <v>25</v>
      </c>
      <c r="Z122" s="56" t="s">
        <v>1152</v>
      </c>
      <c r="AA122" s="60">
        <v>15</v>
      </c>
      <c r="AB122" s="60">
        <f t="shared" si="11"/>
        <v>100</v>
      </c>
      <c r="AC122" s="62">
        <v>4.1666666666666666E-3</v>
      </c>
      <c r="AD122" s="60">
        <v>1</v>
      </c>
      <c r="AE122" s="56" t="s">
        <v>488</v>
      </c>
      <c r="AF122" s="60">
        <v>5871</v>
      </c>
      <c r="AG122" s="56" t="s">
        <v>1153</v>
      </c>
      <c r="AH122" s="58" t="s">
        <v>1137</v>
      </c>
    </row>
    <row r="123" spans="1:34" ht="45" customHeight="1">
      <c r="A123" s="50" t="s">
        <v>419</v>
      </c>
      <c r="B123" s="60">
        <v>119</v>
      </c>
      <c r="C123" s="60">
        <v>30</v>
      </c>
      <c r="D123" s="56" t="s">
        <v>489</v>
      </c>
      <c r="E123" s="56" t="s">
        <v>993</v>
      </c>
      <c r="F123" s="51" t="s">
        <v>68</v>
      </c>
      <c r="G123" s="51" t="s">
        <v>992</v>
      </c>
      <c r="H123" s="56" t="s">
        <v>68</v>
      </c>
      <c r="I123" s="51" t="s">
        <v>68</v>
      </c>
      <c r="J123" s="56" t="s">
        <v>994</v>
      </c>
      <c r="K123" s="60">
        <v>0</v>
      </c>
      <c r="L123" s="60">
        <v>0</v>
      </c>
      <c r="M123" s="56" t="s">
        <v>68</v>
      </c>
      <c r="N123" s="60">
        <v>0</v>
      </c>
      <c r="O123" s="60">
        <f t="shared" si="9"/>
        <v>0</v>
      </c>
      <c r="P123" s="60">
        <v>0</v>
      </c>
      <c r="Q123" s="56" t="s">
        <v>68</v>
      </c>
      <c r="R123" s="60">
        <v>0</v>
      </c>
      <c r="S123" s="60">
        <f t="shared" si="10"/>
        <v>0</v>
      </c>
      <c r="T123" s="56" t="s">
        <v>68</v>
      </c>
      <c r="U123" s="60">
        <v>0</v>
      </c>
      <c r="V123" s="56" t="s">
        <v>68</v>
      </c>
      <c r="W123" s="60">
        <v>0</v>
      </c>
      <c r="X123" s="56" t="s">
        <v>68</v>
      </c>
      <c r="Y123" s="60">
        <v>0</v>
      </c>
      <c r="Z123" s="56" t="s">
        <v>68</v>
      </c>
      <c r="AA123" s="60">
        <v>0</v>
      </c>
      <c r="AB123" s="60">
        <f t="shared" si="11"/>
        <v>0</v>
      </c>
      <c r="AC123" s="62"/>
      <c r="AD123" s="60">
        <v>0</v>
      </c>
      <c r="AE123" s="56" t="s">
        <v>995</v>
      </c>
      <c r="AF123" s="60">
        <v>0</v>
      </c>
      <c r="AG123" s="56" t="s">
        <v>68</v>
      </c>
      <c r="AH123" s="58" t="s">
        <v>996</v>
      </c>
    </row>
    <row r="124" spans="1:34" ht="45" customHeight="1">
      <c r="A124" s="50" t="s">
        <v>419</v>
      </c>
      <c r="B124" s="60">
        <v>120</v>
      </c>
      <c r="C124" s="60">
        <v>30</v>
      </c>
      <c r="D124" s="56" t="s">
        <v>490</v>
      </c>
      <c r="E124" s="56" t="s">
        <v>993</v>
      </c>
      <c r="F124" s="51" t="s">
        <v>68</v>
      </c>
      <c r="G124" s="51" t="s">
        <v>992</v>
      </c>
      <c r="H124" s="56" t="s">
        <v>68</v>
      </c>
      <c r="I124" s="51" t="s">
        <v>68</v>
      </c>
      <c r="J124" s="56" t="s">
        <v>994</v>
      </c>
      <c r="K124" s="60">
        <v>0</v>
      </c>
      <c r="L124" s="60">
        <v>0</v>
      </c>
      <c r="M124" s="56" t="s">
        <v>68</v>
      </c>
      <c r="N124" s="60">
        <v>0</v>
      </c>
      <c r="O124" s="60">
        <f t="shared" si="9"/>
        <v>0</v>
      </c>
      <c r="P124" s="60">
        <v>0</v>
      </c>
      <c r="Q124" s="56" t="s">
        <v>68</v>
      </c>
      <c r="R124" s="60">
        <v>0</v>
      </c>
      <c r="S124" s="60">
        <f t="shared" si="10"/>
        <v>0</v>
      </c>
      <c r="T124" s="56" t="s">
        <v>68</v>
      </c>
      <c r="U124" s="60">
        <v>0</v>
      </c>
      <c r="V124" s="56" t="s">
        <v>68</v>
      </c>
      <c r="W124" s="60">
        <v>0</v>
      </c>
      <c r="X124" s="56" t="s">
        <v>68</v>
      </c>
      <c r="Y124" s="60">
        <v>0</v>
      </c>
      <c r="Z124" s="56" t="s">
        <v>68</v>
      </c>
      <c r="AA124" s="60">
        <v>0</v>
      </c>
      <c r="AB124" s="60">
        <f t="shared" si="11"/>
        <v>0</v>
      </c>
      <c r="AC124" s="62"/>
      <c r="AD124" s="60">
        <v>0</v>
      </c>
      <c r="AE124" s="56" t="s">
        <v>995</v>
      </c>
      <c r="AF124" s="60">
        <v>0</v>
      </c>
      <c r="AG124" s="56" t="s">
        <v>68</v>
      </c>
      <c r="AH124" s="58" t="s">
        <v>996</v>
      </c>
    </row>
    <row r="125" spans="1:34" ht="45" customHeight="1">
      <c r="A125" s="50" t="s">
        <v>419</v>
      </c>
      <c r="B125" s="60">
        <v>121</v>
      </c>
      <c r="C125" s="60">
        <v>30</v>
      </c>
      <c r="D125" s="56" t="s">
        <v>496</v>
      </c>
      <c r="E125" s="56" t="s">
        <v>993</v>
      </c>
      <c r="F125" s="51" t="s">
        <v>68</v>
      </c>
      <c r="G125" s="51" t="s">
        <v>992</v>
      </c>
      <c r="H125" s="56" t="s">
        <v>68</v>
      </c>
      <c r="I125" s="51" t="s">
        <v>68</v>
      </c>
      <c r="J125" s="56" t="s">
        <v>994</v>
      </c>
      <c r="K125" s="60">
        <v>0</v>
      </c>
      <c r="L125" s="60">
        <v>0</v>
      </c>
      <c r="M125" s="56" t="s">
        <v>68</v>
      </c>
      <c r="N125" s="60">
        <v>0</v>
      </c>
      <c r="O125" s="60">
        <f t="shared" si="9"/>
        <v>0</v>
      </c>
      <c r="P125" s="60">
        <v>0</v>
      </c>
      <c r="Q125" s="56" t="s">
        <v>68</v>
      </c>
      <c r="R125" s="60">
        <v>0</v>
      </c>
      <c r="S125" s="60">
        <f t="shared" si="10"/>
        <v>0</v>
      </c>
      <c r="T125" s="56" t="s">
        <v>68</v>
      </c>
      <c r="U125" s="60">
        <v>0</v>
      </c>
      <c r="V125" s="56" t="s">
        <v>68</v>
      </c>
      <c r="W125" s="60">
        <v>0</v>
      </c>
      <c r="X125" s="56" t="s">
        <v>68</v>
      </c>
      <c r="Y125" s="60">
        <v>0</v>
      </c>
      <c r="Z125" s="56" t="s">
        <v>68</v>
      </c>
      <c r="AA125" s="60">
        <v>0</v>
      </c>
      <c r="AB125" s="60">
        <f t="shared" si="11"/>
        <v>0</v>
      </c>
      <c r="AC125" s="62"/>
      <c r="AD125" s="60">
        <v>0</v>
      </c>
      <c r="AE125" s="56" t="s">
        <v>995</v>
      </c>
      <c r="AF125" s="60">
        <v>0</v>
      </c>
      <c r="AG125" s="56" t="s">
        <v>68</v>
      </c>
      <c r="AH125" s="58" t="s">
        <v>996</v>
      </c>
    </row>
    <row r="126" spans="1:34" ht="45" customHeight="1">
      <c r="A126" s="50" t="s">
        <v>419</v>
      </c>
      <c r="B126" s="60">
        <v>122</v>
      </c>
      <c r="C126" s="60">
        <v>30</v>
      </c>
      <c r="D126" s="56" t="s">
        <v>500</v>
      </c>
      <c r="E126" s="56" t="s">
        <v>993</v>
      </c>
      <c r="F126" s="51" t="s">
        <v>68</v>
      </c>
      <c r="G126" s="51" t="s">
        <v>992</v>
      </c>
      <c r="H126" s="56" t="s">
        <v>68</v>
      </c>
      <c r="I126" s="51" t="s">
        <v>68</v>
      </c>
      <c r="J126" s="56" t="s">
        <v>994</v>
      </c>
      <c r="K126" s="60">
        <v>0</v>
      </c>
      <c r="L126" s="60">
        <v>0</v>
      </c>
      <c r="M126" s="56" t="s">
        <v>68</v>
      </c>
      <c r="N126" s="60">
        <v>0</v>
      </c>
      <c r="O126" s="60">
        <f t="shared" si="9"/>
        <v>0</v>
      </c>
      <c r="P126" s="60">
        <v>0</v>
      </c>
      <c r="Q126" s="56" t="s">
        <v>68</v>
      </c>
      <c r="R126" s="60">
        <v>0</v>
      </c>
      <c r="S126" s="60">
        <f t="shared" si="10"/>
        <v>0</v>
      </c>
      <c r="T126" s="56" t="s">
        <v>68</v>
      </c>
      <c r="U126" s="60">
        <v>0</v>
      </c>
      <c r="V126" s="56" t="s">
        <v>68</v>
      </c>
      <c r="W126" s="60">
        <v>0</v>
      </c>
      <c r="X126" s="56" t="s">
        <v>68</v>
      </c>
      <c r="Y126" s="60">
        <v>0</v>
      </c>
      <c r="Z126" s="56" t="s">
        <v>68</v>
      </c>
      <c r="AA126" s="60">
        <v>0</v>
      </c>
      <c r="AB126" s="60">
        <f t="shared" si="11"/>
        <v>0</v>
      </c>
      <c r="AC126" s="62"/>
      <c r="AD126" s="60">
        <v>0</v>
      </c>
      <c r="AE126" s="56" t="s">
        <v>995</v>
      </c>
      <c r="AF126" s="60">
        <v>0</v>
      </c>
      <c r="AG126" s="56" t="s">
        <v>68</v>
      </c>
      <c r="AH126" s="58" t="s">
        <v>996</v>
      </c>
    </row>
    <row r="127" spans="1:34" ht="45" customHeight="1">
      <c r="A127" s="53" t="s">
        <v>419</v>
      </c>
      <c r="B127" s="61">
        <v>123</v>
      </c>
      <c r="C127" s="61">
        <v>30</v>
      </c>
      <c r="D127" s="57" t="s">
        <v>501</v>
      </c>
      <c r="E127" s="57" t="s">
        <v>993</v>
      </c>
      <c r="F127" s="54" t="s">
        <v>68</v>
      </c>
      <c r="G127" s="54" t="s">
        <v>992</v>
      </c>
      <c r="H127" s="57" t="s">
        <v>68</v>
      </c>
      <c r="I127" s="54" t="s">
        <v>68</v>
      </c>
      <c r="J127" s="57" t="s">
        <v>994</v>
      </c>
      <c r="K127" s="61">
        <v>0</v>
      </c>
      <c r="L127" s="61">
        <v>0</v>
      </c>
      <c r="M127" s="57" t="s">
        <v>68</v>
      </c>
      <c r="N127" s="61">
        <v>0</v>
      </c>
      <c r="O127" s="61">
        <f t="shared" si="9"/>
        <v>0</v>
      </c>
      <c r="P127" s="61">
        <v>0</v>
      </c>
      <c r="Q127" s="57" t="s">
        <v>68</v>
      </c>
      <c r="R127" s="61">
        <v>0</v>
      </c>
      <c r="S127" s="61">
        <f t="shared" si="10"/>
        <v>0</v>
      </c>
      <c r="T127" s="57" t="s">
        <v>68</v>
      </c>
      <c r="U127" s="61">
        <v>0</v>
      </c>
      <c r="V127" s="57" t="s">
        <v>68</v>
      </c>
      <c r="W127" s="61">
        <v>0</v>
      </c>
      <c r="X127" s="57" t="s">
        <v>68</v>
      </c>
      <c r="Y127" s="61">
        <v>0</v>
      </c>
      <c r="Z127" s="57" t="s">
        <v>68</v>
      </c>
      <c r="AA127" s="61">
        <v>0</v>
      </c>
      <c r="AB127" s="61">
        <f t="shared" si="11"/>
        <v>0</v>
      </c>
      <c r="AC127" s="63"/>
      <c r="AD127" s="61">
        <v>0</v>
      </c>
      <c r="AE127" s="57" t="s">
        <v>995</v>
      </c>
      <c r="AF127" s="61">
        <v>0</v>
      </c>
      <c r="AG127" s="57" t="s">
        <v>68</v>
      </c>
      <c r="AH127" s="59" t="s">
        <v>996</v>
      </c>
    </row>
  </sheetData>
  <mergeCells count="3">
    <mergeCell ref="A1:AH1"/>
    <mergeCell ref="A2:AH2"/>
    <mergeCell ref="AJ1:AK1"/>
  </mergeCells>
  <phoneticPr fontId="8" type="noConversion"/>
  <conditionalFormatting sqref="AB5:AB127">
    <cfRule type="expression" dxfId="0" priority="1">
      <formula>AND($E5&lt;&gt;"해당 없음",$AB5&lt;&gt;100)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4.25"/>
  <cols>
    <col min="1" max="1" width="10" customWidth="1"/>
    <col min="2" max="2" width="14" customWidth="1"/>
    <col min="3" max="3" width="20" customWidth="1"/>
    <col min="4" max="4" width="28" customWidth="1"/>
    <col min="5" max="6" width="34" customWidth="1"/>
    <col min="7" max="7" width="38" customWidth="1"/>
  </cols>
  <sheetData>
    <row r="1" spans="1:7" ht="27.95" customHeight="1">
      <c r="A1" s="68" t="s">
        <v>1154</v>
      </c>
      <c r="B1" s="69"/>
      <c r="C1" s="69"/>
      <c r="D1" s="69"/>
      <c r="E1" s="69"/>
      <c r="F1" s="69"/>
      <c r="G1" s="70"/>
    </row>
    <row r="2" spans="1:7" ht="42" customHeight="1">
      <c r="A2" s="71" t="s">
        <v>1155</v>
      </c>
      <c r="B2" s="72"/>
      <c r="C2" s="72"/>
      <c r="D2" s="72"/>
      <c r="E2" s="72"/>
      <c r="F2" s="72"/>
      <c r="G2" s="73"/>
    </row>
    <row r="3" spans="1:7">
      <c r="A3" s="44"/>
      <c r="B3" s="45"/>
      <c r="C3" s="45"/>
      <c r="D3" s="45"/>
      <c r="E3" s="45"/>
      <c r="F3" s="45"/>
      <c r="G3" s="46"/>
    </row>
    <row r="4" spans="1:7" ht="32.1" customHeight="1">
      <c r="A4" s="47" t="s">
        <v>1156</v>
      </c>
      <c r="B4" s="48" t="s">
        <v>1157</v>
      </c>
      <c r="C4" s="48" t="s">
        <v>1158</v>
      </c>
      <c r="D4" s="48" t="s">
        <v>1159</v>
      </c>
      <c r="E4" s="48" t="s">
        <v>1160</v>
      </c>
      <c r="F4" s="48" t="s">
        <v>1161</v>
      </c>
      <c r="G4" s="49" t="s">
        <v>1162</v>
      </c>
    </row>
    <row r="5" spans="1:7" ht="48" customHeight="1">
      <c r="A5" s="50" t="s">
        <v>1163</v>
      </c>
      <c r="B5" s="51" t="s">
        <v>1164</v>
      </c>
      <c r="C5" s="51" t="s">
        <v>1165</v>
      </c>
      <c r="D5" s="56" t="s">
        <v>1166</v>
      </c>
      <c r="E5" s="56" t="s">
        <v>1167</v>
      </c>
      <c r="F5" s="56" t="s">
        <v>1168</v>
      </c>
      <c r="G5" s="58" t="s">
        <v>1169</v>
      </c>
    </row>
    <row r="6" spans="1:7" ht="48" customHeight="1">
      <c r="A6" s="50" t="s">
        <v>1163</v>
      </c>
      <c r="B6" s="51" t="s">
        <v>1164</v>
      </c>
      <c r="C6" s="51" t="s">
        <v>1170</v>
      </c>
      <c r="D6" s="56" t="s">
        <v>1171</v>
      </c>
      <c r="E6" s="56" t="s">
        <v>1172</v>
      </c>
      <c r="F6" s="56" t="s">
        <v>1173</v>
      </c>
      <c r="G6" s="58" t="s">
        <v>1174</v>
      </c>
    </row>
    <row r="7" spans="1:7" ht="48" customHeight="1">
      <c r="A7" s="50" t="s">
        <v>1163</v>
      </c>
      <c r="B7" s="51" t="s">
        <v>1164</v>
      </c>
      <c r="C7" s="51" t="s">
        <v>1175</v>
      </c>
      <c r="D7" s="56" t="s">
        <v>1176</v>
      </c>
      <c r="E7" s="56" t="s">
        <v>1177</v>
      </c>
      <c r="F7" s="56" t="s">
        <v>1178</v>
      </c>
      <c r="G7" s="58" t="s">
        <v>1179</v>
      </c>
    </row>
    <row r="8" spans="1:7" ht="48" customHeight="1">
      <c r="A8" s="50" t="s">
        <v>1163</v>
      </c>
      <c r="B8" s="51" t="s">
        <v>1164</v>
      </c>
      <c r="C8" s="51" t="s">
        <v>1180</v>
      </c>
      <c r="D8" s="56" t="s">
        <v>1181</v>
      </c>
      <c r="E8" s="56" t="s">
        <v>1182</v>
      </c>
      <c r="F8" s="56" t="s">
        <v>1183</v>
      </c>
      <c r="G8" s="58" t="s">
        <v>1184</v>
      </c>
    </row>
    <row r="9" spans="1:7" ht="48" customHeight="1">
      <c r="A9" s="50" t="s">
        <v>1163</v>
      </c>
      <c r="B9" s="51" t="s">
        <v>1164</v>
      </c>
      <c r="C9" s="51" t="s">
        <v>557</v>
      </c>
      <c r="D9" s="56" t="s">
        <v>1185</v>
      </c>
      <c r="E9" s="56" t="s">
        <v>1186</v>
      </c>
      <c r="F9" s="56" t="s">
        <v>1187</v>
      </c>
      <c r="G9" s="58" t="s">
        <v>1188</v>
      </c>
    </row>
    <row r="10" spans="1:7" ht="48" customHeight="1">
      <c r="A10" s="50" t="s">
        <v>1163</v>
      </c>
      <c r="B10" s="51" t="s">
        <v>1164</v>
      </c>
      <c r="C10" s="51" t="s">
        <v>1189</v>
      </c>
      <c r="D10" s="56" t="s">
        <v>1190</v>
      </c>
      <c r="E10" s="56" t="s">
        <v>1191</v>
      </c>
      <c r="F10" s="56" t="s">
        <v>1192</v>
      </c>
      <c r="G10" s="58" t="s">
        <v>1193</v>
      </c>
    </row>
    <row r="11" spans="1:7" ht="48" customHeight="1">
      <c r="A11" s="50" t="s">
        <v>1163</v>
      </c>
      <c r="B11" s="51" t="s">
        <v>1164</v>
      </c>
      <c r="C11" s="51" t="s">
        <v>1194</v>
      </c>
      <c r="D11" s="56" t="s">
        <v>1195</v>
      </c>
      <c r="E11" s="56" t="s">
        <v>1196</v>
      </c>
      <c r="F11" s="56" t="s">
        <v>1197</v>
      </c>
      <c r="G11" s="58" t="s">
        <v>1198</v>
      </c>
    </row>
    <row r="12" spans="1:7" ht="48" customHeight="1">
      <c r="A12" s="50" t="s">
        <v>1163</v>
      </c>
      <c r="B12" s="51" t="s">
        <v>1164</v>
      </c>
      <c r="C12" s="51" t="s">
        <v>1199</v>
      </c>
      <c r="D12" s="56" t="s">
        <v>1200</v>
      </c>
      <c r="E12" s="56" t="s">
        <v>1201</v>
      </c>
      <c r="F12" s="56" t="s">
        <v>1202</v>
      </c>
      <c r="G12" s="58" t="s">
        <v>1203</v>
      </c>
    </row>
    <row r="13" spans="1:7" ht="48" customHeight="1">
      <c r="A13" s="50" t="s">
        <v>1163</v>
      </c>
      <c r="B13" s="51" t="s">
        <v>1164</v>
      </c>
      <c r="C13" s="51" t="s">
        <v>1204</v>
      </c>
      <c r="D13" s="56" t="s">
        <v>1205</v>
      </c>
      <c r="E13" s="56" t="s">
        <v>1206</v>
      </c>
      <c r="F13" s="56" t="s">
        <v>1207</v>
      </c>
      <c r="G13" s="58" t="s">
        <v>1208</v>
      </c>
    </row>
    <row r="14" spans="1:7" ht="48" customHeight="1">
      <c r="A14" s="50" t="s">
        <v>1163</v>
      </c>
      <c r="B14" s="51" t="s">
        <v>1164</v>
      </c>
      <c r="C14" s="51" t="s">
        <v>1209</v>
      </c>
      <c r="D14" s="56" t="s">
        <v>1205</v>
      </c>
      <c r="E14" s="56" t="s">
        <v>1210</v>
      </c>
      <c r="F14" s="56" t="s">
        <v>1211</v>
      </c>
      <c r="G14" s="58" t="s">
        <v>1212</v>
      </c>
    </row>
    <row r="15" spans="1:7" ht="48" customHeight="1">
      <c r="A15" s="50" t="s">
        <v>1163</v>
      </c>
      <c r="B15" s="51" t="s">
        <v>1164</v>
      </c>
      <c r="C15" s="51" t="s">
        <v>1213</v>
      </c>
      <c r="D15" s="56" t="s">
        <v>1205</v>
      </c>
      <c r="E15" s="56" t="s">
        <v>1214</v>
      </c>
      <c r="F15" s="56" t="s">
        <v>1215</v>
      </c>
      <c r="G15" s="58" t="s">
        <v>1216</v>
      </c>
    </row>
    <row r="16" spans="1:7" ht="48" customHeight="1">
      <c r="A16" s="53" t="s">
        <v>1163</v>
      </c>
      <c r="B16" s="54" t="s">
        <v>1164</v>
      </c>
      <c r="C16" s="54" t="s">
        <v>1217</v>
      </c>
      <c r="D16" s="57" t="s">
        <v>1218</v>
      </c>
      <c r="E16" s="57" t="s">
        <v>1219</v>
      </c>
      <c r="F16" s="57" t="s">
        <v>1220</v>
      </c>
      <c r="G16" s="59" t="s">
        <v>1221</v>
      </c>
    </row>
  </sheetData>
  <mergeCells count="2">
    <mergeCell ref="A1:G1"/>
    <mergeCell ref="A2:G2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밸런스 문서</vt:lpstr>
      <vt:lpstr>밸런스 팩터</vt:lpstr>
      <vt:lpstr>작성 기준</vt:lpstr>
      <vt:lpstr>밸런스 곡선</vt:lpstr>
      <vt:lpstr>PC DATA(대차대조표)</vt:lpstr>
      <vt:lpstr>아이템</vt:lpstr>
      <vt:lpstr>몬스터</vt:lpstr>
      <vt:lpstr>변경 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FullName</cp:lastModifiedBy>
  <dcterms:modified xsi:type="dcterms:W3CDTF">2026-08-03T04:32:19Z</dcterms:modified>
</cp:coreProperties>
</file>
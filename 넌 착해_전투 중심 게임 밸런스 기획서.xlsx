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중\"/>
    </mc:Choice>
  </mc:AlternateContent>
  <xr:revisionPtr revIDLastSave="0" documentId="13_ncr:1_{7D2F1AF1-7220-4521-B46B-FC520847CB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밸런스 문서" sheetId="1" r:id="rId1"/>
    <sheet name="밸런스 팩터" sheetId="2" r:id="rId2"/>
    <sheet name="작성 기준" sheetId="3" r:id="rId3"/>
    <sheet name="밸런스 곡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4" l="1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E40" i="4"/>
  <c r="C40" i="4"/>
  <c r="B40" i="4"/>
  <c r="C39" i="4"/>
  <c r="B39" i="4"/>
  <c r="C38" i="4"/>
  <c r="B38" i="4"/>
  <c r="C37" i="4"/>
  <c r="B37" i="4"/>
  <c r="E36" i="4"/>
  <c r="C36" i="4"/>
  <c r="B36" i="4"/>
  <c r="C35" i="4"/>
  <c r="B35" i="4"/>
  <c r="C34" i="4"/>
  <c r="B34" i="4"/>
  <c r="C33" i="4"/>
  <c r="B33" i="4"/>
  <c r="E32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E22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J3" i="4"/>
  <c r="H3" i="4"/>
  <c r="F3" i="4"/>
  <c r="D3" i="4"/>
  <c r="B3" i="4"/>
  <c r="V124" i="1"/>
  <c r="U124" i="1"/>
  <c r="Q124" i="1"/>
  <c r="E137" i="4" s="1"/>
  <c r="V123" i="1"/>
  <c r="U123" i="1"/>
  <c r="Q123" i="1"/>
  <c r="E136" i="4" s="1"/>
  <c r="V122" i="1"/>
  <c r="U122" i="1"/>
  <c r="Q122" i="1"/>
  <c r="V121" i="1"/>
  <c r="U121" i="1"/>
  <c r="R121" i="1"/>
  <c r="F134" i="4" s="1"/>
  <c r="Q121" i="1"/>
  <c r="E134" i="4" s="1"/>
  <c r="V120" i="1"/>
  <c r="U120" i="1"/>
  <c r="Q120" i="1"/>
  <c r="E133" i="4" s="1"/>
  <c r="Q119" i="1"/>
  <c r="E132" i="4" s="1"/>
  <c r="Q118" i="1"/>
  <c r="R117" i="1"/>
  <c r="Q117" i="1"/>
  <c r="E130" i="4" s="1"/>
  <c r="Q116" i="1"/>
  <c r="E129" i="4" s="1"/>
  <c r="V115" i="1"/>
  <c r="U115" i="1"/>
  <c r="Q115" i="1"/>
  <c r="E128" i="4" s="1"/>
  <c r="V114" i="1"/>
  <c r="U114" i="1"/>
  <c r="Q114" i="1"/>
  <c r="R113" i="1"/>
  <c r="Q113" i="1"/>
  <c r="E126" i="4" s="1"/>
  <c r="V112" i="1"/>
  <c r="U112" i="1"/>
  <c r="Q112" i="1"/>
  <c r="E125" i="4" s="1"/>
  <c r="Q111" i="1"/>
  <c r="E124" i="4" s="1"/>
  <c r="Q110" i="1"/>
  <c r="Q109" i="1"/>
  <c r="E122" i="4" s="1"/>
  <c r="Q108" i="1"/>
  <c r="R107" i="1"/>
  <c r="Q107" i="1"/>
  <c r="E120" i="4" s="1"/>
  <c r="Q106" i="1"/>
  <c r="E119" i="4" s="1"/>
  <c r="Q105" i="1"/>
  <c r="E118" i="4" s="1"/>
  <c r="V104" i="1"/>
  <c r="U104" i="1"/>
  <c r="Q104" i="1"/>
  <c r="V103" i="1"/>
  <c r="U103" i="1"/>
  <c r="Q103" i="1"/>
  <c r="E116" i="4" s="1"/>
  <c r="V102" i="1"/>
  <c r="U102" i="1"/>
  <c r="Q102" i="1"/>
  <c r="E115" i="4" s="1"/>
  <c r="V101" i="1"/>
  <c r="U101" i="1"/>
  <c r="Q101" i="1"/>
  <c r="E114" i="4" s="1"/>
  <c r="Q100" i="1"/>
  <c r="R99" i="1"/>
  <c r="Q99" i="1"/>
  <c r="E112" i="4" s="1"/>
  <c r="V98" i="1"/>
  <c r="U98" i="1"/>
  <c r="Q98" i="1"/>
  <c r="E111" i="4" s="1"/>
  <c r="Q97" i="1"/>
  <c r="E110" i="4" s="1"/>
  <c r="R96" i="1"/>
  <c r="F109" i="4" s="1"/>
  <c r="Q96" i="1"/>
  <c r="E109" i="4" s="1"/>
  <c r="Q95" i="1"/>
  <c r="E108" i="4" s="1"/>
  <c r="R94" i="1"/>
  <c r="F107" i="4" s="1"/>
  <c r="Q94" i="1"/>
  <c r="E107" i="4" s="1"/>
  <c r="Q93" i="1"/>
  <c r="E106" i="4" s="1"/>
  <c r="V92" i="1"/>
  <c r="U92" i="1"/>
  <c r="Q92" i="1"/>
  <c r="Q91" i="1"/>
  <c r="E104" i="4" s="1"/>
  <c r="Q90" i="1"/>
  <c r="E103" i="4" s="1"/>
  <c r="V89" i="1"/>
  <c r="U89" i="1"/>
  <c r="Q89" i="1"/>
  <c r="Q88" i="1"/>
  <c r="E101" i="4" s="1"/>
  <c r="Q87" i="1"/>
  <c r="E100" i="4" s="1"/>
  <c r="V86" i="1"/>
  <c r="U86" i="1"/>
  <c r="Q86" i="1"/>
  <c r="R85" i="1"/>
  <c r="Q85" i="1"/>
  <c r="E98" i="4" s="1"/>
  <c r="V84" i="1"/>
  <c r="U84" i="1"/>
  <c r="Q84" i="1"/>
  <c r="E97" i="4" s="1"/>
  <c r="Q83" i="1"/>
  <c r="E96" i="4" s="1"/>
  <c r="V82" i="1"/>
  <c r="U82" i="1"/>
  <c r="Q82" i="1"/>
  <c r="R81" i="1"/>
  <c r="Q81" i="1"/>
  <c r="E94" i="4" s="1"/>
  <c r="Q80" i="1"/>
  <c r="E93" i="4" s="1"/>
  <c r="V79" i="1"/>
  <c r="U79" i="1"/>
  <c r="Q79" i="1"/>
  <c r="E92" i="4" s="1"/>
  <c r="Q78" i="1"/>
  <c r="V77" i="1"/>
  <c r="U77" i="1"/>
  <c r="Q77" i="1"/>
  <c r="E90" i="4" s="1"/>
  <c r="V76" i="1"/>
  <c r="U76" i="1"/>
  <c r="Q76" i="1"/>
  <c r="E89" i="4" s="1"/>
  <c r="Q75" i="1"/>
  <c r="E88" i="4" s="1"/>
  <c r="V74" i="1"/>
  <c r="U74" i="1"/>
  <c r="Q74" i="1"/>
  <c r="V73" i="1"/>
  <c r="U73" i="1"/>
  <c r="R73" i="1"/>
  <c r="F86" i="4" s="1"/>
  <c r="Q73" i="1"/>
  <c r="E86" i="4" s="1"/>
  <c r="Q72" i="1"/>
  <c r="E85" i="4" s="1"/>
  <c r="Q71" i="1"/>
  <c r="R70" i="1"/>
  <c r="Q70" i="1"/>
  <c r="E83" i="4" s="1"/>
  <c r="Q69" i="1"/>
  <c r="E82" i="4" s="1"/>
  <c r="Q68" i="1"/>
  <c r="E81" i="4" s="1"/>
  <c r="V67" i="1"/>
  <c r="U67" i="1"/>
  <c r="Q67" i="1"/>
  <c r="V66" i="1"/>
  <c r="U66" i="1"/>
  <c r="Q66" i="1"/>
  <c r="E79" i="4" s="1"/>
  <c r="V65" i="1"/>
  <c r="U65" i="1"/>
  <c r="Q65" i="1"/>
  <c r="E78" i="4" s="1"/>
  <c r="Q64" i="1"/>
  <c r="E77" i="4" s="1"/>
  <c r="Q63" i="1"/>
  <c r="R62" i="1"/>
  <c r="Q62" i="1"/>
  <c r="E75" i="4" s="1"/>
  <c r="Q61" i="1"/>
  <c r="E74" i="4" s="1"/>
  <c r="Q60" i="1"/>
  <c r="E73" i="4" s="1"/>
  <c r="Q59" i="1"/>
  <c r="V58" i="1"/>
  <c r="U58" i="1"/>
  <c r="R58" i="1"/>
  <c r="F71" i="4" s="1"/>
  <c r="Q58" i="1"/>
  <c r="E71" i="4" s="1"/>
  <c r="V57" i="1"/>
  <c r="U57" i="1"/>
  <c r="Q57" i="1"/>
  <c r="E70" i="4" s="1"/>
  <c r="Q56" i="1"/>
  <c r="E69" i="4" s="1"/>
  <c r="Q55" i="1"/>
  <c r="R54" i="1"/>
  <c r="Q54" i="1"/>
  <c r="E67" i="4" s="1"/>
  <c r="Q53" i="1"/>
  <c r="E66" i="4" s="1"/>
  <c r="Q52" i="1"/>
  <c r="E65" i="4" s="1"/>
  <c r="V51" i="1"/>
  <c r="U51" i="1"/>
  <c r="Q51" i="1"/>
  <c r="Q50" i="1"/>
  <c r="E63" i="4" s="1"/>
  <c r="V49" i="1"/>
  <c r="U49" i="1"/>
  <c r="Q49" i="1"/>
  <c r="E62" i="4" s="1"/>
  <c r="V48" i="1"/>
  <c r="U48" i="1"/>
  <c r="Q48" i="1"/>
  <c r="E61" i="4" s="1"/>
  <c r="Q47" i="1"/>
  <c r="R46" i="1"/>
  <c r="Q46" i="1"/>
  <c r="E59" i="4" s="1"/>
  <c r="Q45" i="1"/>
  <c r="E58" i="4" s="1"/>
  <c r="Q44" i="1"/>
  <c r="E57" i="4" s="1"/>
  <c r="Q43" i="1"/>
  <c r="V42" i="1"/>
  <c r="U42" i="1"/>
  <c r="Q42" i="1"/>
  <c r="E55" i="4" s="1"/>
  <c r="V41" i="1"/>
  <c r="U41" i="1"/>
  <c r="Q41" i="1"/>
  <c r="E54" i="4" s="1"/>
  <c r="Q40" i="1"/>
  <c r="E53" i="4" s="1"/>
  <c r="Q39" i="1"/>
  <c r="R39" i="1" s="1"/>
  <c r="R38" i="1"/>
  <c r="Q38" i="1"/>
  <c r="E51" i="4" s="1"/>
  <c r="Q37" i="1"/>
  <c r="R37" i="1" s="1"/>
  <c r="Q36" i="1"/>
  <c r="R36" i="1" s="1"/>
  <c r="V36" i="1" s="1"/>
  <c r="Q35" i="1"/>
  <c r="R35" i="1" s="1"/>
  <c r="R34" i="1"/>
  <c r="Q34" i="1"/>
  <c r="E47" i="4" s="1"/>
  <c r="V33" i="1"/>
  <c r="U33" i="1"/>
  <c r="Q33" i="1"/>
  <c r="R33" i="1" s="1"/>
  <c r="F46" i="4" s="1"/>
  <c r="V32" i="1"/>
  <c r="U32" i="1"/>
  <c r="Q32" i="1"/>
  <c r="R32" i="1" s="1"/>
  <c r="F45" i="4" s="1"/>
  <c r="Q31" i="1"/>
  <c r="R31" i="1" s="1"/>
  <c r="Q30" i="1"/>
  <c r="R30" i="1" s="1"/>
  <c r="Q29" i="1"/>
  <c r="R29" i="1" s="1"/>
  <c r="U29" i="1" s="1"/>
  <c r="Q28" i="1"/>
  <c r="R28" i="1" s="1"/>
  <c r="Q27" i="1"/>
  <c r="R27" i="1" s="1"/>
  <c r="V26" i="1"/>
  <c r="U26" i="1"/>
  <c r="Q26" i="1"/>
  <c r="R26" i="1" s="1"/>
  <c r="F39" i="4" s="1"/>
  <c r="V25" i="1"/>
  <c r="U25" i="1"/>
  <c r="Q25" i="1"/>
  <c r="R25" i="1" s="1"/>
  <c r="F38" i="4" s="1"/>
  <c r="V24" i="1"/>
  <c r="U24" i="1"/>
  <c r="Q24" i="1"/>
  <c r="R24" i="1" s="1"/>
  <c r="F37" i="4" s="1"/>
  <c r="Q23" i="1"/>
  <c r="R23" i="1" s="1"/>
  <c r="Q22" i="1"/>
  <c r="R22" i="1" s="1"/>
  <c r="U21" i="1"/>
  <c r="Q21" i="1"/>
  <c r="R21" i="1" s="1"/>
  <c r="Q20" i="1"/>
  <c r="R20" i="1" s="1"/>
  <c r="Q19" i="1"/>
  <c r="R19" i="1" s="1"/>
  <c r="V18" i="1"/>
  <c r="U18" i="1"/>
  <c r="R18" i="1"/>
  <c r="F31" i="4" s="1"/>
  <c r="Q18" i="1"/>
  <c r="E31" i="4" s="1"/>
  <c r="V17" i="1"/>
  <c r="U17" i="1"/>
  <c r="Q17" i="1"/>
  <c r="R17" i="1" s="1"/>
  <c r="F30" i="4" s="1"/>
  <c r="Q16" i="1"/>
  <c r="R16" i="1" s="1"/>
  <c r="Q15" i="1"/>
  <c r="R15" i="1" s="1"/>
  <c r="Q14" i="1"/>
  <c r="R14" i="1" s="1"/>
  <c r="Q13" i="1"/>
  <c r="R13" i="1" s="1"/>
  <c r="Q12" i="1"/>
  <c r="R12" i="1" s="1"/>
  <c r="V11" i="1"/>
  <c r="U11" i="1"/>
  <c r="Q11" i="1"/>
  <c r="R11" i="1" s="1"/>
  <c r="F24" i="4" s="1"/>
  <c r="V10" i="1"/>
  <c r="U10" i="1"/>
  <c r="R10" i="1"/>
  <c r="F23" i="4" s="1"/>
  <c r="Q10" i="1"/>
  <c r="E23" i="4" s="1"/>
  <c r="V9" i="1"/>
  <c r="U9" i="1"/>
  <c r="Q9" i="1"/>
  <c r="R9" i="1" s="1"/>
  <c r="F22" i="4" s="1"/>
  <c r="V8" i="1"/>
  <c r="U8" i="1"/>
  <c r="Q8" i="1"/>
  <c r="R8" i="1" s="1"/>
  <c r="F21" i="4" s="1"/>
  <c r="V7" i="1"/>
  <c r="U7" i="1"/>
  <c r="Q7" i="1"/>
  <c r="R7" i="1" s="1"/>
  <c r="F20" i="4" s="1"/>
  <c r="V6" i="1"/>
  <c r="U6" i="1"/>
  <c r="Q6" i="1"/>
  <c r="E19" i="4" s="1"/>
  <c r="V5" i="1"/>
  <c r="U5" i="1"/>
  <c r="Q5" i="1"/>
  <c r="R5" i="1" s="1"/>
  <c r="F18" i="4" s="1"/>
  <c r="V4" i="1"/>
  <c r="U4" i="1"/>
  <c r="Q4" i="1"/>
  <c r="R4" i="1" s="1"/>
  <c r="F17" i="4" s="1"/>
  <c r="V3" i="1"/>
  <c r="U3" i="1"/>
  <c r="Q3" i="1"/>
  <c r="E16" i="4" s="1"/>
  <c r="V2" i="1"/>
  <c r="U2" i="1"/>
  <c r="R2" i="1"/>
  <c r="F15" i="4" s="1"/>
  <c r="Q2" i="1"/>
  <c r="E15" i="4" s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E25" i="4" l="1"/>
  <c r="E44" i="4"/>
  <c r="R6" i="1"/>
  <c r="F19" i="4" s="1"/>
  <c r="R42" i="1"/>
  <c r="F55" i="4" s="1"/>
  <c r="R50" i="1"/>
  <c r="R66" i="1"/>
  <c r="F79" i="4" s="1"/>
  <c r="R77" i="1"/>
  <c r="F90" i="4" s="1"/>
  <c r="R103" i="1"/>
  <c r="F116" i="4" s="1"/>
  <c r="E18" i="4"/>
  <c r="E21" i="4"/>
  <c r="E35" i="4"/>
  <c r="E39" i="4"/>
  <c r="E43" i="4"/>
  <c r="E50" i="4"/>
  <c r="E17" i="4"/>
  <c r="E27" i="4"/>
  <c r="E30" i="4"/>
  <c r="E34" i="4"/>
  <c r="E38" i="4"/>
  <c r="E42" i="4"/>
  <c r="E46" i="4"/>
  <c r="E49" i="4"/>
  <c r="E26" i="4"/>
  <c r="E29" i="4"/>
  <c r="E33" i="4"/>
  <c r="E37" i="4"/>
  <c r="E41" i="4"/>
  <c r="E45" i="4"/>
  <c r="F26" i="4"/>
  <c r="V13" i="1"/>
  <c r="V15" i="1"/>
  <c r="F28" i="4"/>
  <c r="U15" i="1"/>
  <c r="F47" i="4"/>
  <c r="U34" i="1"/>
  <c r="V34" i="1"/>
  <c r="U13" i="1"/>
  <c r="U20" i="1"/>
  <c r="F33" i="4"/>
  <c r="U28" i="1"/>
  <c r="F41" i="4"/>
  <c r="V35" i="1"/>
  <c r="U35" i="1"/>
  <c r="F48" i="4"/>
  <c r="F50" i="4"/>
  <c r="V37" i="1"/>
  <c r="V39" i="1"/>
  <c r="U39" i="1"/>
  <c r="F52" i="4"/>
  <c r="F63" i="4"/>
  <c r="U50" i="1"/>
  <c r="V50" i="1"/>
  <c r="E91" i="4"/>
  <c r="R78" i="1"/>
  <c r="F94" i="4"/>
  <c r="U81" i="1"/>
  <c r="V81" i="1"/>
  <c r="E99" i="4"/>
  <c r="R86" i="1"/>
  <c r="F99" i="4" s="1"/>
  <c r="E102" i="4"/>
  <c r="R89" i="1"/>
  <c r="F102" i="4" s="1"/>
  <c r="E105" i="4"/>
  <c r="R92" i="1"/>
  <c r="F105" i="4" s="1"/>
  <c r="F112" i="4"/>
  <c r="U99" i="1"/>
  <c r="V99" i="1"/>
  <c r="E127" i="4"/>
  <c r="R114" i="1"/>
  <c r="F127" i="4" s="1"/>
  <c r="R3" i="1"/>
  <c r="F16" i="4" s="1"/>
  <c r="U12" i="1"/>
  <c r="F25" i="4"/>
  <c r="U16" i="1"/>
  <c r="F29" i="4"/>
  <c r="V20" i="1"/>
  <c r="U22" i="1"/>
  <c r="V22" i="1"/>
  <c r="F35" i="4"/>
  <c r="V28" i="1"/>
  <c r="F43" i="4"/>
  <c r="V30" i="1"/>
  <c r="U30" i="1"/>
  <c r="U37" i="1"/>
  <c r="E64" i="4"/>
  <c r="R51" i="1"/>
  <c r="F64" i="4" s="1"/>
  <c r="F75" i="4"/>
  <c r="V62" i="1"/>
  <c r="U62" i="1"/>
  <c r="E80" i="4"/>
  <c r="R67" i="1"/>
  <c r="F80" i="4" s="1"/>
  <c r="E95" i="4"/>
  <c r="R82" i="1"/>
  <c r="F95" i="4" s="1"/>
  <c r="E113" i="4"/>
  <c r="R100" i="1"/>
  <c r="E117" i="4"/>
  <c r="R104" i="1"/>
  <c r="F117" i="4" s="1"/>
  <c r="E20" i="4"/>
  <c r="E24" i="4"/>
  <c r="E28" i="4"/>
  <c r="E48" i="4"/>
  <c r="E52" i="4"/>
  <c r="V12" i="1"/>
  <c r="U14" i="1"/>
  <c r="V14" i="1"/>
  <c r="F27" i="4"/>
  <c r="V16" i="1"/>
  <c r="V19" i="1"/>
  <c r="F32" i="4"/>
  <c r="U19" i="1"/>
  <c r="F34" i="4"/>
  <c r="V21" i="1"/>
  <c r="V23" i="1"/>
  <c r="U23" i="1"/>
  <c r="F36" i="4"/>
  <c r="V27" i="1"/>
  <c r="U27" i="1"/>
  <c r="F40" i="4"/>
  <c r="V29" i="1"/>
  <c r="F42" i="4"/>
  <c r="V31" i="1"/>
  <c r="U31" i="1"/>
  <c r="F44" i="4"/>
  <c r="U36" i="1"/>
  <c r="F49" i="4"/>
  <c r="F59" i="4"/>
  <c r="V46" i="1"/>
  <c r="U46" i="1"/>
  <c r="F67" i="4"/>
  <c r="V54" i="1"/>
  <c r="U54" i="1"/>
  <c r="E72" i="4"/>
  <c r="R59" i="1"/>
  <c r="E76" i="4"/>
  <c r="R63" i="1"/>
  <c r="F83" i="4"/>
  <c r="V70" i="1"/>
  <c r="U70" i="1"/>
  <c r="F120" i="4"/>
  <c r="U107" i="1"/>
  <c r="V107" i="1"/>
  <c r="F130" i="4"/>
  <c r="V117" i="1"/>
  <c r="U117" i="1"/>
  <c r="E135" i="4"/>
  <c r="R122" i="1"/>
  <c r="F135" i="4" s="1"/>
  <c r="F51" i="4"/>
  <c r="V38" i="1"/>
  <c r="U38" i="1"/>
  <c r="E56" i="4"/>
  <c r="R43" i="1"/>
  <c r="E60" i="4"/>
  <c r="R47" i="1"/>
  <c r="E68" i="4"/>
  <c r="R55" i="1"/>
  <c r="E84" i="4"/>
  <c r="R71" i="1"/>
  <c r="F84" i="4" s="1"/>
  <c r="E87" i="4"/>
  <c r="R74" i="1"/>
  <c r="F87" i="4" s="1"/>
  <c r="F98" i="4"/>
  <c r="V85" i="1"/>
  <c r="U85" i="1"/>
  <c r="E121" i="4"/>
  <c r="R108" i="1"/>
  <c r="F121" i="4" s="1"/>
  <c r="E123" i="4"/>
  <c r="R110" i="1"/>
  <c r="F126" i="4"/>
  <c r="U113" i="1"/>
  <c r="V113" i="1"/>
  <c r="E131" i="4"/>
  <c r="R118" i="1"/>
  <c r="R40" i="1"/>
  <c r="R44" i="1"/>
  <c r="R48" i="1"/>
  <c r="F61" i="4" s="1"/>
  <c r="R52" i="1"/>
  <c r="R56" i="1"/>
  <c r="R60" i="1"/>
  <c r="R64" i="1"/>
  <c r="R68" i="1"/>
  <c r="R75" i="1"/>
  <c r="R79" i="1"/>
  <c r="F92" i="4" s="1"/>
  <c r="R83" i="1"/>
  <c r="R87" i="1"/>
  <c r="R90" i="1"/>
  <c r="R93" i="1"/>
  <c r="F106" i="4" s="1"/>
  <c r="R95" i="1"/>
  <c r="F108" i="4" s="1"/>
  <c r="R97" i="1"/>
  <c r="R101" i="1"/>
  <c r="F114" i="4" s="1"/>
  <c r="R105" i="1"/>
  <c r="R111" i="1"/>
  <c r="R115" i="1"/>
  <c r="F128" i="4" s="1"/>
  <c r="R119" i="1"/>
  <c r="R123" i="1"/>
  <c r="F136" i="4" s="1"/>
  <c r="R41" i="1"/>
  <c r="F54" i="4" s="1"/>
  <c r="R45" i="1"/>
  <c r="R49" i="1"/>
  <c r="F62" i="4" s="1"/>
  <c r="R53" i="1"/>
  <c r="R57" i="1"/>
  <c r="F70" i="4" s="1"/>
  <c r="R61" i="1"/>
  <c r="R65" i="1"/>
  <c r="F78" i="4" s="1"/>
  <c r="R69" i="1"/>
  <c r="R72" i="1"/>
  <c r="R76" i="1"/>
  <c r="F89" i="4" s="1"/>
  <c r="R80" i="1"/>
  <c r="R84" i="1"/>
  <c r="F97" i="4" s="1"/>
  <c r="R88" i="1"/>
  <c r="F101" i="4" s="1"/>
  <c r="R91" i="1"/>
  <c r="F104" i="4" s="1"/>
  <c r="R98" i="1"/>
  <c r="F111" i="4" s="1"/>
  <c r="R102" i="1"/>
  <c r="F115" i="4" s="1"/>
  <c r="R106" i="1"/>
  <c r="R109" i="1"/>
  <c r="F122" i="4" s="1"/>
  <c r="R112" i="1"/>
  <c r="F125" i="4" s="1"/>
  <c r="R116" i="1"/>
  <c r="R120" i="1"/>
  <c r="F133" i="4" s="1"/>
  <c r="R124" i="1"/>
  <c r="F137" i="4" s="1"/>
  <c r="F74" i="4" l="1"/>
  <c r="V61" i="1"/>
  <c r="U61" i="1"/>
  <c r="F58" i="4"/>
  <c r="V45" i="1"/>
  <c r="U45" i="1"/>
  <c r="F110" i="4"/>
  <c r="U97" i="1"/>
  <c r="V97" i="1"/>
  <c r="F100" i="4"/>
  <c r="U87" i="1"/>
  <c r="V87" i="1"/>
  <c r="F81" i="4"/>
  <c r="U68" i="1"/>
  <c r="V68" i="1"/>
  <c r="F65" i="4"/>
  <c r="U52" i="1"/>
  <c r="V52" i="1"/>
  <c r="F131" i="4"/>
  <c r="V118" i="1"/>
  <c r="U118" i="1"/>
  <c r="F68" i="4"/>
  <c r="V55" i="1"/>
  <c r="U55" i="1"/>
  <c r="F56" i="4"/>
  <c r="V43" i="1"/>
  <c r="U43" i="1"/>
  <c r="F76" i="4"/>
  <c r="V63" i="1"/>
  <c r="U63" i="1"/>
  <c r="F113" i="4"/>
  <c r="V100" i="1"/>
  <c r="U100" i="1"/>
  <c r="F119" i="4"/>
  <c r="V106" i="1"/>
  <c r="U106" i="1"/>
  <c r="F85" i="4"/>
  <c r="V72" i="1"/>
  <c r="U72" i="1"/>
  <c r="F124" i="4"/>
  <c r="U111" i="1"/>
  <c r="V111" i="1"/>
  <c r="F96" i="4"/>
  <c r="U83" i="1"/>
  <c r="V83" i="1"/>
  <c r="F77" i="4"/>
  <c r="U64" i="1"/>
  <c r="V64" i="1"/>
  <c r="F123" i="4"/>
  <c r="V110" i="1"/>
  <c r="U110" i="1"/>
  <c r="F129" i="4"/>
  <c r="V116" i="1"/>
  <c r="U116" i="1"/>
  <c r="F82" i="4"/>
  <c r="V69" i="1"/>
  <c r="U69" i="1"/>
  <c r="F66" i="4"/>
  <c r="V53" i="1"/>
  <c r="U53" i="1"/>
  <c r="F118" i="4"/>
  <c r="U105" i="1"/>
  <c r="V105" i="1"/>
  <c r="F73" i="4"/>
  <c r="U60" i="1"/>
  <c r="V60" i="1"/>
  <c r="F57" i="4"/>
  <c r="U44" i="1"/>
  <c r="V44" i="1"/>
  <c r="F60" i="4"/>
  <c r="V47" i="1"/>
  <c r="U47" i="1"/>
  <c r="F72" i="4"/>
  <c r="V59" i="1"/>
  <c r="U59" i="1"/>
  <c r="F93" i="4"/>
  <c r="V80" i="1"/>
  <c r="U80" i="1"/>
  <c r="F132" i="4"/>
  <c r="U119" i="1"/>
  <c r="V119" i="1"/>
  <c r="F103" i="4"/>
  <c r="U90" i="1"/>
  <c r="V90" i="1"/>
  <c r="F88" i="4"/>
  <c r="U75" i="1"/>
  <c r="V75" i="1"/>
  <c r="F69" i="4"/>
  <c r="U56" i="1"/>
  <c r="V56" i="1"/>
  <c r="F53" i="4"/>
  <c r="U40" i="1"/>
  <c r="V40" i="1"/>
  <c r="F91" i="4"/>
  <c r="V78" i="1"/>
  <c r="U78" i="1"/>
  <c r="V108" i="1"/>
  <c r="S108" i="1"/>
  <c r="U108" i="1"/>
  <c r="V94" i="1"/>
  <c r="S94" i="1"/>
  <c r="U94" i="1"/>
  <c r="U91" i="1"/>
  <c r="S91" i="1"/>
  <c r="V91" i="1"/>
  <c r="U93" i="1"/>
  <c r="S93" i="1"/>
  <c r="V93" i="1"/>
  <c r="V109" i="1"/>
  <c r="S109" i="1"/>
  <c r="U109" i="1"/>
  <c r="V71" i="1"/>
  <c r="S71" i="1"/>
  <c r="U71" i="1"/>
  <c r="V95" i="1"/>
  <c r="S95" i="1"/>
  <c r="U95" i="1"/>
  <c r="V96" i="1"/>
  <c r="S96" i="1"/>
  <c r="U96" i="1"/>
</calcChain>
</file>

<file path=xl/sharedStrings.xml><?xml version="1.0" encoding="utf-8"?>
<sst xmlns="http://schemas.openxmlformats.org/spreadsheetml/2006/main" count="1218" uniqueCount="359">
  <si>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</si>
  <si>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</si>
  <si>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</si>
  <si>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</si>
  <si>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</si>
  <si>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</si>
  <si>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</si>
  <si>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</si>
  <si>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</si>
  <si>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</si>
  <si>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</si>
  <si>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</si>
  <si>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</si>
  <si>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</si>
  <si>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</si>
  <si>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</si>
  <si>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</si>
  <si>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Y
레벨업을 위한 필요 경험치</t>
  </si>
  <si>
    <t>한마리 몬스터가 주는 경험치</t>
  </si>
  <si>
    <t>레벨 업을 위해 잡아야하는 몬스터 수</t>
  </si>
  <si>
    <t>밸런스 팩터</t>
  </si>
  <si>
    <t>항목</t>
  </si>
  <si>
    <t>작성 방식</t>
  </si>
  <si>
    <t>값/형식</t>
  </si>
  <si>
    <t>우리 게임 적용 기준</t>
  </si>
  <si>
    <t>한마리 몬스터와 전투시간(초)</t>
  </si>
  <si>
    <t>레벨 업을 위한 전투시간(초)</t>
  </si>
  <si>
    <t>1 | 첫 각성</t>
  </si>
  <si>
    <t>과거 오프닝 감상하기</t>
  </si>
  <si>
    <t>전투 규칙·인물 감정·다음 목표가 한 장면에 함께 제시되어 핵심 정보를 놓칠 수 있음</t>
  </si>
  <si>
    <t>강조 자막과 기록 메뉴를 확인해 현재 임무·인물 관계·전투 목적을 구분함</t>
  </si>
  <si>
    <t>1/10 – 주요 난이도 요인: 정보량·장면 전환 속도·감정적 부담</t>
  </si>
  <si>
    <t>필수 대화와 연출을 마지막 장면까지 확인</t>
  </si>
  <si>
    <t>-</t>
  </si>
  <si>
    <t>핵심 전투 정보 자막 유지·기록 메뉴 자동 등록</t>
  </si>
  <si>
    <t>1-A | 아파트·생존 튜토리얼</t>
  </si>
  <si>
    <t>정전된 거실에서 가족 찾기</t>
  </si>
  <si>
    <t>조사 지점이 넓게 흩어져 있고 일부는 적의 순찰 범위 안에 있어 탐색 동선이 길어질 수 있음</t>
  </si>
  <si>
    <t>미니맵의 미확인 구역을 기준으로 짧은 동선을 만들고 적 순찰이 비는 순서대로 조사함</t>
  </si>
  <si>
    <t>2/10 – 주요 난이도 요인: 탐색 범위·필수 조사 수·적 순찰 밀도</t>
  </si>
  <si>
    <t>필수 조사 지점 4곳 확인</t>
  </si>
  <si>
    <t>체력 0 시 마지막 안전 지점에서 재시작</t>
  </si>
  <si>
    <t>일정 시간 미발견 시 가장 가까운 조사 구역 반짝임 표시</t>
  </si>
  <si>
    <t>가족 대피 요청 받기</t>
  </si>
  <si>
    <t>비상용 손전등 찾기</t>
  </si>
  <si>
    <t>첫 괴물의 시야 피하기</t>
  </si>
  <si>
    <t>괴물의 시야와 소리 감지 범위가 겹쳐 한 번에 통과할 수 있는 안전 구간이 짧음</t>
  </si>
  <si>
    <t>시야 원뿔과 발소리 게이지를 확인해 엄폐물 사이를 이동하고 필요할 때 소리 유도 오브젝트를 사용함</t>
  </si>
  <si>
    <t>4/10 – 주요 난이도 요인: 시야 범위·감지 속도·엄폐물 간 거리</t>
  </si>
  <si>
    <t>괴물에게 들키지 않고 안전 구역 도착</t>
  </si>
  <si>
    <t>경계 게이지 최대 시 추격 발생, 추격 중 피격 누적 시 체크포인트 재시작</t>
  </si>
  <si>
    <t>붕괴하는 계단 통과하기</t>
  </si>
  <si>
    <t>붕괴 지형과 적의 공격 예고가 이동 경로를 제한해 안전한 타이밍을 판단해야 함</t>
  </si>
  <si>
    <t>공격 예고 범위를 본 뒤 안전 지점에서 대기하고 이동 가능한 순간에 다음 엄폐물까지 이동함</t>
  </si>
  <si>
    <t>2/10 – 주요 난이도 요인: 공격 예고 시간·안전 지점 간 거리·지형 붕괴 속도</t>
  </si>
  <si>
    <t>목표 지점의 도착 트리거 진입</t>
  </si>
  <si>
    <t>낙하 공격 3회 피격 또는 체력 0 시 직전 체크포인트 재시작</t>
  </si>
  <si>
    <t>연속 실패 시 공격 예고 시간 증가·안전 지점 추가 표시</t>
  </si>
  <si>
    <t>아이를 안전구역까지 호위하기</t>
  </si>
  <si>
    <t>정전과 낙하물 때문에 아이의 이동이 자주 멈추고 혼란한 주민들 사이에서 경로가 막힘</t>
  </si>
  <si>
    <t>아이보다 반 걸음 앞에서 안전한 경로를 확보하고 낙하물 예고가 끝난 뒤 함께 이동함</t>
  </si>
  <si>
    <t>4/10 – 주요 난이도 요인: 호위 거리·낙하물 주기·군중 이동 방해</t>
  </si>
  <si>
    <t>아이와 함께 안전 지점 3곳 통과</t>
  </si>
  <si>
    <t>아이와 거리 초과 또는 낙하물 3회 피격 시 마지막 안전 지점부터 재시작</t>
  </si>
  <si>
    <t>아이 이동속도 향상·안전 경로 화살표 표시</t>
  </si>
  <si>
    <t>괴물과 접촉해 소멸시키기</t>
  </si>
  <si>
    <t>자동 연출 속에서 괴물 소멸의 원인과 주인공의 반응을 짧은 시간 안에 이해해야 함</t>
  </si>
  <si>
    <t>연출 속 괴물의 반응과 주인공의 손에 나타나는 선의 효과를 확인함</t>
  </si>
  <si>
    <t>1/10 – 주요 난이도 요인: 연출 길이·원인 정보의 은폐 정도</t>
  </si>
  <si>
    <t>괴물 소멸 연출 종료 후 이동 가능 상태 전환</t>
  </si>
  <si>
    <t>다시 보기와 장면별 일시정지 제공</t>
  </si>
  <si>
    <t>대피소에 도착하기</t>
  </si>
  <si>
    <t>1-B | 대피소·전투 훈련</t>
  </si>
  <si>
    <t>고등급자의 전투 관찰하기</t>
  </si>
  <si>
    <t>기본 공격 훈련하기</t>
  </si>
  <si>
    <t>공격·회피·스태미나 입력을 정해진 순서와 타이밍에 맞춰 반복해야 함</t>
  </si>
  <si>
    <t>안내되는 입력을 한 단계씩 수행하고 성공 판정이 확인된 뒤 다음 조작으로 넘어감</t>
  </si>
  <si>
    <t>2/10 – 주요 난이도 요인: 입력 수·타이밍 허용 범위·연속 성공 횟수</t>
  </si>
  <si>
    <t>지정 조작 3회 성공</t>
  </si>
  <si>
    <t>연속 3회 실패 시 현재 훈련 단계부터 다시 진행</t>
  </si>
  <si>
    <t>입력 타이밍 완화·느린 시범 재생·자동 조작 안내</t>
  </si>
  <si>
    <t>회피와 스태미나 훈련하기</t>
  </si>
  <si>
    <t>약점 표식 확인하기</t>
  </si>
  <si>
    <t>훈련용 변이체 3마리 처치하기</t>
  </si>
  <si>
    <t>여러 적이 동시에 접근하며 근거리·원거리 공격이 겹쳐 표적 우선순위를 빠르게 바꿔야 함</t>
  </si>
  <si>
    <t>원거리·지원형 적을 먼저 처치하고 회피 후 생기는 빈틈에 기본 공격과 선의 스킬을 연계함</t>
  </si>
  <si>
    <t>4/10 – 주요 난이도 요인: 동시 적 수·공격 유형 수·회피 빈도</t>
  </si>
  <si>
    <t>지정 구역의 적 3마리 처치</t>
  </si>
  <si>
    <t>체력 0 시 전투 시작 지점에서 재시작</t>
  </si>
  <si>
    <t>연속 실패 시 적 체력 10% 감소·회복 아이템 추가 배치</t>
  </si>
  <si>
    <t>선의 충격파 습득하기</t>
  </si>
  <si>
    <t>첫 장비 슬롯 설정하기</t>
  </si>
  <si>
    <t>장비 효과가 서로 연계되어 현재 전투 역할과 다음 구간에 맞는 조합을 판단해야 함</t>
  </si>
  <si>
    <t>다음 스테이지의 적 속성·전투 역할을 확인해 공격, 생존, 자원 회복 장비를 균형 있게 선택함</t>
  </si>
  <si>
    <t>1/10 – 주요 난이도 요인: 선택지 수·효과 연계성·추천 정보 명확성</t>
  </si>
  <si>
    <t>필수 장비·스킬 슬롯 3개 설정 후 저장</t>
  </si>
  <si>
    <t>추천 장비 자동 표시·현재 장비와 효과 비교</t>
  </si>
  <si>
    <t>아파트 구조대에 합류하기</t>
  </si>
  <si>
    <t>1-C | 아파트 구조 작전</t>
  </si>
  <si>
    <t>복도 변이체 무리 처치하기</t>
  </si>
  <si>
    <t>지정 구역의 적 4마리 처치</t>
  </si>
  <si>
    <t>갇힌 주민을 지키며 문 개방하기</t>
  </si>
  <si>
    <t>여러 방향에서 적이 몰려오고 방어 대상의 내구도도 함께 관리해야 함</t>
  </si>
  <si>
    <t>위험도가 높은 진입로부터 차단하고 광역 스킬은 웨이브가 겹치는 순간에 사용함</t>
  </si>
  <si>
    <t>5/10 – 주요 난이도 요인: 진입로 수·웨이브 수·방어 대상 내구도</t>
  </si>
  <si>
    <t>방어 목표를 유지하며 3개 웨이브 종료</t>
  </si>
  <si>
    <t>방어 대상 내구도 0 또는 플레이어 체력 0 시 웨이브 재시작</t>
  </si>
  <si>
    <t>재도전 시 방어 대상 내구도 증가·첫 웨이브 적 수 감소</t>
  </si>
  <si>
    <t>지하 주차장 강습체 처치하기</t>
  </si>
  <si>
    <t>높은 강인도와 연계 패턴을 가진 정예 적이 일반 적을 소환해 공격 창이 짧음</t>
  </si>
  <si>
    <t>강인도 게이지를 먼저 무너뜨리고 패턴 종료 후 노출되는 약점에 고위력 스킬을 집중함</t>
  </si>
  <si>
    <t>6/10 – 주요 난이도 요인: 패턴 수·강인도·약점 노출 시간</t>
  </si>
  <si>
    <t>정예 적의 체력을 0으로 만들고 전투 구역 정리</t>
  </si>
  <si>
    <t>체력 0 시 정예 전투 시작 지점에서 재시작</t>
  </si>
  <si>
    <t>패턴 예고 강화·강인도 회복 속도 감소</t>
  </si>
  <si>
    <t>옥상 탈출로 확보하기</t>
  </si>
  <si>
    <t>첫 균열 수호체 처치하기</t>
  </si>
  <si>
    <t>체력 구간마다 패턴과 전장 구조가 바뀌며 회피·약점 공격·자원 관리가 동시에 요구됨</t>
  </si>
  <si>
    <t>패턴 예고와 체력 단계 전환을 관찰해 회피 자원을 남기고 약점 노출 구간에 궁극기를 사용함</t>
  </si>
  <si>
    <t>8/10 – 주요 난이도 요인: 페이즈 수·패턴 복합도·자원 관리 압박</t>
  </si>
  <si>
    <t>보스의 모든 페이즈를 돌파하고 최종 체력을 0으로 만듦</t>
  </si>
  <si>
    <t>체력 0 시 현재 보스 페이즈 시작 지점에서 재시작</t>
  </si>
  <si>
    <t>페이즈 체크포인트·패턴 예고 강화·회복 아이템 보충</t>
  </si>
  <si>
    <t>2 | 대피소 방어</t>
  </si>
  <si>
    <t>출정 장비 점검하기</t>
  </si>
  <si>
    <t>2/10 – 주요 난이도 요인: 선택지 수·효과 연계성·추천 정보 명확성</t>
  </si>
  <si>
    <t>2-A | 보급로 확보</t>
  </si>
  <si>
    <t>회복약과 투척 도구 선택하기</t>
  </si>
  <si>
    <t>폐상가 보급로에 진입하기</t>
  </si>
  <si>
    <t>3/10 – 주요 난이도 요인: 공격 예고 시간·안전 지점 간 거리·지형 붕괴 속도</t>
  </si>
  <si>
    <t>매복 변이체 처치하기</t>
  </si>
  <si>
    <t>5/10 – 주요 난이도 요인: 동시 적 수·공격 유형 수·회피 빈도</t>
  </si>
  <si>
    <t>지정 구역의 적 5마리 처치</t>
  </si>
  <si>
    <t>포식형 괴물의 추격 피하기</t>
  </si>
  <si>
    <t>의약품 상자를 지키기</t>
  </si>
  <si>
    <t>6/10 – 주요 난이도 요인: 진입로 수·웨이브 수·방어 대상 내구도</t>
  </si>
  <si>
    <t>부상자를 대피소까지 호위하기</t>
  </si>
  <si>
    <t>호위 대상이 공격에 취약하고 이동을 멈추는 구간마다 적 증원이 발생함</t>
  </si>
  <si>
    <t>호위 대상보다 앞서 이동해 적을 끌어내고 위험 구간에서는 방어 스킬로 이동 시간을 확보함</t>
  </si>
  <si>
    <t>5/10 – 주요 난이도 요인: 호위 거리·적 증원 수·호위 대상 생존력</t>
  </si>
  <si>
    <t>호위 대상과 함께 3개 안전 지점 통과</t>
  </si>
  <si>
    <t>호위 대상 체력 0 또는 플레이어와 거리 초과 시 마지막 지점부터 재시작</t>
  </si>
  <si>
    <t>호위 대상 방어력 증가·위험 구간 이동 속도 향상</t>
  </si>
  <si>
    <t>보급로 정찰대장 처치하기</t>
  </si>
  <si>
    <t>7/10 – 주요 난이도 요인: 패턴 수·강인도·약점 노출 시간</t>
  </si>
  <si>
    <t>대피소 경보에 대응하기</t>
  </si>
  <si>
    <t>2/10 – 주요 난이도 요인: 정보량·장면 전환 속도·감정적 부담</t>
  </si>
  <si>
    <t>2-B | 대피소 공성전</t>
  </si>
  <si>
    <t>방어 인원과 포탑 배치하기</t>
  </si>
  <si>
    <t>1차 침입 웨이브 막기</t>
  </si>
  <si>
    <t>방어 목표를 유지하며 1개 웨이브 종료</t>
  </si>
  <si>
    <t>동쪽 출입구 지원하기</t>
  </si>
  <si>
    <t>침식 벌레 둥지 파괴하기</t>
  </si>
  <si>
    <t>2차 침입 웨이브 막기</t>
  </si>
  <si>
    <t>방어 목표를 유지하며 2개 웨이브 종료</t>
  </si>
  <si>
    <t>비상 발전기 보호하기</t>
  </si>
  <si>
    <t>시민 대피 시간을 확보하기</t>
  </si>
  <si>
    <t>공성형 괴물 처치하기</t>
  </si>
  <si>
    <t>9/10 – 주요 난이도 요인: 페이즈 수·패턴 복합도·자원 관리 압박</t>
  </si>
  <si>
    <t>파손된 방어선 복구하기</t>
  </si>
  <si>
    <t>2-C | 상가 지구 탈환</t>
  </si>
  <si>
    <t>파티 연계 스킬 설정하기</t>
  </si>
  <si>
    <t>상가 골목 순찰하기</t>
  </si>
  <si>
    <t>괴물 둥지 3곳 제거하기</t>
  </si>
  <si>
    <t>괴물 둥지 3곳의 핵을 모두 파괴</t>
  </si>
  <si>
    <t>감염된 구조대원 제압하기</t>
  </si>
  <si>
    <t>상가 지구 재탈환하기</t>
  </si>
  <si>
    <t>분노의 집합체 처치하기</t>
  </si>
  <si>
    <t>3 | 고등급자 토벌대</t>
  </si>
  <si>
    <t>선의 측정 결과 확인하기</t>
  </si>
  <si>
    <t>3-A | 지하철 토벌 작전</t>
  </si>
  <si>
    <t>고등급자 토벌대 편성하기</t>
  </si>
  <si>
    <t>파티 역할 분담 훈련하기</t>
  </si>
  <si>
    <t>4/10 – 주요 난이도 요인: 입력 수·타이밍 허용 범위·연속 성공 횟수</t>
  </si>
  <si>
    <t>폐쇄된 지하철역에 진입하기</t>
  </si>
  <si>
    <t>승강장 변이체 무리 처치하기</t>
  </si>
  <si>
    <t>지정 구역의 적 6마리 처치</t>
  </si>
  <si>
    <t>열차 내부 인질 구출하기</t>
  </si>
  <si>
    <t>고속 돌진체 차단하기</t>
  </si>
  <si>
    <t>플랫폼을 3분간 방어하기</t>
  </si>
  <si>
    <t>플랫폼 방어 게이지를 3분 동안 유지</t>
  </si>
  <si>
    <t>지하철 균열핵 파괴하기</t>
  </si>
  <si>
    <t>승급 장비 선택하기</t>
  </si>
  <si>
    <t>3-B | 병원 구호 작전</t>
  </si>
  <si>
    <t>병원 구호 작전 시작하기</t>
  </si>
  <si>
    <t>응급실 입구 확보하기</t>
  </si>
  <si>
    <t>환자 운반로 방어하기</t>
  </si>
  <si>
    <t>독성 변이체 처치하기</t>
  </si>
  <si>
    <t>옥상 헬기장 확보하기</t>
  </si>
  <si>
    <t>의료진 탈출 호위하기</t>
  </si>
  <si>
    <t>병원 균열 수호체 처치하기</t>
  </si>
  <si>
    <t>10/10 – 주요 난이도 요인: 페이즈 수·패턴 복합도·자원 관리 압박</t>
  </si>
  <si>
    <t>토벌대의 피로와 불만 확인하기</t>
  </si>
  <si>
    <t>동료들의 출동 거부 확인하기</t>
  </si>
  <si>
    <t>3-C | 단독 토벌 전환</t>
  </si>
  <si>
    <t>단독 토벌 장비 재설정하기</t>
  </si>
  <si>
    <t>야간 골목 변이체 소탕하기</t>
  </si>
  <si>
    <t>시민 구조와 전투를 병행하기</t>
  </si>
  <si>
    <t>강한 변이체 3연전 돌파하기</t>
  </si>
  <si>
    <t>정예 변이체 3마리를 연속 처치하고 생존</t>
  </si>
  <si>
    <t>무너진 고가도로에서 추격하기</t>
  </si>
  <si>
    <t>6/10 – 주요 난이도 요인: 동시 적 수·공격 유형 수·회피 빈도</t>
  </si>
  <si>
    <t>광장 군집체 처치하기</t>
  </si>
  <si>
    <t>영웅화 보도와 의무 출동 확인하기</t>
  </si>
  <si>
    <t>4 | 폐교 던전</t>
  </si>
  <si>
    <t>폐교 운동장에 진입하기</t>
  </si>
  <si>
    <t>4/10 – 주요 난이도 요인: 공격 예고 시간·안전 지점 간 거리·지형 붕괴 속도</t>
  </si>
  <si>
    <t>4-A | 폐교 본관 1층</t>
  </si>
  <si>
    <t>운동장 잔류체 처치하기</t>
  </si>
  <si>
    <t>정문 봉인 장치 해제하기</t>
  </si>
  <si>
    <t>전투 압박 속에서 단서 순서와 장치 상태를 기억해 정확한 입력을 해야 함</t>
  </si>
  <si>
    <t>장치별 단서를 기록하고 적을 잠시 정리한 뒤 안전한 시간에 입력 순서를 완성함</t>
  </si>
  <si>
    <t>5/10 – 주요 난이도 요인: 단서 수·입력 순서·전투 압박</t>
  </si>
  <si>
    <t>필수 장치 또는 단서 4개를 올바른 순서로 작동</t>
  </si>
  <si>
    <t>오답 3회 누적 시 적 증원 발생하고 장치 상태 초기화</t>
  </si>
  <si>
    <t>오답 후 사용하지 않은 단서 강조·입력 제한시간 증가</t>
  </si>
  <si>
    <t>본관 1층 정찰하기</t>
  </si>
  <si>
    <t>4/10 – 주요 난이도 요인: 탐색 범위·필수 조사 수·적 순찰 밀도</t>
  </si>
  <si>
    <t>필수 조사 지점 5곳 확인</t>
  </si>
  <si>
    <t>교실 환영체 무리 처치하기</t>
  </si>
  <si>
    <t>지정 구역의 적 7마리 처치</t>
  </si>
  <si>
    <t>사물함 함정 지대 돌파하기</t>
  </si>
  <si>
    <t>1층 감시자 처치하기</t>
  </si>
  <si>
    <t>8/10 – 주요 난이도 요인: 패턴 수·강인도·약점 노출 시간</t>
  </si>
  <si>
    <t>2층 계단을 방어하기</t>
  </si>
  <si>
    <t>7/10 – 주요 난이도 요인: 진입로 수·웨이브 수·방어 대상 내구도</t>
  </si>
  <si>
    <t>4-B | 폐교 본관 2층</t>
  </si>
  <si>
    <t>친구의 기억 조각 조사하기</t>
  </si>
  <si>
    <t>학생 환영체 연속전 돌파하기</t>
  </si>
  <si>
    <t>가짜 구조 요청 판별하기</t>
  </si>
  <si>
    <t>복도 추격자 처치하기</t>
  </si>
  <si>
    <t>음악실 공명 퍼즐 해결하기</t>
  </si>
  <si>
    <t>2층 지배자 처치하기</t>
  </si>
  <si>
    <t>3층 봉쇄구역에 진입하기</t>
  </si>
  <si>
    <t>4-C | 폐교 본관 3층</t>
  </si>
  <si>
    <t>아군 환영을 구분하기</t>
  </si>
  <si>
    <t>위장 환영체 처치하기</t>
  </si>
  <si>
    <t>방송실 송신기 방어하기</t>
  </si>
  <si>
    <t>방어 목표를 유지하며 4개 웨이브 종료</t>
  </si>
  <si>
    <t>교무실 기록 회수하기</t>
  </si>
  <si>
    <t>폭주 교사형 괴물 처치하기</t>
  </si>
  <si>
    <t>강당 열쇠 획득하기</t>
  </si>
  <si>
    <t>강당 앞에서 최종 정비하기</t>
  </si>
  <si>
    <t>3/10 – 주요 난이도 요인: 선택지 수·효과 연계성·추천 정보 명확성</t>
  </si>
  <si>
    <t>4-D | 폐교 강당</t>
  </si>
  <si>
    <t>강당 잔류체 1차 웨이브 막기</t>
  </si>
  <si>
    <t>강당 잔류체 2차 웨이브 막기</t>
  </si>
  <si>
    <t>친구가 변이한 괴물과 조우하기</t>
  </si>
  <si>
    <t>친구 괴물형 1페이즈 돌파하기</t>
  </si>
  <si>
    <t>친구 괴물형 1페이즈의 체력을 0으로 만듦</t>
  </si>
  <si>
    <t>친구 인간형 2페이즈 돌파하기</t>
  </si>
  <si>
    <t>친구 인간형 2페이즈의 체력을 0으로 만듦</t>
  </si>
  <si>
    <t>포옹 선택으로 전투 종료하기</t>
  </si>
  <si>
    <t>선택 결과가 전투 난이도와 결말에 직접 영향을 주지만 되돌릴 수 없음</t>
  </si>
  <si>
    <t>수집한 기록과 동료 상태를 비교해 이후 전투 변화와 결말 결과를 확인한 뒤 선택함</t>
  </si>
  <si>
    <t>2/10 – 주요 난이도 요인: 결과 비가역성·정보량·감정적 부담</t>
  </si>
  <si>
    <t>최종 선택지를 확인하고 선택 입력 확정</t>
  </si>
  <si>
    <t>선택 전 결과 범위 요약·자동 저장</t>
  </si>
  <si>
    <t>5 | 균열 최종전</t>
  </si>
  <si>
    <t>도시 전역의 균열 폭주 확인하기</t>
  </si>
  <si>
    <t>5-A | 도시 최종 방어전</t>
  </si>
  <si>
    <t>최종 토벌 명령 수락하기</t>
  </si>
  <si>
    <t>생존자 연합 전투 구성을 설정하기</t>
  </si>
  <si>
    <t>도심 진입로 확보하기</t>
  </si>
  <si>
    <t>7/10 – 주요 난이도 요인: 동시 적 수·공격 유형 수·회피 빈도</t>
  </si>
  <si>
    <t>다중 균열을 동시에 방어하기</t>
  </si>
  <si>
    <t>8/10 – 주요 난이도 요인: 진입로 수·웨이브 수·방어 대상 내구도</t>
  </si>
  <si>
    <t>중앙 균열 문지기 처치하기</t>
  </si>
  <si>
    <t>균열 내부에 진입하기</t>
  </si>
  <si>
    <t>5/10 – 주요 난이도 요인: 공격 예고 시간·안전 지점 간 거리·지형 붕괴 속도</t>
  </si>
  <si>
    <t>5-B | 균열 내부</t>
  </si>
  <si>
    <t>붕괴 지형을 건너기</t>
  </si>
  <si>
    <t>원초 변이체 무리 처치하기</t>
  </si>
  <si>
    <t>선의 흡수체 처치하기</t>
  </si>
  <si>
    <t>9/10 – 주요 난이도 요인: 패턴 수·강인도·약점 노출 시간</t>
  </si>
  <si>
    <t>기억 미로에서 탈출하기</t>
  </si>
  <si>
    <t>6/10 – 주요 난이도 요인: 단서 수·입력 순서·전투 압박</t>
  </si>
  <si>
    <t>동료 환영과 연속전 치르기</t>
  </si>
  <si>
    <t>균열 심층문 개방하기</t>
  </si>
  <si>
    <t>차한해의 출생 진실 확인하기</t>
  </si>
  <si>
    <t>5-C | 균열 핵</t>
  </si>
  <si>
    <t>균열 핵 1페이즈 돌파하기</t>
  </si>
  <si>
    <t>균열 핵 1페이즈의 체력을 0으로 만들고 전장 전환</t>
  </si>
  <si>
    <t>균열 핵 2페이즈 돌파하기</t>
  </si>
  <si>
    <t>균열 핵 2페이즈의 체력을 0으로 만들고 핵 방어막 파괴</t>
  </si>
  <si>
    <t>자아 마모 폭주 억제하기</t>
  </si>
  <si>
    <t>균열 핵 3페이즈 돌파하기</t>
  </si>
  <si>
    <t>균열 핵 3페이즈의 체력을 0으로 만들고 최종 동기화 단계 진입</t>
  </si>
  <si>
    <t>소멸 선택지 확인하기</t>
  </si>
  <si>
    <t>최종 동기화 입력 실행하기</t>
  </si>
  <si>
    <t>균열과 몬스터 소멸 확인하기</t>
  </si>
  <si>
    <t>5-D | 결말</t>
  </si>
  <si>
    <t>생존자들의 후일담 확인하기</t>
  </si>
  <si>
    <t>엔딩 크레딧 감상하기</t>
  </si>
  <si>
    <t>전투 중심 버전 「넌 착해!」의 성장·전투·난이도에 영향을 주는 주요 조정 요소를 원형으로 정리</t>
  </si>
  <si>
    <t>큰 원은 전투 전반의 핵심 팩터이며, 작은 원은 몬스터·스킬·스테이지 단위에서 조정하는 세부 팩터임</t>
  </si>
  <si>
    <t>전투 중심 밸런스 문서 작성 기준</t>
  </si>
  <si>
    <t>플레이어가 이동·공격·회피·스킬 연계를 수행할 때 느끼는 조작 난이도</t>
  </si>
  <si>
    <t>1~10 숫자</t>
  </si>
  <si>
    <t>1은 단순 확인·설정, 10은 다단계 보스 패턴과 복합 입력</t>
  </si>
  <si>
    <t>기획자가 전투·성장·연출·성취를 통해 기대하는 재미 목표값</t>
  </si>
  <si>
    <t>일반 전투는 6~8, 정예·보스·결정적 연출은 9~10을 목표</t>
  </si>
  <si>
    <t>게임 시작부터 엔딩까지 해금되는 모든 플레이 내용을 순서대로 기록</t>
  </si>
  <si>
    <t>1부터 연속 넘버링</t>
  </si>
  <si>
    <t>이동·훈련·일반전·방어전·호위·정예전·보스전·성장 설정을 모두 포함</t>
  </si>
  <si>
    <t>제목만 읽어도 플레이어가 무엇을 해야 하는지 보이도록 작성</t>
  </si>
  <si>
    <t>행동형 제목</t>
  </si>
  <si>
    <t>예: 승강장 변이체 무리 처치하기, 플랫폼을 3분간 방어하기</t>
  </si>
  <si>
    <t>목표 달성을 방해하는 적 패턴·지형·시간·자원·호위 대상 요소</t>
  </si>
  <si>
    <t>구체적 서술</t>
  </si>
  <si>
    <t>동시 적 수, 공격 예고 시간, 강인도, 웨이브 수, 방어 대상 내구도 등</t>
  </si>
  <si>
    <t>방해 요소를 해결하기 위해 플레이어가 관찰·판단·조작해야 하는 내용</t>
  </si>
  <si>
    <t>구체적 플레이 절차</t>
  </si>
  <si>
    <t>표적 우선순위, 회피 타이밍, 약점 공격, 스킬 자원 관리 등을 작성</t>
  </si>
  <si>
    <t>조작과 판단의 어려움 및 난이도를 만드는 원인을 함께 기록</t>
  </si>
  <si>
    <t>숫자/10 + 원인 설명</t>
  </si>
  <si>
    <t>패턴 수, 동시 적 수, 약점 노출 시간, 제한시간, 체크포인트 간격 등</t>
  </si>
  <si>
    <t>해당 행을 완료하기 위해 필요한 적·웨이브·장치·단계의 수</t>
  </si>
  <si>
    <t>정수</t>
  </si>
  <si>
    <t>일반 적 6마리, 방어 3웨이브, 장치 4개, 보스 2페이즈 등</t>
  </si>
  <si>
    <t>시스템이 완료를 판정할 수 있는 명확한 조건</t>
  </si>
  <si>
    <t>구체적 판정 조건</t>
  </si>
  <si>
    <t>적 체력 0, 웨이브 종료, 호위 대상 도착, 장치 입력 완료 등</t>
  </si>
  <si>
    <t>실패가 발생하는 조건과 재시작 범위를 기록</t>
  </si>
  <si>
    <t>구체적 판정 조건 또는 실패 없음</t>
  </si>
  <si>
    <t>플레이어 체력 0, 방어 대상 파괴, 호위 대상 이탈, 오답 누적 등</t>
  </si>
  <si>
    <t>초회 플레이어가 해당 콘텐츠를 완료하는 데 걸리는 예상 시간</t>
  </si>
  <si>
    <t>Excel 시간값</t>
  </si>
  <si>
    <t>전투 패턴 학습·적 수·이동거리·재도전 가능성을 함께 고려</t>
  </si>
  <si>
    <t>막힌 플레이어를 위한 힌트·수치 보정·체크포인트</t>
  </si>
  <si>
    <t>필요한 경우 작성</t>
  </si>
  <si>
    <t>적 체력 감소, 패턴 예고 강화, 회복 아이템, 방어 내구도 증가 등</t>
  </si>
  <si>
    <t>몬스터 1마리 처치 시 지급되는 평균 경험치</t>
  </si>
  <si>
    <t>일반 &lt; 정예 &lt; 보스 순으로 증가하며 후반부 보상 효율도 함께 상승</t>
  </si>
  <si>
    <t>전투시간·필요 처치 수</t>
  </si>
  <si>
    <t>현재 필요 경험치를 채우는 데 필요한 평균 전투 시간과 몬스터 수</t>
  </si>
  <si>
    <t>수식 계산</t>
  </si>
  <si>
    <t>필요 처치 수=필요 경험치÷몬스터 경험치, 전투시간=처치 수×평균 전투시간</t>
  </si>
  <si>
    <t>문서 범위</t>
  </si>
  <si>
    <t>게임 시작부터 엔딩까지 모든 콘텐츠를 작성</t>
  </si>
  <si>
    <t>총 123개</t>
  </si>
  <si>
    <t>5개 챕터, 전투·훈련·방어·호위·정예·보스 중심으로 구성</t>
  </si>
  <si>
    <t>전투 중심 버전 전체 밸런스 곡선 요약</t>
  </si>
  <si>
    <t>총 콘텐츠 수</t>
  </si>
  <si>
    <t>평균 플레이 난이도</t>
  </si>
  <si>
    <t>평균 플레이 흥미도</t>
  </si>
  <si>
    <t>최고 플레이 난이도</t>
  </si>
  <si>
    <t>최고 플레이 흥미도</t>
  </si>
  <si>
    <t>구간</t>
  </si>
  <si>
    <t>콘텐츠 수</t>
  </si>
  <si>
    <t>Q1 첫 각성</t>
  </si>
  <si>
    <t>Q2 대피소 방어</t>
  </si>
  <si>
    <t>Q3 고등급자 토벌대</t>
  </si>
  <si>
    <t>Q4 폐교 던전</t>
  </si>
  <si>
    <t>Q5 균열 최종전</t>
  </si>
  <si>
    <t>X 콘텐츠 진행 포인트</t>
  </si>
  <si>
    <t>Y 레벨업을 위한 필요 경험치</t>
  </si>
  <si>
    <t>실패 후 괴물 시야 범위 축소·소리 유도 오브젝트 추가</t>
    <phoneticPr fontId="4" type="noConversion"/>
  </si>
  <si>
    <t>강조 자막과 기록 메뉴를 확인해 현재 임무·인물 관계·전투 목적을 구분함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</si>
</sst>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[h]&quot;시간 &quot;m&quot;분 &quot;s&quot;초&quot;"/>
    <numFmt numFmtId="178" formatCode="[m]&quot;분 &quot;ss&quot;초&quot;"/>
  </numFmts>
  <fonts count="7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/>
      <right style="thin">
        <color rgb="FFC8D1D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56">
    <xf numFmtId="0" fontId="0" fillId="0" borderId="0" xfId="0" applyAlignment="1"/>
    <xf numFmtId="0" fontId="1" fillId="0" borderId="0" xfId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4" xfId="1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7" xfId="1" applyBorder="1"/>
    <xf numFmtId="176" fontId="1" fillId="0" borderId="0" xfId="1" applyNumberFormat="1"/>
    <xf numFmtId="0" fontId="1" fillId="0" borderId="0" xfId="2" applyAlignment="1"/>
    <xf numFmtId="0" fontId="1" fillId="0" borderId="9" xfId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1" fontId="0" fillId="0" borderId="0" xfId="0" applyNumberFormat="1" applyAlignment="1"/>
    <xf numFmtId="2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3" fillId="2" borderId="0" xfId="0" applyNumberFormat="1" applyFont="1" applyFill="1" applyAlignment="1">
      <alignment wrapText="1"/>
    </xf>
    <xf numFmtId="0" fontId="0" fillId="3" borderId="0" xfId="0" applyFill="1" applyAlignment="1">
      <alignment wrapText="1"/>
    </xf>
    <xf numFmtId="1" fontId="0" fillId="3" borderId="0" xfId="0" applyNumberFormat="1" applyFill="1" applyAlignment="1">
      <alignment wrapText="1"/>
    </xf>
    <xf numFmtId="2" fontId="0" fillId="3" borderId="0" xfId="0" applyNumberFormat="1" applyFill="1" applyAlignment="1">
      <alignment wrapText="1"/>
    </xf>
    <xf numFmtId="2" fontId="0" fillId="0" borderId="6" xfId="0" applyNumberFormat="1" applyBorder="1" applyAlignment="1"/>
    <xf numFmtId="2" fontId="0" fillId="0" borderId="1" xfId="0" applyNumberFormat="1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2" fontId="0" fillId="0" borderId="9" xfId="0" applyNumberFormat="1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2" fontId="0" fillId="0" borderId="0" xfId="0" applyNumberFormat="1">
      <alignment vertical="center"/>
    </xf>
    <xf numFmtId="1" fontId="0" fillId="0" borderId="8" xfId="0" applyNumberFormat="1" applyBorder="1" applyAlignment="1"/>
    <xf numFmtId="1" fontId="0" fillId="0" borderId="7" xfId="0" applyNumberFormat="1" applyBorder="1" applyAlignment="1"/>
    <xf numFmtId="1" fontId="0" fillId="0" borderId="2" xfId="0" applyNumberFormat="1" applyBorder="1" applyAlignment="1"/>
    <xf numFmtId="1" fontId="2" fillId="2" borderId="0" xfId="0" applyNumberFormat="1" applyFont="1" applyFill="1" applyAlignment="1"/>
    <xf numFmtId="1" fontId="0" fillId="0" borderId="5" xfId="0" applyNumberFormat="1" applyBorder="1" applyAlignment="1"/>
    <xf numFmtId="177" fontId="0" fillId="0" borderId="0" xfId="0" applyNumberFormat="1" applyAlignment="1"/>
    <xf numFmtId="177" fontId="3" fillId="2" borderId="11" xfId="0" applyNumberFormat="1" applyFont="1" applyFill="1" applyBorder="1" applyAlignment="1">
      <alignment wrapText="1"/>
    </xf>
    <xf numFmtId="0" fontId="6" fillId="2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1" fontId="5" fillId="3" borderId="14" xfId="0" applyNumberFormat="1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178" fontId="5" fillId="3" borderId="14" xfId="0" applyNumberFormat="1" applyFont="1" applyFill="1" applyBorder="1" applyAlignment="1">
      <alignment horizontal="left" vertical="center" wrapText="1"/>
    </xf>
    <xf numFmtId="177" fontId="5" fillId="3" borderId="14" xfId="0" applyNumberFormat="1" applyFont="1" applyFill="1" applyBorder="1" applyAlignment="1">
      <alignment vertical="center" wrapText="1"/>
    </xf>
    <xf numFmtId="1" fontId="5" fillId="3" borderId="14" xfId="0" applyNumberFormat="1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1" fontId="5" fillId="0" borderId="14" xfId="0" applyNumberFormat="1" applyFont="1" applyFill="1" applyBorder="1" applyAlignment="1">
      <alignment horizontal="left" vertical="center" wrapText="1"/>
    </xf>
  </cellXfs>
  <cellStyles count="3">
    <cellStyle name="Normal" xfId="1" xr:uid="{00000000-0005-0000-0000-000001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게임 시작부터 엔딩까지의 플레이 난이도·흥미도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플레이 난이도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곡선'!$B$15:$B$137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5</c:v>
                </c:pt>
                <c:pt idx="29">
                  <c:v>7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9</c:v>
                </c:pt>
                <c:pt idx="39">
                  <c:v>2</c:v>
                </c:pt>
                <c:pt idx="40">
                  <c:v>2</c:v>
                </c:pt>
                <c:pt idx="41">
                  <c:v>5</c:v>
                </c:pt>
                <c:pt idx="42">
                  <c:v>5</c:v>
                </c:pt>
                <c:pt idx="43">
                  <c:v>7</c:v>
                </c:pt>
                <c:pt idx="44">
                  <c:v>6</c:v>
                </c:pt>
                <c:pt idx="45">
                  <c:v>9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6</c:v>
                </c:pt>
                <c:pt idx="54">
                  <c:v>9</c:v>
                </c:pt>
                <c:pt idx="55">
                  <c:v>2</c:v>
                </c:pt>
                <c:pt idx="56">
                  <c:v>2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5</c:v>
                </c:pt>
                <c:pt idx="61">
                  <c:v>5</c:v>
                </c:pt>
                <c:pt idx="62">
                  <c:v>10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6</c:v>
                </c:pt>
                <c:pt idx="70">
                  <c:v>9</c:v>
                </c:pt>
                <c:pt idx="71">
                  <c:v>2</c:v>
                </c:pt>
                <c:pt idx="72">
                  <c:v>4</c:v>
                </c:pt>
                <c:pt idx="73">
                  <c:v>6</c:v>
                </c:pt>
                <c:pt idx="74">
                  <c:v>5</c:v>
                </c:pt>
                <c:pt idx="75">
                  <c:v>4</c:v>
                </c:pt>
                <c:pt idx="76">
                  <c:v>6</c:v>
                </c:pt>
                <c:pt idx="77">
                  <c:v>4</c:v>
                </c:pt>
                <c:pt idx="78">
                  <c:v>8</c:v>
                </c:pt>
                <c:pt idx="79">
                  <c:v>7</c:v>
                </c:pt>
                <c:pt idx="80">
                  <c:v>4</c:v>
                </c:pt>
                <c:pt idx="81">
                  <c:v>6</c:v>
                </c:pt>
                <c:pt idx="82">
                  <c:v>5</c:v>
                </c:pt>
                <c:pt idx="83">
                  <c:v>8</c:v>
                </c:pt>
                <c:pt idx="84">
                  <c:v>5</c:v>
                </c:pt>
                <c:pt idx="85">
                  <c:v>10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8</c:v>
                </c:pt>
                <c:pt idx="92">
                  <c:v>5</c:v>
                </c:pt>
                <c:pt idx="93">
                  <c:v>3</c:v>
                </c:pt>
                <c:pt idx="94">
                  <c:v>7</c:v>
                </c:pt>
                <c:pt idx="95">
                  <c:v>7</c:v>
                </c:pt>
                <c:pt idx="96">
                  <c:v>2</c:v>
                </c:pt>
                <c:pt idx="97">
                  <c:v>10</c:v>
                </c:pt>
                <c:pt idx="98">
                  <c:v>10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7</c:v>
                </c:pt>
                <c:pt idx="104">
                  <c:v>8</c:v>
                </c:pt>
                <c:pt idx="105">
                  <c:v>10</c:v>
                </c:pt>
                <c:pt idx="106">
                  <c:v>5</c:v>
                </c:pt>
                <c:pt idx="107">
                  <c:v>5</c:v>
                </c:pt>
                <c:pt idx="108">
                  <c:v>7</c:v>
                </c:pt>
                <c:pt idx="109">
                  <c:v>9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2</c:v>
                </c:pt>
                <c:pt idx="114">
                  <c:v>10</c:v>
                </c:pt>
                <c:pt idx="115">
                  <c:v>10</c:v>
                </c:pt>
                <c:pt idx="116">
                  <c:v>8</c:v>
                </c:pt>
                <c:pt idx="117">
                  <c:v>10</c:v>
                </c:pt>
                <c:pt idx="118">
                  <c:v>2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E-499D-91E9-6405B129D42C}"/>
            </c:ext>
          </c:extLst>
        </c:ser>
        <c:ser>
          <c:idx val="1"/>
          <c:order val="1"/>
          <c:tx>
            <c:v>플레이 흥미도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곡선'!$C$15:$C$137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9</c:v>
                </c:pt>
                <c:pt idx="45">
                  <c:v>10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9</c:v>
                </c:pt>
                <c:pt idx="52">
                  <c:v>10</c:v>
                </c:pt>
                <c:pt idx="53">
                  <c:v>9</c:v>
                </c:pt>
                <c:pt idx="54">
                  <c:v>10</c:v>
                </c:pt>
                <c:pt idx="55">
                  <c:v>7</c:v>
                </c:pt>
                <c:pt idx="56">
                  <c:v>7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9</c:v>
                </c:pt>
                <c:pt idx="67">
                  <c:v>9</c:v>
                </c:pt>
                <c:pt idx="68">
                  <c:v>10</c:v>
                </c:pt>
                <c:pt idx="69">
                  <c:v>9</c:v>
                </c:pt>
                <c:pt idx="70">
                  <c:v>10</c:v>
                </c:pt>
                <c:pt idx="71">
                  <c:v>7</c:v>
                </c:pt>
                <c:pt idx="72">
                  <c:v>8</c:v>
                </c:pt>
                <c:pt idx="73">
                  <c:v>10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8</c:v>
                </c:pt>
                <c:pt idx="78">
                  <c:v>10</c:v>
                </c:pt>
                <c:pt idx="79">
                  <c:v>10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10</c:v>
                </c:pt>
                <c:pt idx="84">
                  <c:v>9</c:v>
                </c:pt>
                <c:pt idx="85">
                  <c:v>10</c:v>
                </c:pt>
                <c:pt idx="86">
                  <c:v>8</c:v>
                </c:pt>
                <c:pt idx="87">
                  <c:v>9</c:v>
                </c:pt>
                <c:pt idx="88">
                  <c:v>10</c:v>
                </c:pt>
                <c:pt idx="89">
                  <c:v>10</c:v>
                </c:pt>
                <c:pt idx="90">
                  <c:v>9</c:v>
                </c:pt>
                <c:pt idx="91">
                  <c:v>10</c:v>
                </c:pt>
                <c:pt idx="92">
                  <c:v>9</c:v>
                </c:pt>
                <c:pt idx="93">
                  <c:v>8</c:v>
                </c:pt>
                <c:pt idx="94">
                  <c:v>10</c:v>
                </c:pt>
                <c:pt idx="95">
                  <c:v>10</c:v>
                </c:pt>
                <c:pt idx="96">
                  <c:v>8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9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5E-499D-91E9-6405B129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콘텐츠 진행 순서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1~10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콘텐츠 진행 포인트별 필요 경험치 곡선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 레벨업을 위한 필요 경험치</c:v>
          </c:tx>
          <c:cat>
            <c:numRef>
              <c:f>'밸런스 곡선'!$E$15:$E$137</c:f>
              <c:numCache>
                <c:formatCode>0</c:formatCode>
                <c:ptCount val="123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26</c:v>
                </c:pt>
                <c:pt idx="7">
                  <c:v>29</c:v>
                </c:pt>
                <c:pt idx="8">
                  <c:v>32</c:v>
                </c:pt>
                <c:pt idx="9">
                  <c:v>34</c:v>
                </c:pt>
                <c:pt idx="10">
                  <c:v>38</c:v>
                </c:pt>
                <c:pt idx="11">
                  <c:v>42</c:v>
                </c:pt>
                <c:pt idx="12">
                  <c:v>46</c:v>
                </c:pt>
                <c:pt idx="13">
                  <c:v>53</c:v>
                </c:pt>
                <c:pt idx="14">
                  <c:v>57</c:v>
                </c:pt>
                <c:pt idx="15">
                  <c:v>60</c:v>
                </c:pt>
                <c:pt idx="16">
                  <c:v>62</c:v>
                </c:pt>
                <c:pt idx="17">
                  <c:v>69</c:v>
                </c:pt>
                <c:pt idx="18">
                  <c:v>77</c:v>
                </c:pt>
                <c:pt idx="19">
                  <c:v>87</c:v>
                </c:pt>
                <c:pt idx="20" formatCode="General">
                  <c:v>94</c:v>
                </c:pt>
                <c:pt idx="21" formatCode="General">
                  <c:v>111</c:v>
                </c:pt>
                <c:pt idx="22" formatCode="General">
                  <c:v>115</c:v>
                </c:pt>
                <c:pt idx="23" formatCode="General">
                  <c:v>119</c:v>
                </c:pt>
                <c:pt idx="24" formatCode="General">
                  <c:v>123</c:v>
                </c:pt>
                <c:pt idx="25" formatCode="General">
                  <c:v>130</c:v>
                </c:pt>
                <c:pt idx="26" formatCode="General">
                  <c:v>137</c:v>
                </c:pt>
                <c:pt idx="27" formatCode="General">
                  <c:v>146</c:v>
                </c:pt>
                <c:pt idx="28" formatCode="General">
                  <c:v>153</c:v>
                </c:pt>
                <c:pt idx="29" formatCode="General">
                  <c:v>164</c:v>
                </c:pt>
                <c:pt idx="30" formatCode="General">
                  <c:v>167</c:v>
                </c:pt>
                <c:pt idx="31" formatCode="General">
                  <c:v>171</c:v>
                </c:pt>
                <c:pt idx="32" formatCode="General">
                  <c:v>180</c:v>
                </c:pt>
                <c:pt idx="33" formatCode="General">
                  <c:v>187</c:v>
                </c:pt>
                <c:pt idx="34" formatCode="General">
                  <c:v>194</c:v>
                </c:pt>
                <c:pt idx="35" formatCode="General">
                  <c:v>203</c:v>
                </c:pt>
                <c:pt idx="36" formatCode="General">
                  <c:v>212</c:v>
                </c:pt>
                <c:pt idx="37" formatCode="General">
                  <c:v>219</c:v>
                </c:pt>
                <c:pt idx="38" formatCode="General">
                  <c:v>235</c:v>
                </c:pt>
                <c:pt idx="39" formatCode="General">
                  <c:v>239</c:v>
                </c:pt>
                <c:pt idx="40" formatCode="General">
                  <c:v>243</c:v>
                </c:pt>
                <c:pt idx="41" formatCode="General">
                  <c:v>250</c:v>
                </c:pt>
                <c:pt idx="42" formatCode="General">
                  <c:v>257</c:v>
                </c:pt>
                <c:pt idx="43" formatCode="General">
                  <c:v>268</c:v>
                </c:pt>
                <c:pt idx="44" formatCode="General">
                  <c:v>277</c:v>
                </c:pt>
                <c:pt idx="45" formatCode="General">
                  <c:v>296</c:v>
                </c:pt>
                <c:pt idx="46" formatCode="General">
                  <c:v>299</c:v>
                </c:pt>
                <c:pt idx="47" formatCode="General">
                  <c:v>302</c:v>
                </c:pt>
                <c:pt idx="48" formatCode="General">
                  <c:v>307</c:v>
                </c:pt>
                <c:pt idx="49" formatCode="General">
                  <c:v>311</c:v>
                </c:pt>
                <c:pt idx="50" formatCode="General">
                  <c:v>319</c:v>
                </c:pt>
                <c:pt idx="51" formatCode="General">
                  <c:v>327</c:v>
                </c:pt>
                <c:pt idx="52" formatCode="General">
                  <c:v>339</c:v>
                </c:pt>
                <c:pt idx="53" formatCode="General">
                  <c:v>349</c:v>
                </c:pt>
                <c:pt idx="54" formatCode="General">
                  <c:v>367</c:v>
                </c:pt>
                <c:pt idx="55" formatCode="General">
                  <c:v>371</c:v>
                </c:pt>
                <c:pt idx="56" formatCode="General">
                  <c:v>374</c:v>
                </c:pt>
                <c:pt idx="57" formatCode="General">
                  <c:v>382</c:v>
                </c:pt>
                <c:pt idx="58" formatCode="General">
                  <c:v>392</c:v>
                </c:pt>
                <c:pt idx="59" formatCode="General">
                  <c:v>404</c:v>
                </c:pt>
                <c:pt idx="60" formatCode="General">
                  <c:v>412</c:v>
                </c:pt>
                <c:pt idx="61" formatCode="General">
                  <c:v>420</c:v>
                </c:pt>
                <c:pt idx="62" formatCode="General">
                  <c:v>438</c:v>
                </c:pt>
                <c:pt idx="63" formatCode="General">
                  <c:v>441</c:v>
                </c:pt>
                <c:pt idx="64" formatCode="General">
                  <c:v>444</c:v>
                </c:pt>
                <c:pt idx="65" formatCode="General">
                  <c:v>448</c:v>
                </c:pt>
                <c:pt idx="66" formatCode="General">
                  <c:v>456</c:v>
                </c:pt>
                <c:pt idx="67" formatCode="General">
                  <c:v>466</c:v>
                </c:pt>
                <c:pt idx="68" formatCode="General">
                  <c:v>478</c:v>
                </c:pt>
                <c:pt idx="69" formatCode="General">
                  <c:v>486</c:v>
                </c:pt>
                <c:pt idx="70" formatCode="General">
                  <c:v>504</c:v>
                </c:pt>
                <c:pt idx="71" formatCode="General">
                  <c:v>507</c:v>
                </c:pt>
                <c:pt idx="72" formatCode="General">
                  <c:v>511</c:v>
                </c:pt>
                <c:pt idx="73" formatCode="General">
                  <c:v>520</c:v>
                </c:pt>
                <c:pt idx="74" formatCode="General">
                  <c:v>528</c:v>
                </c:pt>
                <c:pt idx="75" formatCode="General">
                  <c:v>534</c:v>
                </c:pt>
                <c:pt idx="76" formatCode="General">
                  <c:v>543</c:v>
                </c:pt>
                <c:pt idx="77" formatCode="General">
                  <c:v>547</c:v>
                </c:pt>
                <c:pt idx="78" formatCode="General">
                  <c:v>560</c:v>
                </c:pt>
                <c:pt idx="79" formatCode="General">
                  <c:v>571</c:v>
                </c:pt>
                <c:pt idx="80" formatCode="General">
                  <c:v>577</c:v>
                </c:pt>
                <c:pt idx="81" formatCode="General">
                  <c:v>586</c:v>
                </c:pt>
                <c:pt idx="82" formatCode="General">
                  <c:v>594</c:v>
                </c:pt>
                <c:pt idx="83" formatCode="General">
                  <c:v>607</c:v>
                </c:pt>
                <c:pt idx="84" formatCode="General">
                  <c:v>615</c:v>
                </c:pt>
                <c:pt idx="85" formatCode="General">
                  <c:v>635</c:v>
                </c:pt>
                <c:pt idx="86" formatCode="General">
                  <c:v>639</c:v>
                </c:pt>
                <c:pt idx="87" formatCode="General">
                  <c:v>647</c:v>
                </c:pt>
                <c:pt idx="88" formatCode="General">
                  <c:v>656</c:v>
                </c:pt>
                <c:pt idx="89" formatCode="General">
                  <c:v>667</c:v>
                </c:pt>
                <c:pt idx="90" formatCode="General">
                  <c:v>673</c:v>
                </c:pt>
                <c:pt idx="91" formatCode="General">
                  <c:v>686</c:v>
                </c:pt>
                <c:pt idx="92" formatCode="General">
                  <c:v>694</c:v>
                </c:pt>
                <c:pt idx="93" formatCode="General">
                  <c:v>698</c:v>
                </c:pt>
                <c:pt idx="94" formatCode="General">
                  <c:v>709</c:v>
                </c:pt>
                <c:pt idx="95" formatCode="General">
                  <c:v>720</c:v>
                </c:pt>
                <c:pt idx="96" formatCode="General">
                  <c:v>723</c:v>
                </c:pt>
                <c:pt idx="97" formatCode="General">
                  <c:v>743</c:v>
                </c:pt>
                <c:pt idx="98" formatCode="General">
                  <c:v>763</c:v>
                </c:pt>
                <c:pt idx="99" formatCode="General">
                  <c:v>769</c:v>
                </c:pt>
                <c:pt idx="100" formatCode="General">
                  <c:v>773</c:v>
                </c:pt>
                <c:pt idx="101" formatCode="General">
                  <c:v>777</c:v>
                </c:pt>
                <c:pt idx="102" formatCode="General">
                  <c:v>782</c:v>
                </c:pt>
                <c:pt idx="103" formatCode="General">
                  <c:v>792</c:v>
                </c:pt>
                <c:pt idx="104" formatCode="General">
                  <c:v>804</c:v>
                </c:pt>
                <c:pt idx="105" formatCode="General">
                  <c:v>826</c:v>
                </c:pt>
                <c:pt idx="106" formatCode="General">
                  <c:v>831</c:v>
                </c:pt>
                <c:pt idx="107" formatCode="General">
                  <c:v>836</c:v>
                </c:pt>
                <c:pt idx="108" formatCode="General">
                  <c:v>846</c:v>
                </c:pt>
                <c:pt idx="109" formatCode="General">
                  <c:v>860</c:v>
                </c:pt>
                <c:pt idx="110" formatCode="General">
                  <c:v>868</c:v>
                </c:pt>
                <c:pt idx="111" formatCode="General">
                  <c:v>882</c:v>
                </c:pt>
                <c:pt idx="112" formatCode="General">
                  <c:v>890</c:v>
                </c:pt>
                <c:pt idx="113" formatCode="General">
                  <c:v>894</c:v>
                </c:pt>
                <c:pt idx="114" formatCode="General">
                  <c:v>916</c:v>
                </c:pt>
                <c:pt idx="115" formatCode="General">
                  <c:v>938</c:v>
                </c:pt>
                <c:pt idx="116" formatCode="General">
                  <c:v>950</c:v>
                </c:pt>
                <c:pt idx="117" formatCode="General">
                  <c:v>972</c:v>
                </c:pt>
                <c:pt idx="118" formatCode="General">
                  <c:v>978</c:v>
                </c:pt>
                <c:pt idx="119" formatCode="General">
                  <c:v>988</c:v>
                </c:pt>
                <c:pt idx="120" formatCode="General">
                  <c:v>992</c:v>
                </c:pt>
                <c:pt idx="121" formatCode="General">
                  <c:v>996</c:v>
                </c:pt>
                <c:pt idx="122" formatCode="General">
                  <c:v>1000</c:v>
                </c:pt>
              </c:numCache>
            </c:numRef>
          </c:cat>
          <c:val>
            <c:numRef>
              <c:f>'밸런스 곡선'!$F$15:$F$137</c:f>
              <c:numCache>
                <c:formatCode>0.00</c:formatCode>
                <c:ptCount val="123"/>
                <c:pt idx="0">
                  <c:v>62</c:v>
                </c:pt>
                <c:pt idx="1">
                  <c:v>65</c:v>
                </c:pt>
                <c:pt idx="2">
                  <c:v>66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82</c:v>
                </c:pt>
                <c:pt idx="7">
                  <c:v>84</c:v>
                </c:pt>
                <c:pt idx="8">
                  <c:v>87</c:v>
                </c:pt>
                <c:pt idx="9">
                  <c:v>89</c:v>
                </c:pt>
                <c:pt idx="10">
                  <c:v>92</c:v>
                </c:pt>
                <c:pt idx="11">
                  <c:v>96</c:v>
                </c:pt>
                <c:pt idx="12">
                  <c:v>99</c:v>
                </c:pt>
                <c:pt idx="13">
                  <c:v>106</c:v>
                </c:pt>
                <c:pt idx="14">
                  <c:v>109</c:v>
                </c:pt>
                <c:pt idx="15">
                  <c:v>112</c:v>
                </c:pt>
                <c:pt idx="16">
                  <c:v>114</c:v>
                </c:pt>
                <c:pt idx="17">
                  <c:v>121</c:v>
                </c:pt>
                <c:pt idx="18">
                  <c:v>129</c:v>
                </c:pt>
                <c:pt idx="19">
                  <c:v>139</c:v>
                </c:pt>
                <c:pt idx="20" formatCode="General">
                  <c:v>146</c:v>
                </c:pt>
                <c:pt idx="21" formatCode="General">
                  <c:v>164</c:v>
                </c:pt>
                <c:pt idx="22" formatCode="General">
                  <c:v>168</c:v>
                </c:pt>
                <c:pt idx="23" formatCode="General">
                  <c:v>172</c:v>
                </c:pt>
                <c:pt idx="24" formatCode="General">
                  <c:v>177</c:v>
                </c:pt>
                <c:pt idx="25" formatCode="General">
                  <c:v>184</c:v>
                </c:pt>
                <c:pt idx="26" formatCode="General">
                  <c:v>192</c:v>
                </c:pt>
                <c:pt idx="27" formatCode="General">
                  <c:v>202</c:v>
                </c:pt>
                <c:pt idx="28" formatCode="General">
                  <c:v>210</c:v>
                </c:pt>
                <c:pt idx="29" formatCode="General">
                  <c:v>223</c:v>
                </c:pt>
                <c:pt idx="30" formatCode="General">
                  <c:v>227</c:v>
                </c:pt>
                <c:pt idx="31" formatCode="General">
                  <c:v>232</c:v>
                </c:pt>
                <c:pt idx="32" formatCode="General">
                  <c:v>243</c:v>
                </c:pt>
                <c:pt idx="33" formatCode="General">
                  <c:v>252</c:v>
                </c:pt>
                <c:pt idx="34" formatCode="General">
                  <c:v>260</c:v>
                </c:pt>
                <c:pt idx="35" formatCode="General">
                  <c:v>272</c:v>
                </c:pt>
                <c:pt idx="36" formatCode="General">
                  <c:v>284</c:v>
                </c:pt>
                <c:pt idx="37" formatCode="General">
                  <c:v>293</c:v>
                </c:pt>
                <c:pt idx="38" formatCode="General">
                  <c:v>314</c:v>
                </c:pt>
                <c:pt idx="39" formatCode="General">
                  <c:v>320</c:v>
                </c:pt>
                <c:pt idx="40" formatCode="General">
                  <c:v>325</c:v>
                </c:pt>
                <c:pt idx="41" formatCode="General">
                  <c:v>335</c:v>
                </c:pt>
                <c:pt idx="42" formatCode="General">
                  <c:v>345</c:v>
                </c:pt>
                <c:pt idx="43" formatCode="General">
                  <c:v>361</c:v>
                </c:pt>
                <c:pt idx="44" formatCode="General">
                  <c:v>374</c:v>
                </c:pt>
                <c:pt idx="45" formatCode="General">
                  <c:v>402</c:v>
                </c:pt>
                <c:pt idx="46" formatCode="General">
                  <c:v>406</c:v>
                </c:pt>
                <c:pt idx="47" formatCode="General">
                  <c:v>411</c:v>
                </c:pt>
                <c:pt idx="48" formatCode="General">
                  <c:v>419</c:v>
                </c:pt>
                <c:pt idx="49" formatCode="General">
                  <c:v>425</c:v>
                </c:pt>
                <c:pt idx="50" formatCode="General">
                  <c:v>437</c:v>
                </c:pt>
                <c:pt idx="51" formatCode="General">
                  <c:v>450</c:v>
                </c:pt>
                <c:pt idx="52" formatCode="General">
                  <c:v>469</c:v>
                </c:pt>
                <c:pt idx="53" formatCode="General">
                  <c:v>485</c:v>
                </c:pt>
                <c:pt idx="54" formatCode="General">
                  <c:v>515</c:v>
                </c:pt>
                <c:pt idx="55" formatCode="General">
                  <c:v>522</c:v>
                </c:pt>
                <c:pt idx="56" formatCode="General">
                  <c:v>527</c:v>
                </c:pt>
                <c:pt idx="57" formatCode="General">
                  <c:v>541</c:v>
                </c:pt>
                <c:pt idx="58" formatCode="General">
                  <c:v>558</c:v>
                </c:pt>
                <c:pt idx="59" formatCode="General">
                  <c:v>579</c:v>
                </c:pt>
                <c:pt idx="60" formatCode="General">
                  <c:v>593</c:v>
                </c:pt>
                <c:pt idx="61" formatCode="General">
                  <c:v>608</c:v>
                </c:pt>
                <c:pt idx="62" formatCode="General">
                  <c:v>641</c:v>
                </c:pt>
                <c:pt idx="63" formatCode="General">
                  <c:v>646</c:v>
                </c:pt>
                <c:pt idx="64" formatCode="General">
                  <c:v>652</c:v>
                </c:pt>
                <c:pt idx="65" formatCode="General">
                  <c:v>659</c:v>
                </c:pt>
                <c:pt idx="66" formatCode="General">
                  <c:v>674</c:v>
                </c:pt>
                <c:pt idx="67" formatCode="General">
                  <c:v>693</c:v>
                </c:pt>
                <c:pt idx="68" formatCode="General">
                  <c:v>717</c:v>
                </c:pt>
                <c:pt idx="69" formatCode="General">
                  <c:v>732</c:v>
                </c:pt>
                <c:pt idx="70" formatCode="General">
                  <c:v>768</c:v>
                </c:pt>
                <c:pt idx="71" formatCode="General">
                  <c:v>774</c:v>
                </c:pt>
                <c:pt idx="72" formatCode="General">
                  <c:v>782</c:v>
                </c:pt>
                <c:pt idx="73" formatCode="General">
                  <c:v>800</c:v>
                </c:pt>
                <c:pt idx="74" formatCode="General">
                  <c:v>817</c:v>
                </c:pt>
                <c:pt idx="75" formatCode="General">
                  <c:v>829</c:v>
                </c:pt>
                <c:pt idx="76" formatCode="General">
                  <c:v>848</c:v>
                </c:pt>
                <c:pt idx="77" formatCode="General">
                  <c:v>857</c:v>
                </c:pt>
                <c:pt idx="78" formatCode="General">
                  <c:v>884</c:v>
                </c:pt>
                <c:pt idx="79" formatCode="General">
                  <c:v>908</c:v>
                </c:pt>
                <c:pt idx="80" formatCode="General">
                  <c:v>921</c:v>
                </c:pt>
                <c:pt idx="81" formatCode="General">
                  <c:v>941</c:v>
                </c:pt>
                <c:pt idx="82" formatCode="General">
                  <c:v>959</c:v>
                </c:pt>
                <c:pt idx="83" formatCode="General">
                  <c:v>988</c:v>
                </c:pt>
                <c:pt idx="84" formatCode="General">
                  <c:v>1006</c:v>
                </c:pt>
                <c:pt idx="85" formatCode="General">
                  <c:v>1052</c:v>
                </c:pt>
                <c:pt idx="86" formatCode="General">
                  <c:v>1061</c:v>
                </c:pt>
                <c:pt idx="87" formatCode="General">
                  <c:v>1080</c:v>
                </c:pt>
                <c:pt idx="88" formatCode="General">
                  <c:v>1101</c:v>
                </c:pt>
                <c:pt idx="89" formatCode="General">
                  <c:v>1127</c:v>
                </c:pt>
                <c:pt idx="90" formatCode="General">
                  <c:v>1142</c:v>
                </c:pt>
                <c:pt idx="91" formatCode="General">
                  <c:v>1174</c:v>
                </c:pt>
                <c:pt idx="92" formatCode="General">
                  <c:v>1193</c:v>
                </c:pt>
                <c:pt idx="93" formatCode="General">
                  <c:v>1203</c:v>
                </c:pt>
                <c:pt idx="94" formatCode="General">
                  <c:v>1230</c:v>
                </c:pt>
                <c:pt idx="95" formatCode="General">
                  <c:v>1258</c:v>
                </c:pt>
                <c:pt idx="96" formatCode="General">
                  <c:v>1266</c:v>
                </c:pt>
                <c:pt idx="97" formatCode="General">
                  <c:v>1317</c:v>
                </c:pt>
                <c:pt idx="98" formatCode="General">
                  <c:v>1369</c:v>
                </c:pt>
                <c:pt idx="99" formatCode="General">
                  <c:v>1385</c:v>
                </c:pt>
                <c:pt idx="100" formatCode="General">
                  <c:v>1395</c:v>
                </c:pt>
                <c:pt idx="101" formatCode="General">
                  <c:v>1406</c:v>
                </c:pt>
                <c:pt idx="102" formatCode="General">
                  <c:v>1419</c:v>
                </c:pt>
                <c:pt idx="103" formatCode="General">
                  <c:v>1446</c:v>
                </c:pt>
                <c:pt idx="104" formatCode="General">
                  <c:v>1479</c:v>
                </c:pt>
                <c:pt idx="105" formatCode="General">
                  <c:v>1540</c:v>
                </c:pt>
                <c:pt idx="106" formatCode="General">
                  <c:v>1553</c:v>
                </c:pt>
                <c:pt idx="107" formatCode="General">
                  <c:v>1567</c:v>
                </c:pt>
                <c:pt idx="108" formatCode="General">
                  <c:v>1596</c:v>
                </c:pt>
                <c:pt idx="109" formatCode="General">
                  <c:v>1636</c:v>
                </c:pt>
                <c:pt idx="110" formatCode="General">
                  <c:v>1659</c:v>
                </c:pt>
                <c:pt idx="111" formatCode="General">
                  <c:v>1699</c:v>
                </c:pt>
                <c:pt idx="112" formatCode="General">
                  <c:v>1723</c:v>
                </c:pt>
                <c:pt idx="113" formatCode="General">
                  <c:v>1734</c:v>
                </c:pt>
                <c:pt idx="114" formatCode="General">
                  <c:v>1800</c:v>
                </c:pt>
                <c:pt idx="115" formatCode="General">
                  <c:v>1866</c:v>
                </c:pt>
                <c:pt idx="116" formatCode="General">
                  <c:v>1903</c:v>
                </c:pt>
                <c:pt idx="117" formatCode="General">
                  <c:v>1971</c:v>
                </c:pt>
                <c:pt idx="118" formatCode="General">
                  <c:v>1990</c:v>
                </c:pt>
                <c:pt idx="119" formatCode="General">
                  <c:v>2022</c:v>
                </c:pt>
                <c:pt idx="120" formatCode="General">
                  <c:v>2034</c:v>
                </c:pt>
                <c:pt idx="121" formatCode="General">
                  <c:v>2047</c:v>
                </c:pt>
                <c:pt idx="122" formatCode="General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1-45F5-96D9-8EA046738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X 콘텐츠 진행 포인트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Y 레벨업을 위한 필요 경험치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3854545" y="9455727"/>
          <a:ext cx="5385954" cy="52647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10079181" y="13092545"/>
          <a:ext cx="4416136" cy="43295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19742728" y="10027227"/>
          <a:ext cx="4416136" cy="43122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18980726" y="5559136"/>
          <a:ext cx="4139045" cy="40351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9040091" y="8918863"/>
          <a:ext cx="3948545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15932728" y="3602182"/>
          <a:ext cx="2892136" cy="2822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21197454" y="2892136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24972818" y="3013363"/>
          <a:ext cx="2788227" cy="2736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Grp="1"/>
        </xdr:cNvSpPr>
      </xdr:nvSpPr>
      <xdr:spPr>
        <a:xfrm>
          <a:off x="8035636" y="1662545"/>
          <a:ext cx="2701636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Grp="1"/>
        </xdr:cNvSpPr>
      </xdr:nvSpPr>
      <xdr:spPr>
        <a:xfrm>
          <a:off x="6234545" y="8174182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Grp="1"/>
        </xdr:cNvSpPr>
      </xdr:nvSpPr>
      <xdr:spPr>
        <a:xfrm>
          <a:off x="6927272" y="12001500"/>
          <a:ext cx="2684318" cy="26150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Grp="1"/>
        </xdr:cNvSpPr>
      </xdr:nvSpPr>
      <xdr:spPr>
        <a:xfrm>
          <a:off x="11083636" y="2701636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Grp="1"/>
        </xdr:cNvSpPr>
      </xdr:nvSpPr>
      <xdr:spPr>
        <a:xfrm>
          <a:off x="8763000" y="6147954"/>
          <a:ext cx="2407227" cy="2337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Grp="1"/>
        </xdr:cNvSpPr>
      </xdr:nvSpPr>
      <xdr:spPr>
        <a:xfrm>
          <a:off x="7810500" y="15915409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Grp="1"/>
        </xdr:cNvSpPr>
      </xdr:nvSpPr>
      <xdr:spPr>
        <a:xfrm>
          <a:off x="14789728" y="1501486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Grp="1"/>
        </xdr:cNvSpPr>
      </xdr:nvSpPr>
      <xdr:spPr>
        <a:xfrm>
          <a:off x="16140545" y="690995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Grp="1"/>
        </xdr:cNvSpPr>
      </xdr:nvSpPr>
      <xdr:spPr>
        <a:xfrm>
          <a:off x="14010409" y="1801091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Grp="1"/>
        </xdr:cNvSpPr>
      </xdr:nvSpPr>
      <xdr:spPr>
        <a:xfrm>
          <a:off x="18010910" y="18166772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Grp="1"/>
        </xdr:cNvSpPr>
      </xdr:nvSpPr>
      <xdr:spPr>
        <a:xfrm>
          <a:off x="23587362" y="6061364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Grp="1"/>
        </xdr:cNvSpPr>
      </xdr:nvSpPr>
      <xdr:spPr>
        <a:xfrm>
          <a:off x="10061864" y="17526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Grp="1"/>
        </xdr:cNvSpPr>
      </xdr:nvSpPr>
      <xdr:spPr>
        <a:xfrm>
          <a:off x="24089590" y="8970818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Grp="1"/>
        </xdr:cNvSpPr>
      </xdr:nvSpPr>
      <xdr:spPr>
        <a:xfrm>
          <a:off x="3671454" y="4364181"/>
          <a:ext cx="2407227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Grp="1"/>
        </xdr:cNvSpPr>
      </xdr:nvSpPr>
      <xdr:spPr>
        <a:xfrm>
          <a:off x="3827318" y="9975273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Grp="1"/>
        </xdr:cNvSpPr>
      </xdr:nvSpPr>
      <xdr:spPr>
        <a:xfrm>
          <a:off x="3498272" y="7239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Grp="1"/>
        </xdr:cNvSpPr>
      </xdr:nvSpPr>
      <xdr:spPr>
        <a:xfrm>
          <a:off x="6684818" y="4416136"/>
          <a:ext cx="2320636" cy="2251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Grp="1"/>
        </xdr:cNvSpPr>
      </xdr:nvSpPr>
      <xdr:spPr>
        <a:xfrm>
          <a:off x="16746681" y="969818"/>
          <a:ext cx="2389909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Grp="1"/>
        </xdr:cNvSpPr>
      </xdr:nvSpPr>
      <xdr:spPr>
        <a:xfrm>
          <a:off x="17595272" y="14010409"/>
          <a:ext cx="3948545" cy="3861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Grp="1"/>
        </xdr:cNvSpPr>
      </xdr:nvSpPr>
      <xdr:spPr>
        <a:xfrm>
          <a:off x="11966864" y="5541818"/>
          <a:ext cx="3931227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5"/>
  <sheetViews>
    <sheetView tabSelected="1" zoomScale="40" zoomScaleNormal="40" workbookViewId="0">
      <selection activeCell="Y121" sqref="Y121"/>
    </sheetView>
  </sheetViews>
  <sheetFormatPr defaultColWidth="9" defaultRowHeight="14.25"/>
  <cols>
    <col min="1" max="1" width="13.875" style="21" customWidth="1"/>
    <col min="2" max="3" width="13.125" style="21" customWidth="1"/>
    <col min="4" max="4" width="13.375" style="21" customWidth="1"/>
    <col min="5" max="5" width="42" style="21" customWidth="1"/>
    <col min="6" max="6" width="38" style="21" customWidth="1"/>
    <col min="7" max="7" width="29.25" style="21" customWidth="1"/>
    <col min="8" max="8" width="28.125" style="21" customWidth="1"/>
    <col min="9" max="9" width="11.875" style="21" customWidth="1"/>
    <col min="10" max="10" width="15" style="21" customWidth="1"/>
    <col min="11" max="11" width="39.625" style="21" customWidth="1"/>
    <col min="12" max="12" width="18.625" style="21" customWidth="1"/>
    <col min="13" max="13" width="20.875" style="21" customWidth="1"/>
    <col min="14" max="14" width="18.75" style="21" customWidth="1"/>
    <col min="15" max="17" width="18.875" style="21" customWidth="1"/>
    <col min="18" max="18" width="19.5" style="21" customWidth="1"/>
    <col min="19" max="19" width="21.75" style="21" customWidth="1"/>
    <col min="20" max="20" width="19.5" style="21" customWidth="1"/>
    <col min="21" max="23" width="18.875" style="21" customWidth="1"/>
    <col min="24" max="24" width="10.5" style="21" customWidth="1"/>
    <col min="25" max="25" width="12.125" style="21" customWidth="1"/>
    <col min="26" max="16384" width="9" style="21"/>
  </cols>
  <sheetData>
    <row r="1" spans="1:25" ht="42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25</v>
      </c>
      <c r="U1" s="46" t="s">
        <v>26</v>
      </c>
      <c r="V1" s="46" t="s">
        <v>19</v>
      </c>
      <c r="W1" s="53"/>
      <c r="X1" s="53"/>
      <c r="Y1" s="53"/>
    </row>
    <row r="2" spans="1:25" ht="81.95" customHeight="1">
      <c r="A2" s="47" t="s">
        <v>27</v>
      </c>
      <c r="B2" s="48">
        <v>1</v>
      </c>
      <c r="C2" s="48">
        <v>1</v>
      </c>
      <c r="D2" s="48">
        <v>5</v>
      </c>
      <c r="E2" s="47" t="s">
        <v>28</v>
      </c>
      <c r="F2" s="47" t="s">
        <v>29</v>
      </c>
      <c r="G2" s="47" t="s">
        <v>30</v>
      </c>
      <c r="H2" s="49" t="s">
        <v>31</v>
      </c>
      <c r="I2" s="48">
        <v>1</v>
      </c>
      <c r="J2" s="47" t="s">
        <v>32</v>
      </c>
      <c r="K2" s="47" t="s">
        <v>33</v>
      </c>
      <c r="L2" s="50">
        <v>2.0833333333333333E-3</v>
      </c>
      <c r="M2" s="49" t="s">
        <v>34</v>
      </c>
      <c r="N2" s="51">
        <f>L2</f>
        <v>2.0833333333333333E-3</v>
      </c>
      <c r="O2" s="47" t="s">
        <v>35</v>
      </c>
      <c r="P2" s="52">
        <v>2</v>
      </c>
      <c r="Q2" s="52">
        <f t="shared" ref="Q2:Q33" si="0">P2</f>
        <v>2</v>
      </c>
      <c r="R2" s="52">
        <f>ROUND(60+0.8*Q2+0.0012*Q2^2,0)</f>
        <v>62</v>
      </c>
      <c r="S2" s="52"/>
      <c r="T2" s="52"/>
      <c r="U2" s="52" t="str">
        <f t="shared" ref="U2:U33" si="1">IF(S2="","",ROUNDUP(R2/S2,0)*T2)</f>
        <v/>
      </c>
      <c r="V2" s="52" t="str">
        <f t="shared" ref="V2:V33" si="2">IF(S2="","",ROUNDUP(R2/S2,0))</f>
        <v/>
      </c>
      <c r="W2" s="53"/>
      <c r="X2" s="53"/>
      <c r="Y2" s="53"/>
    </row>
    <row r="3" spans="1:25" ht="81.95" customHeight="1">
      <c r="A3" s="47" t="s">
        <v>27</v>
      </c>
      <c r="B3" s="48">
        <v>2</v>
      </c>
      <c r="C3" s="48">
        <v>2</v>
      </c>
      <c r="D3" s="48">
        <v>7</v>
      </c>
      <c r="E3" s="47" t="s">
        <v>36</v>
      </c>
      <c r="F3" s="47" t="s">
        <v>37</v>
      </c>
      <c r="G3" s="47" t="s">
        <v>38</v>
      </c>
      <c r="H3" s="49" t="s">
        <v>39</v>
      </c>
      <c r="I3" s="48">
        <v>4</v>
      </c>
      <c r="J3" s="47" t="s">
        <v>40</v>
      </c>
      <c r="K3" s="47" t="s">
        <v>41</v>
      </c>
      <c r="L3" s="50">
        <v>1.736111111111111E-3</v>
      </c>
      <c r="M3" s="49" t="s">
        <v>42</v>
      </c>
      <c r="N3" s="51">
        <f>N2+L3</f>
        <v>3.8194444444444443E-3</v>
      </c>
      <c r="O3" s="47" t="s">
        <v>35</v>
      </c>
      <c r="P3" s="52">
        <v>6</v>
      </c>
      <c r="Q3" s="52">
        <f t="shared" si="0"/>
        <v>6</v>
      </c>
      <c r="R3" s="52">
        <f t="shared" ref="R3:R65" si="3">ROUND(60+0.8*Q3+0.0012*Q3^2,0)</f>
        <v>65</v>
      </c>
      <c r="S3" s="52"/>
      <c r="T3" s="52"/>
      <c r="U3" s="52" t="str">
        <f t="shared" si="1"/>
        <v/>
      </c>
      <c r="V3" s="52" t="str">
        <f t="shared" si="2"/>
        <v/>
      </c>
      <c r="W3" s="53"/>
      <c r="X3" s="53"/>
      <c r="Y3" s="53"/>
    </row>
    <row r="4" spans="1:25" ht="81.95" customHeight="1">
      <c r="A4" s="47" t="s">
        <v>27</v>
      </c>
      <c r="B4" s="48">
        <v>3</v>
      </c>
      <c r="C4" s="48">
        <v>1</v>
      </c>
      <c r="D4" s="48">
        <v>5</v>
      </c>
      <c r="E4" s="47" t="s">
        <v>43</v>
      </c>
      <c r="F4" s="47" t="s">
        <v>29</v>
      </c>
      <c r="G4" s="47" t="s">
        <v>30</v>
      </c>
      <c r="H4" s="49" t="s">
        <v>31</v>
      </c>
      <c r="I4" s="48">
        <v>1</v>
      </c>
      <c r="J4" s="47" t="s">
        <v>32</v>
      </c>
      <c r="K4" s="47" t="s">
        <v>33</v>
      </c>
      <c r="L4" s="50">
        <v>1.3888888888888889E-3</v>
      </c>
      <c r="M4" s="49" t="s">
        <v>34</v>
      </c>
      <c r="N4" s="51">
        <f t="shared" ref="N4:N34" si="4">N3+L4</f>
        <v>5.208333333333333E-3</v>
      </c>
      <c r="O4" s="47" t="s">
        <v>35</v>
      </c>
      <c r="P4" s="52">
        <v>8</v>
      </c>
      <c r="Q4" s="52">
        <f t="shared" si="0"/>
        <v>8</v>
      </c>
      <c r="R4" s="52">
        <f t="shared" si="3"/>
        <v>66</v>
      </c>
      <c r="S4" s="52"/>
      <c r="T4" s="52"/>
      <c r="U4" s="52" t="str">
        <f t="shared" si="1"/>
        <v/>
      </c>
      <c r="V4" s="52" t="str">
        <f t="shared" si="2"/>
        <v/>
      </c>
      <c r="W4" s="53"/>
      <c r="X4" s="53"/>
      <c r="Y4" s="53"/>
    </row>
    <row r="5" spans="1:25" ht="81.95" customHeight="1">
      <c r="A5" s="47" t="s">
        <v>27</v>
      </c>
      <c r="B5" s="48">
        <v>4</v>
      </c>
      <c r="C5" s="48">
        <v>2</v>
      </c>
      <c r="D5" s="48">
        <v>7</v>
      </c>
      <c r="E5" s="47" t="s">
        <v>44</v>
      </c>
      <c r="F5" s="47" t="s">
        <v>37</v>
      </c>
      <c r="G5" s="47" t="s">
        <v>38</v>
      </c>
      <c r="H5" s="49" t="s">
        <v>39</v>
      </c>
      <c r="I5" s="48">
        <v>4</v>
      </c>
      <c r="J5" s="47" t="s">
        <v>40</v>
      </c>
      <c r="K5" s="47" t="s">
        <v>41</v>
      </c>
      <c r="L5" s="50">
        <v>1.736111111111111E-3</v>
      </c>
      <c r="M5" s="49" t="s">
        <v>42</v>
      </c>
      <c r="N5" s="51">
        <f t="shared" si="4"/>
        <v>6.9444444444444441E-3</v>
      </c>
      <c r="O5" s="47" t="s">
        <v>35</v>
      </c>
      <c r="P5" s="52">
        <v>12</v>
      </c>
      <c r="Q5" s="52">
        <f t="shared" si="0"/>
        <v>12</v>
      </c>
      <c r="R5" s="52">
        <f t="shared" si="3"/>
        <v>70</v>
      </c>
      <c r="S5" s="52"/>
      <c r="T5" s="52"/>
      <c r="U5" s="52" t="str">
        <f t="shared" si="1"/>
        <v/>
      </c>
      <c r="V5" s="52" t="str">
        <f t="shared" si="2"/>
        <v/>
      </c>
      <c r="W5" s="53"/>
      <c r="X5" s="53"/>
      <c r="Y5" s="53"/>
    </row>
    <row r="6" spans="1:25" ht="81.95" customHeight="1">
      <c r="A6" s="47" t="s">
        <v>27</v>
      </c>
      <c r="B6" s="48">
        <v>5</v>
      </c>
      <c r="C6" s="48">
        <v>4</v>
      </c>
      <c r="D6" s="48">
        <v>7</v>
      </c>
      <c r="E6" s="47" t="s">
        <v>45</v>
      </c>
      <c r="F6" s="47" t="s">
        <v>46</v>
      </c>
      <c r="G6" s="47" t="s">
        <v>47</v>
      </c>
      <c r="H6" s="49" t="s">
        <v>48</v>
      </c>
      <c r="I6" s="48">
        <v>3</v>
      </c>
      <c r="J6" s="47" t="s">
        <v>49</v>
      </c>
      <c r="K6" s="47" t="s">
        <v>50</v>
      </c>
      <c r="L6" s="50">
        <v>2.0833333333333333E-3</v>
      </c>
      <c r="M6" s="49" t="s">
        <v>357</v>
      </c>
      <c r="N6" s="51">
        <f t="shared" si="4"/>
        <v>9.0277777777777769E-3</v>
      </c>
      <c r="O6" s="47" t="s">
        <v>35</v>
      </c>
      <c r="P6" s="52">
        <v>17</v>
      </c>
      <c r="Q6" s="52">
        <f t="shared" si="0"/>
        <v>17</v>
      </c>
      <c r="R6" s="52">
        <f t="shared" si="3"/>
        <v>74</v>
      </c>
      <c r="S6" s="52"/>
      <c r="T6" s="52"/>
      <c r="U6" s="52" t="str">
        <f t="shared" si="1"/>
        <v/>
      </c>
      <c r="V6" s="52" t="str">
        <f t="shared" si="2"/>
        <v/>
      </c>
      <c r="W6" s="53"/>
      <c r="X6" s="53"/>
      <c r="Y6" s="53"/>
    </row>
    <row r="7" spans="1:25" ht="81.95" customHeight="1">
      <c r="A7" s="47" t="s">
        <v>27</v>
      </c>
      <c r="B7" s="48">
        <v>6</v>
      </c>
      <c r="C7" s="48">
        <v>2</v>
      </c>
      <c r="D7" s="48">
        <v>6</v>
      </c>
      <c r="E7" s="47" t="s">
        <v>51</v>
      </c>
      <c r="F7" s="47" t="s">
        <v>52</v>
      </c>
      <c r="G7" s="47" t="s">
        <v>53</v>
      </c>
      <c r="H7" s="49" t="s">
        <v>54</v>
      </c>
      <c r="I7" s="48">
        <v>1</v>
      </c>
      <c r="J7" s="47" t="s">
        <v>55</v>
      </c>
      <c r="K7" s="47" t="s">
        <v>56</v>
      </c>
      <c r="L7" s="50">
        <v>1.1574074074074073E-3</v>
      </c>
      <c r="M7" s="49" t="s">
        <v>57</v>
      </c>
      <c r="N7" s="51">
        <f t="shared" si="4"/>
        <v>1.0185185185185184E-2</v>
      </c>
      <c r="O7" s="47" t="s">
        <v>35</v>
      </c>
      <c r="P7" s="52">
        <v>20</v>
      </c>
      <c r="Q7" s="52">
        <f t="shared" si="0"/>
        <v>20</v>
      </c>
      <c r="R7" s="52">
        <f t="shared" si="3"/>
        <v>76</v>
      </c>
      <c r="S7" s="52"/>
      <c r="T7" s="52"/>
      <c r="U7" s="52" t="str">
        <f t="shared" si="1"/>
        <v/>
      </c>
      <c r="V7" s="52" t="str">
        <f t="shared" si="2"/>
        <v/>
      </c>
      <c r="W7" s="53"/>
      <c r="X7" s="53"/>
      <c r="Y7" s="53"/>
    </row>
    <row r="8" spans="1:25" ht="81.95" customHeight="1">
      <c r="A8" s="47" t="s">
        <v>27</v>
      </c>
      <c r="B8" s="48">
        <v>7</v>
      </c>
      <c r="C8" s="48">
        <v>4</v>
      </c>
      <c r="D8" s="48">
        <v>8</v>
      </c>
      <c r="E8" s="47" t="s">
        <v>58</v>
      </c>
      <c r="F8" s="47" t="s">
        <v>59</v>
      </c>
      <c r="G8" s="47" t="s">
        <v>60</v>
      </c>
      <c r="H8" s="49" t="s">
        <v>61</v>
      </c>
      <c r="I8" s="48">
        <v>3</v>
      </c>
      <c r="J8" s="47" t="s">
        <v>62</v>
      </c>
      <c r="K8" s="47" t="s">
        <v>63</v>
      </c>
      <c r="L8" s="50">
        <v>3.0092592592592593E-3</v>
      </c>
      <c r="M8" s="49" t="s">
        <v>64</v>
      </c>
      <c r="N8" s="51">
        <f t="shared" si="4"/>
        <v>1.3194444444444443E-2</v>
      </c>
      <c r="O8" s="47" t="s">
        <v>35</v>
      </c>
      <c r="P8" s="52">
        <v>26</v>
      </c>
      <c r="Q8" s="52">
        <f t="shared" si="0"/>
        <v>26</v>
      </c>
      <c r="R8" s="52">
        <f t="shared" si="3"/>
        <v>82</v>
      </c>
      <c r="S8" s="52"/>
      <c r="T8" s="52"/>
      <c r="U8" s="52" t="str">
        <f t="shared" si="1"/>
        <v/>
      </c>
      <c r="V8" s="52" t="str">
        <f t="shared" si="2"/>
        <v/>
      </c>
      <c r="W8" s="53"/>
      <c r="X8" s="53"/>
      <c r="Y8" s="53"/>
    </row>
    <row r="9" spans="1:25" ht="81.95" customHeight="1">
      <c r="A9" s="47" t="s">
        <v>27</v>
      </c>
      <c r="B9" s="48">
        <v>8</v>
      </c>
      <c r="C9" s="48">
        <v>1</v>
      </c>
      <c r="D9" s="48">
        <v>9</v>
      </c>
      <c r="E9" s="47" t="s">
        <v>65</v>
      </c>
      <c r="F9" s="47" t="s">
        <v>66</v>
      </c>
      <c r="G9" s="47" t="s">
        <v>67</v>
      </c>
      <c r="H9" s="49" t="s">
        <v>68</v>
      </c>
      <c r="I9" s="48">
        <v>1</v>
      </c>
      <c r="J9" s="47" t="s">
        <v>69</v>
      </c>
      <c r="K9" s="47" t="s">
        <v>33</v>
      </c>
      <c r="L9" s="50">
        <v>8.1018518518518516E-4</v>
      </c>
      <c r="M9" s="49" t="s">
        <v>70</v>
      </c>
      <c r="N9" s="51">
        <f t="shared" si="4"/>
        <v>1.4004629629629627E-2</v>
      </c>
      <c r="O9" s="47" t="s">
        <v>35</v>
      </c>
      <c r="P9" s="52">
        <v>29</v>
      </c>
      <c r="Q9" s="52">
        <f t="shared" si="0"/>
        <v>29</v>
      </c>
      <c r="R9" s="52">
        <f t="shared" si="3"/>
        <v>84</v>
      </c>
      <c r="S9" s="52"/>
      <c r="T9" s="52"/>
      <c r="U9" s="52" t="str">
        <f t="shared" si="1"/>
        <v/>
      </c>
      <c r="V9" s="52" t="str">
        <f t="shared" si="2"/>
        <v/>
      </c>
      <c r="W9" s="53"/>
      <c r="X9" s="53"/>
      <c r="Y9" s="53"/>
    </row>
    <row r="10" spans="1:25" ht="81.95" customHeight="1">
      <c r="A10" s="47" t="s">
        <v>27</v>
      </c>
      <c r="B10" s="48">
        <v>9</v>
      </c>
      <c r="C10" s="48">
        <v>2</v>
      </c>
      <c r="D10" s="48">
        <v>6</v>
      </c>
      <c r="E10" s="47" t="s">
        <v>71</v>
      </c>
      <c r="F10" s="47" t="s">
        <v>52</v>
      </c>
      <c r="G10" s="47" t="s">
        <v>53</v>
      </c>
      <c r="H10" s="49" t="s">
        <v>54</v>
      </c>
      <c r="I10" s="48">
        <v>1</v>
      </c>
      <c r="J10" s="47" t="s">
        <v>55</v>
      </c>
      <c r="K10" s="47" t="s">
        <v>56</v>
      </c>
      <c r="L10" s="50">
        <v>1.1574074074074073E-3</v>
      </c>
      <c r="M10" s="49" t="s">
        <v>57</v>
      </c>
      <c r="N10" s="51">
        <f t="shared" si="4"/>
        <v>1.5162037037037035E-2</v>
      </c>
      <c r="O10" s="47" t="s">
        <v>72</v>
      </c>
      <c r="P10" s="52">
        <v>32</v>
      </c>
      <c r="Q10" s="52">
        <f t="shared" si="0"/>
        <v>32</v>
      </c>
      <c r="R10" s="52">
        <f t="shared" si="3"/>
        <v>87</v>
      </c>
      <c r="S10" s="52"/>
      <c r="T10" s="52"/>
      <c r="U10" s="52" t="str">
        <f t="shared" si="1"/>
        <v/>
      </c>
      <c r="V10" s="52" t="str">
        <f t="shared" si="2"/>
        <v/>
      </c>
      <c r="W10" s="53"/>
      <c r="X10" s="53"/>
      <c r="Y10" s="53"/>
    </row>
    <row r="11" spans="1:25" ht="81.95" customHeight="1">
      <c r="A11" s="47" t="s">
        <v>27</v>
      </c>
      <c r="B11" s="48">
        <v>10</v>
      </c>
      <c r="C11" s="48">
        <v>1</v>
      </c>
      <c r="D11" s="48">
        <v>6</v>
      </c>
      <c r="E11" s="47" t="s">
        <v>73</v>
      </c>
      <c r="F11" s="47" t="s">
        <v>29</v>
      </c>
      <c r="G11" s="47" t="s">
        <v>30</v>
      </c>
      <c r="H11" s="49" t="s">
        <v>31</v>
      </c>
      <c r="I11" s="48">
        <v>1</v>
      </c>
      <c r="J11" s="47" t="s">
        <v>32</v>
      </c>
      <c r="K11" s="47" t="s">
        <v>33</v>
      </c>
      <c r="L11" s="50">
        <v>1.3888888888888889E-3</v>
      </c>
      <c r="M11" s="49" t="s">
        <v>34</v>
      </c>
      <c r="N11" s="51">
        <f t="shared" si="4"/>
        <v>1.6550925925925924E-2</v>
      </c>
      <c r="O11" s="47" t="s">
        <v>72</v>
      </c>
      <c r="P11" s="52">
        <v>34</v>
      </c>
      <c r="Q11" s="52">
        <f t="shared" si="0"/>
        <v>34</v>
      </c>
      <c r="R11" s="52">
        <f t="shared" si="3"/>
        <v>89</v>
      </c>
      <c r="S11" s="52"/>
      <c r="T11" s="52"/>
      <c r="U11" s="52" t="str">
        <f t="shared" si="1"/>
        <v/>
      </c>
      <c r="V11" s="52" t="str">
        <f t="shared" si="2"/>
        <v/>
      </c>
      <c r="W11" s="53"/>
      <c r="X11" s="53"/>
      <c r="Y11" s="53"/>
    </row>
    <row r="12" spans="1:25" ht="81.95" customHeight="1">
      <c r="A12" s="47" t="s">
        <v>27</v>
      </c>
      <c r="B12" s="48">
        <v>11</v>
      </c>
      <c r="C12" s="48">
        <v>2</v>
      </c>
      <c r="D12" s="48">
        <v>7</v>
      </c>
      <c r="E12" s="47" t="s">
        <v>74</v>
      </c>
      <c r="F12" s="47" t="s">
        <v>75</v>
      </c>
      <c r="G12" s="47" t="s">
        <v>76</v>
      </c>
      <c r="H12" s="49" t="s">
        <v>77</v>
      </c>
      <c r="I12" s="48">
        <v>3</v>
      </c>
      <c r="J12" s="47" t="s">
        <v>78</v>
      </c>
      <c r="K12" s="47" t="s">
        <v>79</v>
      </c>
      <c r="L12" s="50">
        <v>1.736111111111111E-3</v>
      </c>
      <c r="M12" s="49" t="s">
        <v>80</v>
      </c>
      <c r="N12" s="51">
        <f t="shared" si="4"/>
        <v>1.8287037037037036E-2</v>
      </c>
      <c r="O12" s="47" t="s">
        <v>72</v>
      </c>
      <c r="P12" s="52">
        <v>38</v>
      </c>
      <c r="Q12" s="52">
        <f t="shared" si="0"/>
        <v>38</v>
      </c>
      <c r="R12" s="52">
        <f t="shared" si="3"/>
        <v>92</v>
      </c>
      <c r="S12" s="52">
        <v>20</v>
      </c>
      <c r="T12" s="52">
        <v>25</v>
      </c>
      <c r="U12" s="52">
        <f t="shared" si="1"/>
        <v>125</v>
      </c>
      <c r="V12" s="52">
        <f t="shared" si="2"/>
        <v>5</v>
      </c>
      <c r="W12" s="53"/>
      <c r="X12" s="53"/>
      <c r="Y12" s="53"/>
    </row>
    <row r="13" spans="1:25" ht="81.95" customHeight="1">
      <c r="A13" s="47" t="s">
        <v>27</v>
      </c>
      <c r="B13" s="48">
        <v>12</v>
      </c>
      <c r="C13" s="48">
        <v>2</v>
      </c>
      <c r="D13" s="48">
        <v>7</v>
      </c>
      <c r="E13" s="47" t="s">
        <v>81</v>
      </c>
      <c r="F13" s="47" t="s">
        <v>75</v>
      </c>
      <c r="G13" s="47" t="s">
        <v>76</v>
      </c>
      <c r="H13" s="49" t="s">
        <v>77</v>
      </c>
      <c r="I13" s="48">
        <v>3</v>
      </c>
      <c r="J13" s="47" t="s">
        <v>78</v>
      </c>
      <c r="K13" s="47" t="s">
        <v>79</v>
      </c>
      <c r="L13" s="50">
        <v>1.736111111111111E-3</v>
      </c>
      <c r="M13" s="49" t="s">
        <v>80</v>
      </c>
      <c r="N13" s="51">
        <f t="shared" si="4"/>
        <v>2.0023148148148148E-2</v>
      </c>
      <c r="O13" s="47" t="s">
        <v>72</v>
      </c>
      <c r="P13" s="52">
        <v>42</v>
      </c>
      <c r="Q13" s="52">
        <f t="shared" si="0"/>
        <v>42</v>
      </c>
      <c r="R13" s="52">
        <f t="shared" si="3"/>
        <v>96</v>
      </c>
      <c r="S13" s="52">
        <v>20</v>
      </c>
      <c r="T13" s="52">
        <v>25</v>
      </c>
      <c r="U13" s="52">
        <f t="shared" si="1"/>
        <v>125</v>
      </c>
      <c r="V13" s="52">
        <f t="shared" si="2"/>
        <v>5</v>
      </c>
      <c r="W13" s="53"/>
      <c r="X13" s="53"/>
      <c r="Y13" s="53"/>
    </row>
    <row r="14" spans="1:25" ht="81.95" customHeight="1">
      <c r="A14" s="47" t="s">
        <v>27</v>
      </c>
      <c r="B14" s="48">
        <v>13</v>
      </c>
      <c r="C14" s="48">
        <v>2</v>
      </c>
      <c r="D14" s="48">
        <v>7</v>
      </c>
      <c r="E14" s="47" t="s">
        <v>82</v>
      </c>
      <c r="F14" s="47" t="s">
        <v>75</v>
      </c>
      <c r="G14" s="47" t="s">
        <v>76</v>
      </c>
      <c r="H14" s="49" t="s">
        <v>77</v>
      </c>
      <c r="I14" s="48">
        <v>3</v>
      </c>
      <c r="J14" s="47" t="s">
        <v>78</v>
      </c>
      <c r="K14" s="47" t="s">
        <v>79</v>
      </c>
      <c r="L14" s="50">
        <v>1.736111111111111E-3</v>
      </c>
      <c r="M14" s="49" t="s">
        <v>80</v>
      </c>
      <c r="N14" s="51">
        <f t="shared" si="4"/>
        <v>2.1759259259259259E-2</v>
      </c>
      <c r="O14" s="47" t="s">
        <v>72</v>
      </c>
      <c r="P14" s="52">
        <v>46</v>
      </c>
      <c r="Q14" s="52">
        <f t="shared" si="0"/>
        <v>46</v>
      </c>
      <c r="R14" s="52">
        <f t="shared" si="3"/>
        <v>99</v>
      </c>
      <c r="S14" s="52">
        <v>20</v>
      </c>
      <c r="T14" s="52">
        <v>25</v>
      </c>
      <c r="U14" s="52">
        <f t="shared" si="1"/>
        <v>125</v>
      </c>
      <c r="V14" s="52">
        <f t="shared" si="2"/>
        <v>5</v>
      </c>
      <c r="W14" s="53"/>
      <c r="X14" s="53"/>
      <c r="Y14" s="53"/>
    </row>
    <row r="15" spans="1:25" ht="81.95" customHeight="1">
      <c r="A15" s="47" t="s">
        <v>27</v>
      </c>
      <c r="B15" s="48">
        <v>14</v>
      </c>
      <c r="C15" s="48">
        <v>4</v>
      </c>
      <c r="D15" s="48">
        <v>8</v>
      </c>
      <c r="E15" s="47" t="s">
        <v>83</v>
      </c>
      <c r="F15" s="47" t="s">
        <v>84</v>
      </c>
      <c r="G15" s="47" t="s">
        <v>85</v>
      </c>
      <c r="H15" s="49" t="s">
        <v>86</v>
      </c>
      <c r="I15" s="48">
        <v>3</v>
      </c>
      <c r="J15" s="47" t="s">
        <v>87</v>
      </c>
      <c r="K15" s="47" t="s">
        <v>88</v>
      </c>
      <c r="L15" s="50">
        <v>2.5462962962962965E-3</v>
      </c>
      <c r="M15" s="49" t="s">
        <v>89</v>
      </c>
      <c r="N15" s="51">
        <f t="shared" si="4"/>
        <v>2.4305555555555556E-2</v>
      </c>
      <c r="O15" s="47" t="s">
        <v>72</v>
      </c>
      <c r="P15" s="52">
        <v>53</v>
      </c>
      <c r="Q15" s="52">
        <f t="shared" si="0"/>
        <v>53</v>
      </c>
      <c r="R15" s="52">
        <f t="shared" si="3"/>
        <v>106</v>
      </c>
      <c r="S15" s="52">
        <v>30</v>
      </c>
      <c r="T15" s="52">
        <v>30</v>
      </c>
      <c r="U15" s="52">
        <f t="shared" si="1"/>
        <v>120</v>
      </c>
      <c r="V15" s="52">
        <f t="shared" si="2"/>
        <v>4</v>
      </c>
      <c r="W15" s="53"/>
      <c r="X15" s="53"/>
      <c r="Y15" s="53"/>
    </row>
    <row r="16" spans="1:25" ht="81.95" customHeight="1">
      <c r="A16" s="47" t="s">
        <v>27</v>
      </c>
      <c r="B16" s="48">
        <v>15</v>
      </c>
      <c r="C16" s="48">
        <v>2</v>
      </c>
      <c r="D16" s="48">
        <v>7</v>
      </c>
      <c r="E16" s="47" t="s">
        <v>90</v>
      </c>
      <c r="F16" s="47" t="s">
        <v>75</v>
      </c>
      <c r="G16" s="47" t="s">
        <v>76</v>
      </c>
      <c r="H16" s="49" t="s">
        <v>77</v>
      </c>
      <c r="I16" s="48">
        <v>3</v>
      </c>
      <c r="J16" s="47" t="s">
        <v>78</v>
      </c>
      <c r="K16" s="47" t="s">
        <v>79</v>
      </c>
      <c r="L16" s="50">
        <v>1.736111111111111E-3</v>
      </c>
      <c r="M16" s="49" t="s">
        <v>80</v>
      </c>
      <c r="N16" s="51">
        <f t="shared" si="4"/>
        <v>2.6041666666666668E-2</v>
      </c>
      <c r="O16" s="47" t="s">
        <v>72</v>
      </c>
      <c r="P16" s="52">
        <v>57</v>
      </c>
      <c r="Q16" s="52">
        <f t="shared" si="0"/>
        <v>57</v>
      </c>
      <c r="R16" s="52">
        <f t="shared" si="3"/>
        <v>109</v>
      </c>
      <c r="S16" s="52">
        <v>20</v>
      </c>
      <c r="T16" s="52">
        <v>25</v>
      </c>
      <c r="U16" s="52">
        <f t="shared" si="1"/>
        <v>150</v>
      </c>
      <c r="V16" s="52">
        <f t="shared" si="2"/>
        <v>6</v>
      </c>
      <c r="W16" s="53"/>
      <c r="X16" s="53"/>
      <c r="Y16" s="53"/>
    </row>
    <row r="17" spans="1:25" ht="81.95" customHeight="1">
      <c r="A17" s="47" t="s">
        <v>27</v>
      </c>
      <c r="B17" s="48">
        <v>16</v>
      </c>
      <c r="C17" s="48">
        <v>1</v>
      </c>
      <c r="D17" s="48">
        <v>6</v>
      </c>
      <c r="E17" s="47" t="s">
        <v>91</v>
      </c>
      <c r="F17" s="47" t="s">
        <v>92</v>
      </c>
      <c r="G17" s="47" t="s">
        <v>93</v>
      </c>
      <c r="H17" s="49" t="s">
        <v>94</v>
      </c>
      <c r="I17" s="48">
        <v>3</v>
      </c>
      <c r="J17" s="47" t="s">
        <v>95</v>
      </c>
      <c r="K17" s="47" t="s">
        <v>33</v>
      </c>
      <c r="L17" s="50">
        <v>1.2731481481481483E-3</v>
      </c>
      <c r="M17" s="49" t="s">
        <v>96</v>
      </c>
      <c r="N17" s="51">
        <f t="shared" si="4"/>
        <v>2.7314814814814816E-2</v>
      </c>
      <c r="O17" s="47" t="s">
        <v>72</v>
      </c>
      <c r="P17" s="52">
        <v>60</v>
      </c>
      <c r="Q17" s="52">
        <f t="shared" si="0"/>
        <v>60</v>
      </c>
      <c r="R17" s="52">
        <f t="shared" si="3"/>
        <v>112</v>
      </c>
      <c r="S17" s="52"/>
      <c r="T17" s="52"/>
      <c r="U17" s="52" t="str">
        <f t="shared" si="1"/>
        <v/>
      </c>
      <c r="V17" s="52" t="str">
        <f t="shared" si="2"/>
        <v/>
      </c>
      <c r="W17" s="53"/>
      <c r="X17" s="53"/>
      <c r="Y17" s="53"/>
    </row>
    <row r="18" spans="1:25" ht="81.95" customHeight="1">
      <c r="A18" s="47" t="s">
        <v>27</v>
      </c>
      <c r="B18" s="48">
        <v>17</v>
      </c>
      <c r="C18" s="48">
        <v>1</v>
      </c>
      <c r="D18" s="48">
        <v>6</v>
      </c>
      <c r="E18" s="47" t="s">
        <v>97</v>
      </c>
      <c r="F18" s="47" t="s">
        <v>29</v>
      </c>
      <c r="G18" s="47" t="s">
        <v>30</v>
      </c>
      <c r="H18" s="49" t="s">
        <v>31</v>
      </c>
      <c r="I18" s="48">
        <v>1</v>
      </c>
      <c r="J18" s="47" t="s">
        <v>32</v>
      </c>
      <c r="K18" s="47" t="s">
        <v>33</v>
      </c>
      <c r="L18" s="50">
        <v>1.3888888888888889E-3</v>
      </c>
      <c r="M18" s="49" t="s">
        <v>34</v>
      </c>
      <c r="N18" s="51">
        <f t="shared" si="4"/>
        <v>2.8703703703703703E-2</v>
      </c>
      <c r="O18" s="47" t="s">
        <v>98</v>
      </c>
      <c r="P18" s="52">
        <v>62</v>
      </c>
      <c r="Q18" s="52">
        <f t="shared" si="0"/>
        <v>62</v>
      </c>
      <c r="R18" s="52">
        <f t="shared" si="3"/>
        <v>114</v>
      </c>
      <c r="S18" s="52"/>
      <c r="T18" s="52"/>
      <c r="U18" s="52" t="str">
        <f t="shared" si="1"/>
        <v/>
      </c>
      <c r="V18" s="52" t="str">
        <f t="shared" si="2"/>
        <v/>
      </c>
      <c r="W18" s="53"/>
      <c r="X18" s="53"/>
      <c r="Y18" s="53"/>
    </row>
    <row r="19" spans="1:25" ht="81.95" customHeight="1">
      <c r="A19" s="47" t="s">
        <v>27</v>
      </c>
      <c r="B19" s="48">
        <v>18</v>
      </c>
      <c r="C19" s="48">
        <v>4</v>
      </c>
      <c r="D19" s="48">
        <v>8</v>
      </c>
      <c r="E19" s="47" t="s">
        <v>99</v>
      </c>
      <c r="F19" s="47" t="s">
        <v>84</v>
      </c>
      <c r="G19" s="47" t="s">
        <v>85</v>
      </c>
      <c r="H19" s="49" t="s">
        <v>86</v>
      </c>
      <c r="I19" s="48">
        <v>4</v>
      </c>
      <c r="J19" s="47" t="s">
        <v>100</v>
      </c>
      <c r="K19" s="47" t="s">
        <v>88</v>
      </c>
      <c r="L19" s="50">
        <v>2.5462962962962965E-3</v>
      </c>
      <c r="M19" s="49" t="s">
        <v>89</v>
      </c>
      <c r="N19" s="51">
        <f t="shared" si="4"/>
        <v>3.125E-2</v>
      </c>
      <c r="O19" s="47" t="s">
        <v>98</v>
      </c>
      <c r="P19" s="52">
        <v>69</v>
      </c>
      <c r="Q19" s="52">
        <f t="shared" si="0"/>
        <v>69</v>
      </c>
      <c r="R19" s="52">
        <f t="shared" si="3"/>
        <v>121</v>
      </c>
      <c r="S19" s="52">
        <v>35</v>
      </c>
      <c r="T19" s="52">
        <v>35</v>
      </c>
      <c r="U19" s="52">
        <f t="shared" si="1"/>
        <v>140</v>
      </c>
      <c r="V19" s="52">
        <f t="shared" si="2"/>
        <v>4</v>
      </c>
      <c r="W19" s="53"/>
      <c r="X19" s="53"/>
      <c r="Y19" s="53"/>
    </row>
    <row r="20" spans="1:25" ht="81.95" customHeight="1">
      <c r="A20" s="47" t="s">
        <v>27</v>
      </c>
      <c r="B20" s="48">
        <v>19</v>
      </c>
      <c r="C20" s="48">
        <v>5</v>
      </c>
      <c r="D20" s="48">
        <v>8</v>
      </c>
      <c r="E20" s="47" t="s">
        <v>101</v>
      </c>
      <c r="F20" s="47" t="s">
        <v>102</v>
      </c>
      <c r="G20" s="47" t="s">
        <v>103</v>
      </c>
      <c r="H20" s="49" t="s">
        <v>104</v>
      </c>
      <c r="I20" s="48">
        <v>3</v>
      </c>
      <c r="J20" s="47" t="s">
        <v>105</v>
      </c>
      <c r="K20" s="47" t="s">
        <v>106</v>
      </c>
      <c r="L20" s="50">
        <v>3.5879629629629629E-3</v>
      </c>
      <c r="M20" s="49" t="s">
        <v>107</v>
      </c>
      <c r="N20" s="51">
        <f t="shared" si="4"/>
        <v>3.4837962962962959E-2</v>
      </c>
      <c r="O20" s="47" t="s">
        <v>98</v>
      </c>
      <c r="P20" s="52">
        <v>77</v>
      </c>
      <c r="Q20" s="52">
        <f t="shared" si="0"/>
        <v>77</v>
      </c>
      <c r="R20" s="52">
        <f t="shared" si="3"/>
        <v>129</v>
      </c>
      <c r="S20" s="52">
        <v>30</v>
      </c>
      <c r="T20" s="52">
        <v>30</v>
      </c>
      <c r="U20" s="52">
        <f t="shared" si="1"/>
        <v>150</v>
      </c>
      <c r="V20" s="52">
        <f t="shared" si="2"/>
        <v>5</v>
      </c>
      <c r="W20" s="53"/>
      <c r="X20" s="53"/>
      <c r="Y20" s="53"/>
    </row>
    <row r="21" spans="1:25" ht="81.95" customHeight="1">
      <c r="A21" s="47" t="s">
        <v>27</v>
      </c>
      <c r="B21" s="48">
        <v>20</v>
      </c>
      <c r="C21" s="48">
        <v>6</v>
      </c>
      <c r="D21" s="48">
        <v>9</v>
      </c>
      <c r="E21" s="47" t="s">
        <v>108</v>
      </c>
      <c r="F21" s="47" t="s">
        <v>109</v>
      </c>
      <c r="G21" s="47" t="s">
        <v>110</v>
      </c>
      <c r="H21" s="49" t="s">
        <v>111</v>
      </c>
      <c r="I21" s="48">
        <v>1</v>
      </c>
      <c r="J21" s="47" t="s">
        <v>112</v>
      </c>
      <c r="K21" s="47" t="s">
        <v>113</v>
      </c>
      <c r="L21" s="50">
        <v>3.5879629629629629E-3</v>
      </c>
      <c r="M21" s="49" t="s">
        <v>114</v>
      </c>
      <c r="N21" s="51">
        <f t="shared" si="4"/>
        <v>3.8425925925925919E-2</v>
      </c>
      <c r="O21" s="47" t="s">
        <v>98</v>
      </c>
      <c r="P21" s="52">
        <v>87</v>
      </c>
      <c r="Q21" s="52">
        <f t="shared" si="0"/>
        <v>87</v>
      </c>
      <c r="R21" s="52">
        <f t="shared" si="3"/>
        <v>139</v>
      </c>
      <c r="S21" s="52">
        <v>105</v>
      </c>
      <c r="T21" s="52">
        <v>105</v>
      </c>
      <c r="U21" s="52">
        <f t="shared" si="1"/>
        <v>210</v>
      </c>
      <c r="V21" s="52">
        <f t="shared" si="2"/>
        <v>2</v>
      </c>
      <c r="W21" s="53"/>
      <c r="X21" s="53"/>
      <c r="Y21" s="53"/>
    </row>
    <row r="22" spans="1:25" ht="81.95" customHeight="1">
      <c r="A22" s="47" t="s">
        <v>27</v>
      </c>
      <c r="B22" s="48">
        <v>21</v>
      </c>
      <c r="C22" s="48">
        <v>4</v>
      </c>
      <c r="D22" s="48">
        <v>8</v>
      </c>
      <c r="E22" s="47" t="s">
        <v>115</v>
      </c>
      <c r="F22" s="47" t="s">
        <v>84</v>
      </c>
      <c r="G22" s="47" t="s">
        <v>85</v>
      </c>
      <c r="H22" s="49" t="s">
        <v>86</v>
      </c>
      <c r="I22" s="48">
        <v>4</v>
      </c>
      <c r="J22" s="47" t="s">
        <v>100</v>
      </c>
      <c r="K22" s="47" t="s">
        <v>88</v>
      </c>
      <c r="L22" s="50">
        <v>2.5462962962962965E-3</v>
      </c>
      <c r="M22" s="49" t="s">
        <v>89</v>
      </c>
      <c r="N22" s="51">
        <f t="shared" si="4"/>
        <v>4.0972222222222215E-2</v>
      </c>
      <c r="O22" s="47" t="s">
        <v>98</v>
      </c>
      <c r="P22" s="52">
        <v>94</v>
      </c>
      <c r="Q22" s="52">
        <f t="shared" si="0"/>
        <v>94</v>
      </c>
      <c r="R22" s="52">
        <f t="shared" si="3"/>
        <v>146</v>
      </c>
      <c r="S22" s="52">
        <v>35</v>
      </c>
      <c r="T22" s="52">
        <v>35</v>
      </c>
      <c r="U22" s="52">
        <f t="shared" si="1"/>
        <v>175</v>
      </c>
      <c r="V22" s="52">
        <f t="shared" si="2"/>
        <v>5</v>
      </c>
      <c r="W22" s="53"/>
      <c r="X22" s="53"/>
      <c r="Y22" s="53"/>
    </row>
    <row r="23" spans="1:25" ht="81.95" customHeight="1">
      <c r="A23" s="47" t="s">
        <v>27</v>
      </c>
      <c r="B23" s="48">
        <v>22</v>
      </c>
      <c r="C23" s="48">
        <v>8</v>
      </c>
      <c r="D23" s="48">
        <v>10</v>
      </c>
      <c r="E23" s="47" t="s">
        <v>116</v>
      </c>
      <c r="F23" s="47" t="s">
        <v>117</v>
      </c>
      <c r="G23" s="47" t="s">
        <v>118</v>
      </c>
      <c r="H23" s="49" t="s">
        <v>119</v>
      </c>
      <c r="I23" s="48">
        <v>1</v>
      </c>
      <c r="J23" s="47" t="s">
        <v>120</v>
      </c>
      <c r="K23" s="47" t="s">
        <v>121</v>
      </c>
      <c r="L23" s="50">
        <v>5.6712962962962967E-3</v>
      </c>
      <c r="M23" s="49" t="s">
        <v>122</v>
      </c>
      <c r="N23" s="51">
        <f t="shared" si="4"/>
        <v>4.6643518518518515E-2</v>
      </c>
      <c r="O23" s="47" t="s">
        <v>98</v>
      </c>
      <c r="P23" s="52">
        <v>111</v>
      </c>
      <c r="Q23" s="52">
        <f t="shared" si="0"/>
        <v>111</v>
      </c>
      <c r="R23" s="52">
        <f t="shared" si="3"/>
        <v>164</v>
      </c>
      <c r="S23" s="52">
        <v>310</v>
      </c>
      <c r="T23" s="52">
        <v>360</v>
      </c>
      <c r="U23" s="52">
        <f t="shared" si="1"/>
        <v>360</v>
      </c>
      <c r="V23" s="52">
        <f t="shared" si="2"/>
        <v>1</v>
      </c>
      <c r="W23" s="53"/>
      <c r="X23" s="53"/>
      <c r="Y23" s="53"/>
    </row>
    <row r="24" spans="1:25" ht="81.95" customHeight="1">
      <c r="A24" s="47" t="s">
        <v>123</v>
      </c>
      <c r="B24" s="48">
        <v>23</v>
      </c>
      <c r="C24" s="48">
        <v>2</v>
      </c>
      <c r="D24" s="48">
        <v>7</v>
      </c>
      <c r="E24" s="47" t="s">
        <v>124</v>
      </c>
      <c r="F24" s="47" t="s">
        <v>92</v>
      </c>
      <c r="G24" s="47" t="s">
        <v>93</v>
      </c>
      <c r="H24" s="49" t="s">
        <v>125</v>
      </c>
      <c r="I24" s="48">
        <v>3</v>
      </c>
      <c r="J24" s="47" t="s">
        <v>95</v>
      </c>
      <c r="K24" s="47" t="s">
        <v>33</v>
      </c>
      <c r="L24" s="50">
        <v>1.5046296296296296E-3</v>
      </c>
      <c r="M24" s="49" t="s">
        <v>96</v>
      </c>
      <c r="N24" s="51">
        <f t="shared" si="4"/>
        <v>4.8148148148148141E-2</v>
      </c>
      <c r="O24" s="47" t="s">
        <v>126</v>
      </c>
      <c r="P24" s="52">
        <v>115</v>
      </c>
      <c r="Q24" s="52">
        <f t="shared" si="0"/>
        <v>115</v>
      </c>
      <c r="R24" s="52">
        <f t="shared" si="3"/>
        <v>168</v>
      </c>
      <c r="S24" s="52"/>
      <c r="T24" s="52"/>
      <c r="U24" s="52" t="str">
        <f t="shared" si="1"/>
        <v/>
      </c>
      <c r="V24" s="52" t="str">
        <f t="shared" si="2"/>
        <v/>
      </c>
      <c r="W24" s="53"/>
      <c r="X24" s="53"/>
      <c r="Y24" s="53"/>
    </row>
    <row r="25" spans="1:25" ht="81.95" customHeight="1">
      <c r="A25" s="47" t="s">
        <v>123</v>
      </c>
      <c r="B25" s="48">
        <v>24</v>
      </c>
      <c r="C25" s="48">
        <v>2</v>
      </c>
      <c r="D25" s="48">
        <v>7</v>
      </c>
      <c r="E25" s="47" t="s">
        <v>127</v>
      </c>
      <c r="F25" s="47" t="s">
        <v>92</v>
      </c>
      <c r="G25" s="47" t="s">
        <v>93</v>
      </c>
      <c r="H25" s="49" t="s">
        <v>125</v>
      </c>
      <c r="I25" s="48">
        <v>3</v>
      </c>
      <c r="J25" s="47" t="s">
        <v>95</v>
      </c>
      <c r="K25" s="47" t="s">
        <v>33</v>
      </c>
      <c r="L25" s="50">
        <v>1.5046296296296296E-3</v>
      </c>
      <c r="M25" s="49" t="s">
        <v>96</v>
      </c>
      <c r="N25" s="51">
        <f t="shared" si="4"/>
        <v>4.9652777777777768E-2</v>
      </c>
      <c r="O25" s="47" t="s">
        <v>126</v>
      </c>
      <c r="P25" s="52">
        <v>119</v>
      </c>
      <c r="Q25" s="52">
        <f t="shared" si="0"/>
        <v>119</v>
      </c>
      <c r="R25" s="52">
        <f t="shared" si="3"/>
        <v>172</v>
      </c>
      <c r="S25" s="52"/>
      <c r="T25" s="52"/>
      <c r="U25" s="52" t="str">
        <f t="shared" si="1"/>
        <v/>
      </c>
      <c r="V25" s="52" t="str">
        <f t="shared" si="2"/>
        <v/>
      </c>
      <c r="W25" s="53"/>
      <c r="X25" s="53"/>
      <c r="Y25" s="53"/>
    </row>
    <row r="26" spans="1:25" ht="81.95" customHeight="1">
      <c r="A26" s="47" t="s">
        <v>123</v>
      </c>
      <c r="B26" s="48">
        <v>25</v>
      </c>
      <c r="C26" s="48">
        <v>3</v>
      </c>
      <c r="D26" s="48">
        <v>7</v>
      </c>
      <c r="E26" s="47" t="s">
        <v>128</v>
      </c>
      <c r="F26" s="47" t="s">
        <v>52</v>
      </c>
      <c r="G26" s="47" t="s">
        <v>53</v>
      </c>
      <c r="H26" s="49" t="s">
        <v>129</v>
      </c>
      <c r="I26" s="48">
        <v>1</v>
      </c>
      <c r="J26" s="47" t="s">
        <v>55</v>
      </c>
      <c r="K26" s="47" t="s">
        <v>56</v>
      </c>
      <c r="L26" s="50">
        <v>1.3888888888888889E-3</v>
      </c>
      <c r="M26" s="49" t="s">
        <v>57</v>
      </c>
      <c r="N26" s="51">
        <f t="shared" si="4"/>
        <v>5.1041666666666659E-2</v>
      </c>
      <c r="O26" s="47" t="s">
        <v>126</v>
      </c>
      <c r="P26" s="52">
        <v>123</v>
      </c>
      <c r="Q26" s="52">
        <f t="shared" si="0"/>
        <v>123</v>
      </c>
      <c r="R26" s="52">
        <f t="shared" si="3"/>
        <v>177</v>
      </c>
      <c r="S26" s="52"/>
      <c r="T26" s="52"/>
      <c r="U26" s="52" t="str">
        <f t="shared" si="1"/>
        <v/>
      </c>
      <c r="V26" s="52" t="str">
        <f t="shared" si="2"/>
        <v/>
      </c>
      <c r="W26" s="53"/>
      <c r="X26" s="53"/>
      <c r="Y26" s="53"/>
    </row>
    <row r="27" spans="1:25" ht="81.95" customHeight="1">
      <c r="A27" s="47" t="s">
        <v>123</v>
      </c>
      <c r="B27" s="48">
        <v>26</v>
      </c>
      <c r="C27" s="48">
        <v>5</v>
      </c>
      <c r="D27" s="48">
        <v>9</v>
      </c>
      <c r="E27" s="47" t="s">
        <v>130</v>
      </c>
      <c r="F27" s="47" t="s">
        <v>84</v>
      </c>
      <c r="G27" s="47" t="s">
        <v>85</v>
      </c>
      <c r="H27" s="49" t="s">
        <v>131</v>
      </c>
      <c r="I27" s="48">
        <v>5</v>
      </c>
      <c r="J27" s="47" t="s">
        <v>132</v>
      </c>
      <c r="K27" s="47" t="s">
        <v>88</v>
      </c>
      <c r="L27" s="50">
        <v>2.8935185185185184E-3</v>
      </c>
      <c r="M27" s="49" t="s">
        <v>89</v>
      </c>
      <c r="N27" s="51">
        <f t="shared" si="4"/>
        <v>5.3935185185185176E-2</v>
      </c>
      <c r="O27" s="47" t="s">
        <v>126</v>
      </c>
      <c r="P27" s="52">
        <v>130</v>
      </c>
      <c r="Q27" s="52">
        <f t="shared" si="0"/>
        <v>130</v>
      </c>
      <c r="R27" s="52">
        <f t="shared" si="3"/>
        <v>184</v>
      </c>
      <c r="S27" s="52">
        <v>40</v>
      </c>
      <c r="T27" s="52">
        <v>35</v>
      </c>
      <c r="U27" s="52">
        <f t="shared" si="1"/>
        <v>175</v>
      </c>
      <c r="V27" s="52">
        <f t="shared" si="2"/>
        <v>5</v>
      </c>
      <c r="W27" s="53"/>
      <c r="X27" s="53"/>
      <c r="Y27" s="53"/>
    </row>
    <row r="28" spans="1:25" ht="81.95" customHeight="1">
      <c r="A28" s="47" t="s">
        <v>123</v>
      </c>
      <c r="B28" s="48">
        <v>27</v>
      </c>
      <c r="C28" s="48">
        <v>5</v>
      </c>
      <c r="D28" s="48">
        <v>9</v>
      </c>
      <c r="E28" s="47" t="s">
        <v>133</v>
      </c>
      <c r="F28" s="47" t="s">
        <v>84</v>
      </c>
      <c r="G28" s="47" t="s">
        <v>85</v>
      </c>
      <c r="H28" s="49" t="s">
        <v>131</v>
      </c>
      <c r="I28" s="48">
        <v>5</v>
      </c>
      <c r="J28" s="47" t="s">
        <v>132</v>
      </c>
      <c r="K28" s="47" t="s">
        <v>88</v>
      </c>
      <c r="L28" s="50">
        <v>2.8935185185185184E-3</v>
      </c>
      <c r="M28" s="49" t="s">
        <v>89</v>
      </c>
      <c r="N28" s="51">
        <f t="shared" si="4"/>
        <v>5.6828703703703694E-2</v>
      </c>
      <c r="O28" s="47" t="s">
        <v>126</v>
      </c>
      <c r="P28" s="52">
        <v>137</v>
      </c>
      <c r="Q28" s="52">
        <f t="shared" si="0"/>
        <v>137</v>
      </c>
      <c r="R28" s="52">
        <f t="shared" si="3"/>
        <v>192</v>
      </c>
      <c r="S28" s="52">
        <v>40</v>
      </c>
      <c r="T28" s="52">
        <v>35</v>
      </c>
      <c r="U28" s="52">
        <f t="shared" si="1"/>
        <v>175</v>
      </c>
      <c r="V28" s="52">
        <f t="shared" si="2"/>
        <v>5</v>
      </c>
      <c r="W28" s="53"/>
      <c r="X28" s="53"/>
      <c r="Y28" s="53"/>
    </row>
    <row r="29" spans="1:25" ht="81.95" customHeight="1">
      <c r="A29" s="47" t="s">
        <v>123</v>
      </c>
      <c r="B29" s="48">
        <v>28</v>
      </c>
      <c r="C29" s="48">
        <v>6</v>
      </c>
      <c r="D29" s="48">
        <v>9</v>
      </c>
      <c r="E29" s="47" t="s">
        <v>134</v>
      </c>
      <c r="F29" s="47" t="s">
        <v>102</v>
      </c>
      <c r="G29" s="47" t="s">
        <v>103</v>
      </c>
      <c r="H29" s="49" t="s">
        <v>135</v>
      </c>
      <c r="I29" s="48">
        <v>3</v>
      </c>
      <c r="J29" s="47" t="s">
        <v>105</v>
      </c>
      <c r="K29" s="47" t="s">
        <v>106</v>
      </c>
      <c r="L29" s="50">
        <v>3.9351851851851848E-3</v>
      </c>
      <c r="M29" s="49" t="s">
        <v>107</v>
      </c>
      <c r="N29" s="51">
        <f t="shared" si="4"/>
        <v>6.0763888888888881E-2</v>
      </c>
      <c r="O29" s="47" t="s">
        <v>126</v>
      </c>
      <c r="P29" s="52">
        <v>146</v>
      </c>
      <c r="Q29" s="52">
        <f t="shared" si="0"/>
        <v>146</v>
      </c>
      <c r="R29" s="52">
        <f t="shared" si="3"/>
        <v>202</v>
      </c>
      <c r="S29" s="52">
        <v>35</v>
      </c>
      <c r="T29" s="52">
        <v>30</v>
      </c>
      <c r="U29" s="52">
        <f t="shared" si="1"/>
        <v>180</v>
      </c>
      <c r="V29" s="52">
        <f t="shared" si="2"/>
        <v>6</v>
      </c>
      <c r="W29" s="53"/>
      <c r="X29" s="53"/>
      <c r="Y29" s="53"/>
    </row>
    <row r="30" spans="1:25" ht="81.95" customHeight="1">
      <c r="A30" s="47" t="s">
        <v>123</v>
      </c>
      <c r="B30" s="48">
        <v>29</v>
      </c>
      <c r="C30" s="48">
        <v>5</v>
      </c>
      <c r="D30" s="48">
        <v>9</v>
      </c>
      <c r="E30" s="47" t="s">
        <v>136</v>
      </c>
      <c r="F30" s="47" t="s">
        <v>137</v>
      </c>
      <c r="G30" s="47" t="s">
        <v>138</v>
      </c>
      <c r="H30" s="49" t="s">
        <v>139</v>
      </c>
      <c r="I30" s="48">
        <v>3</v>
      </c>
      <c r="J30" s="47" t="s">
        <v>140</v>
      </c>
      <c r="K30" s="47" t="s">
        <v>141</v>
      </c>
      <c r="L30" s="50">
        <v>3.472222222222222E-3</v>
      </c>
      <c r="M30" s="49" t="s">
        <v>142</v>
      </c>
      <c r="N30" s="51">
        <f t="shared" si="4"/>
        <v>6.4236111111111105E-2</v>
      </c>
      <c r="O30" s="47" t="s">
        <v>126</v>
      </c>
      <c r="P30" s="52">
        <v>153</v>
      </c>
      <c r="Q30" s="52">
        <f t="shared" si="0"/>
        <v>153</v>
      </c>
      <c r="R30" s="52">
        <f t="shared" si="3"/>
        <v>210</v>
      </c>
      <c r="S30" s="52">
        <v>40</v>
      </c>
      <c r="T30" s="52">
        <v>35</v>
      </c>
      <c r="U30" s="52">
        <f t="shared" si="1"/>
        <v>210</v>
      </c>
      <c r="V30" s="52">
        <f t="shared" si="2"/>
        <v>6</v>
      </c>
      <c r="W30" s="53"/>
      <c r="X30" s="53"/>
      <c r="Y30" s="53"/>
    </row>
    <row r="31" spans="1:25" ht="81.95" customHeight="1">
      <c r="A31" s="47" t="s">
        <v>123</v>
      </c>
      <c r="B31" s="48">
        <v>30</v>
      </c>
      <c r="C31" s="48">
        <v>7</v>
      </c>
      <c r="D31" s="48">
        <v>10</v>
      </c>
      <c r="E31" s="47" t="s">
        <v>143</v>
      </c>
      <c r="F31" s="47" t="s">
        <v>109</v>
      </c>
      <c r="G31" s="47" t="s">
        <v>110</v>
      </c>
      <c r="H31" s="49" t="s">
        <v>144</v>
      </c>
      <c r="I31" s="48">
        <v>1</v>
      </c>
      <c r="J31" s="47" t="s">
        <v>112</v>
      </c>
      <c r="K31" s="47" t="s">
        <v>113</v>
      </c>
      <c r="L31" s="50">
        <v>3.9351851851851848E-3</v>
      </c>
      <c r="M31" s="49" t="s">
        <v>114</v>
      </c>
      <c r="N31" s="51">
        <f t="shared" si="4"/>
        <v>6.8171296296296285E-2</v>
      </c>
      <c r="O31" s="47" t="s">
        <v>126</v>
      </c>
      <c r="P31" s="52">
        <v>164</v>
      </c>
      <c r="Q31" s="52">
        <f t="shared" si="0"/>
        <v>164</v>
      </c>
      <c r="R31" s="52">
        <f t="shared" si="3"/>
        <v>223</v>
      </c>
      <c r="S31" s="52">
        <v>120</v>
      </c>
      <c r="T31" s="52">
        <v>115</v>
      </c>
      <c r="U31" s="52">
        <f t="shared" si="1"/>
        <v>230</v>
      </c>
      <c r="V31" s="52">
        <f t="shared" si="2"/>
        <v>2</v>
      </c>
      <c r="W31" s="53"/>
      <c r="X31" s="53"/>
      <c r="Y31" s="53"/>
    </row>
    <row r="32" spans="1:25" ht="81.95" customHeight="1">
      <c r="A32" s="47" t="s">
        <v>123</v>
      </c>
      <c r="B32" s="48">
        <v>31</v>
      </c>
      <c r="C32" s="48">
        <v>2</v>
      </c>
      <c r="D32" s="48">
        <v>7</v>
      </c>
      <c r="E32" s="47" t="s">
        <v>145</v>
      </c>
      <c r="F32" s="47" t="s">
        <v>29</v>
      </c>
      <c r="G32" s="47" t="s">
        <v>30</v>
      </c>
      <c r="H32" s="49" t="s">
        <v>146</v>
      </c>
      <c r="I32" s="48">
        <v>1</v>
      </c>
      <c r="J32" s="47" t="s">
        <v>32</v>
      </c>
      <c r="K32" s="47" t="s">
        <v>33</v>
      </c>
      <c r="L32" s="50">
        <v>1.6203703703703703E-3</v>
      </c>
      <c r="M32" s="49" t="s">
        <v>34</v>
      </c>
      <c r="N32" s="51">
        <f t="shared" si="4"/>
        <v>6.9791666666666655E-2</v>
      </c>
      <c r="O32" s="47" t="s">
        <v>147</v>
      </c>
      <c r="P32" s="52">
        <v>167</v>
      </c>
      <c r="Q32" s="52">
        <f t="shared" si="0"/>
        <v>167</v>
      </c>
      <c r="R32" s="52">
        <f t="shared" si="3"/>
        <v>227</v>
      </c>
      <c r="S32" s="52"/>
      <c r="T32" s="52"/>
      <c r="U32" s="52" t="str">
        <f t="shared" si="1"/>
        <v/>
      </c>
      <c r="V32" s="52" t="str">
        <f t="shared" si="2"/>
        <v/>
      </c>
      <c r="W32" s="53"/>
      <c r="X32" s="53"/>
      <c r="Y32" s="53"/>
    </row>
    <row r="33" spans="1:25" ht="81.95" customHeight="1">
      <c r="A33" s="47" t="s">
        <v>123</v>
      </c>
      <c r="B33" s="48">
        <v>32</v>
      </c>
      <c r="C33" s="48">
        <v>2</v>
      </c>
      <c r="D33" s="48">
        <v>7</v>
      </c>
      <c r="E33" s="47" t="s">
        <v>148</v>
      </c>
      <c r="F33" s="47" t="s">
        <v>92</v>
      </c>
      <c r="G33" s="47" t="s">
        <v>93</v>
      </c>
      <c r="H33" s="49" t="s">
        <v>125</v>
      </c>
      <c r="I33" s="48">
        <v>3</v>
      </c>
      <c r="J33" s="47" t="s">
        <v>95</v>
      </c>
      <c r="K33" s="47" t="s">
        <v>33</v>
      </c>
      <c r="L33" s="50">
        <v>1.5046296296296296E-3</v>
      </c>
      <c r="M33" s="49" t="s">
        <v>96</v>
      </c>
      <c r="N33" s="51">
        <f t="shared" si="4"/>
        <v>7.1296296296296288E-2</v>
      </c>
      <c r="O33" s="47" t="s">
        <v>147</v>
      </c>
      <c r="P33" s="52">
        <v>171</v>
      </c>
      <c r="Q33" s="52">
        <f t="shared" si="0"/>
        <v>171</v>
      </c>
      <c r="R33" s="52">
        <f t="shared" si="3"/>
        <v>232</v>
      </c>
      <c r="S33" s="52"/>
      <c r="T33" s="52"/>
      <c r="U33" s="52" t="str">
        <f t="shared" si="1"/>
        <v/>
      </c>
      <c r="V33" s="52" t="str">
        <f t="shared" si="2"/>
        <v/>
      </c>
      <c r="W33" s="53"/>
      <c r="X33" s="53"/>
      <c r="Y33" s="53"/>
    </row>
    <row r="34" spans="1:25" ht="81.95" customHeight="1">
      <c r="A34" s="47" t="s">
        <v>123</v>
      </c>
      <c r="B34" s="48">
        <v>33</v>
      </c>
      <c r="C34" s="48">
        <v>6</v>
      </c>
      <c r="D34" s="48">
        <v>9</v>
      </c>
      <c r="E34" s="47" t="s">
        <v>149</v>
      </c>
      <c r="F34" s="47" t="s">
        <v>102</v>
      </c>
      <c r="G34" s="47" t="s">
        <v>103</v>
      </c>
      <c r="H34" s="49" t="s">
        <v>135</v>
      </c>
      <c r="I34" s="48">
        <v>1</v>
      </c>
      <c r="J34" s="47" t="s">
        <v>150</v>
      </c>
      <c r="K34" s="47" t="s">
        <v>106</v>
      </c>
      <c r="L34" s="50">
        <v>3.9351851851851848E-3</v>
      </c>
      <c r="M34" s="49" t="s">
        <v>107</v>
      </c>
      <c r="N34" s="51">
        <f t="shared" si="4"/>
        <v>7.5231481481481469E-2</v>
      </c>
      <c r="O34" s="47" t="s">
        <v>147</v>
      </c>
      <c r="P34" s="52">
        <v>180</v>
      </c>
      <c r="Q34" s="52">
        <f t="shared" ref="Q34:Q65" si="5">P34</f>
        <v>180</v>
      </c>
      <c r="R34" s="52">
        <f t="shared" si="3"/>
        <v>243</v>
      </c>
      <c r="S34" s="52">
        <v>40</v>
      </c>
      <c r="T34" s="52">
        <v>30</v>
      </c>
      <c r="U34" s="52">
        <f t="shared" ref="U34:U65" si="6">IF(S34="","",ROUNDUP(R34/S34,0)*T34)</f>
        <v>210</v>
      </c>
      <c r="V34" s="52">
        <f t="shared" ref="V34:V65" si="7">IF(S34="","",ROUNDUP(R34/S34,0))</f>
        <v>7</v>
      </c>
      <c r="W34" s="53"/>
      <c r="X34" s="53"/>
      <c r="Y34" s="53"/>
    </row>
    <row r="35" spans="1:25" ht="81.95" customHeight="1">
      <c r="A35" s="47" t="s">
        <v>123</v>
      </c>
      <c r="B35" s="48">
        <v>34</v>
      </c>
      <c r="C35" s="48">
        <v>5</v>
      </c>
      <c r="D35" s="48">
        <v>9</v>
      </c>
      <c r="E35" s="47" t="s">
        <v>151</v>
      </c>
      <c r="F35" s="47" t="s">
        <v>84</v>
      </c>
      <c r="G35" s="47" t="s">
        <v>85</v>
      </c>
      <c r="H35" s="49" t="s">
        <v>131</v>
      </c>
      <c r="I35" s="48">
        <v>5</v>
      </c>
      <c r="J35" s="47" t="s">
        <v>132</v>
      </c>
      <c r="K35" s="47" t="s">
        <v>88</v>
      </c>
      <c r="L35" s="50">
        <v>2.8935185185185184E-3</v>
      </c>
      <c r="M35" s="49" t="s">
        <v>89</v>
      </c>
      <c r="N35" s="51">
        <f t="shared" ref="N35:N66" si="8">N34+L35</f>
        <v>7.8124999999999986E-2</v>
      </c>
      <c r="O35" s="47" t="s">
        <v>147</v>
      </c>
      <c r="P35" s="52">
        <v>187</v>
      </c>
      <c r="Q35" s="52">
        <f t="shared" si="5"/>
        <v>187</v>
      </c>
      <c r="R35" s="52">
        <f t="shared" si="3"/>
        <v>252</v>
      </c>
      <c r="S35" s="52">
        <v>45</v>
      </c>
      <c r="T35" s="52">
        <v>35</v>
      </c>
      <c r="U35" s="52">
        <f t="shared" si="6"/>
        <v>210</v>
      </c>
      <c r="V35" s="52">
        <f t="shared" si="7"/>
        <v>6</v>
      </c>
      <c r="W35" s="53"/>
      <c r="X35" s="53"/>
      <c r="Y35" s="53"/>
    </row>
    <row r="36" spans="1:25" ht="81.95" customHeight="1">
      <c r="A36" s="47" t="s">
        <v>123</v>
      </c>
      <c r="B36" s="48">
        <v>35</v>
      </c>
      <c r="C36" s="48">
        <v>5</v>
      </c>
      <c r="D36" s="48">
        <v>9</v>
      </c>
      <c r="E36" s="47" t="s">
        <v>152</v>
      </c>
      <c r="F36" s="47" t="s">
        <v>84</v>
      </c>
      <c r="G36" s="47" t="s">
        <v>85</v>
      </c>
      <c r="H36" s="49" t="s">
        <v>131</v>
      </c>
      <c r="I36" s="48">
        <v>5</v>
      </c>
      <c r="J36" s="47" t="s">
        <v>132</v>
      </c>
      <c r="K36" s="47" t="s">
        <v>88</v>
      </c>
      <c r="L36" s="50">
        <v>2.8935185185185184E-3</v>
      </c>
      <c r="M36" s="49" t="s">
        <v>89</v>
      </c>
      <c r="N36" s="51">
        <f t="shared" si="8"/>
        <v>8.1018518518518504E-2</v>
      </c>
      <c r="O36" s="47" t="s">
        <v>147</v>
      </c>
      <c r="P36" s="52">
        <v>194</v>
      </c>
      <c r="Q36" s="52">
        <f t="shared" si="5"/>
        <v>194</v>
      </c>
      <c r="R36" s="52">
        <f t="shared" si="3"/>
        <v>260</v>
      </c>
      <c r="S36" s="52">
        <v>45</v>
      </c>
      <c r="T36" s="52">
        <v>35</v>
      </c>
      <c r="U36" s="52">
        <f t="shared" si="6"/>
        <v>210</v>
      </c>
      <c r="V36" s="52">
        <f t="shared" si="7"/>
        <v>6</v>
      </c>
      <c r="W36" s="53"/>
      <c r="X36" s="53"/>
      <c r="Y36" s="53"/>
    </row>
    <row r="37" spans="1:25" ht="81.95" customHeight="1">
      <c r="A37" s="47" t="s">
        <v>123</v>
      </c>
      <c r="B37" s="48">
        <v>36</v>
      </c>
      <c r="C37" s="48">
        <v>6</v>
      </c>
      <c r="D37" s="48">
        <v>9</v>
      </c>
      <c r="E37" s="47" t="s">
        <v>153</v>
      </c>
      <c r="F37" s="47" t="s">
        <v>102</v>
      </c>
      <c r="G37" s="47" t="s">
        <v>103</v>
      </c>
      <c r="H37" s="49" t="s">
        <v>135</v>
      </c>
      <c r="I37" s="48">
        <v>2</v>
      </c>
      <c r="J37" s="47" t="s">
        <v>154</v>
      </c>
      <c r="K37" s="47" t="s">
        <v>106</v>
      </c>
      <c r="L37" s="50">
        <v>3.9351851851851848E-3</v>
      </c>
      <c r="M37" s="49" t="s">
        <v>107</v>
      </c>
      <c r="N37" s="51">
        <f t="shared" si="8"/>
        <v>8.4953703703703684E-2</v>
      </c>
      <c r="O37" s="47" t="s">
        <v>147</v>
      </c>
      <c r="P37" s="52">
        <v>203</v>
      </c>
      <c r="Q37" s="52">
        <f t="shared" si="5"/>
        <v>203</v>
      </c>
      <c r="R37" s="52">
        <f t="shared" si="3"/>
        <v>272</v>
      </c>
      <c r="S37" s="52">
        <v>40</v>
      </c>
      <c r="T37" s="52">
        <v>30</v>
      </c>
      <c r="U37" s="52">
        <f t="shared" si="6"/>
        <v>210</v>
      </c>
      <c r="V37" s="52">
        <f t="shared" si="7"/>
        <v>7</v>
      </c>
      <c r="W37" s="53"/>
      <c r="X37" s="53"/>
      <c r="Y37" s="53"/>
    </row>
    <row r="38" spans="1:25" ht="81.95" customHeight="1">
      <c r="A38" s="47" t="s">
        <v>123</v>
      </c>
      <c r="B38" s="48">
        <v>37</v>
      </c>
      <c r="C38" s="48">
        <v>6</v>
      </c>
      <c r="D38" s="48">
        <v>9</v>
      </c>
      <c r="E38" s="47" t="s">
        <v>155</v>
      </c>
      <c r="F38" s="47" t="s">
        <v>102</v>
      </c>
      <c r="G38" s="47" t="s">
        <v>103</v>
      </c>
      <c r="H38" s="49" t="s">
        <v>135</v>
      </c>
      <c r="I38" s="48">
        <v>3</v>
      </c>
      <c r="J38" s="47" t="s">
        <v>105</v>
      </c>
      <c r="K38" s="47" t="s">
        <v>106</v>
      </c>
      <c r="L38" s="50">
        <v>3.9351851851851848E-3</v>
      </c>
      <c r="M38" s="49" t="s">
        <v>107</v>
      </c>
      <c r="N38" s="51">
        <f t="shared" si="8"/>
        <v>8.8888888888888865E-2</v>
      </c>
      <c r="O38" s="47" t="s">
        <v>147</v>
      </c>
      <c r="P38" s="52">
        <v>212</v>
      </c>
      <c r="Q38" s="52">
        <f t="shared" si="5"/>
        <v>212</v>
      </c>
      <c r="R38" s="52">
        <f t="shared" si="3"/>
        <v>284</v>
      </c>
      <c r="S38" s="52">
        <v>40</v>
      </c>
      <c r="T38" s="52">
        <v>30</v>
      </c>
      <c r="U38" s="52">
        <f t="shared" si="6"/>
        <v>240</v>
      </c>
      <c r="V38" s="52">
        <f t="shared" si="7"/>
        <v>8</v>
      </c>
      <c r="W38" s="53"/>
      <c r="X38" s="53"/>
      <c r="Y38" s="53"/>
    </row>
    <row r="39" spans="1:25" ht="81.95" customHeight="1">
      <c r="A39" s="47" t="s">
        <v>123</v>
      </c>
      <c r="B39" s="48">
        <v>38</v>
      </c>
      <c r="C39" s="48">
        <v>5</v>
      </c>
      <c r="D39" s="48">
        <v>9</v>
      </c>
      <c r="E39" s="47" t="s">
        <v>156</v>
      </c>
      <c r="F39" s="47" t="s">
        <v>137</v>
      </c>
      <c r="G39" s="47" t="s">
        <v>138</v>
      </c>
      <c r="H39" s="49" t="s">
        <v>139</v>
      </c>
      <c r="I39" s="48">
        <v>3</v>
      </c>
      <c r="J39" s="47" t="s">
        <v>140</v>
      </c>
      <c r="K39" s="47" t="s">
        <v>141</v>
      </c>
      <c r="L39" s="50">
        <v>3.472222222222222E-3</v>
      </c>
      <c r="M39" s="49" t="s">
        <v>142</v>
      </c>
      <c r="N39" s="51">
        <f t="shared" si="8"/>
        <v>9.2361111111111088E-2</v>
      </c>
      <c r="O39" s="47" t="s">
        <v>147</v>
      </c>
      <c r="P39" s="52">
        <v>219</v>
      </c>
      <c r="Q39" s="52">
        <f t="shared" si="5"/>
        <v>219</v>
      </c>
      <c r="R39" s="52">
        <f t="shared" si="3"/>
        <v>293</v>
      </c>
      <c r="S39" s="52">
        <v>45</v>
      </c>
      <c r="T39" s="52">
        <v>35</v>
      </c>
      <c r="U39" s="52">
        <f t="shared" si="6"/>
        <v>245</v>
      </c>
      <c r="V39" s="52">
        <f t="shared" si="7"/>
        <v>7</v>
      </c>
      <c r="W39" s="53"/>
      <c r="X39" s="53"/>
      <c r="Y39" s="53"/>
    </row>
    <row r="40" spans="1:25" ht="81.95" customHeight="1">
      <c r="A40" s="47" t="s">
        <v>123</v>
      </c>
      <c r="B40" s="48">
        <v>39</v>
      </c>
      <c r="C40" s="48">
        <v>9</v>
      </c>
      <c r="D40" s="48">
        <v>10</v>
      </c>
      <c r="E40" s="47" t="s">
        <v>157</v>
      </c>
      <c r="F40" s="47" t="s">
        <v>117</v>
      </c>
      <c r="G40" s="47" t="s">
        <v>118</v>
      </c>
      <c r="H40" s="49" t="s">
        <v>158</v>
      </c>
      <c r="I40" s="48">
        <v>1</v>
      </c>
      <c r="J40" s="47" t="s">
        <v>120</v>
      </c>
      <c r="K40" s="47" t="s">
        <v>121</v>
      </c>
      <c r="L40" s="50">
        <v>6.4814814814814813E-3</v>
      </c>
      <c r="M40" s="49" t="s">
        <v>122</v>
      </c>
      <c r="N40" s="51">
        <f t="shared" si="8"/>
        <v>9.8842592592592565E-2</v>
      </c>
      <c r="O40" s="47" t="s">
        <v>147</v>
      </c>
      <c r="P40" s="52">
        <v>235</v>
      </c>
      <c r="Q40" s="52">
        <f t="shared" si="5"/>
        <v>235</v>
      </c>
      <c r="R40" s="52">
        <f t="shared" si="3"/>
        <v>314</v>
      </c>
      <c r="S40" s="52">
        <v>380</v>
      </c>
      <c r="T40" s="52">
        <v>410</v>
      </c>
      <c r="U40" s="52">
        <f t="shared" si="6"/>
        <v>410</v>
      </c>
      <c r="V40" s="52">
        <f t="shared" si="7"/>
        <v>1</v>
      </c>
      <c r="W40" s="53"/>
      <c r="X40" s="53"/>
      <c r="Y40" s="53"/>
    </row>
    <row r="41" spans="1:25" ht="81.95" customHeight="1">
      <c r="A41" s="47" t="s">
        <v>123</v>
      </c>
      <c r="B41" s="48">
        <v>40</v>
      </c>
      <c r="C41" s="48">
        <v>2</v>
      </c>
      <c r="D41" s="48">
        <v>7</v>
      </c>
      <c r="E41" s="47" t="s">
        <v>159</v>
      </c>
      <c r="F41" s="47" t="s">
        <v>92</v>
      </c>
      <c r="G41" s="47" t="s">
        <v>93</v>
      </c>
      <c r="H41" s="49" t="s">
        <v>125</v>
      </c>
      <c r="I41" s="48">
        <v>3</v>
      </c>
      <c r="J41" s="47" t="s">
        <v>95</v>
      </c>
      <c r="K41" s="47" t="s">
        <v>33</v>
      </c>
      <c r="L41" s="50">
        <v>1.5046296296296296E-3</v>
      </c>
      <c r="M41" s="49" t="s">
        <v>96</v>
      </c>
      <c r="N41" s="51">
        <f t="shared" si="8"/>
        <v>0.1003472222222222</v>
      </c>
      <c r="O41" s="47" t="s">
        <v>160</v>
      </c>
      <c r="P41" s="52">
        <v>239</v>
      </c>
      <c r="Q41" s="52">
        <f t="shared" si="5"/>
        <v>239</v>
      </c>
      <c r="R41" s="52">
        <f t="shared" si="3"/>
        <v>320</v>
      </c>
      <c r="S41" s="52"/>
      <c r="T41" s="52"/>
      <c r="U41" s="52" t="str">
        <f t="shared" si="6"/>
        <v/>
      </c>
      <c r="V41" s="52" t="str">
        <f t="shared" si="7"/>
        <v/>
      </c>
      <c r="W41" s="53"/>
      <c r="X41" s="53"/>
      <c r="Y41" s="53"/>
    </row>
    <row r="42" spans="1:25" ht="81.95" customHeight="1">
      <c r="A42" s="47" t="s">
        <v>123</v>
      </c>
      <c r="B42" s="48">
        <v>41</v>
      </c>
      <c r="C42" s="48">
        <v>2</v>
      </c>
      <c r="D42" s="48">
        <v>7</v>
      </c>
      <c r="E42" s="47" t="s">
        <v>161</v>
      </c>
      <c r="F42" s="47" t="s">
        <v>92</v>
      </c>
      <c r="G42" s="47" t="s">
        <v>93</v>
      </c>
      <c r="H42" s="49" t="s">
        <v>125</v>
      </c>
      <c r="I42" s="48">
        <v>3</v>
      </c>
      <c r="J42" s="47" t="s">
        <v>95</v>
      </c>
      <c r="K42" s="47" t="s">
        <v>33</v>
      </c>
      <c r="L42" s="50">
        <v>1.5046296296296296E-3</v>
      </c>
      <c r="M42" s="49" t="s">
        <v>96</v>
      </c>
      <c r="N42" s="51">
        <f t="shared" si="8"/>
        <v>0.10185185185185183</v>
      </c>
      <c r="O42" s="47" t="s">
        <v>160</v>
      </c>
      <c r="P42" s="52">
        <v>243</v>
      </c>
      <c r="Q42" s="52">
        <f t="shared" si="5"/>
        <v>243</v>
      </c>
      <c r="R42" s="52">
        <f t="shared" si="3"/>
        <v>325</v>
      </c>
      <c r="S42" s="52"/>
      <c r="T42" s="52"/>
      <c r="U42" s="52" t="str">
        <f t="shared" si="6"/>
        <v/>
      </c>
      <c r="V42" s="52" t="str">
        <f t="shared" si="7"/>
        <v/>
      </c>
      <c r="W42" s="53"/>
      <c r="X42" s="53"/>
      <c r="Y42" s="53"/>
    </row>
    <row r="43" spans="1:25" ht="81.95" customHeight="1">
      <c r="A43" s="47" t="s">
        <v>123</v>
      </c>
      <c r="B43" s="48">
        <v>42</v>
      </c>
      <c r="C43" s="48">
        <v>5</v>
      </c>
      <c r="D43" s="48">
        <v>9</v>
      </c>
      <c r="E43" s="47" t="s">
        <v>162</v>
      </c>
      <c r="F43" s="47" t="s">
        <v>84</v>
      </c>
      <c r="G43" s="47" t="s">
        <v>85</v>
      </c>
      <c r="H43" s="49" t="s">
        <v>131</v>
      </c>
      <c r="I43" s="48">
        <v>5</v>
      </c>
      <c r="J43" s="47" t="s">
        <v>132</v>
      </c>
      <c r="K43" s="47" t="s">
        <v>88</v>
      </c>
      <c r="L43" s="50">
        <v>3.0092592592592593E-3</v>
      </c>
      <c r="M43" s="49" t="s">
        <v>89</v>
      </c>
      <c r="N43" s="51">
        <f t="shared" si="8"/>
        <v>0.10486111111111109</v>
      </c>
      <c r="O43" s="47" t="s">
        <v>160</v>
      </c>
      <c r="P43" s="52">
        <v>250</v>
      </c>
      <c r="Q43" s="52">
        <f t="shared" si="5"/>
        <v>250</v>
      </c>
      <c r="R43" s="52">
        <f t="shared" si="3"/>
        <v>335</v>
      </c>
      <c r="S43" s="52">
        <v>50</v>
      </c>
      <c r="T43" s="52">
        <v>40</v>
      </c>
      <c r="U43" s="52">
        <f t="shared" si="6"/>
        <v>280</v>
      </c>
      <c r="V43" s="52">
        <f t="shared" si="7"/>
        <v>7</v>
      </c>
      <c r="W43" s="53"/>
      <c r="X43" s="53"/>
      <c r="Y43" s="53"/>
    </row>
    <row r="44" spans="1:25" ht="81.95" customHeight="1">
      <c r="A44" s="47" t="s">
        <v>123</v>
      </c>
      <c r="B44" s="48">
        <v>43</v>
      </c>
      <c r="C44" s="48">
        <v>5</v>
      </c>
      <c r="D44" s="48">
        <v>9</v>
      </c>
      <c r="E44" s="47" t="s">
        <v>163</v>
      </c>
      <c r="F44" s="47" t="s">
        <v>84</v>
      </c>
      <c r="G44" s="47" t="s">
        <v>85</v>
      </c>
      <c r="H44" s="49" t="s">
        <v>131</v>
      </c>
      <c r="I44" s="48">
        <v>3</v>
      </c>
      <c r="J44" s="47" t="s">
        <v>164</v>
      </c>
      <c r="K44" s="47" t="s">
        <v>88</v>
      </c>
      <c r="L44" s="50">
        <v>3.0092592592592593E-3</v>
      </c>
      <c r="M44" s="49" t="s">
        <v>89</v>
      </c>
      <c r="N44" s="51">
        <f t="shared" si="8"/>
        <v>0.10787037037037034</v>
      </c>
      <c r="O44" s="47" t="s">
        <v>160</v>
      </c>
      <c r="P44" s="52">
        <v>257</v>
      </c>
      <c r="Q44" s="52">
        <f t="shared" si="5"/>
        <v>257</v>
      </c>
      <c r="R44" s="52">
        <f t="shared" si="3"/>
        <v>345</v>
      </c>
      <c r="S44" s="52">
        <v>50</v>
      </c>
      <c r="T44" s="52">
        <v>40</v>
      </c>
      <c r="U44" s="52">
        <f t="shared" si="6"/>
        <v>280</v>
      </c>
      <c r="V44" s="52">
        <f t="shared" si="7"/>
        <v>7</v>
      </c>
      <c r="W44" s="53"/>
      <c r="X44" s="53"/>
      <c r="Y44" s="53"/>
    </row>
    <row r="45" spans="1:25" ht="81.95" customHeight="1">
      <c r="A45" s="47" t="s">
        <v>123</v>
      </c>
      <c r="B45" s="48">
        <v>44</v>
      </c>
      <c r="C45" s="48">
        <v>7</v>
      </c>
      <c r="D45" s="48">
        <v>10</v>
      </c>
      <c r="E45" s="47" t="s">
        <v>165</v>
      </c>
      <c r="F45" s="47" t="s">
        <v>109</v>
      </c>
      <c r="G45" s="47" t="s">
        <v>110</v>
      </c>
      <c r="H45" s="49" t="s">
        <v>144</v>
      </c>
      <c r="I45" s="48">
        <v>1</v>
      </c>
      <c r="J45" s="47" t="s">
        <v>112</v>
      </c>
      <c r="K45" s="47" t="s">
        <v>113</v>
      </c>
      <c r="L45" s="50">
        <v>4.0509259259259257E-3</v>
      </c>
      <c r="M45" s="49" t="s">
        <v>114</v>
      </c>
      <c r="N45" s="51">
        <f t="shared" si="8"/>
        <v>0.11192129629629627</v>
      </c>
      <c r="O45" s="47" t="s">
        <v>160</v>
      </c>
      <c r="P45" s="52">
        <v>268</v>
      </c>
      <c r="Q45" s="52">
        <f t="shared" si="5"/>
        <v>268</v>
      </c>
      <c r="R45" s="52">
        <f t="shared" si="3"/>
        <v>361</v>
      </c>
      <c r="S45" s="52">
        <v>140</v>
      </c>
      <c r="T45" s="52">
        <v>125</v>
      </c>
      <c r="U45" s="52">
        <f t="shared" si="6"/>
        <v>375</v>
      </c>
      <c r="V45" s="52">
        <f t="shared" si="7"/>
        <v>3</v>
      </c>
      <c r="W45" s="53"/>
      <c r="X45" s="53"/>
      <c r="Y45" s="53"/>
    </row>
    <row r="46" spans="1:25" ht="81.95" customHeight="1">
      <c r="A46" s="47" t="s">
        <v>123</v>
      </c>
      <c r="B46" s="48">
        <v>45</v>
      </c>
      <c r="C46" s="48">
        <v>6</v>
      </c>
      <c r="D46" s="48">
        <v>9</v>
      </c>
      <c r="E46" s="47" t="s">
        <v>166</v>
      </c>
      <c r="F46" s="47" t="s">
        <v>102</v>
      </c>
      <c r="G46" s="47" t="s">
        <v>103</v>
      </c>
      <c r="H46" s="49" t="s">
        <v>135</v>
      </c>
      <c r="I46" s="48">
        <v>3</v>
      </c>
      <c r="J46" s="47" t="s">
        <v>105</v>
      </c>
      <c r="K46" s="47" t="s">
        <v>106</v>
      </c>
      <c r="L46" s="50">
        <v>4.0509259259259257E-3</v>
      </c>
      <c r="M46" s="49" t="s">
        <v>107</v>
      </c>
      <c r="N46" s="51">
        <f t="shared" si="8"/>
        <v>0.1159722222222222</v>
      </c>
      <c r="O46" s="47" t="s">
        <v>160</v>
      </c>
      <c r="P46" s="52">
        <v>277</v>
      </c>
      <c r="Q46" s="52">
        <f t="shared" si="5"/>
        <v>277</v>
      </c>
      <c r="R46" s="52">
        <f t="shared" si="3"/>
        <v>374</v>
      </c>
      <c r="S46" s="52">
        <v>45</v>
      </c>
      <c r="T46" s="52">
        <v>35</v>
      </c>
      <c r="U46" s="52">
        <f t="shared" si="6"/>
        <v>315</v>
      </c>
      <c r="V46" s="52">
        <f t="shared" si="7"/>
        <v>9</v>
      </c>
      <c r="W46" s="53"/>
      <c r="X46" s="53"/>
      <c r="Y46" s="53"/>
    </row>
    <row r="47" spans="1:25" ht="81.95" customHeight="1">
      <c r="A47" s="47" t="s">
        <v>123</v>
      </c>
      <c r="B47" s="48">
        <v>46</v>
      </c>
      <c r="C47" s="48">
        <v>9</v>
      </c>
      <c r="D47" s="48">
        <v>10</v>
      </c>
      <c r="E47" s="47" t="s">
        <v>167</v>
      </c>
      <c r="F47" s="47" t="s">
        <v>117</v>
      </c>
      <c r="G47" s="47" t="s">
        <v>118</v>
      </c>
      <c r="H47" s="49" t="s">
        <v>158</v>
      </c>
      <c r="I47" s="48">
        <v>1</v>
      </c>
      <c r="J47" s="47" t="s">
        <v>120</v>
      </c>
      <c r="K47" s="47" t="s">
        <v>121</v>
      </c>
      <c r="L47" s="50">
        <v>6.5972222222222222E-3</v>
      </c>
      <c r="M47" s="49" t="s">
        <v>122</v>
      </c>
      <c r="N47" s="51">
        <f t="shared" si="8"/>
        <v>0.12256944444444443</v>
      </c>
      <c r="O47" s="47" t="s">
        <v>160</v>
      </c>
      <c r="P47" s="52">
        <v>296</v>
      </c>
      <c r="Q47" s="52">
        <f t="shared" si="5"/>
        <v>296</v>
      </c>
      <c r="R47" s="52">
        <f t="shared" si="3"/>
        <v>402</v>
      </c>
      <c r="S47" s="52">
        <v>410</v>
      </c>
      <c r="T47" s="52">
        <v>435</v>
      </c>
      <c r="U47" s="52">
        <f t="shared" si="6"/>
        <v>435</v>
      </c>
      <c r="V47" s="52">
        <f t="shared" si="7"/>
        <v>1</v>
      </c>
      <c r="W47" s="53"/>
      <c r="X47" s="53"/>
      <c r="Y47" s="53"/>
    </row>
    <row r="48" spans="1:25" ht="81.95" customHeight="1">
      <c r="A48" s="47" t="s">
        <v>168</v>
      </c>
      <c r="B48" s="48">
        <v>47</v>
      </c>
      <c r="C48" s="48">
        <v>2</v>
      </c>
      <c r="D48" s="48">
        <v>7</v>
      </c>
      <c r="E48" s="47" t="s">
        <v>169</v>
      </c>
      <c r="F48" s="47" t="s">
        <v>29</v>
      </c>
      <c r="G48" s="47" t="s">
        <v>30</v>
      </c>
      <c r="H48" s="49" t="s">
        <v>146</v>
      </c>
      <c r="I48" s="48">
        <v>1</v>
      </c>
      <c r="J48" s="47" t="s">
        <v>32</v>
      </c>
      <c r="K48" s="47" t="s">
        <v>33</v>
      </c>
      <c r="L48" s="50">
        <v>2.5462962962962965E-3</v>
      </c>
      <c r="M48" s="49" t="s">
        <v>34</v>
      </c>
      <c r="N48" s="51">
        <f t="shared" si="8"/>
        <v>0.12511574074074072</v>
      </c>
      <c r="O48" s="47" t="s">
        <v>170</v>
      </c>
      <c r="P48" s="52">
        <v>299</v>
      </c>
      <c r="Q48" s="52">
        <f t="shared" si="5"/>
        <v>299</v>
      </c>
      <c r="R48" s="52">
        <f t="shared" si="3"/>
        <v>406</v>
      </c>
      <c r="S48" s="52"/>
      <c r="T48" s="52"/>
      <c r="U48" s="52" t="str">
        <f t="shared" si="6"/>
        <v/>
      </c>
      <c r="V48" s="52" t="str">
        <f t="shared" si="7"/>
        <v/>
      </c>
      <c r="W48" s="53"/>
      <c r="X48" s="53"/>
      <c r="Y48" s="53"/>
    </row>
    <row r="49" spans="1:25" ht="81.95" customHeight="1">
      <c r="A49" s="47" t="s">
        <v>168</v>
      </c>
      <c r="B49" s="48">
        <v>48</v>
      </c>
      <c r="C49" s="48">
        <v>2</v>
      </c>
      <c r="D49" s="48">
        <v>7</v>
      </c>
      <c r="E49" s="47" t="s">
        <v>171</v>
      </c>
      <c r="F49" s="47" t="s">
        <v>29</v>
      </c>
      <c r="G49" s="47" t="s">
        <v>30</v>
      </c>
      <c r="H49" s="49" t="s">
        <v>146</v>
      </c>
      <c r="I49" s="48">
        <v>1</v>
      </c>
      <c r="J49" s="47" t="s">
        <v>32</v>
      </c>
      <c r="K49" s="47" t="s">
        <v>33</v>
      </c>
      <c r="L49" s="50">
        <v>1.8518518518518519E-3</v>
      </c>
      <c r="M49" s="49" t="s">
        <v>34</v>
      </c>
      <c r="N49" s="51">
        <f t="shared" si="8"/>
        <v>0.12696759259259258</v>
      </c>
      <c r="O49" s="47" t="s">
        <v>170</v>
      </c>
      <c r="P49" s="52">
        <v>302</v>
      </c>
      <c r="Q49" s="52">
        <f t="shared" si="5"/>
        <v>302</v>
      </c>
      <c r="R49" s="52">
        <f t="shared" si="3"/>
        <v>411</v>
      </c>
      <c r="S49" s="52"/>
      <c r="T49" s="52"/>
      <c r="U49" s="52" t="str">
        <f t="shared" si="6"/>
        <v/>
      </c>
      <c r="V49" s="52" t="str">
        <f t="shared" si="7"/>
        <v/>
      </c>
      <c r="W49" s="53"/>
      <c r="X49" s="53"/>
      <c r="Y49" s="53"/>
    </row>
    <row r="50" spans="1:25" ht="81.95" customHeight="1">
      <c r="A50" s="47" t="s">
        <v>168</v>
      </c>
      <c r="B50" s="48">
        <v>49</v>
      </c>
      <c r="C50" s="48">
        <v>4</v>
      </c>
      <c r="D50" s="48">
        <v>8</v>
      </c>
      <c r="E50" s="47" t="s">
        <v>172</v>
      </c>
      <c r="F50" s="47" t="s">
        <v>75</v>
      </c>
      <c r="G50" s="47" t="s">
        <v>76</v>
      </c>
      <c r="H50" s="49" t="s">
        <v>173</v>
      </c>
      <c r="I50" s="48">
        <v>3</v>
      </c>
      <c r="J50" s="47" t="s">
        <v>78</v>
      </c>
      <c r="K50" s="47" t="s">
        <v>79</v>
      </c>
      <c r="L50" s="50">
        <v>2.1990740740740742E-3</v>
      </c>
      <c r="M50" s="49" t="s">
        <v>80</v>
      </c>
      <c r="N50" s="51">
        <f t="shared" si="8"/>
        <v>0.12916666666666665</v>
      </c>
      <c r="O50" s="47" t="s">
        <v>170</v>
      </c>
      <c r="P50" s="52">
        <v>307</v>
      </c>
      <c r="Q50" s="52">
        <f t="shared" si="5"/>
        <v>307</v>
      </c>
      <c r="R50" s="52">
        <f t="shared" si="3"/>
        <v>419</v>
      </c>
      <c r="S50" s="52">
        <v>25</v>
      </c>
      <c r="T50" s="52">
        <v>25</v>
      </c>
      <c r="U50" s="52">
        <f t="shared" si="6"/>
        <v>425</v>
      </c>
      <c r="V50" s="52">
        <f t="shared" si="7"/>
        <v>17</v>
      </c>
      <c r="W50" s="53"/>
      <c r="X50" s="53"/>
      <c r="Y50" s="53"/>
    </row>
    <row r="51" spans="1:25" ht="81.95" customHeight="1">
      <c r="A51" s="47" t="s">
        <v>168</v>
      </c>
      <c r="B51" s="48">
        <v>50</v>
      </c>
      <c r="C51" s="48">
        <v>3</v>
      </c>
      <c r="D51" s="48">
        <v>7</v>
      </c>
      <c r="E51" s="47" t="s">
        <v>174</v>
      </c>
      <c r="F51" s="47" t="s">
        <v>52</v>
      </c>
      <c r="G51" s="47" t="s">
        <v>53</v>
      </c>
      <c r="H51" s="49" t="s">
        <v>129</v>
      </c>
      <c r="I51" s="48">
        <v>1</v>
      </c>
      <c r="J51" s="47" t="s">
        <v>55</v>
      </c>
      <c r="K51" s="47" t="s">
        <v>56</v>
      </c>
      <c r="L51" s="50">
        <v>1.6203703703703703E-3</v>
      </c>
      <c r="M51" s="49" t="s">
        <v>57</v>
      </c>
      <c r="N51" s="51">
        <f t="shared" si="8"/>
        <v>0.13078703703703703</v>
      </c>
      <c r="O51" s="47" t="s">
        <v>170</v>
      </c>
      <c r="P51" s="52">
        <v>311</v>
      </c>
      <c r="Q51" s="52">
        <f t="shared" si="5"/>
        <v>311</v>
      </c>
      <c r="R51" s="52">
        <f t="shared" si="3"/>
        <v>425</v>
      </c>
      <c r="S51" s="52"/>
      <c r="T51" s="52"/>
      <c r="U51" s="52" t="str">
        <f t="shared" si="6"/>
        <v/>
      </c>
      <c r="V51" s="52" t="str">
        <f t="shared" si="7"/>
        <v/>
      </c>
      <c r="W51" s="53"/>
      <c r="X51" s="53"/>
      <c r="Y51" s="53"/>
    </row>
    <row r="52" spans="1:25" ht="81.95" customHeight="1">
      <c r="A52" s="47" t="s">
        <v>168</v>
      </c>
      <c r="B52" s="48">
        <v>51</v>
      </c>
      <c r="C52" s="48">
        <v>5</v>
      </c>
      <c r="D52" s="48">
        <v>9</v>
      </c>
      <c r="E52" s="47" t="s">
        <v>175</v>
      </c>
      <c r="F52" s="47" t="s">
        <v>84</v>
      </c>
      <c r="G52" s="47" t="s">
        <v>85</v>
      </c>
      <c r="H52" s="49" t="s">
        <v>131</v>
      </c>
      <c r="I52" s="48">
        <v>6</v>
      </c>
      <c r="J52" s="47" t="s">
        <v>176</v>
      </c>
      <c r="K52" s="47" t="s">
        <v>88</v>
      </c>
      <c r="L52" s="50">
        <v>3.2407407407407406E-3</v>
      </c>
      <c r="M52" s="49" t="s">
        <v>89</v>
      </c>
      <c r="N52" s="51">
        <f t="shared" si="8"/>
        <v>0.13402777777777777</v>
      </c>
      <c r="O52" s="47" t="s">
        <v>170</v>
      </c>
      <c r="P52" s="52">
        <v>319</v>
      </c>
      <c r="Q52" s="52">
        <f t="shared" si="5"/>
        <v>319</v>
      </c>
      <c r="R52" s="52">
        <f t="shared" si="3"/>
        <v>437</v>
      </c>
      <c r="S52" s="52">
        <v>55</v>
      </c>
      <c r="T52" s="52">
        <v>40</v>
      </c>
      <c r="U52" s="52">
        <f t="shared" si="6"/>
        <v>320</v>
      </c>
      <c r="V52" s="52">
        <f t="shared" si="7"/>
        <v>8</v>
      </c>
      <c r="W52" s="53"/>
      <c r="X52" s="53"/>
      <c r="Y52" s="53"/>
    </row>
    <row r="53" spans="1:25" ht="81.95" customHeight="1">
      <c r="A53" s="47" t="s">
        <v>168</v>
      </c>
      <c r="B53" s="48">
        <v>52</v>
      </c>
      <c r="C53" s="48">
        <v>5</v>
      </c>
      <c r="D53" s="48">
        <v>9</v>
      </c>
      <c r="E53" s="47" t="s">
        <v>177</v>
      </c>
      <c r="F53" s="47" t="s">
        <v>137</v>
      </c>
      <c r="G53" s="47" t="s">
        <v>138</v>
      </c>
      <c r="H53" s="49" t="s">
        <v>139</v>
      </c>
      <c r="I53" s="48">
        <v>3</v>
      </c>
      <c r="J53" s="47" t="s">
        <v>140</v>
      </c>
      <c r="K53" s="47" t="s">
        <v>141</v>
      </c>
      <c r="L53" s="50">
        <v>3.8194444444444443E-3</v>
      </c>
      <c r="M53" s="49" t="s">
        <v>142</v>
      </c>
      <c r="N53" s="51">
        <f t="shared" si="8"/>
        <v>0.1378472222222222</v>
      </c>
      <c r="O53" s="47" t="s">
        <v>170</v>
      </c>
      <c r="P53" s="52">
        <v>327</v>
      </c>
      <c r="Q53" s="52">
        <f t="shared" si="5"/>
        <v>327</v>
      </c>
      <c r="R53" s="52">
        <f t="shared" si="3"/>
        <v>450</v>
      </c>
      <c r="S53" s="52">
        <v>55</v>
      </c>
      <c r="T53" s="52">
        <v>40</v>
      </c>
      <c r="U53" s="52">
        <f t="shared" si="6"/>
        <v>360</v>
      </c>
      <c r="V53" s="52">
        <f t="shared" si="7"/>
        <v>9</v>
      </c>
      <c r="W53" s="53"/>
      <c r="X53" s="53"/>
      <c r="Y53" s="53"/>
    </row>
    <row r="54" spans="1:25" ht="81.95" customHeight="1">
      <c r="A54" s="47" t="s">
        <v>168</v>
      </c>
      <c r="B54" s="48">
        <v>53</v>
      </c>
      <c r="C54" s="48">
        <v>7</v>
      </c>
      <c r="D54" s="48">
        <v>10</v>
      </c>
      <c r="E54" s="47" t="s">
        <v>178</v>
      </c>
      <c r="F54" s="47" t="s">
        <v>109</v>
      </c>
      <c r="G54" s="47" t="s">
        <v>110</v>
      </c>
      <c r="H54" s="49" t="s">
        <v>144</v>
      </c>
      <c r="I54" s="48">
        <v>1</v>
      </c>
      <c r="J54" s="47" t="s">
        <v>112</v>
      </c>
      <c r="K54" s="47" t="s">
        <v>113</v>
      </c>
      <c r="L54" s="50">
        <v>4.2824074074074075E-3</v>
      </c>
      <c r="M54" s="49" t="s">
        <v>114</v>
      </c>
      <c r="N54" s="51">
        <f t="shared" si="8"/>
        <v>0.14212962962962961</v>
      </c>
      <c r="O54" s="47" t="s">
        <v>170</v>
      </c>
      <c r="P54" s="52">
        <v>339</v>
      </c>
      <c r="Q54" s="52">
        <f t="shared" si="5"/>
        <v>339</v>
      </c>
      <c r="R54" s="52">
        <f t="shared" si="3"/>
        <v>469</v>
      </c>
      <c r="S54" s="52">
        <v>155</v>
      </c>
      <c r="T54" s="52">
        <v>135</v>
      </c>
      <c r="U54" s="52">
        <f t="shared" si="6"/>
        <v>540</v>
      </c>
      <c r="V54" s="52">
        <f t="shared" si="7"/>
        <v>4</v>
      </c>
      <c r="W54" s="53"/>
      <c r="X54" s="53"/>
      <c r="Y54" s="53"/>
    </row>
    <row r="55" spans="1:25" ht="81.95" customHeight="1">
      <c r="A55" s="47" t="s">
        <v>168</v>
      </c>
      <c r="B55" s="48">
        <v>54</v>
      </c>
      <c r="C55" s="48">
        <v>6</v>
      </c>
      <c r="D55" s="48">
        <v>9</v>
      </c>
      <c r="E55" s="47" t="s">
        <v>179</v>
      </c>
      <c r="F55" s="47" t="s">
        <v>102</v>
      </c>
      <c r="G55" s="47" t="s">
        <v>103</v>
      </c>
      <c r="H55" s="49" t="s">
        <v>135</v>
      </c>
      <c r="I55" s="48">
        <v>3</v>
      </c>
      <c r="J55" s="47" t="s">
        <v>180</v>
      </c>
      <c r="K55" s="47" t="s">
        <v>106</v>
      </c>
      <c r="L55" s="50">
        <v>4.2824074074074075E-3</v>
      </c>
      <c r="M55" s="49" t="s">
        <v>107</v>
      </c>
      <c r="N55" s="51">
        <f t="shared" si="8"/>
        <v>0.14641203703703701</v>
      </c>
      <c r="O55" s="47" t="s">
        <v>170</v>
      </c>
      <c r="P55" s="52">
        <v>349</v>
      </c>
      <c r="Q55" s="52">
        <f t="shared" si="5"/>
        <v>349</v>
      </c>
      <c r="R55" s="52">
        <f t="shared" si="3"/>
        <v>485</v>
      </c>
      <c r="S55" s="52">
        <v>50</v>
      </c>
      <c r="T55" s="52">
        <v>35</v>
      </c>
      <c r="U55" s="52">
        <f t="shared" si="6"/>
        <v>350</v>
      </c>
      <c r="V55" s="52">
        <f t="shared" si="7"/>
        <v>10</v>
      </c>
      <c r="W55" s="53"/>
      <c r="X55" s="53"/>
      <c r="Y55" s="53"/>
    </row>
    <row r="56" spans="1:25" ht="81.95" customHeight="1">
      <c r="A56" s="47" t="s">
        <v>168</v>
      </c>
      <c r="B56" s="48">
        <v>55</v>
      </c>
      <c r="C56" s="48">
        <v>9</v>
      </c>
      <c r="D56" s="48">
        <v>10</v>
      </c>
      <c r="E56" s="47" t="s">
        <v>181</v>
      </c>
      <c r="F56" s="47" t="s">
        <v>117</v>
      </c>
      <c r="G56" s="47" t="s">
        <v>118</v>
      </c>
      <c r="H56" s="49" t="s">
        <v>158</v>
      </c>
      <c r="I56" s="48">
        <v>1</v>
      </c>
      <c r="J56" s="47" t="s">
        <v>120</v>
      </c>
      <c r="K56" s="47" t="s">
        <v>121</v>
      </c>
      <c r="L56" s="50">
        <v>7.4074074074074077E-3</v>
      </c>
      <c r="M56" s="49" t="s">
        <v>122</v>
      </c>
      <c r="N56" s="51">
        <f t="shared" si="8"/>
        <v>0.15381944444444443</v>
      </c>
      <c r="O56" s="47" t="s">
        <v>170</v>
      </c>
      <c r="P56" s="52">
        <v>367</v>
      </c>
      <c r="Q56" s="52">
        <f t="shared" si="5"/>
        <v>367</v>
      </c>
      <c r="R56" s="52">
        <f t="shared" si="3"/>
        <v>515</v>
      </c>
      <c r="S56" s="52">
        <v>450</v>
      </c>
      <c r="T56" s="52">
        <v>460</v>
      </c>
      <c r="U56" s="52">
        <f t="shared" si="6"/>
        <v>920</v>
      </c>
      <c r="V56" s="52">
        <f t="shared" si="7"/>
        <v>2</v>
      </c>
      <c r="W56" s="53"/>
      <c r="X56" s="53"/>
      <c r="Y56" s="53"/>
    </row>
    <row r="57" spans="1:25" ht="81.95" customHeight="1">
      <c r="A57" s="47" t="s">
        <v>168</v>
      </c>
      <c r="B57" s="48">
        <v>56</v>
      </c>
      <c r="C57" s="48">
        <v>2</v>
      </c>
      <c r="D57" s="48">
        <v>7</v>
      </c>
      <c r="E57" s="47" t="s">
        <v>182</v>
      </c>
      <c r="F57" s="47" t="s">
        <v>92</v>
      </c>
      <c r="G57" s="47" t="s">
        <v>93</v>
      </c>
      <c r="H57" s="49" t="s">
        <v>125</v>
      </c>
      <c r="I57" s="48">
        <v>3</v>
      </c>
      <c r="J57" s="47" t="s">
        <v>95</v>
      </c>
      <c r="K57" s="47" t="s">
        <v>33</v>
      </c>
      <c r="L57" s="50">
        <v>1.736111111111111E-3</v>
      </c>
      <c r="M57" s="49" t="s">
        <v>96</v>
      </c>
      <c r="N57" s="51">
        <f t="shared" si="8"/>
        <v>0.15555555555555553</v>
      </c>
      <c r="O57" s="47" t="s">
        <v>183</v>
      </c>
      <c r="P57" s="52">
        <v>371</v>
      </c>
      <c r="Q57" s="52">
        <f t="shared" si="5"/>
        <v>371</v>
      </c>
      <c r="R57" s="52">
        <f t="shared" si="3"/>
        <v>522</v>
      </c>
      <c r="S57" s="52"/>
      <c r="T57" s="52"/>
      <c r="U57" s="52" t="str">
        <f t="shared" si="6"/>
        <v/>
      </c>
      <c r="V57" s="52" t="str">
        <f t="shared" si="7"/>
        <v/>
      </c>
      <c r="W57" s="53"/>
      <c r="X57" s="53"/>
      <c r="Y57" s="53"/>
    </row>
    <row r="58" spans="1:25" ht="81.95" customHeight="1">
      <c r="A58" s="47" t="s">
        <v>168</v>
      </c>
      <c r="B58" s="48">
        <v>57</v>
      </c>
      <c r="C58" s="48">
        <v>2</v>
      </c>
      <c r="D58" s="48">
        <v>7</v>
      </c>
      <c r="E58" s="47" t="s">
        <v>184</v>
      </c>
      <c r="F58" s="47" t="s">
        <v>29</v>
      </c>
      <c r="G58" s="47" t="s">
        <v>30</v>
      </c>
      <c r="H58" s="49" t="s">
        <v>146</v>
      </c>
      <c r="I58" s="48">
        <v>1</v>
      </c>
      <c r="J58" s="47" t="s">
        <v>32</v>
      </c>
      <c r="K58" s="47" t="s">
        <v>33</v>
      </c>
      <c r="L58" s="50">
        <v>1.8518518518518519E-3</v>
      </c>
      <c r="M58" s="49" t="s">
        <v>34</v>
      </c>
      <c r="N58" s="51">
        <f t="shared" si="8"/>
        <v>0.15740740740740738</v>
      </c>
      <c r="O58" s="47" t="s">
        <v>183</v>
      </c>
      <c r="P58" s="52">
        <v>374</v>
      </c>
      <c r="Q58" s="52">
        <f t="shared" si="5"/>
        <v>374</v>
      </c>
      <c r="R58" s="52">
        <f t="shared" si="3"/>
        <v>527</v>
      </c>
      <c r="S58" s="52"/>
      <c r="T58" s="52"/>
      <c r="U58" s="52" t="str">
        <f t="shared" si="6"/>
        <v/>
      </c>
      <c r="V58" s="52" t="str">
        <f t="shared" si="7"/>
        <v/>
      </c>
      <c r="W58" s="53"/>
      <c r="X58" s="53"/>
      <c r="Y58" s="53"/>
    </row>
    <row r="59" spans="1:25" ht="81.95" customHeight="1">
      <c r="A59" s="47" t="s">
        <v>168</v>
      </c>
      <c r="B59" s="48">
        <v>58</v>
      </c>
      <c r="C59" s="48">
        <v>5</v>
      </c>
      <c r="D59" s="48">
        <v>9</v>
      </c>
      <c r="E59" s="47" t="s">
        <v>185</v>
      </c>
      <c r="F59" s="47" t="s">
        <v>84</v>
      </c>
      <c r="G59" s="47" t="s">
        <v>85</v>
      </c>
      <c r="H59" s="49" t="s">
        <v>131</v>
      </c>
      <c r="I59" s="48">
        <v>6</v>
      </c>
      <c r="J59" s="47" t="s">
        <v>176</v>
      </c>
      <c r="K59" s="47" t="s">
        <v>88</v>
      </c>
      <c r="L59" s="50">
        <v>3.3564814814814816E-3</v>
      </c>
      <c r="M59" s="49" t="s">
        <v>89</v>
      </c>
      <c r="N59" s="51">
        <f t="shared" si="8"/>
        <v>0.16076388888888887</v>
      </c>
      <c r="O59" s="47" t="s">
        <v>183</v>
      </c>
      <c r="P59" s="52">
        <v>382</v>
      </c>
      <c r="Q59" s="52">
        <f t="shared" si="5"/>
        <v>382</v>
      </c>
      <c r="R59" s="52">
        <f t="shared" si="3"/>
        <v>541</v>
      </c>
      <c r="S59" s="52">
        <v>60</v>
      </c>
      <c r="T59" s="52">
        <v>45</v>
      </c>
      <c r="U59" s="52">
        <f t="shared" si="6"/>
        <v>450</v>
      </c>
      <c r="V59" s="52">
        <f t="shared" si="7"/>
        <v>10</v>
      </c>
      <c r="W59" s="53"/>
      <c r="X59" s="53"/>
      <c r="Y59" s="53"/>
    </row>
    <row r="60" spans="1:25" ht="81.95" customHeight="1">
      <c r="A60" s="47" t="s">
        <v>168</v>
      </c>
      <c r="B60" s="48">
        <v>59</v>
      </c>
      <c r="C60" s="48">
        <v>6</v>
      </c>
      <c r="D60" s="48">
        <v>9</v>
      </c>
      <c r="E60" s="47" t="s">
        <v>186</v>
      </c>
      <c r="F60" s="47" t="s">
        <v>102</v>
      </c>
      <c r="G60" s="47" t="s">
        <v>103</v>
      </c>
      <c r="H60" s="49" t="s">
        <v>135</v>
      </c>
      <c r="I60" s="48">
        <v>3</v>
      </c>
      <c r="J60" s="47" t="s">
        <v>105</v>
      </c>
      <c r="K60" s="47" t="s">
        <v>106</v>
      </c>
      <c r="L60" s="50">
        <v>4.3981481481481484E-3</v>
      </c>
      <c r="M60" s="49" t="s">
        <v>107</v>
      </c>
      <c r="N60" s="51">
        <f t="shared" si="8"/>
        <v>0.16516203703703702</v>
      </c>
      <c r="O60" s="47" t="s">
        <v>183</v>
      </c>
      <c r="P60" s="52">
        <v>392</v>
      </c>
      <c r="Q60" s="52">
        <f t="shared" si="5"/>
        <v>392</v>
      </c>
      <c r="R60" s="52">
        <f t="shared" si="3"/>
        <v>558</v>
      </c>
      <c r="S60" s="52">
        <v>55</v>
      </c>
      <c r="T60" s="52">
        <v>35</v>
      </c>
      <c r="U60" s="52">
        <f t="shared" si="6"/>
        <v>385</v>
      </c>
      <c r="V60" s="52">
        <f t="shared" si="7"/>
        <v>11</v>
      </c>
      <c r="W60" s="53"/>
      <c r="X60" s="53"/>
      <c r="Y60" s="53"/>
    </row>
    <row r="61" spans="1:25" ht="81.95" customHeight="1">
      <c r="A61" s="47" t="s">
        <v>168</v>
      </c>
      <c r="B61" s="48">
        <v>60</v>
      </c>
      <c r="C61" s="48">
        <v>7</v>
      </c>
      <c r="D61" s="48">
        <v>10</v>
      </c>
      <c r="E61" s="47" t="s">
        <v>187</v>
      </c>
      <c r="F61" s="47" t="s">
        <v>109</v>
      </c>
      <c r="G61" s="47" t="s">
        <v>110</v>
      </c>
      <c r="H61" s="49" t="s">
        <v>144</v>
      </c>
      <c r="I61" s="48">
        <v>1</v>
      </c>
      <c r="J61" s="47" t="s">
        <v>112</v>
      </c>
      <c r="K61" s="47" t="s">
        <v>113</v>
      </c>
      <c r="L61" s="50">
        <v>4.3981481481481484E-3</v>
      </c>
      <c r="M61" s="49" t="s">
        <v>114</v>
      </c>
      <c r="N61" s="51">
        <f t="shared" si="8"/>
        <v>0.16956018518518517</v>
      </c>
      <c r="O61" s="47" t="s">
        <v>183</v>
      </c>
      <c r="P61" s="52">
        <v>404</v>
      </c>
      <c r="Q61" s="52">
        <f t="shared" si="5"/>
        <v>404</v>
      </c>
      <c r="R61" s="52">
        <f t="shared" si="3"/>
        <v>579</v>
      </c>
      <c r="S61" s="52">
        <v>165</v>
      </c>
      <c r="T61" s="52">
        <v>140</v>
      </c>
      <c r="U61" s="52">
        <f t="shared" si="6"/>
        <v>560</v>
      </c>
      <c r="V61" s="52">
        <f t="shared" si="7"/>
        <v>4</v>
      </c>
      <c r="W61" s="53"/>
      <c r="X61" s="53"/>
      <c r="Y61" s="53"/>
    </row>
    <row r="62" spans="1:25" ht="81.95" customHeight="1">
      <c r="A62" s="47" t="s">
        <v>168</v>
      </c>
      <c r="B62" s="48">
        <v>61</v>
      </c>
      <c r="C62" s="48">
        <v>5</v>
      </c>
      <c r="D62" s="48">
        <v>9</v>
      </c>
      <c r="E62" s="47" t="s">
        <v>188</v>
      </c>
      <c r="F62" s="47" t="s">
        <v>84</v>
      </c>
      <c r="G62" s="47" t="s">
        <v>85</v>
      </c>
      <c r="H62" s="49" t="s">
        <v>131</v>
      </c>
      <c r="I62" s="48">
        <v>6</v>
      </c>
      <c r="J62" s="47" t="s">
        <v>176</v>
      </c>
      <c r="K62" s="47" t="s">
        <v>88</v>
      </c>
      <c r="L62" s="50">
        <v>3.3564814814814816E-3</v>
      </c>
      <c r="M62" s="49" t="s">
        <v>89</v>
      </c>
      <c r="N62" s="51">
        <f t="shared" si="8"/>
        <v>0.17291666666666666</v>
      </c>
      <c r="O62" s="47" t="s">
        <v>183</v>
      </c>
      <c r="P62" s="52">
        <v>412</v>
      </c>
      <c r="Q62" s="52">
        <f t="shared" si="5"/>
        <v>412</v>
      </c>
      <c r="R62" s="52">
        <f t="shared" si="3"/>
        <v>593</v>
      </c>
      <c r="S62" s="52">
        <v>60</v>
      </c>
      <c r="T62" s="52">
        <v>45</v>
      </c>
      <c r="U62" s="52">
        <f t="shared" si="6"/>
        <v>450</v>
      </c>
      <c r="V62" s="52">
        <f t="shared" si="7"/>
        <v>10</v>
      </c>
      <c r="W62" s="53"/>
      <c r="X62" s="53"/>
      <c r="Y62" s="53"/>
    </row>
    <row r="63" spans="1:25" ht="81.95" customHeight="1">
      <c r="A63" s="47" t="s">
        <v>168</v>
      </c>
      <c r="B63" s="48">
        <v>62</v>
      </c>
      <c r="C63" s="48">
        <v>5</v>
      </c>
      <c r="D63" s="48">
        <v>9</v>
      </c>
      <c r="E63" s="47" t="s">
        <v>189</v>
      </c>
      <c r="F63" s="47" t="s">
        <v>137</v>
      </c>
      <c r="G63" s="47" t="s">
        <v>138</v>
      </c>
      <c r="H63" s="49" t="s">
        <v>139</v>
      </c>
      <c r="I63" s="48">
        <v>3</v>
      </c>
      <c r="J63" s="47" t="s">
        <v>140</v>
      </c>
      <c r="K63" s="47" t="s">
        <v>141</v>
      </c>
      <c r="L63" s="50">
        <v>3.9351851851851848E-3</v>
      </c>
      <c r="M63" s="49" t="s">
        <v>142</v>
      </c>
      <c r="N63" s="51">
        <f t="shared" si="8"/>
        <v>0.17685185185185184</v>
      </c>
      <c r="O63" s="47" t="s">
        <v>183</v>
      </c>
      <c r="P63" s="52">
        <v>420</v>
      </c>
      <c r="Q63" s="52">
        <f t="shared" si="5"/>
        <v>420</v>
      </c>
      <c r="R63" s="52">
        <f t="shared" si="3"/>
        <v>608</v>
      </c>
      <c r="S63" s="52">
        <v>60</v>
      </c>
      <c r="T63" s="52">
        <v>40</v>
      </c>
      <c r="U63" s="52">
        <f t="shared" si="6"/>
        <v>440</v>
      </c>
      <c r="V63" s="52">
        <f t="shared" si="7"/>
        <v>11</v>
      </c>
      <c r="W63" s="53"/>
      <c r="X63" s="53"/>
      <c r="Y63" s="53"/>
    </row>
    <row r="64" spans="1:25" ht="81.95" customHeight="1">
      <c r="A64" s="47" t="s">
        <v>168</v>
      </c>
      <c r="B64" s="48">
        <v>63</v>
      </c>
      <c r="C64" s="48">
        <v>10</v>
      </c>
      <c r="D64" s="48">
        <v>10</v>
      </c>
      <c r="E64" s="47" t="s">
        <v>190</v>
      </c>
      <c r="F64" s="47" t="s">
        <v>117</v>
      </c>
      <c r="G64" s="47" t="s">
        <v>118</v>
      </c>
      <c r="H64" s="49" t="s">
        <v>191</v>
      </c>
      <c r="I64" s="48">
        <v>1</v>
      </c>
      <c r="J64" s="47" t="s">
        <v>120</v>
      </c>
      <c r="K64" s="47" t="s">
        <v>121</v>
      </c>
      <c r="L64" s="50">
        <v>7.4074074074074077E-3</v>
      </c>
      <c r="M64" s="49" t="s">
        <v>122</v>
      </c>
      <c r="N64" s="51">
        <f t="shared" si="8"/>
        <v>0.18425925925925926</v>
      </c>
      <c r="O64" s="47" t="s">
        <v>183</v>
      </c>
      <c r="P64" s="52">
        <v>438</v>
      </c>
      <c r="Q64" s="52">
        <f t="shared" si="5"/>
        <v>438</v>
      </c>
      <c r="R64" s="52">
        <f t="shared" si="3"/>
        <v>641</v>
      </c>
      <c r="S64" s="52">
        <v>485</v>
      </c>
      <c r="T64" s="52">
        <v>485</v>
      </c>
      <c r="U64" s="52">
        <f t="shared" si="6"/>
        <v>970</v>
      </c>
      <c r="V64" s="52">
        <f t="shared" si="7"/>
        <v>2</v>
      </c>
      <c r="W64" s="53"/>
      <c r="X64" s="53"/>
      <c r="Y64" s="53"/>
    </row>
    <row r="65" spans="1:25" ht="81.95" customHeight="1">
      <c r="A65" s="47" t="s">
        <v>168</v>
      </c>
      <c r="B65" s="48">
        <v>64</v>
      </c>
      <c r="C65" s="48">
        <v>2</v>
      </c>
      <c r="D65" s="48">
        <v>7</v>
      </c>
      <c r="E65" s="47" t="s">
        <v>192</v>
      </c>
      <c r="F65" s="47" t="s">
        <v>29</v>
      </c>
      <c r="G65" s="47" t="s">
        <v>30</v>
      </c>
      <c r="H65" s="49" t="s">
        <v>146</v>
      </c>
      <c r="I65" s="48">
        <v>1</v>
      </c>
      <c r="J65" s="47" t="s">
        <v>32</v>
      </c>
      <c r="K65" s="47" t="s">
        <v>33</v>
      </c>
      <c r="L65" s="50">
        <v>1.8518518518518519E-3</v>
      </c>
      <c r="M65" s="49" t="s">
        <v>34</v>
      </c>
      <c r="N65" s="51">
        <f t="shared" si="8"/>
        <v>0.18611111111111112</v>
      </c>
      <c r="O65" s="47" t="s">
        <v>183</v>
      </c>
      <c r="P65" s="52">
        <v>441</v>
      </c>
      <c r="Q65" s="52">
        <f t="shared" si="5"/>
        <v>441</v>
      </c>
      <c r="R65" s="52">
        <f t="shared" si="3"/>
        <v>646</v>
      </c>
      <c r="S65" s="52"/>
      <c r="T65" s="52"/>
      <c r="U65" s="52" t="str">
        <f t="shared" si="6"/>
        <v/>
      </c>
      <c r="V65" s="52" t="str">
        <f t="shared" si="7"/>
        <v/>
      </c>
      <c r="W65" s="53"/>
      <c r="X65" s="53"/>
      <c r="Y65" s="53"/>
    </row>
    <row r="66" spans="1:25" ht="81.95" customHeight="1">
      <c r="A66" s="47" t="s">
        <v>168</v>
      </c>
      <c r="B66" s="48">
        <v>65</v>
      </c>
      <c r="C66" s="48">
        <v>2</v>
      </c>
      <c r="D66" s="48">
        <v>7</v>
      </c>
      <c r="E66" s="47" t="s">
        <v>193</v>
      </c>
      <c r="F66" s="47" t="s">
        <v>29</v>
      </c>
      <c r="G66" s="47" t="s">
        <v>30</v>
      </c>
      <c r="H66" s="49" t="s">
        <v>146</v>
      </c>
      <c r="I66" s="48">
        <v>1</v>
      </c>
      <c r="J66" s="47" t="s">
        <v>32</v>
      </c>
      <c r="K66" s="47" t="s">
        <v>33</v>
      </c>
      <c r="L66" s="50">
        <v>1.8518518518518519E-3</v>
      </c>
      <c r="M66" s="49" t="s">
        <v>34</v>
      </c>
      <c r="N66" s="51">
        <f t="shared" si="8"/>
        <v>0.18796296296296297</v>
      </c>
      <c r="O66" s="47" t="s">
        <v>194</v>
      </c>
      <c r="P66" s="52">
        <v>444</v>
      </c>
      <c r="Q66" s="52">
        <f t="shared" ref="Q66:Q97" si="9">P66</f>
        <v>444</v>
      </c>
      <c r="R66" s="52">
        <f t="shared" ref="R66:R120" si="10">ROUND(60+0.8*Q66+0.0012*Q66^2,0)</f>
        <v>652</v>
      </c>
      <c r="S66" s="52"/>
      <c r="T66" s="52"/>
      <c r="U66" s="52" t="str">
        <f t="shared" ref="U66:U97" si="11">IF(S66="","",ROUNDUP(R66/S66,0)*T66)</f>
        <v/>
      </c>
      <c r="V66" s="52" t="str">
        <f t="shared" ref="V66:V97" si="12">IF(S66="","",ROUNDUP(R66/S66,0))</f>
        <v/>
      </c>
      <c r="W66" s="53"/>
      <c r="X66" s="53"/>
      <c r="Y66" s="53"/>
    </row>
    <row r="67" spans="1:25" ht="81.95" customHeight="1">
      <c r="A67" s="47" t="s">
        <v>168</v>
      </c>
      <c r="B67" s="48">
        <v>66</v>
      </c>
      <c r="C67" s="48">
        <v>2</v>
      </c>
      <c r="D67" s="48">
        <v>7</v>
      </c>
      <c r="E67" s="47" t="s">
        <v>195</v>
      </c>
      <c r="F67" s="47" t="s">
        <v>92</v>
      </c>
      <c r="G67" s="47" t="s">
        <v>93</v>
      </c>
      <c r="H67" s="49" t="s">
        <v>125</v>
      </c>
      <c r="I67" s="48">
        <v>3</v>
      </c>
      <c r="J67" s="47" t="s">
        <v>95</v>
      </c>
      <c r="K67" s="47" t="s">
        <v>33</v>
      </c>
      <c r="L67" s="50">
        <v>1.736111111111111E-3</v>
      </c>
      <c r="M67" s="49" t="s">
        <v>96</v>
      </c>
      <c r="N67" s="51">
        <f t="shared" ref="N67:N98" si="13">N66+L67</f>
        <v>0.18969907407407408</v>
      </c>
      <c r="O67" s="47" t="s">
        <v>194</v>
      </c>
      <c r="P67" s="52">
        <v>448</v>
      </c>
      <c r="Q67" s="52">
        <f t="shared" si="9"/>
        <v>448</v>
      </c>
      <c r="R67" s="52">
        <f t="shared" si="10"/>
        <v>659</v>
      </c>
      <c r="S67" s="52"/>
      <c r="T67" s="52"/>
      <c r="U67" s="52" t="str">
        <f t="shared" si="11"/>
        <v/>
      </c>
      <c r="V67" s="52" t="str">
        <f t="shared" si="12"/>
        <v/>
      </c>
      <c r="W67" s="53"/>
      <c r="X67" s="53"/>
      <c r="Y67" s="53"/>
    </row>
    <row r="68" spans="1:25" ht="81.95" customHeight="1">
      <c r="A68" s="47" t="s">
        <v>168</v>
      </c>
      <c r="B68" s="48">
        <v>67</v>
      </c>
      <c r="C68" s="48">
        <v>5</v>
      </c>
      <c r="D68" s="48">
        <v>9</v>
      </c>
      <c r="E68" s="47" t="s">
        <v>196</v>
      </c>
      <c r="F68" s="47" t="s">
        <v>84</v>
      </c>
      <c r="G68" s="47" t="s">
        <v>85</v>
      </c>
      <c r="H68" s="49" t="s">
        <v>131</v>
      </c>
      <c r="I68" s="48">
        <v>6</v>
      </c>
      <c r="J68" s="47" t="s">
        <v>176</v>
      </c>
      <c r="K68" s="47" t="s">
        <v>88</v>
      </c>
      <c r="L68" s="50">
        <v>3.3564814814814816E-3</v>
      </c>
      <c r="M68" s="49" t="s">
        <v>89</v>
      </c>
      <c r="N68" s="51">
        <f t="shared" si="13"/>
        <v>0.19305555555555556</v>
      </c>
      <c r="O68" s="47" t="s">
        <v>194</v>
      </c>
      <c r="P68" s="52">
        <v>456</v>
      </c>
      <c r="Q68" s="52">
        <f t="shared" si="9"/>
        <v>456</v>
      </c>
      <c r="R68" s="52">
        <f t="shared" si="10"/>
        <v>674</v>
      </c>
      <c r="S68" s="52">
        <v>65</v>
      </c>
      <c r="T68" s="52">
        <v>45</v>
      </c>
      <c r="U68" s="52">
        <f t="shared" si="11"/>
        <v>495</v>
      </c>
      <c r="V68" s="52">
        <f t="shared" si="12"/>
        <v>11</v>
      </c>
      <c r="W68" s="53"/>
      <c r="X68" s="53"/>
      <c r="Y68" s="53"/>
    </row>
    <row r="69" spans="1:25" ht="81.95" customHeight="1">
      <c r="A69" s="47" t="s">
        <v>168</v>
      </c>
      <c r="B69" s="48">
        <v>68</v>
      </c>
      <c r="C69" s="48">
        <v>6</v>
      </c>
      <c r="D69" s="48">
        <v>9</v>
      </c>
      <c r="E69" s="47" t="s">
        <v>197</v>
      </c>
      <c r="F69" s="47" t="s">
        <v>102</v>
      </c>
      <c r="G69" s="47" t="s">
        <v>103</v>
      </c>
      <c r="H69" s="49" t="s">
        <v>135</v>
      </c>
      <c r="I69" s="48">
        <v>3</v>
      </c>
      <c r="J69" s="47" t="s">
        <v>105</v>
      </c>
      <c r="K69" s="47" t="s">
        <v>106</v>
      </c>
      <c r="L69" s="50">
        <v>4.3981481481481484E-3</v>
      </c>
      <c r="M69" s="49" t="s">
        <v>107</v>
      </c>
      <c r="N69" s="51">
        <f t="shared" si="13"/>
        <v>0.19745370370370371</v>
      </c>
      <c r="O69" s="47" t="s">
        <v>194</v>
      </c>
      <c r="P69" s="52">
        <v>466</v>
      </c>
      <c r="Q69" s="52">
        <f t="shared" si="9"/>
        <v>466</v>
      </c>
      <c r="R69" s="52">
        <f t="shared" si="10"/>
        <v>693</v>
      </c>
      <c r="S69" s="52">
        <v>60</v>
      </c>
      <c r="T69" s="52">
        <v>40</v>
      </c>
      <c r="U69" s="52">
        <f t="shared" si="11"/>
        <v>480</v>
      </c>
      <c r="V69" s="52">
        <f t="shared" si="12"/>
        <v>12</v>
      </c>
      <c r="W69" s="53"/>
      <c r="X69" s="53"/>
      <c r="Y69" s="53"/>
    </row>
    <row r="70" spans="1:25" ht="81.95" customHeight="1">
      <c r="A70" s="47" t="s">
        <v>168</v>
      </c>
      <c r="B70" s="48">
        <v>69</v>
      </c>
      <c r="C70" s="48">
        <v>7</v>
      </c>
      <c r="D70" s="48">
        <v>10</v>
      </c>
      <c r="E70" s="47" t="s">
        <v>198</v>
      </c>
      <c r="F70" s="47" t="s">
        <v>109</v>
      </c>
      <c r="G70" s="47" t="s">
        <v>110</v>
      </c>
      <c r="H70" s="49" t="s">
        <v>144</v>
      </c>
      <c r="I70" s="48">
        <v>3</v>
      </c>
      <c r="J70" s="47" t="s">
        <v>199</v>
      </c>
      <c r="K70" s="47" t="s">
        <v>113</v>
      </c>
      <c r="L70" s="50">
        <v>4.3981481481481484E-3</v>
      </c>
      <c r="M70" s="49" t="s">
        <v>114</v>
      </c>
      <c r="N70" s="51">
        <f t="shared" si="13"/>
        <v>0.20185185185185187</v>
      </c>
      <c r="O70" s="47" t="s">
        <v>194</v>
      </c>
      <c r="P70" s="52">
        <v>478</v>
      </c>
      <c r="Q70" s="52">
        <f t="shared" si="9"/>
        <v>478</v>
      </c>
      <c r="R70" s="52">
        <f t="shared" si="10"/>
        <v>717</v>
      </c>
      <c r="S70" s="52">
        <v>180</v>
      </c>
      <c r="T70" s="52">
        <v>145</v>
      </c>
      <c r="U70" s="52">
        <f t="shared" si="11"/>
        <v>580</v>
      </c>
      <c r="V70" s="52">
        <f t="shared" si="12"/>
        <v>4</v>
      </c>
      <c r="W70" s="53"/>
      <c r="X70" s="53"/>
      <c r="Y70" s="53"/>
    </row>
    <row r="71" spans="1:25" ht="81.95" customHeight="1">
      <c r="A71" s="47" t="s">
        <v>168</v>
      </c>
      <c r="B71" s="48">
        <v>70</v>
      </c>
      <c r="C71" s="48">
        <v>6</v>
      </c>
      <c r="D71" s="48">
        <v>9</v>
      </c>
      <c r="E71" s="47" t="s">
        <v>200</v>
      </c>
      <c r="F71" s="47" t="s">
        <v>84</v>
      </c>
      <c r="G71" s="47" t="s">
        <v>85</v>
      </c>
      <c r="H71" s="49" t="s">
        <v>201</v>
      </c>
      <c r="I71" s="48">
        <v>6</v>
      </c>
      <c r="J71" s="47" t="s">
        <v>176</v>
      </c>
      <c r="K71" s="47" t="s">
        <v>88</v>
      </c>
      <c r="L71" s="50">
        <v>3.472222222222222E-3</v>
      </c>
      <c r="M71" s="49" t="s">
        <v>89</v>
      </c>
      <c r="N71" s="51">
        <f t="shared" si="13"/>
        <v>0.20532407407407408</v>
      </c>
      <c r="O71" s="47" t="s">
        <v>194</v>
      </c>
      <c r="P71" s="52">
        <v>486</v>
      </c>
      <c r="Q71" s="52">
        <f t="shared" si="9"/>
        <v>486</v>
      </c>
      <c r="R71" s="52">
        <f t="shared" si="10"/>
        <v>732</v>
      </c>
      <c r="S71" s="52">
        <f t="shared" ref="S71:S109" ca="1" si="14">IF(OR(V71="",V71=0),"",ROUND(R71/V71,2))</f>
        <v>65</v>
      </c>
      <c r="T71" s="52">
        <v>45</v>
      </c>
      <c r="U71" s="52">
        <f t="shared" ref="U71:U109" ca="1" si="15">IF(S71="","",ROUNDUP(R71/S71,0)*T71)</f>
        <v>540</v>
      </c>
      <c r="V71" s="52">
        <f t="shared" ca="1" si="12"/>
        <v>12</v>
      </c>
      <c r="W71" s="53"/>
      <c r="X71" s="53"/>
      <c r="Y71" s="53"/>
    </row>
    <row r="72" spans="1:25" ht="81.95" customHeight="1">
      <c r="A72" s="47" t="s">
        <v>168</v>
      </c>
      <c r="B72" s="48">
        <v>71</v>
      </c>
      <c r="C72" s="48">
        <v>9</v>
      </c>
      <c r="D72" s="48">
        <v>10</v>
      </c>
      <c r="E72" s="47" t="s">
        <v>202</v>
      </c>
      <c r="F72" s="47" t="s">
        <v>117</v>
      </c>
      <c r="G72" s="47" t="s">
        <v>118</v>
      </c>
      <c r="H72" s="49" t="s">
        <v>158</v>
      </c>
      <c r="I72" s="48">
        <v>1</v>
      </c>
      <c r="J72" s="47" t="s">
        <v>120</v>
      </c>
      <c r="K72" s="47" t="s">
        <v>121</v>
      </c>
      <c r="L72" s="50">
        <v>7.4074074074074077E-3</v>
      </c>
      <c r="M72" s="49" t="s">
        <v>122</v>
      </c>
      <c r="N72" s="51">
        <f t="shared" si="13"/>
        <v>0.21273148148148149</v>
      </c>
      <c r="O72" s="47" t="s">
        <v>194</v>
      </c>
      <c r="P72" s="52">
        <v>504</v>
      </c>
      <c r="Q72" s="52">
        <f t="shared" si="9"/>
        <v>504</v>
      </c>
      <c r="R72" s="52">
        <f t="shared" si="10"/>
        <v>768</v>
      </c>
      <c r="S72" s="52">
        <v>520</v>
      </c>
      <c r="T72" s="52">
        <v>505</v>
      </c>
      <c r="U72" s="52">
        <f t="shared" ref="U72:U87" si="16">IF(S72="","",ROUNDUP(R72/S72,0)*T72)</f>
        <v>1010</v>
      </c>
      <c r="V72" s="52">
        <f t="shared" si="12"/>
        <v>2</v>
      </c>
      <c r="W72" s="53"/>
      <c r="X72" s="53"/>
      <c r="Y72" s="53"/>
    </row>
    <row r="73" spans="1:25" ht="81.95" customHeight="1">
      <c r="A73" s="47" t="s">
        <v>168</v>
      </c>
      <c r="B73" s="48">
        <v>72</v>
      </c>
      <c r="C73" s="48">
        <v>2</v>
      </c>
      <c r="D73" s="48">
        <v>7</v>
      </c>
      <c r="E73" s="47" t="s">
        <v>203</v>
      </c>
      <c r="F73" s="47" t="s">
        <v>29</v>
      </c>
      <c r="G73" s="47" t="s">
        <v>30</v>
      </c>
      <c r="H73" s="49" t="s">
        <v>146</v>
      </c>
      <c r="I73" s="48">
        <v>1</v>
      </c>
      <c r="J73" s="47" t="s">
        <v>32</v>
      </c>
      <c r="K73" s="47" t="s">
        <v>33</v>
      </c>
      <c r="L73" s="50">
        <v>2.5462962962962965E-3</v>
      </c>
      <c r="M73" s="49" t="s">
        <v>34</v>
      </c>
      <c r="N73" s="51">
        <f t="shared" si="13"/>
        <v>0.21527777777777779</v>
      </c>
      <c r="O73" s="47" t="s">
        <v>194</v>
      </c>
      <c r="P73" s="52">
        <v>507</v>
      </c>
      <c r="Q73" s="52">
        <f t="shared" si="9"/>
        <v>507</v>
      </c>
      <c r="R73" s="52">
        <f t="shared" si="10"/>
        <v>774</v>
      </c>
      <c r="S73" s="52"/>
      <c r="T73" s="52"/>
      <c r="U73" s="52" t="str">
        <f t="shared" si="16"/>
        <v/>
      </c>
      <c r="V73" s="52" t="str">
        <f t="shared" si="12"/>
        <v/>
      </c>
      <c r="W73" s="53"/>
      <c r="X73" s="53"/>
      <c r="Y73" s="53"/>
    </row>
    <row r="74" spans="1:25" ht="81.95" customHeight="1">
      <c r="A74" s="47" t="s">
        <v>204</v>
      </c>
      <c r="B74" s="48">
        <v>73</v>
      </c>
      <c r="C74" s="48">
        <v>4</v>
      </c>
      <c r="D74" s="48">
        <v>8</v>
      </c>
      <c r="E74" s="47" t="s">
        <v>205</v>
      </c>
      <c r="F74" s="47" t="s">
        <v>52</v>
      </c>
      <c r="G74" s="47" t="s">
        <v>53</v>
      </c>
      <c r="H74" s="49" t="s">
        <v>206</v>
      </c>
      <c r="I74" s="48">
        <v>1</v>
      </c>
      <c r="J74" s="47" t="s">
        <v>55</v>
      </c>
      <c r="K74" s="47" t="s">
        <v>56</v>
      </c>
      <c r="L74" s="50">
        <v>1.8518518518518519E-3</v>
      </c>
      <c r="M74" s="49" t="s">
        <v>57</v>
      </c>
      <c r="N74" s="51">
        <f t="shared" si="13"/>
        <v>0.21712962962962964</v>
      </c>
      <c r="O74" s="47" t="s">
        <v>207</v>
      </c>
      <c r="P74" s="52">
        <v>511</v>
      </c>
      <c r="Q74" s="52">
        <f t="shared" si="9"/>
        <v>511</v>
      </c>
      <c r="R74" s="52">
        <f t="shared" si="10"/>
        <v>782</v>
      </c>
      <c r="S74" s="52"/>
      <c r="T74" s="52"/>
      <c r="U74" s="52" t="str">
        <f t="shared" si="16"/>
        <v/>
      </c>
      <c r="V74" s="52" t="str">
        <f t="shared" si="12"/>
        <v/>
      </c>
      <c r="W74" s="53"/>
      <c r="X74" s="53"/>
      <c r="Y74" s="53"/>
    </row>
    <row r="75" spans="1:25" ht="81.95" customHeight="1">
      <c r="A75" s="47" t="s">
        <v>204</v>
      </c>
      <c r="B75" s="48">
        <v>74</v>
      </c>
      <c r="C75" s="48">
        <v>6</v>
      </c>
      <c r="D75" s="48">
        <v>10</v>
      </c>
      <c r="E75" s="47" t="s">
        <v>208</v>
      </c>
      <c r="F75" s="47" t="s">
        <v>84</v>
      </c>
      <c r="G75" s="47" t="s">
        <v>85</v>
      </c>
      <c r="H75" s="49" t="s">
        <v>201</v>
      </c>
      <c r="I75" s="48">
        <v>6</v>
      </c>
      <c r="J75" s="47" t="s">
        <v>176</v>
      </c>
      <c r="K75" s="47" t="s">
        <v>88</v>
      </c>
      <c r="L75" s="50">
        <v>3.7037037037037038E-3</v>
      </c>
      <c r="M75" s="49" t="s">
        <v>89</v>
      </c>
      <c r="N75" s="51">
        <f t="shared" si="13"/>
        <v>0.22083333333333335</v>
      </c>
      <c r="O75" s="47" t="s">
        <v>207</v>
      </c>
      <c r="P75" s="52">
        <v>520</v>
      </c>
      <c r="Q75" s="52">
        <f t="shared" si="9"/>
        <v>520</v>
      </c>
      <c r="R75" s="52">
        <f t="shared" si="10"/>
        <v>800</v>
      </c>
      <c r="S75" s="52">
        <v>70</v>
      </c>
      <c r="T75" s="52">
        <v>50</v>
      </c>
      <c r="U75" s="52">
        <f t="shared" si="16"/>
        <v>600</v>
      </c>
      <c r="V75" s="52">
        <f t="shared" si="12"/>
        <v>12</v>
      </c>
      <c r="W75" s="53"/>
      <c r="X75" s="53"/>
      <c r="Y75" s="53"/>
    </row>
    <row r="76" spans="1:25" ht="81.95" customHeight="1">
      <c r="A76" s="47" t="s">
        <v>204</v>
      </c>
      <c r="B76" s="48">
        <v>75</v>
      </c>
      <c r="C76" s="48">
        <v>5</v>
      </c>
      <c r="D76" s="48">
        <v>9</v>
      </c>
      <c r="E76" s="47" t="s">
        <v>209</v>
      </c>
      <c r="F76" s="47" t="s">
        <v>210</v>
      </c>
      <c r="G76" s="47" t="s">
        <v>211</v>
      </c>
      <c r="H76" s="49" t="s">
        <v>212</v>
      </c>
      <c r="I76" s="48">
        <v>4</v>
      </c>
      <c r="J76" s="47" t="s">
        <v>213</v>
      </c>
      <c r="K76" s="47" t="s">
        <v>214</v>
      </c>
      <c r="L76" s="50">
        <v>3.7037037037037038E-3</v>
      </c>
      <c r="M76" s="49" t="s">
        <v>215</v>
      </c>
      <c r="N76" s="51">
        <f t="shared" si="13"/>
        <v>0.22453703703703706</v>
      </c>
      <c r="O76" s="47" t="s">
        <v>207</v>
      </c>
      <c r="P76" s="52">
        <v>528</v>
      </c>
      <c r="Q76" s="52">
        <f t="shared" si="9"/>
        <v>528</v>
      </c>
      <c r="R76" s="52">
        <f t="shared" si="10"/>
        <v>817</v>
      </c>
      <c r="S76" s="52"/>
      <c r="T76" s="52"/>
      <c r="U76" s="52" t="str">
        <f t="shared" si="16"/>
        <v/>
      </c>
      <c r="V76" s="52" t="str">
        <f t="shared" si="12"/>
        <v/>
      </c>
      <c r="W76" s="53"/>
      <c r="X76" s="53"/>
      <c r="Y76" s="53"/>
    </row>
    <row r="77" spans="1:25" ht="81.95" customHeight="1">
      <c r="A77" s="47" t="s">
        <v>204</v>
      </c>
      <c r="B77" s="48">
        <v>76</v>
      </c>
      <c r="C77" s="48">
        <v>4</v>
      </c>
      <c r="D77" s="48">
        <v>9</v>
      </c>
      <c r="E77" s="47" t="s">
        <v>216</v>
      </c>
      <c r="F77" s="47" t="s">
        <v>37</v>
      </c>
      <c r="G77" s="47" t="s">
        <v>38</v>
      </c>
      <c r="H77" s="49" t="s">
        <v>217</v>
      </c>
      <c r="I77" s="48">
        <v>5</v>
      </c>
      <c r="J77" s="47" t="s">
        <v>218</v>
      </c>
      <c r="K77" s="47" t="s">
        <v>41</v>
      </c>
      <c r="L77" s="50">
        <v>2.4305555555555556E-3</v>
      </c>
      <c r="M77" s="49" t="s">
        <v>42</v>
      </c>
      <c r="N77" s="51">
        <f t="shared" si="13"/>
        <v>0.22696759259259261</v>
      </c>
      <c r="O77" s="47" t="s">
        <v>207</v>
      </c>
      <c r="P77" s="52">
        <v>534</v>
      </c>
      <c r="Q77" s="52">
        <f t="shared" si="9"/>
        <v>534</v>
      </c>
      <c r="R77" s="52">
        <f t="shared" si="10"/>
        <v>829</v>
      </c>
      <c r="S77" s="52"/>
      <c r="T77" s="52"/>
      <c r="U77" s="52" t="str">
        <f t="shared" si="16"/>
        <v/>
      </c>
      <c r="V77" s="52" t="str">
        <f t="shared" si="12"/>
        <v/>
      </c>
      <c r="W77" s="53"/>
      <c r="X77" s="53"/>
      <c r="Y77" s="53"/>
    </row>
    <row r="78" spans="1:25" ht="81.95" customHeight="1">
      <c r="A78" s="47" t="s">
        <v>204</v>
      </c>
      <c r="B78" s="48">
        <v>77</v>
      </c>
      <c r="C78" s="48">
        <v>6</v>
      </c>
      <c r="D78" s="48">
        <v>10</v>
      </c>
      <c r="E78" s="47" t="s">
        <v>219</v>
      </c>
      <c r="F78" s="47" t="s">
        <v>84</v>
      </c>
      <c r="G78" s="47" t="s">
        <v>85</v>
      </c>
      <c r="H78" s="49" t="s">
        <v>201</v>
      </c>
      <c r="I78" s="48">
        <v>7</v>
      </c>
      <c r="J78" s="47" t="s">
        <v>220</v>
      </c>
      <c r="K78" s="47" t="s">
        <v>88</v>
      </c>
      <c r="L78" s="50">
        <v>3.7037037037037038E-3</v>
      </c>
      <c r="M78" s="49" t="s">
        <v>89</v>
      </c>
      <c r="N78" s="51">
        <f t="shared" si="13"/>
        <v>0.23067129629629632</v>
      </c>
      <c r="O78" s="47" t="s">
        <v>207</v>
      </c>
      <c r="P78" s="52">
        <v>543</v>
      </c>
      <c r="Q78" s="52">
        <f t="shared" si="9"/>
        <v>543</v>
      </c>
      <c r="R78" s="52">
        <f t="shared" si="10"/>
        <v>848</v>
      </c>
      <c r="S78" s="52">
        <v>70</v>
      </c>
      <c r="T78" s="52">
        <v>50</v>
      </c>
      <c r="U78" s="52">
        <f t="shared" si="16"/>
        <v>650</v>
      </c>
      <c r="V78" s="52">
        <f t="shared" si="12"/>
        <v>13</v>
      </c>
      <c r="W78" s="53"/>
      <c r="X78" s="53"/>
      <c r="Y78" s="53"/>
    </row>
    <row r="79" spans="1:25" ht="81.95" customHeight="1">
      <c r="A79" s="47" t="s">
        <v>204</v>
      </c>
      <c r="B79" s="48">
        <v>78</v>
      </c>
      <c r="C79" s="48">
        <v>4</v>
      </c>
      <c r="D79" s="48">
        <v>8</v>
      </c>
      <c r="E79" s="47" t="s">
        <v>221</v>
      </c>
      <c r="F79" s="47" t="s">
        <v>52</v>
      </c>
      <c r="G79" s="47" t="s">
        <v>53</v>
      </c>
      <c r="H79" s="49" t="s">
        <v>206</v>
      </c>
      <c r="I79" s="48">
        <v>1</v>
      </c>
      <c r="J79" s="47" t="s">
        <v>55</v>
      </c>
      <c r="K79" s="47" t="s">
        <v>56</v>
      </c>
      <c r="L79" s="50">
        <v>1.8518518518518519E-3</v>
      </c>
      <c r="M79" s="49" t="s">
        <v>57</v>
      </c>
      <c r="N79" s="51">
        <f t="shared" si="13"/>
        <v>0.23252314814814817</v>
      </c>
      <c r="O79" s="47" t="s">
        <v>207</v>
      </c>
      <c r="P79" s="52">
        <v>547</v>
      </c>
      <c r="Q79" s="52">
        <f t="shared" si="9"/>
        <v>547</v>
      </c>
      <c r="R79" s="52">
        <f t="shared" si="10"/>
        <v>857</v>
      </c>
      <c r="S79" s="52"/>
      <c r="T79" s="52"/>
      <c r="U79" s="52" t="str">
        <f t="shared" si="16"/>
        <v/>
      </c>
      <c r="V79" s="52" t="str">
        <f t="shared" si="12"/>
        <v/>
      </c>
      <c r="W79" s="53"/>
      <c r="X79" s="53"/>
      <c r="Y79" s="53"/>
    </row>
    <row r="80" spans="1:25" ht="81.95" customHeight="1">
      <c r="A80" s="47" t="s">
        <v>204</v>
      </c>
      <c r="B80" s="48">
        <v>79</v>
      </c>
      <c r="C80" s="48">
        <v>8</v>
      </c>
      <c r="D80" s="48">
        <v>10</v>
      </c>
      <c r="E80" s="47" t="s">
        <v>222</v>
      </c>
      <c r="F80" s="47" t="s">
        <v>109</v>
      </c>
      <c r="G80" s="47" t="s">
        <v>110</v>
      </c>
      <c r="H80" s="49" t="s">
        <v>223</v>
      </c>
      <c r="I80" s="48">
        <v>1</v>
      </c>
      <c r="J80" s="47" t="s">
        <v>112</v>
      </c>
      <c r="K80" s="47" t="s">
        <v>113</v>
      </c>
      <c r="L80" s="50">
        <v>4.7453703703703703E-3</v>
      </c>
      <c r="M80" s="49" t="s">
        <v>114</v>
      </c>
      <c r="N80" s="51">
        <f t="shared" si="13"/>
        <v>0.23726851851851855</v>
      </c>
      <c r="O80" s="47" t="s">
        <v>207</v>
      </c>
      <c r="P80" s="52">
        <v>560</v>
      </c>
      <c r="Q80" s="52">
        <f t="shared" si="9"/>
        <v>560</v>
      </c>
      <c r="R80" s="52">
        <f t="shared" si="10"/>
        <v>884</v>
      </c>
      <c r="S80" s="52">
        <v>195</v>
      </c>
      <c r="T80" s="52">
        <v>155</v>
      </c>
      <c r="U80" s="52">
        <f t="shared" si="16"/>
        <v>775</v>
      </c>
      <c r="V80" s="52">
        <f t="shared" si="12"/>
        <v>5</v>
      </c>
      <c r="W80" s="53"/>
      <c r="X80" s="53"/>
      <c r="Y80" s="53"/>
    </row>
    <row r="81" spans="1:25" ht="81.95" customHeight="1">
      <c r="A81" s="47" t="s">
        <v>204</v>
      </c>
      <c r="B81" s="48">
        <v>80</v>
      </c>
      <c r="C81" s="48">
        <v>7</v>
      </c>
      <c r="D81" s="48">
        <v>10</v>
      </c>
      <c r="E81" s="47" t="s">
        <v>224</v>
      </c>
      <c r="F81" s="47" t="s">
        <v>102</v>
      </c>
      <c r="G81" s="47" t="s">
        <v>103</v>
      </c>
      <c r="H81" s="49" t="s">
        <v>225</v>
      </c>
      <c r="I81" s="48">
        <v>3</v>
      </c>
      <c r="J81" s="47" t="s">
        <v>105</v>
      </c>
      <c r="K81" s="47" t="s">
        <v>106</v>
      </c>
      <c r="L81" s="50">
        <v>4.7453703703703703E-3</v>
      </c>
      <c r="M81" s="49" t="s">
        <v>107</v>
      </c>
      <c r="N81" s="51">
        <f t="shared" si="13"/>
        <v>0.24201388888888892</v>
      </c>
      <c r="O81" s="47" t="s">
        <v>226</v>
      </c>
      <c r="P81" s="52">
        <v>571</v>
      </c>
      <c r="Q81" s="52">
        <f t="shared" si="9"/>
        <v>571</v>
      </c>
      <c r="R81" s="52">
        <f t="shared" si="10"/>
        <v>908</v>
      </c>
      <c r="S81" s="52">
        <v>65</v>
      </c>
      <c r="T81" s="52">
        <v>40</v>
      </c>
      <c r="U81" s="52">
        <f t="shared" si="16"/>
        <v>560</v>
      </c>
      <c r="V81" s="52">
        <f t="shared" si="12"/>
        <v>14</v>
      </c>
      <c r="W81" s="53"/>
      <c r="X81" s="53"/>
      <c r="Y81" s="53"/>
    </row>
    <row r="82" spans="1:25" ht="81.95" customHeight="1">
      <c r="A82" s="47" t="s">
        <v>204</v>
      </c>
      <c r="B82" s="48">
        <v>81</v>
      </c>
      <c r="C82" s="48">
        <v>4</v>
      </c>
      <c r="D82" s="48">
        <v>9</v>
      </c>
      <c r="E82" s="47" t="s">
        <v>227</v>
      </c>
      <c r="F82" s="47" t="s">
        <v>37</v>
      </c>
      <c r="G82" s="47" t="s">
        <v>38</v>
      </c>
      <c r="H82" s="49" t="s">
        <v>217</v>
      </c>
      <c r="I82" s="48">
        <v>5</v>
      </c>
      <c r="J82" s="47" t="s">
        <v>218</v>
      </c>
      <c r="K82" s="47" t="s">
        <v>41</v>
      </c>
      <c r="L82" s="50">
        <v>2.4305555555555556E-3</v>
      </c>
      <c r="M82" s="49" t="s">
        <v>42</v>
      </c>
      <c r="N82" s="51">
        <f t="shared" si="13"/>
        <v>0.24444444444444446</v>
      </c>
      <c r="O82" s="47" t="s">
        <v>226</v>
      </c>
      <c r="P82" s="52">
        <v>577</v>
      </c>
      <c r="Q82" s="52">
        <f t="shared" si="9"/>
        <v>577</v>
      </c>
      <c r="R82" s="52">
        <f t="shared" si="10"/>
        <v>921</v>
      </c>
      <c r="S82" s="52"/>
      <c r="T82" s="52"/>
      <c r="U82" s="52" t="str">
        <f t="shared" si="16"/>
        <v/>
      </c>
      <c r="V82" s="52" t="str">
        <f t="shared" si="12"/>
        <v/>
      </c>
      <c r="W82" s="53"/>
      <c r="X82" s="53"/>
      <c r="Y82" s="53"/>
    </row>
    <row r="83" spans="1:25" ht="81.95" customHeight="1">
      <c r="A83" s="47" t="s">
        <v>204</v>
      </c>
      <c r="B83" s="48">
        <v>82</v>
      </c>
      <c r="C83" s="48">
        <v>6</v>
      </c>
      <c r="D83" s="48">
        <v>10</v>
      </c>
      <c r="E83" s="47" t="s">
        <v>228</v>
      </c>
      <c r="F83" s="47" t="s">
        <v>84</v>
      </c>
      <c r="G83" s="47" t="s">
        <v>85</v>
      </c>
      <c r="H83" s="49" t="s">
        <v>201</v>
      </c>
      <c r="I83" s="48">
        <v>7</v>
      </c>
      <c r="J83" s="47" t="s">
        <v>220</v>
      </c>
      <c r="K83" s="47" t="s">
        <v>88</v>
      </c>
      <c r="L83" s="50">
        <v>3.7037037037037038E-3</v>
      </c>
      <c r="M83" s="49" t="s">
        <v>89</v>
      </c>
      <c r="N83" s="51">
        <f t="shared" si="13"/>
        <v>0.24814814814814817</v>
      </c>
      <c r="O83" s="47" t="s">
        <v>226</v>
      </c>
      <c r="P83" s="52">
        <v>586</v>
      </c>
      <c r="Q83" s="52">
        <f t="shared" si="9"/>
        <v>586</v>
      </c>
      <c r="R83" s="52">
        <f t="shared" si="10"/>
        <v>941</v>
      </c>
      <c r="S83" s="52">
        <v>75</v>
      </c>
      <c r="T83" s="52">
        <v>50</v>
      </c>
      <c r="U83" s="52">
        <f t="shared" si="16"/>
        <v>650</v>
      </c>
      <c r="V83" s="52">
        <f t="shared" si="12"/>
        <v>13</v>
      </c>
      <c r="W83" s="53"/>
      <c r="X83" s="53"/>
      <c r="Y83" s="53"/>
    </row>
    <row r="84" spans="1:25" ht="81.95" customHeight="1">
      <c r="A84" s="47" t="s">
        <v>204</v>
      </c>
      <c r="B84" s="48">
        <v>83</v>
      </c>
      <c r="C84" s="48">
        <v>5</v>
      </c>
      <c r="D84" s="48">
        <v>9</v>
      </c>
      <c r="E84" s="47" t="s">
        <v>229</v>
      </c>
      <c r="F84" s="47" t="s">
        <v>210</v>
      </c>
      <c r="G84" s="47" t="s">
        <v>211</v>
      </c>
      <c r="H84" s="49" t="s">
        <v>212</v>
      </c>
      <c r="I84" s="48">
        <v>4</v>
      </c>
      <c r="J84" s="47" t="s">
        <v>213</v>
      </c>
      <c r="K84" s="47" t="s">
        <v>214</v>
      </c>
      <c r="L84" s="50">
        <v>3.7037037037037038E-3</v>
      </c>
      <c r="M84" s="49" t="s">
        <v>215</v>
      </c>
      <c r="N84" s="51">
        <f t="shared" si="13"/>
        <v>0.25185185185185188</v>
      </c>
      <c r="O84" s="47" t="s">
        <v>226</v>
      </c>
      <c r="P84" s="52">
        <v>594</v>
      </c>
      <c r="Q84" s="52">
        <f t="shared" si="9"/>
        <v>594</v>
      </c>
      <c r="R84" s="52">
        <f t="shared" si="10"/>
        <v>959</v>
      </c>
      <c r="S84" s="52"/>
      <c r="T84" s="52"/>
      <c r="U84" s="52" t="str">
        <f t="shared" si="16"/>
        <v/>
      </c>
      <c r="V84" s="52" t="str">
        <f t="shared" si="12"/>
        <v/>
      </c>
      <c r="W84" s="53"/>
      <c r="X84" s="53"/>
      <c r="Y84" s="53"/>
    </row>
    <row r="85" spans="1:25" ht="81.95" customHeight="1">
      <c r="A85" s="47" t="s">
        <v>204</v>
      </c>
      <c r="B85" s="48">
        <v>84</v>
      </c>
      <c r="C85" s="48">
        <v>8</v>
      </c>
      <c r="D85" s="48">
        <v>10</v>
      </c>
      <c r="E85" s="47" t="s">
        <v>230</v>
      </c>
      <c r="F85" s="47" t="s">
        <v>109</v>
      </c>
      <c r="G85" s="47" t="s">
        <v>110</v>
      </c>
      <c r="H85" s="49" t="s">
        <v>223</v>
      </c>
      <c r="I85" s="48">
        <v>1</v>
      </c>
      <c r="J85" s="47" t="s">
        <v>112</v>
      </c>
      <c r="K85" s="47" t="s">
        <v>113</v>
      </c>
      <c r="L85" s="50">
        <v>4.7453703703703703E-3</v>
      </c>
      <c r="M85" s="49" t="s">
        <v>114</v>
      </c>
      <c r="N85" s="51">
        <f t="shared" si="13"/>
        <v>0.25659722222222225</v>
      </c>
      <c r="O85" s="47" t="s">
        <v>226</v>
      </c>
      <c r="P85" s="52">
        <v>607</v>
      </c>
      <c r="Q85" s="52">
        <f t="shared" si="9"/>
        <v>607</v>
      </c>
      <c r="R85" s="52">
        <f t="shared" si="10"/>
        <v>988</v>
      </c>
      <c r="S85" s="52">
        <v>200</v>
      </c>
      <c r="T85" s="52">
        <v>160</v>
      </c>
      <c r="U85" s="52">
        <f t="shared" si="16"/>
        <v>800</v>
      </c>
      <c r="V85" s="52">
        <f t="shared" si="12"/>
        <v>5</v>
      </c>
      <c r="W85" s="53"/>
      <c r="X85" s="53"/>
      <c r="Y85" s="53"/>
    </row>
    <row r="86" spans="1:25" ht="81.95" customHeight="1">
      <c r="A86" s="47" t="s">
        <v>204</v>
      </c>
      <c r="B86" s="48">
        <v>85</v>
      </c>
      <c r="C86" s="48">
        <v>5</v>
      </c>
      <c r="D86" s="48">
        <v>9</v>
      </c>
      <c r="E86" s="47" t="s">
        <v>231</v>
      </c>
      <c r="F86" s="47" t="s">
        <v>210</v>
      </c>
      <c r="G86" s="47" t="s">
        <v>211</v>
      </c>
      <c r="H86" s="49" t="s">
        <v>212</v>
      </c>
      <c r="I86" s="48">
        <v>4</v>
      </c>
      <c r="J86" s="47" t="s">
        <v>213</v>
      </c>
      <c r="K86" s="47" t="s">
        <v>214</v>
      </c>
      <c r="L86" s="50">
        <v>3.7037037037037038E-3</v>
      </c>
      <c r="M86" s="49" t="s">
        <v>215</v>
      </c>
      <c r="N86" s="51">
        <f t="shared" si="13"/>
        <v>0.26030092592592596</v>
      </c>
      <c r="O86" s="47" t="s">
        <v>226</v>
      </c>
      <c r="P86" s="52">
        <v>615</v>
      </c>
      <c r="Q86" s="52">
        <f t="shared" si="9"/>
        <v>615</v>
      </c>
      <c r="R86" s="52">
        <f t="shared" si="10"/>
        <v>1006</v>
      </c>
      <c r="S86" s="52"/>
      <c r="T86" s="52"/>
      <c r="U86" s="52" t="str">
        <f t="shared" si="16"/>
        <v/>
      </c>
      <c r="V86" s="52" t="str">
        <f t="shared" si="12"/>
        <v/>
      </c>
      <c r="W86" s="53"/>
      <c r="X86" s="53"/>
      <c r="Y86" s="53"/>
    </row>
    <row r="87" spans="1:25" ht="81.95" customHeight="1">
      <c r="A87" s="47" t="s">
        <v>204</v>
      </c>
      <c r="B87" s="48">
        <v>86</v>
      </c>
      <c r="C87" s="48">
        <v>10</v>
      </c>
      <c r="D87" s="48">
        <v>10</v>
      </c>
      <c r="E87" s="47" t="s">
        <v>232</v>
      </c>
      <c r="F87" s="47" t="s">
        <v>117</v>
      </c>
      <c r="G87" s="47" t="s">
        <v>118</v>
      </c>
      <c r="H87" s="49" t="s">
        <v>191</v>
      </c>
      <c r="I87" s="48">
        <v>1</v>
      </c>
      <c r="J87" s="47" t="s">
        <v>120</v>
      </c>
      <c r="K87" s="47" t="s">
        <v>121</v>
      </c>
      <c r="L87" s="50">
        <v>8.3333333333333332E-3</v>
      </c>
      <c r="M87" s="49" t="s">
        <v>122</v>
      </c>
      <c r="N87" s="51">
        <f t="shared" si="13"/>
        <v>0.26863425925925932</v>
      </c>
      <c r="O87" s="47" t="s">
        <v>226</v>
      </c>
      <c r="P87" s="52">
        <v>635</v>
      </c>
      <c r="Q87" s="52">
        <f t="shared" si="9"/>
        <v>635</v>
      </c>
      <c r="R87" s="52">
        <f t="shared" si="10"/>
        <v>1052</v>
      </c>
      <c r="S87" s="52">
        <v>580</v>
      </c>
      <c r="T87" s="52">
        <v>550</v>
      </c>
      <c r="U87" s="52">
        <f t="shared" si="16"/>
        <v>1100</v>
      </c>
      <c r="V87" s="52">
        <f t="shared" si="12"/>
        <v>2</v>
      </c>
      <c r="W87" s="53"/>
      <c r="X87" s="53"/>
      <c r="Y87" s="53"/>
    </row>
    <row r="88" spans="1:25" ht="81.95" customHeight="1">
      <c r="A88" s="47" t="s">
        <v>204</v>
      </c>
      <c r="B88" s="48">
        <v>87</v>
      </c>
      <c r="C88" s="48">
        <v>4</v>
      </c>
      <c r="D88" s="48">
        <v>8</v>
      </c>
      <c r="E88" s="47" t="s">
        <v>233</v>
      </c>
      <c r="F88" s="47" t="s">
        <v>52</v>
      </c>
      <c r="G88" s="47" t="s">
        <v>53</v>
      </c>
      <c r="H88" s="49" t="s">
        <v>206</v>
      </c>
      <c r="I88" s="48">
        <v>1</v>
      </c>
      <c r="J88" s="47" t="s">
        <v>55</v>
      </c>
      <c r="K88" s="47" t="s">
        <v>56</v>
      </c>
      <c r="L88" s="50">
        <v>1.8518518518518519E-3</v>
      </c>
      <c r="M88" s="49" t="s">
        <v>57</v>
      </c>
      <c r="N88" s="51">
        <f t="shared" si="13"/>
        <v>0.27048611111111115</v>
      </c>
      <c r="O88" s="47" t="s">
        <v>234</v>
      </c>
      <c r="P88" s="52">
        <v>639</v>
      </c>
      <c r="Q88" s="52">
        <f t="shared" si="9"/>
        <v>639</v>
      </c>
      <c r="R88" s="52">
        <f t="shared" si="10"/>
        <v>1061</v>
      </c>
      <c r="S88" s="52"/>
      <c r="T88" s="52"/>
      <c r="U88" s="52"/>
      <c r="V88" s="52"/>
      <c r="W88" s="53"/>
      <c r="X88" s="53"/>
      <c r="Y88" s="53"/>
    </row>
    <row r="89" spans="1:25" ht="81.95" customHeight="1">
      <c r="A89" s="47" t="s">
        <v>204</v>
      </c>
      <c r="B89" s="48">
        <v>88</v>
      </c>
      <c r="C89" s="48">
        <v>5</v>
      </c>
      <c r="D89" s="48">
        <v>9</v>
      </c>
      <c r="E89" s="47" t="s">
        <v>235</v>
      </c>
      <c r="F89" s="47" t="s">
        <v>210</v>
      </c>
      <c r="G89" s="47" t="s">
        <v>211</v>
      </c>
      <c r="H89" s="49" t="s">
        <v>212</v>
      </c>
      <c r="I89" s="48">
        <v>4</v>
      </c>
      <c r="J89" s="47" t="s">
        <v>213</v>
      </c>
      <c r="K89" s="47" t="s">
        <v>214</v>
      </c>
      <c r="L89" s="50">
        <v>3.8194444444444443E-3</v>
      </c>
      <c r="M89" s="49" t="s">
        <v>215</v>
      </c>
      <c r="N89" s="51">
        <f t="shared" si="13"/>
        <v>0.27430555555555558</v>
      </c>
      <c r="O89" s="47" t="s">
        <v>234</v>
      </c>
      <c r="P89" s="52">
        <v>647</v>
      </c>
      <c r="Q89" s="52">
        <f t="shared" si="9"/>
        <v>647</v>
      </c>
      <c r="R89" s="52">
        <f t="shared" si="10"/>
        <v>1080</v>
      </c>
      <c r="S89" s="52"/>
      <c r="T89" s="52"/>
      <c r="U89" s="52" t="str">
        <f>IF(S89="","",ROUNDUP(R89/S89,0)*T89)</f>
        <v/>
      </c>
      <c r="V89" s="52" t="str">
        <f t="shared" si="12"/>
        <v/>
      </c>
      <c r="W89" s="53"/>
      <c r="X89" s="53"/>
      <c r="Y89" s="53"/>
    </row>
    <row r="90" spans="1:25" ht="81.95" customHeight="1">
      <c r="A90" s="47" t="s">
        <v>204</v>
      </c>
      <c r="B90" s="48">
        <v>89</v>
      </c>
      <c r="C90" s="48">
        <v>6</v>
      </c>
      <c r="D90" s="48">
        <v>10</v>
      </c>
      <c r="E90" s="47" t="s">
        <v>236</v>
      </c>
      <c r="F90" s="47" t="s">
        <v>84</v>
      </c>
      <c r="G90" s="47" t="s">
        <v>85</v>
      </c>
      <c r="H90" s="49" t="s">
        <v>201</v>
      </c>
      <c r="I90" s="48">
        <v>7</v>
      </c>
      <c r="J90" s="47" t="s">
        <v>220</v>
      </c>
      <c r="K90" s="47" t="s">
        <v>88</v>
      </c>
      <c r="L90" s="50">
        <v>3.8194444444444443E-3</v>
      </c>
      <c r="M90" s="49" t="s">
        <v>89</v>
      </c>
      <c r="N90" s="51">
        <f t="shared" si="13"/>
        <v>0.27812500000000001</v>
      </c>
      <c r="O90" s="47" t="s">
        <v>234</v>
      </c>
      <c r="P90" s="52">
        <v>656</v>
      </c>
      <c r="Q90" s="52">
        <f t="shared" si="9"/>
        <v>656</v>
      </c>
      <c r="R90" s="52">
        <f t="shared" si="10"/>
        <v>1101</v>
      </c>
      <c r="S90" s="52">
        <v>80</v>
      </c>
      <c r="T90" s="52">
        <v>55</v>
      </c>
      <c r="U90" s="52">
        <f>IF(S90="","",ROUNDUP(R90/S90,0)*T90)</f>
        <v>770</v>
      </c>
      <c r="V90" s="52">
        <f t="shared" si="12"/>
        <v>14</v>
      </c>
      <c r="W90" s="53"/>
      <c r="X90" s="53"/>
      <c r="Y90" s="53"/>
    </row>
    <row r="91" spans="1:25" ht="81.95" customHeight="1">
      <c r="A91" s="47" t="s">
        <v>204</v>
      </c>
      <c r="B91" s="48">
        <v>90</v>
      </c>
      <c r="C91" s="48">
        <v>7</v>
      </c>
      <c r="D91" s="48">
        <v>10</v>
      </c>
      <c r="E91" s="47" t="s">
        <v>237</v>
      </c>
      <c r="F91" s="47" t="s">
        <v>102</v>
      </c>
      <c r="G91" s="47" t="s">
        <v>103</v>
      </c>
      <c r="H91" s="49" t="s">
        <v>225</v>
      </c>
      <c r="I91" s="48">
        <v>4</v>
      </c>
      <c r="J91" s="47" t="s">
        <v>238</v>
      </c>
      <c r="K91" s="47" t="s">
        <v>106</v>
      </c>
      <c r="L91" s="50">
        <v>4.8611111111111112E-3</v>
      </c>
      <c r="M91" s="49" t="s">
        <v>107</v>
      </c>
      <c r="N91" s="51">
        <f t="shared" si="13"/>
        <v>0.2829861111111111</v>
      </c>
      <c r="O91" s="47" t="s">
        <v>234</v>
      </c>
      <c r="P91" s="52">
        <v>667</v>
      </c>
      <c r="Q91" s="52">
        <f t="shared" si="9"/>
        <v>667</v>
      </c>
      <c r="R91" s="52">
        <f t="shared" si="10"/>
        <v>1127</v>
      </c>
      <c r="S91" s="52">
        <f t="shared" ca="1" si="14"/>
        <v>70</v>
      </c>
      <c r="T91" s="52">
        <v>45</v>
      </c>
      <c r="U91" s="52">
        <f t="shared" ca="1" si="15"/>
        <v>765</v>
      </c>
      <c r="V91" s="52">
        <f t="shared" ca="1" si="12"/>
        <v>17</v>
      </c>
      <c r="W91" s="53"/>
      <c r="X91" s="53"/>
      <c r="Y91" s="53"/>
    </row>
    <row r="92" spans="1:25" ht="81.95" customHeight="1">
      <c r="A92" s="47" t="s">
        <v>204</v>
      </c>
      <c r="B92" s="48">
        <v>91</v>
      </c>
      <c r="C92" s="48">
        <v>4</v>
      </c>
      <c r="D92" s="48">
        <v>9</v>
      </c>
      <c r="E92" s="47" t="s">
        <v>239</v>
      </c>
      <c r="F92" s="47" t="s">
        <v>37</v>
      </c>
      <c r="G92" s="47" t="s">
        <v>38</v>
      </c>
      <c r="H92" s="49" t="s">
        <v>217</v>
      </c>
      <c r="I92" s="48">
        <v>5</v>
      </c>
      <c r="J92" s="47" t="s">
        <v>218</v>
      </c>
      <c r="K92" s="47" t="s">
        <v>41</v>
      </c>
      <c r="L92" s="50">
        <v>2.4305555555555556E-3</v>
      </c>
      <c r="M92" s="49" t="s">
        <v>42</v>
      </c>
      <c r="N92" s="51">
        <f t="shared" si="13"/>
        <v>0.28541666666666665</v>
      </c>
      <c r="O92" s="47" t="s">
        <v>234</v>
      </c>
      <c r="P92" s="52">
        <v>673</v>
      </c>
      <c r="Q92" s="52">
        <f t="shared" si="9"/>
        <v>673</v>
      </c>
      <c r="R92" s="52">
        <f t="shared" si="10"/>
        <v>1142</v>
      </c>
      <c r="S92" s="52"/>
      <c r="T92" s="52"/>
      <c r="U92" s="52" t="str">
        <f>IF(S92="","",ROUNDUP(R92/S92,0)*T92)</f>
        <v/>
      </c>
      <c r="V92" s="52" t="str">
        <f t="shared" si="12"/>
        <v/>
      </c>
      <c r="W92" s="53"/>
      <c r="X92" s="53"/>
      <c r="Y92" s="53"/>
    </row>
    <row r="93" spans="1:25" ht="81.95" customHeight="1">
      <c r="A93" s="47" t="s">
        <v>204</v>
      </c>
      <c r="B93" s="48">
        <v>92</v>
      </c>
      <c r="C93" s="48">
        <v>8</v>
      </c>
      <c r="D93" s="48">
        <v>10</v>
      </c>
      <c r="E93" s="47" t="s">
        <v>240</v>
      </c>
      <c r="F93" s="47" t="s">
        <v>109</v>
      </c>
      <c r="G93" s="47" t="s">
        <v>110</v>
      </c>
      <c r="H93" s="49" t="s">
        <v>223</v>
      </c>
      <c r="I93" s="48">
        <v>1</v>
      </c>
      <c r="J93" s="47" t="s">
        <v>112</v>
      </c>
      <c r="K93" s="47" t="s">
        <v>113</v>
      </c>
      <c r="L93" s="50">
        <v>4.8611111111111112E-3</v>
      </c>
      <c r="M93" s="49" t="s">
        <v>114</v>
      </c>
      <c r="N93" s="51">
        <f t="shared" si="13"/>
        <v>0.29027777777777775</v>
      </c>
      <c r="O93" s="47" t="s">
        <v>234</v>
      </c>
      <c r="P93" s="52">
        <v>686</v>
      </c>
      <c r="Q93" s="52">
        <f t="shared" si="9"/>
        <v>686</v>
      </c>
      <c r="R93" s="52">
        <f t="shared" si="10"/>
        <v>1174</v>
      </c>
      <c r="S93" s="52">
        <f t="shared" ca="1" si="14"/>
        <v>215</v>
      </c>
      <c r="T93" s="52">
        <v>165</v>
      </c>
      <c r="U93" s="52">
        <f t="shared" ca="1" si="15"/>
        <v>990</v>
      </c>
      <c r="V93" s="52">
        <f t="shared" ca="1" si="12"/>
        <v>6</v>
      </c>
      <c r="W93" s="53"/>
      <c r="X93" s="53"/>
      <c r="Y93" s="53"/>
    </row>
    <row r="94" spans="1:25" ht="81.95" customHeight="1">
      <c r="A94" s="47" t="s">
        <v>204</v>
      </c>
      <c r="B94" s="48">
        <v>93</v>
      </c>
      <c r="C94" s="48">
        <v>5</v>
      </c>
      <c r="D94" s="48">
        <v>9</v>
      </c>
      <c r="E94" s="47" t="s">
        <v>241</v>
      </c>
      <c r="F94" s="47" t="s">
        <v>210</v>
      </c>
      <c r="G94" s="47" t="s">
        <v>211</v>
      </c>
      <c r="H94" s="49" t="s">
        <v>212</v>
      </c>
      <c r="I94" s="48">
        <v>4</v>
      </c>
      <c r="J94" s="47" t="s">
        <v>213</v>
      </c>
      <c r="K94" s="47" t="s">
        <v>214</v>
      </c>
      <c r="L94" s="50">
        <v>3.8194444444444443E-3</v>
      </c>
      <c r="M94" s="49" t="s">
        <v>215</v>
      </c>
      <c r="N94" s="51">
        <f t="shared" si="13"/>
        <v>0.29409722222222218</v>
      </c>
      <c r="O94" s="47" t="s">
        <v>234</v>
      </c>
      <c r="P94" s="52">
        <v>694</v>
      </c>
      <c r="Q94" s="52">
        <f t="shared" si="9"/>
        <v>694</v>
      </c>
      <c r="R94" s="52">
        <f t="shared" si="10"/>
        <v>1193</v>
      </c>
      <c r="S94" s="52" t="str">
        <f t="shared" ca="1" si="14"/>
        <v/>
      </c>
      <c r="T94" s="52"/>
      <c r="U94" s="52" t="str">
        <f t="shared" ca="1" si="15"/>
        <v/>
      </c>
      <c r="V94" s="52" t="str">
        <f t="shared" ca="1" si="12"/>
        <v/>
      </c>
      <c r="W94" s="53"/>
      <c r="X94" s="53"/>
      <c r="Y94" s="53"/>
    </row>
    <row r="95" spans="1:25" ht="81.95" customHeight="1">
      <c r="A95" s="47" t="s">
        <v>204</v>
      </c>
      <c r="B95" s="48">
        <v>94</v>
      </c>
      <c r="C95" s="48">
        <v>3</v>
      </c>
      <c r="D95" s="48">
        <v>8</v>
      </c>
      <c r="E95" s="47" t="s">
        <v>242</v>
      </c>
      <c r="F95" s="47" t="s">
        <v>92</v>
      </c>
      <c r="G95" s="47" t="s">
        <v>93</v>
      </c>
      <c r="H95" s="49" t="s">
        <v>243</v>
      </c>
      <c r="I95" s="48">
        <v>3</v>
      </c>
      <c r="J95" s="47" t="s">
        <v>95</v>
      </c>
      <c r="K95" s="47" t="s">
        <v>33</v>
      </c>
      <c r="L95" s="50">
        <v>1.9675925925925924E-3</v>
      </c>
      <c r="M95" s="49" t="s">
        <v>96</v>
      </c>
      <c r="N95" s="51">
        <f t="shared" si="13"/>
        <v>0.29606481481481478</v>
      </c>
      <c r="O95" s="47" t="s">
        <v>244</v>
      </c>
      <c r="P95" s="52">
        <v>698</v>
      </c>
      <c r="Q95" s="52">
        <f t="shared" si="9"/>
        <v>698</v>
      </c>
      <c r="R95" s="52">
        <f t="shared" si="10"/>
        <v>1203</v>
      </c>
      <c r="S95" s="52" t="str">
        <f t="shared" ca="1" si="14"/>
        <v/>
      </c>
      <c r="T95" s="52"/>
      <c r="U95" s="52" t="str">
        <f t="shared" ca="1" si="15"/>
        <v/>
      </c>
      <c r="V95" s="52" t="str">
        <f t="shared" ca="1" si="12"/>
        <v/>
      </c>
      <c r="W95" s="53"/>
      <c r="X95" s="53"/>
      <c r="Y95" s="53"/>
    </row>
    <row r="96" spans="1:25" ht="81.95" customHeight="1">
      <c r="A96" s="47" t="s">
        <v>204</v>
      </c>
      <c r="B96" s="48">
        <v>95</v>
      </c>
      <c r="C96" s="48">
        <v>7</v>
      </c>
      <c r="D96" s="48">
        <v>10</v>
      </c>
      <c r="E96" s="47" t="s">
        <v>245</v>
      </c>
      <c r="F96" s="47" t="s">
        <v>102</v>
      </c>
      <c r="G96" s="47" t="s">
        <v>103</v>
      </c>
      <c r="H96" s="49" t="s">
        <v>225</v>
      </c>
      <c r="I96" s="48">
        <v>1</v>
      </c>
      <c r="J96" s="47" t="s">
        <v>150</v>
      </c>
      <c r="K96" s="47" t="s">
        <v>106</v>
      </c>
      <c r="L96" s="50">
        <v>4.8611111111111112E-3</v>
      </c>
      <c r="M96" s="49" t="s">
        <v>107</v>
      </c>
      <c r="N96" s="51">
        <f t="shared" si="13"/>
        <v>0.30092592592592587</v>
      </c>
      <c r="O96" s="47" t="s">
        <v>244</v>
      </c>
      <c r="P96" s="52">
        <v>709</v>
      </c>
      <c r="Q96" s="52">
        <f t="shared" si="9"/>
        <v>709</v>
      </c>
      <c r="R96" s="52">
        <f t="shared" si="10"/>
        <v>1230</v>
      </c>
      <c r="S96" s="52">
        <f t="shared" ca="1" si="14"/>
        <v>75</v>
      </c>
      <c r="T96" s="52">
        <v>45</v>
      </c>
      <c r="U96" s="52">
        <f t="shared" ca="1" si="15"/>
        <v>765</v>
      </c>
      <c r="V96" s="52">
        <f t="shared" ca="1" si="12"/>
        <v>17</v>
      </c>
      <c r="W96" s="53"/>
      <c r="X96" s="53"/>
      <c r="Y96" s="53"/>
    </row>
    <row r="97" spans="1:25" ht="81.95" customHeight="1">
      <c r="A97" s="47" t="s">
        <v>204</v>
      </c>
      <c r="B97" s="48">
        <v>96</v>
      </c>
      <c r="C97" s="48">
        <v>7</v>
      </c>
      <c r="D97" s="48">
        <v>10</v>
      </c>
      <c r="E97" s="47" t="s">
        <v>246</v>
      </c>
      <c r="F97" s="47" t="s">
        <v>102</v>
      </c>
      <c r="G97" s="47" t="s">
        <v>103</v>
      </c>
      <c r="H97" s="49" t="s">
        <v>225</v>
      </c>
      <c r="I97" s="48">
        <v>2</v>
      </c>
      <c r="J97" s="47" t="s">
        <v>154</v>
      </c>
      <c r="K97" s="47" t="s">
        <v>106</v>
      </c>
      <c r="L97" s="50">
        <v>4.8611111111111112E-3</v>
      </c>
      <c r="M97" s="49" t="s">
        <v>107</v>
      </c>
      <c r="N97" s="51">
        <f t="shared" si="13"/>
        <v>0.30578703703703697</v>
      </c>
      <c r="O97" s="47" t="s">
        <v>244</v>
      </c>
      <c r="P97" s="52">
        <v>720</v>
      </c>
      <c r="Q97" s="52">
        <f t="shared" si="9"/>
        <v>720</v>
      </c>
      <c r="R97" s="52">
        <f t="shared" si="10"/>
        <v>1258</v>
      </c>
      <c r="S97" s="52">
        <v>75</v>
      </c>
      <c r="T97" s="52">
        <v>45</v>
      </c>
      <c r="U97" s="52">
        <f t="shared" ref="U97:U107" si="17">IF(S97="","",ROUNDUP(R97/S97,0)*T97)</f>
        <v>765</v>
      </c>
      <c r="V97" s="52">
        <f t="shared" si="12"/>
        <v>17</v>
      </c>
      <c r="W97" s="53"/>
      <c r="X97" s="53"/>
      <c r="Y97" s="53"/>
    </row>
    <row r="98" spans="1:25" ht="81.95" customHeight="1">
      <c r="A98" s="47" t="s">
        <v>204</v>
      </c>
      <c r="B98" s="48">
        <v>97</v>
      </c>
      <c r="C98" s="48">
        <v>2</v>
      </c>
      <c r="D98" s="48">
        <v>8</v>
      </c>
      <c r="E98" s="47" t="s">
        <v>247</v>
      </c>
      <c r="F98" s="47" t="s">
        <v>29</v>
      </c>
      <c r="G98" s="47" t="s">
        <v>30</v>
      </c>
      <c r="H98" s="49" t="s">
        <v>146</v>
      </c>
      <c r="I98" s="48">
        <v>1</v>
      </c>
      <c r="J98" s="47" t="s">
        <v>32</v>
      </c>
      <c r="K98" s="47" t="s">
        <v>33</v>
      </c>
      <c r="L98" s="50">
        <v>2.7777777777777779E-3</v>
      </c>
      <c r="M98" s="49" t="s">
        <v>34</v>
      </c>
      <c r="N98" s="51">
        <f t="shared" si="13"/>
        <v>0.30856481481481474</v>
      </c>
      <c r="O98" s="47" t="s">
        <v>244</v>
      </c>
      <c r="P98" s="52">
        <v>723</v>
      </c>
      <c r="Q98" s="52">
        <f t="shared" ref="Q98:Q129" si="18">P98</f>
        <v>723</v>
      </c>
      <c r="R98" s="52">
        <f t="shared" si="10"/>
        <v>1266</v>
      </c>
      <c r="S98" s="52"/>
      <c r="T98" s="52"/>
      <c r="U98" s="52" t="str">
        <f t="shared" si="17"/>
        <v/>
      </c>
      <c r="V98" s="52" t="str">
        <f t="shared" ref="V98:V124" si="19">IF(S98="","",ROUNDUP(R98/S98,0))</f>
        <v/>
      </c>
      <c r="W98" s="53"/>
      <c r="X98" s="53"/>
      <c r="Y98" s="53"/>
    </row>
    <row r="99" spans="1:25" ht="81.95" customHeight="1">
      <c r="A99" s="47" t="s">
        <v>204</v>
      </c>
      <c r="B99" s="48">
        <v>98</v>
      </c>
      <c r="C99" s="48">
        <v>10</v>
      </c>
      <c r="D99" s="48">
        <v>10</v>
      </c>
      <c r="E99" s="47" t="s">
        <v>248</v>
      </c>
      <c r="F99" s="47" t="s">
        <v>117</v>
      </c>
      <c r="G99" s="47" t="s">
        <v>118</v>
      </c>
      <c r="H99" s="49" t="s">
        <v>191</v>
      </c>
      <c r="I99" s="48">
        <v>1</v>
      </c>
      <c r="J99" s="47" t="s">
        <v>249</v>
      </c>
      <c r="K99" s="47" t="s">
        <v>121</v>
      </c>
      <c r="L99" s="50">
        <v>8.3333333333333332E-3</v>
      </c>
      <c r="M99" s="49" t="s">
        <v>122</v>
      </c>
      <c r="N99" s="51">
        <f t="shared" ref="N99:N120" si="20">N98+L99</f>
        <v>0.3168981481481481</v>
      </c>
      <c r="O99" s="47" t="s">
        <v>244</v>
      </c>
      <c r="P99" s="52">
        <v>743</v>
      </c>
      <c r="Q99" s="52">
        <f t="shared" si="18"/>
        <v>743</v>
      </c>
      <c r="R99" s="52">
        <f t="shared" si="10"/>
        <v>1317</v>
      </c>
      <c r="S99" s="52">
        <v>635</v>
      </c>
      <c r="T99" s="52">
        <v>585</v>
      </c>
      <c r="U99" s="52">
        <f t="shared" si="17"/>
        <v>1755</v>
      </c>
      <c r="V99" s="52">
        <f t="shared" si="19"/>
        <v>3</v>
      </c>
      <c r="W99" s="53"/>
      <c r="X99" s="53"/>
      <c r="Y99" s="53"/>
    </row>
    <row r="100" spans="1:25" ht="81.95" customHeight="1">
      <c r="A100" s="47" t="s">
        <v>204</v>
      </c>
      <c r="B100" s="48">
        <v>99</v>
      </c>
      <c r="C100" s="48">
        <v>10</v>
      </c>
      <c r="D100" s="48">
        <v>10</v>
      </c>
      <c r="E100" s="47" t="s">
        <v>250</v>
      </c>
      <c r="F100" s="47" t="s">
        <v>117</v>
      </c>
      <c r="G100" s="47" t="s">
        <v>118</v>
      </c>
      <c r="H100" s="49" t="s">
        <v>191</v>
      </c>
      <c r="I100" s="48">
        <v>2</v>
      </c>
      <c r="J100" s="47" t="s">
        <v>251</v>
      </c>
      <c r="K100" s="47" t="s">
        <v>121</v>
      </c>
      <c r="L100" s="50">
        <v>8.3333333333333332E-3</v>
      </c>
      <c r="M100" s="49" t="s">
        <v>122</v>
      </c>
      <c r="N100" s="51">
        <f t="shared" si="20"/>
        <v>0.32523148148148145</v>
      </c>
      <c r="O100" s="47" t="s">
        <v>244</v>
      </c>
      <c r="P100" s="52">
        <v>763</v>
      </c>
      <c r="Q100" s="52">
        <f t="shared" si="18"/>
        <v>763</v>
      </c>
      <c r="R100" s="52">
        <f t="shared" si="10"/>
        <v>1369</v>
      </c>
      <c r="S100" s="52">
        <v>640</v>
      </c>
      <c r="T100" s="52">
        <v>590</v>
      </c>
      <c r="U100" s="52">
        <f t="shared" si="17"/>
        <v>1770</v>
      </c>
      <c r="V100" s="52">
        <f t="shared" si="19"/>
        <v>3</v>
      </c>
      <c r="W100" s="53"/>
      <c r="X100" s="53"/>
      <c r="Y100" s="53"/>
    </row>
    <row r="101" spans="1:25" ht="81.95" customHeight="1">
      <c r="A101" s="47" t="s">
        <v>204</v>
      </c>
      <c r="B101" s="48">
        <v>100</v>
      </c>
      <c r="C101" s="48">
        <v>2</v>
      </c>
      <c r="D101" s="48">
        <v>10</v>
      </c>
      <c r="E101" s="47" t="s">
        <v>252</v>
      </c>
      <c r="F101" s="47" t="s">
        <v>253</v>
      </c>
      <c r="G101" s="47" t="s">
        <v>254</v>
      </c>
      <c r="H101" s="49" t="s">
        <v>255</v>
      </c>
      <c r="I101" s="48">
        <v>1</v>
      </c>
      <c r="J101" s="47" t="s">
        <v>256</v>
      </c>
      <c r="K101" s="47" t="s">
        <v>33</v>
      </c>
      <c r="L101" s="50">
        <v>2.4305555555555556E-3</v>
      </c>
      <c r="M101" s="49" t="s">
        <v>257</v>
      </c>
      <c r="N101" s="51">
        <f t="shared" si="20"/>
        <v>0.327662037037037</v>
      </c>
      <c r="O101" s="47" t="s">
        <v>244</v>
      </c>
      <c r="P101" s="52">
        <v>769</v>
      </c>
      <c r="Q101" s="52">
        <f t="shared" si="18"/>
        <v>769</v>
      </c>
      <c r="R101" s="52">
        <f t="shared" si="10"/>
        <v>1385</v>
      </c>
      <c r="S101" s="52"/>
      <c r="T101" s="52"/>
      <c r="U101" s="52" t="str">
        <f t="shared" si="17"/>
        <v/>
      </c>
      <c r="V101" s="52" t="str">
        <f t="shared" si="19"/>
        <v/>
      </c>
      <c r="W101" s="53"/>
      <c r="X101" s="53"/>
      <c r="Y101" s="53"/>
    </row>
    <row r="102" spans="1:25" ht="81.95" customHeight="1">
      <c r="A102" s="47" t="s">
        <v>258</v>
      </c>
      <c r="B102" s="48">
        <v>101</v>
      </c>
      <c r="C102" s="48">
        <v>2</v>
      </c>
      <c r="D102" s="48">
        <v>9</v>
      </c>
      <c r="E102" s="47" t="s">
        <v>259</v>
      </c>
      <c r="F102" s="47" t="s">
        <v>29</v>
      </c>
      <c r="G102" s="47" t="s">
        <v>30</v>
      </c>
      <c r="H102" s="49" t="s">
        <v>146</v>
      </c>
      <c r="I102" s="48">
        <v>1</v>
      </c>
      <c r="J102" s="47" t="s">
        <v>32</v>
      </c>
      <c r="K102" s="47" t="s">
        <v>33</v>
      </c>
      <c r="L102" s="50">
        <v>3.0092592592592593E-3</v>
      </c>
      <c r="M102" s="49" t="s">
        <v>34</v>
      </c>
      <c r="N102" s="51">
        <f t="shared" si="20"/>
        <v>0.33067129629629627</v>
      </c>
      <c r="O102" s="47" t="s">
        <v>260</v>
      </c>
      <c r="P102" s="52">
        <v>773</v>
      </c>
      <c r="Q102" s="52">
        <f t="shared" si="18"/>
        <v>773</v>
      </c>
      <c r="R102" s="52">
        <f t="shared" si="10"/>
        <v>1395</v>
      </c>
      <c r="S102" s="52"/>
      <c r="T102" s="52"/>
      <c r="U102" s="52" t="str">
        <f t="shared" si="17"/>
        <v/>
      </c>
      <c r="V102" s="52" t="str">
        <f t="shared" si="19"/>
        <v/>
      </c>
      <c r="W102" s="53"/>
      <c r="X102" s="53"/>
      <c r="Y102" s="53"/>
    </row>
    <row r="103" spans="1:25" ht="81.95" customHeight="1">
      <c r="A103" s="47" t="s">
        <v>258</v>
      </c>
      <c r="B103" s="48">
        <v>102</v>
      </c>
      <c r="C103" s="48">
        <v>2</v>
      </c>
      <c r="D103" s="48">
        <v>9</v>
      </c>
      <c r="E103" s="47" t="s">
        <v>261</v>
      </c>
      <c r="F103" s="47" t="s">
        <v>29</v>
      </c>
      <c r="G103" s="47" t="s">
        <v>30</v>
      </c>
      <c r="H103" s="49" t="s">
        <v>146</v>
      </c>
      <c r="I103" s="48">
        <v>1</v>
      </c>
      <c r="J103" s="47" t="s">
        <v>32</v>
      </c>
      <c r="K103" s="47" t="s">
        <v>33</v>
      </c>
      <c r="L103" s="50">
        <v>2.3148148148148147E-3</v>
      </c>
      <c r="M103" s="49" t="s">
        <v>34</v>
      </c>
      <c r="N103" s="51">
        <f t="shared" si="20"/>
        <v>0.33298611111111109</v>
      </c>
      <c r="O103" s="47" t="s">
        <v>260</v>
      </c>
      <c r="P103" s="52">
        <v>777</v>
      </c>
      <c r="Q103" s="52">
        <f t="shared" si="18"/>
        <v>777</v>
      </c>
      <c r="R103" s="52">
        <f t="shared" si="10"/>
        <v>1406</v>
      </c>
      <c r="S103" s="52"/>
      <c r="T103" s="52"/>
      <c r="U103" s="52" t="str">
        <f t="shared" si="17"/>
        <v/>
      </c>
      <c r="V103" s="52" t="str">
        <f t="shared" si="19"/>
        <v/>
      </c>
      <c r="W103" s="53"/>
      <c r="X103" s="53"/>
      <c r="Y103" s="53"/>
    </row>
    <row r="104" spans="1:25" ht="81.95" customHeight="1">
      <c r="A104" s="47" t="s">
        <v>258</v>
      </c>
      <c r="B104" s="48">
        <v>103</v>
      </c>
      <c r="C104" s="48">
        <v>3</v>
      </c>
      <c r="D104" s="48">
        <v>9</v>
      </c>
      <c r="E104" s="47" t="s">
        <v>262</v>
      </c>
      <c r="F104" s="47" t="s">
        <v>92</v>
      </c>
      <c r="G104" s="47" t="s">
        <v>93</v>
      </c>
      <c r="H104" s="49" t="s">
        <v>243</v>
      </c>
      <c r="I104" s="48">
        <v>3</v>
      </c>
      <c r="J104" s="47" t="s">
        <v>95</v>
      </c>
      <c r="K104" s="47" t="s">
        <v>33</v>
      </c>
      <c r="L104" s="50">
        <v>2.1990740740740742E-3</v>
      </c>
      <c r="M104" s="49" t="s">
        <v>96</v>
      </c>
      <c r="N104" s="51">
        <f t="shared" si="20"/>
        <v>0.33518518518518514</v>
      </c>
      <c r="O104" s="47" t="s">
        <v>260</v>
      </c>
      <c r="P104" s="52">
        <v>782</v>
      </c>
      <c r="Q104" s="52">
        <f t="shared" si="18"/>
        <v>782</v>
      </c>
      <c r="R104" s="52">
        <f t="shared" si="10"/>
        <v>1419</v>
      </c>
      <c r="S104" s="52"/>
      <c r="T104" s="52"/>
      <c r="U104" s="52" t="str">
        <f t="shared" si="17"/>
        <v/>
      </c>
      <c r="V104" s="52" t="str">
        <f t="shared" si="19"/>
        <v/>
      </c>
      <c r="W104" s="53"/>
      <c r="X104" s="53"/>
      <c r="Y104" s="53"/>
    </row>
    <row r="105" spans="1:25" ht="81.95" customHeight="1">
      <c r="A105" s="47" t="s">
        <v>258</v>
      </c>
      <c r="B105" s="48">
        <v>104</v>
      </c>
      <c r="C105" s="48">
        <v>7</v>
      </c>
      <c r="D105" s="48">
        <v>10</v>
      </c>
      <c r="E105" s="47" t="s">
        <v>263</v>
      </c>
      <c r="F105" s="47" t="s">
        <v>84</v>
      </c>
      <c r="G105" s="47" t="s">
        <v>85</v>
      </c>
      <c r="H105" s="49" t="s">
        <v>264</v>
      </c>
      <c r="I105" s="48">
        <v>4</v>
      </c>
      <c r="J105" s="47" t="s">
        <v>100</v>
      </c>
      <c r="K105" s="47" t="s">
        <v>88</v>
      </c>
      <c r="L105" s="50">
        <v>4.1666666666666666E-3</v>
      </c>
      <c r="M105" s="49" t="s">
        <v>89</v>
      </c>
      <c r="N105" s="51">
        <f t="shared" si="20"/>
        <v>0.33935185185185179</v>
      </c>
      <c r="O105" s="47" t="s">
        <v>260</v>
      </c>
      <c r="P105" s="52">
        <v>792</v>
      </c>
      <c r="Q105" s="52">
        <f t="shared" si="18"/>
        <v>792</v>
      </c>
      <c r="R105" s="52">
        <f t="shared" si="10"/>
        <v>1446</v>
      </c>
      <c r="S105" s="52">
        <v>90</v>
      </c>
      <c r="T105" s="52">
        <v>55</v>
      </c>
      <c r="U105" s="52">
        <f t="shared" si="17"/>
        <v>935</v>
      </c>
      <c r="V105" s="52">
        <f t="shared" si="19"/>
        <v>17</v>
      </c>
      <c r="W105" s="53"/>
      <c r="X105" s="53"/>
      <c r="Y105" s="53"/>
    </row>
    <row r="106" spans="1:25" ht="81.95" customHeight="1">
      <c r="A106" s="47" t="s">
        <v>258</v>
      </c>
      <c r="B106" s="48">
        <v>105</v>
      </c>
      <c r="C106" s="48">
        <v>8</v>
      </c>
      <c r="D106" s="48">
        <v>10</v>
      </c>
      <c r="E106" s="47" t="s">
        <v>265</v>
      </c>
      <c r="F106" s="47" t="s">
        <v>102</v>
      </c>
      <c r="G106" s="47" t="s">
        <v>103</v>
      </c>
      <c r="H106" s="49" t="s">
        <v>266</v>
      </c>
      <c r="I106" s="48">
        <v>4</v>
      </c>
      <c r="J106" s="47" t="s">
        <v>238</v>
      </c>
      <c r="K106" s="47" t="s">
        <v>106</v>
      </c>
      <c r="L106" s="50">
        <v>5.208333333333333E-3</v>
      </c>
      <c r="M106" s="49" t="s">
        <v>107</v>
      </c>
      <c r="N106" s="51">
        <f t="shared" si="20"/>
        <v>0.34456018518518511</v>
      </c>
      <c r="O106" s="47" t="s">
        <v>260</v>
      </c>
      <c r="P106" s="52">
        <v>804</v>
      </c>
      <c r="Q106" s="52">
        <f t="shared" si="18"/>
        <v>804</v>
      </c>
      <c r="R106" s="52">
        <f t="shared" si="10"/>
        <v>1479</v>
      </c>
      <c r="S106" s="52">
        <v>80</v>
      </c>
      <c r="T106" s="52">
        <v>45</v>
      </c>
      <c r="U106" s="52">
        <f t="shared" si="17"/>
        <v>855</v>
      </c>
      <c r="V106" s="52">
        <f t="shared" si="19"/>
        <v>19</v>
      </c>
      <c r="W106" s="53"/>
      <c r="X106" s="53"/>
      <c r="Y106" s="53"/>
    </row>
    <row r="107" spans="1:25" ht="81.95" customHeight="1">
      <c r="A107" s="47" t="s">
        <v>258</v>
      </c>
      <c r="B107" s="48">
        <v>106</v>
      </c>
      <c r="C107" s="48">
        <v>10</v>
      </c>
      <c r="D107" s="48">
        <v>10</v>
      </c>
      <c r="E107" s="47" t="s">
        <v>267</v>
      </c>
      <c r="F107" s="47" t="s">
        <v>117</v>
      </c>
      <c r="G107" s="47" t="s">
        <v>118</v>
      </c>
      <c r="H107" s="49" t="s">
        <v>191</v>
      </c>
      <c r="I107" s="48">
        <v>1</v>
      </c>
      <c r="J107" s="47" t="s">
        <v>120</v>
      </c>
      <c r="K107" s="47" t="s">
        <v>121</v>
      </c>
      <c r="L107" s="50">
        <v>9.1435185185185178E-3</v>
      </c>
      <c r="M107" s="49" t="s">
        <v>122</v>
      </c>
      <c r="N107" s="51">
        <f t="shared" si="20"/>
        <v>0.35370370370370363</v>
      </c>
      <c r="O107" s="47" t="s">
        <v>260</v>
      </c>
      <c r="P107" s="52">
        <v>826</v>
      </c>
      <c r="Q107" s="52">
        <f t="shared" si="18"/>
        <v>826</v>
      </c>
      <c r="R107" s="52">
        <f t="shared" si="10"/>
        <v>1540</v>
      </c>
      <c r="S107" s="52">
        <v>670</v>
      </c>
      <c r="T107" s="52">
        <v>610</v>
      </c>
      <c r="U107" s="52">
        <f t="shared" si="17"/>
        <v>1830</v>
      </c>
      <c r="V107" s="52">
        <f t="shared" si="19"/>
        <v>3</v>
      </c>
      <c r="W107" s="53"/>
      <c r="X107" s="53"/>
      <c r="Y107" s="53"/>
    </row>
    <row r="108" spans="1:25" ht="81.95" customHeight="1">
      <c r="A108" s="47" t="s">
        <v>258</v>
      </c>
      <c r="B108" s="48">
        <v>107</v>
      </c>
      <c r="C108" s="48">
        <v>5</v>
      </c>
      <c r="D108" s="48">
        <v>9</v>
      </c>
      <c r="E108" s="47" t="s">
        <v>268</v>
      </c>
      <c r="F108" s="47" t="s">
        <v>52</v>
      </c>
      <c r="G108" s="47" t="s">
        <v>53</v>
      </c>
      <c r="H108" s="49" t="s">
        <v>269</v>
      </c>
      <c r="I108" s="48">
        <v>1</v>
      </c>
      <c r="J108" s="47" t="s">
        <v>55</v>
      </c>
      <c r="K108" s="47" t="s">
        <v>56</v>
      </c>
      <c r="L108" s="50">
        <v>2.0833333333333333E-3</v>
      </c>
      <c r="M108" s="49" t="s">
        <v>57</v>
      </c>
      <c r="N108" s="51">
        <f t="shared" si="20"/>
        <v>0.35578703703703696</v>
      </c>
      <c r="O108" s="47" t="s">
        <v>270</v>
      </c>
      <c r="P108" s="52">
        <v>831</v>
      </c>
      <c r="Q108" s="52">
        <f t="shared" si="18"/>
        <v>831</v>
      </c>
      <c r="R108" s="52">
        <f t="shared" si="10"/>
        <v>1553</v>
      </c>
      <c r="S108" s="52" t="str">
        <f t="shared" ca="1" si="14"/>
        <v/>
      </c>
      <c r="T108" s="52"/>
      <c r="U108" s="52" t="str">
        <f t="shared" ca="1" si="15"/>
        <v/>
      </c>
      <c r="V108" s="52" t="str">
        <f t="shared" ca="1" si="19"/>
        <v/>
      </c>
      <c r="W108" s="53"/>
      <c r="X108" s="53"/>
      <c r="Y108" s="53"/>
    </row>
    <row r="109" spans="1:25" ht="81.95" customHeight="1">
      <c r="A109" s="47" t="s">
        <v>258</v>
      </c>
      <c r="B109" s="48">
        <v>108</v>
      </c>
      <c r="C109" s="48">
        <v>5</v>
      </c>
      <c r="D109" s="48">
        <v>9</v>
      </c>
      <c r="E109" s="47" t="s">
        <v>271</v>
      </c>
      <c r="F109" s="47" t="s">
        <v>52</v>
      </c>
      <c r="G109" s="47" t="s">
        <v>53</v>
      </c>
      <c r="H109" s="49" t="s">
        <v>269</v>
      </c>
      <c r="I109" s="48">
        <v>1</v>
      </c>
      <c r="J109" s="47" t="s">
        <v>55</v>
      </c>
      <c r="K109" s="47" t="s">
        <v>56</v>
      </c>
      <c r="L109" s="50">
        <v>2.0833333333333333E-3</v>
      </c>
      <c r="M109" s="49" t="s">
        <v>57</v>
      </c>
      <c r="N109" s="51">
        <f t="shared" si="20"/>
        <v>0.35787037037037028</v>
      </c>
      <c r="O109" s="47" t="s">
        <v>270</v>
      </c>
      <c r="P109" s="52">
        <v>836</v>
      </c>
      <c r="Q109" s="52">
        <f t="shared" si="18"/>
        <v>836</v>
      </c>
      <c r="R109" s="52">
        <f t="shared" si="10"/>
        <v>1567</v>
      </c>
      <c r="S109" s="52" t="str">
        <f t="shared" ca="1" si="14"/>
        <v/>
      </c>
      <c r="T109" s="52"/>
      <c r="U109" s="52" t="str">
        <f t="shared" ca="1" si="15"/>
        <v/>
      </c>
      <c r="V109" s="52" t="str">
        <f t="shared" ca="1" si="19"/>
        <v/>
      </c>
      <c r="W109" s="53"/>
      <c r="X109" s="53"/>
      <c r="Y109" s="53"/>
    </row>
    <row r="110" spans="1:25" ht="81.95" customHeight="1">
      <c r="A110" s="47" t="s">
        <v>258</v>
      </c>
      <c r="B110" s="48">
        <v>109</v>
      </c>
      <c r="C110" s="48">
        <v>7</v>
      </c>
      <c r="D110" s="48">
        <v>10</v>
      </c>
      <c r="E110" s="47" t="s">
        <v>272</v>
      </c>
      <c r="F110" s="47" t="s">
        <v>84</v>
      </c>
      <c r="G110" s="47" t="s">
        <v>85</v>
      </c>
      <c r="H110" s="49" t="s">
        <v>264</v>
      </c>
      <c r="I110" s="48">
        <v>4</v>
      </c>
      <c r="J110" s="47" t="s">
        <v>100</v>
      </c>
      <c r="K110" s="47" t="s">
        <v>88</v>
      </c>
      <c r="L110" s="50">
        <v>4.1666666666666666E-3</v>
      </c>
      <c r="M110" s="49" t="s">
        <v>89</v>
      </c>
      <c r="N110" s="51">
        <f t="shared" si="20"/>
        <v>0.36203703703703694</v>
      </c>
      <c r="O110" s="47" t="s">
        <v>270</v>
      </c>
      <c r="P110" s="52">
        <v>846</v>
      </c>
      <c r="Q110" s="52">
        <f t="shared" si="18"/>
        <v>846</v>
      </c>
      <c r="R110" s="52">
        <f t="shared" si="10"/>
        <v>1596</v>
      </c>
      <c r="S110" s="52">
        <v>90</v>
      </c>
      <c r="T110" s="52">
        <v>60</v>
      </c>
      <c r="U110" s="52">
        <f t="shared" ref="U110:U124" si="21">IF(S110="","",ROUNDUP(R110/S110,0)*T110)</f>
        <v>1080</v>
      </c>
      <c r="V110" s="52">
        <f t="shared" si="19"/>
        <v>18</v>
      </c>
      <c r="W110" s="53"/>
      <c r="X110" s="53"/>
      <c r="Y110" s="53"/>
    </row>
    <row r="111" spans="1:25" ht="81.95" customHeight="1">
      <c r="A111" s="47" t="s">
        <v>258</v>
      </c>
      <c r="B111" s="48">
        <v>110</v>
      </c>
      <c r="C111" s="48">
        <v>9</v>
      </c>
      <c r="D111" s="48">
        <v>10</v>
      </c>
      <c r="E111" s="47" t="s">
        <v>273</v>
      </c>
      <c r="F111" s="47" t="s">
        <v>109</v>
      </c>
      <c r="G111" s="47" t="s">
        <v>110</v>
      </c>
      <c r="H111" s="49" t="s">
        <v>274</v>
      </c>
      <c r="I111" s="48">
        <v>1</v>
      </c>
      <c r="J111" s="47" t="s">
        <v>112</v>
      </c>
      <c r="K111" s="47" t="s">
        <v>113</v>
      </c>
      <c r="L111" s="50">
        <v>5.208333333333333E-3</v>
      </c>
      <c r="M111" s="49" t="s">
        <v>114</v>
      </c>
      <c r="N111" s="51">
        <f t="shared" si="20"/>
        <v>0.36724537037037025</v>
      </c>
      <c r="O111" s="47" t="s">
        <v>270</v>
      </c>
      <c r="P111" s="52">
        <v>860</v>
      </c>
      <c r="Q111" s="52">
        <f t="shared" si="18"/>
        <v>860</v>
      </c>
      <c r="R111" s="52">
        <f t="shared" si="10"/>
        <v>1636</v>
      </c>
      <c r="S111" s="52">
        <v>240</v>
      </c>
      <c r="T111" s="52">
        <v>180</v>
      </c>
      <c r="U111" s="52">
        <f t="shared" si="21"/>
        <v>1260</v>
      </c>
      <c r="V111" s="52">
        <f t="shared" si="19"/>
        <v>7</v>
      </c>
      <c r="W111" s="53"/>
      <c r="X111" s="53"/>
      <c r="Y111" s="53"/>
    </row>
    <row r="112" spans="1:25" ht="81.95" customHeight="1">
      <c r="A112" s="47" t="s">
        <v>258</v>
      </c>
      <c r="B112" s="48">
        <v>111</v>
      </c>
      <c r="C112" s="48">
        <v>6</v>
      </c>
      <c r="D112" s="48">
        <v>10</v>
      </c>
      <c r="E112" s="47" t="s">
        <v>275</v>
      </c>
      <c r="F112" s="47" t="s">
        <v>210</v>
      </c>
      <c r="G112" s="47" t="s">
        <v>211</v>
      </c>
      <c r="H112" s="49" t="s">
        <v>276</v>
      </c>
      <c r="I112" s="48">
        <v>4</v>
      </c>
      <c r="J112" s="47" t="s">
        <v>213</v>
      </c>
      <c r="K112" s="47" t="s">
        <v>214</v>
      </c>
      <c r="L112" s="50">
        <v>4.1666666666666666E-3</v>
      </c>
      <c r="M112" s="49" t="s">
        <v>215</v>
      </c>
      <c r="N112" s="51">
        <f t="shared" si="20"/>
        <v>0.3714120370370369</v>
      </c>
      <c r="O112" s="47" t="s">
        <v>270</v>
      </c>
      <c r="P112" s="52">
        <v>868</v>
      </c>
      <c r="Q112" s="52">
        <f t="shared" si="18"/>
        <v>868</v>
      </c>
      <c r="R112" s="52">
        <f t="shared" si="10"/>
        <v>1659</v>
      </c>
      <c r="S112" s="52"/>
      <c r="T112" s="52"/>
      <c r="U112" s="52" t="str">
        <f t="shared" si="21"/>
        <v/>
      </c>
      <c r="V112" s="52" t="str">
        <f t="shared" si="19"/>
        <v/>
      </c>
      <c r="W112" s="53"/>
      <c r="X112" s="53"/>
      <c r="Y112" s="53"/>
    </row>
    <row r="113" spans="1:25" ht="81.95" customHeight="1">
      <c r="A113" s="47" t="s">
        <v>258</v>
      </c>
      <c r="B113" s="48">
        <v>112</v>
      </c>
      <c r="C113" s="48">
        <v>9</v>
      </c>
      <c r="D113" s="48">
        <v>10</v>
      </c>
      <c r="E113" s="47" t="s">
        <v>277</v>
      </c>
      <c r="F113" s="47" t="s">
        <v>109</v>
      </c>
      <c r="G113" s="47" t="s">
        <v>110</v>
      </c>
      <c r="H113" s="49" t="s">
        <v>274</v>
      </c>
      <c r="I113" s="48">
        <v>1</v>
      </c>
      <c r="J113" s="47" t="s">
        <v>112</v>
      </c>
      <c r="K113" s="47" t="s">
        <v>113</v>
      </c>
      <c r="L113" s="50">
        <v>5.208333333333333E-3</v>
      </c>
      <c r="M113" s="49" t="s">
        <v>114</v>
      </c>
      <c r="N113" s="51">
        <f t="shared" si="20"/>
        <v>0.37662037037037022</v>
      </c>
      <c r="O113" s="47" t="s">
        <v>270</v>
      </c>
      <c r="P113" s="52">
        <v>882</v>
      </c>
      <c r="Q113" s="52">
        <f t="shared" si="18"/>
        <v>882</v>
      </c>
      <c r="R113" s="52">
        <f t="shared" si="10"/>
        <v>1699</v>
      </c>
      <c r="S113" s="52">
        <v>245</v>
      </c>
      <c r="T113" s="52">
        <v>180</v>
      </c>
      <c r="U113" s="52">
        <f t="shared" si="21"/>
        <v>1260</v>
      </c>
      <c r="V113" s="52">
        <f t="shared" si="19"/>
        <v>7</v>
      </c>
      <c r="W113" s="53"/>
      <c r="X113" s="53"/>
      <c r="Y113" s="53"/>
    </row>
    <row r="114" spans="1:25" ht="81.95" customHeight="1">
      <c r="A114" s="47" t="s">
        <v>258</v>
      </c>
      <c r="B114" s="48">
        <v>113</v>
      </c>
      <c r="C114" s="48">
        <v>6</v>
      </c>
      <c r="D114" s="48">
        <v>10</v>
      </c>
      <c r="E114" s="47" t="s">
        <v>278</v>
      </c>
      <c r="F114" s="47" t="s">
        <v>210</v>
      </c>
      <c r="G114" s="47" t="s">
        <v>211</v>
      </c>
      <c r="H114" s="49" t="s">
        <v>276</v>
      </c>
      <c r="I114" s="48">
        <v>4</v>
      </c>
      <c r="J114" s="47" t="s">
        <v>213</v>
      </c>
      <c r="K114" s="47" t="s">
        <v>214</v>
      </c>
      <c r="L114" s="50">
        <v>4.1666666666666666E-3</v>
      </c>
      <c r="M114" s="49" t="s">
        <v>215</v>
      </c>
      <c r="N114" s="51">
        <f t="shared" si="20"/>
        <v>0.38078703703703687</v>
      </c>
      <c r="O114" s="47" t="s">
        <v>270</v>
      </c>
      <c r="P114" s="52">
        <v>890</v>
      </c>
      <c r="Q114" s="52">
        <f t="shared" si="18"/>
        <v>890</v>
      </c>
      <c r="R114" s="52">
        <f t="shared" si="10"/>
        <v>1723</v>
      </c>
      <c r="S114" s="52"/>
      <c r="T114" s="52"/>
      <c r="U114" s="52" t="str">
        <f t="shared" si="21"/>
        <v/>
      </c>
      <c r="V114" s="52" t="str">
        <f t="shared" si="19"/>
        <v/>
      </c>
      <c r="W114" s="53"/>
      <c r="X114" s="53"/>
      <c r="Y114" s="53"/>
    </row>
    <row r="115" spans="1:25" ht="81.95" customHeight="1">
      <c r="A115" s="47" t="s">
        <v>258</v>
      </c>
      <c r="B115" s="48">
        <v>114</v>
      </c>
      <c r="C115" s="48">
        <v>2</v>
      </c>
      <c r="D115" s="48">
        <v>9</v>
      </c>
      <c r="E115" s="47" t="s">
        <v>279</v>
      </c>
      <c r="F115" s="47" t="s">
        <v>29</v>
      </c>
      <c r="G115" s="47" t="s">
        <v>358</v>
      </c>
      <c r="H115" s="49" t="s">
        <v>146</v>
      </c>
      <c r="I115" s="48">
        <v>1</v>
      </c>
      <c r="J115" s="47" t="s">
        <v>32</v>
      </c>
      <c r="K115" s="47" t="s">
        <v>33</v>
      </c>
      <c r="L115" s="50">
        <v>3.0092592592592593E-3</v>
      </c>
      <c r="M115" s="49" t="s">
        <v>34</v>
      </c>
      <c r="N115" s="51">
        <f t="shared" si="20"/>
        <v>0.38379629629629614</v>
      </c>
      <c r="O115" s="47" t="s">
        <v>280</v>
      </c>
      <c r="P115" s="52">
        <v>894</v>
      </c>
      <c r="Q115" s="52">
        <f t="shared" si="18"/>
        <v>894</v>
      </c>
      <c r="R115" s="52">
        <f t="shared" si="10"/>
        <v>1734</v>
      </c>
      <c r="S115" s="52"/>
      <c r="T115" s="52"/>
      <c r="U115" s="52" t="str">
        <f t="shared" si="21"/>
        <v/>
      </c>
      <c r="V115" s="52" t="str">
        <f t="shared" si="19"/>
        <v/>
      </c>
      <c r="W115" s="53"/>
      <c r="X115" s="53"/>
      <c r="Y115" s="53"/>
    </row>
    <row r="116" spans="1:25" ht="81.95" customHeight="1">
      <c r="A116" s="47" t="s">
        <v>258</v>
      </c>
      <c r="B116" s="48">
        <v>115</v>
      </c>
      <c r="C116" s="48">
        <v>10</v>
      </c>
      <c r="D116" s="48">
        <v>10</v>
      </c>
      <c r="E116" s="47" t="s">
        <v>281</v>
      </c>
      <c r="F116" s="47" t="s">
        <v>117</v>
      </c>
      <c r="G116" s="47" t="s">
        <v>118</v>
      </c>
      <c r="H116" s="49" t="s">
        <v>191</v>
      </c>
      <c r="I116" s="48">
        <v>1</v>
      </c>
      <c r="J116" s="47" t="s">
        <v>282</v>
      </c>
      <c r="K116" s="47" t="s">
        <v>121</v>
      </c>
      <c r="L116" s="50">
        <v>9.1435185185185178E-3</v>
      </c>
      <c r="M116" s="49" t="s">
        <v>122</v>
      </c>
      <c r="N116" s="51">
        <f t="shared" si="20"/>
        <v>0.39293981481481466</v>
      </c>
      <c r="O116" s="47" t="s">
        <v>280</v>
      </c>
      <c r="P116" s="52">
        <v>916</v>
      </c>
      <c r="Q116" s="52">
        <f t="shared" si="18"/>
        <v>916</v>
      </c>
      <c r="R116" s="52">
        <f t="shared" si="10"/>
        <v>1800</v>
      </c>
      <c r="S116" s="52">
        <v>705</v>
      </c>
      <c r="T116" s="52">
        <v>635</v>
      </c>
      <c r="U116" s="52">
        <f t="shared" si="21"/>
        <v>1905</v>
      </c>
      <c r="V116" s="52">
        <f t="shared" si="19"/>
        <v>3</v>
      </c>
      <c r="W116" s="53"/>
      <c r="X116" s="53"/>
      <c r="Y116" s="53"/>
    </row>
    <row r="117" spans="1:25" ht="81.95" customHeight="1">
      <c r="A117" s="47" t="s">
        <v>258</v>
      </c>
      <c r="B117" s="48">
        <v>116</v>
      </c>
      <c r="C117" s="48">
        <v>10</v>
      </c>
      <c r="D117" s="48">
        <v>10</v>
      </c>
      <c r="E117" s="47" t="s">
        <v>283</v>
      </c>
      <c r="F117" s="47" t="s">
        <v>117</v>
      </c>
      <c r="G117" s="47" t="s">
        <v>118</v>
      </c>
      <c r="H117" s="49" t="s">
        <v>191</v>
      </c>
      <c r="I117" s="48">
        <v>2</v>
      </c>
      <c r="J117" s="47" t="s">
        <v>284</v>
      </c>
      <c r="K117" s="47" t="s">
        <v>121</v>
      </c>
      <c r="L117" s="50">
        <v>9.2592592592592587E-3</v>
      </c>
      <c r="M117" s="49" t="s">
        <v>122</v>
      </c>
      <c r="N117" s="51">
        <f t="shared" si="20"/>
        <v>0.4021990740740739</v>
      </c>
      <c r="O117" s="47" t="s">
        <v>280</v>
      </c>
      <c r="P117" s="52">
        <v>938</v>
      </c>
      <c r="Q117" s="52">
        <f t="shared" si="18"/>
        <v>938</v>
      </c>
      <c r="R117" s="52">
        <f t="shared" si="10"/>
        <v>1866</v>
      </c>
      <c r="S117" s="52">
        <v>710</v>
      </c>
      <c r="T117" s="52">
        <v>640</v>
      </c>
      <c r="U117" s="52">
        <f t="shared" si="21"/>
        <v>1920</v>
      </c>
      <c r="V117" s="52">
        <f t="shared" si="19"/>
        <v>3</v>
      </c>
      <c r="W117" s="53"/>
      <c r="X117" s="53"/>
      <c r="Y117" s="53"/>
    </row>
    <row r="118" spans="1:25" ht="81.95" customHeight="1">
      <c r="A118" s="47" t="s">
        <v>258</v>
      </c>
      <c r="B118" s="48">
        <v>117</v>
      </c>
      <c r="C118" s="48">
        <v>8</v>
      </c>
      <c r="D118" s="48">
        <v>10</v>
      </c>
      <c r="E118" s="47" t="s">
        <v>285</v>
      </c>
      <c r="F118" s="47" t="s">
        <v>102</v>
      </c>
      <c r="G118" s="47" t="s">
        <v>103</v>
      </c>
      <c r="H118" s="49" t="s">
        <v>266</v>
      </c>
      <c r="I118" s="48">
        <v>4</v>
      </c>
      <c r="J118" s="47" t="s">
        <v>238</v>
      </c>
      <c r="K118" s="47" t="s">
        <v>106</v>
      </c>
      <c r="L118" s="50">
        <v>5.324074074074074E-3</v>
      </c>
      <c r="M118" s="49" t="s">
        <v>107</v>
      </c>
      <c r="N118" s="51">
        <f t="shared" si="20"/>
        <v>0.407523148148148</v>
      </c>
      <c r="O118" s="47" t="s">
        <v>280</v>
      </c>
      <c r="P118" s="52">
        <v>950</v>
      </c>
      <c r="Q118" s="52">
        <f t="shared" si="18"/>
        <v>950</v>
      </c>
      <c r="R118" s="52">
        <f t="shared" si="10"/>
        <v>1903</v>
      </c>
      <c r="S118" s="52">
        <v>85</v>
      </c>
      <c r="T118" s="52">
        <v>50</v>
      </c>
      <c r="U118" s="52">
        <f t="shared" si="21"/>
        <v>1150</v>
      </c>
      <c r="V118" s="52">
        <f t="shared" si="19"/>
        <v>23</v>
      </c>
      <c r="W118" s="53"/>
      <c r="X118" s="53"/>
      <c r="Y118" s="53"/>
    </row>
    <row r="119" spans="1:25" ht="81.95" customHeight="1">
      <c r="A119" s="47" t="s">
        <v>258</v>
      </c>
      <c r="B119" s="48">
        <v>118</v>
      </c>
      <c r="C119" s="48">
        <v>10</v>
      </c>
      <c r="D119" s="48">
        <v>10</v>
      </c>
      <c r="E119" s="47" t="s">
        <v>286</v>
      </c>
      <c r="F119" s="47" t="s">
        <v>117</v>
      </c>
      <c r="G119" s="47" t="s">
        <v>118</v>
      </c>
      <c r="H119" s="49" t="s">
        <v>191</v>
      </c>
      <c r="I119" s="48">
        <v>1</v>
      </c>
      <c r="J119" s="47" t="s">
        <v>287</v>
      </c>
      <c r="K119" s="47" t="s">
        <v>121</v>
      </c>
      <c r="L119" s="50">
        <v>9.2592592592592587E-3</v>
      </c>
      <c r="M119" s="49" t="s">
        <v>122</v>
      </c>
      <c r="N119" s="51">
        <f t="shared" si="20"/>
        <v>0.41678240740740724</v>
      </c>
      <c r="O119" s="47" t="s">
        <v>280</v>
      </c>
      <c r="P119" s="52">
        <v>972</v>
      </c>
      <c r="Q119" s="52">
        <f t="shared" si="18"/>
        <v>972</v>
      </c>
      <c r="R119" s="52">
        <f t="shared" si="10"/>
        <v>1971</v>
      </c>
      <c r="S119" s="52">
        <v>720</v>
      </c>
      <c r="T119" s="52">
        <v>645</v>
      </c>
      <c r="U119" s="52">
        <f t="shared" si="21"/>
        <v>1935</v>
      </c>
      <c r="V119" s="52">
        <f t="shared" si="19"/>
        <v>3</v>
      </c>
      <c r="W119" s="53"/>
      <c r="X119" s="53"/>
      <c r="Y119" s="53"/>
    </row>
    <row r="120" spans="1:25" ht="81.95" customHeight="1">
      <c r="A120" s="47" t="s">
        <v>258</v>
      </c>
      <c r="B120" s="48">
        <v>119</v>
      </c>
      <c r="C120" s="48">
        <v>2</v>
      </c>
      <c r="D120" s="48">
        <v>10</v>
      </c>
      <c r="E120" s="47" t="s">
        <v>288</v>
      </c>
      <c r="F120" s="47" t="s">
        <v>253</v>
      </c>
      <c r="G120" s="47" t="s">
        <v>254</v>
      </c>
      <c r="H120" s="49" t="s">
        <v>255</v>
      </c>
      <c r="I120" s="48">
        <v>1</v>
      </c>
      <c r="J120" s="47" t="s">
        <v>256</v>
      </c>
      <c r="K120" s="47" t="s">
        <v>33</v>
      </c>
      <c r="L120" s="50">
        <v>2.662037037037037E-3</v>
      </c>
      <c r="M120" s="49" t="s">
        <v>257</v>
      </c>
      <c r="N120" s="51">
        <f t="shared" si="20"/>
        <v>0.41944444444444429</v>
      </c>
      <c r="O120" s="47" t="s">
        <v>280</v>
      </c>
      <c r="P120" s="52">
        <v>978</v>
      </c>
      <c r="Q120" s="52">
        <f t="shared" si="18"/>
        <v>978</v>
      </c>
      <c r="R120" s="52">
        <f t="shared" si="10"/>
        <v>1990</v>
      </c>
      <c r="S120" s="52"/>
      <c r="T120" s="52"/>
      <c r="U120" s="52" t="str">
        <f t="shared" si="21"/>
        <v/>
      </c>
      <c r="V120" s="52" t="str">
        <f t="shared" si="19"/>
        <v/>
      </c>
      <c r="W120" s="53"/>
      <c r="X120" s="53"/>
      <c r="Y120" s="53"/>
    </row>
    <row r="121" spans="1:25" ht="81.95" customHeight="1">
      <c r="A121" s="47" t="s">
        <v>258</v>
      </c>
      <c r="B121" s="55">
        <v>120</v>
      </c>
      <c r="C121" s="48">
        <v>6</v>
      </c>
      <c r="D121" s="48">
        <v>10</v>
      </c>
      <c r="E121" s="47" t="s">
        <v>289</v>
      </c>
      <c r="F121" s="47" t="s">
        <v>210</v>
      </c>
      <c r="G121" s="47" t="s">
        <v>211</v>
      </c>
      <c r="H121" s="49" t="s">
        <v>276</v>
      </c>
      <c r="I121" s="48">
        <v>4</v>
      </c>
      <c r="J121" s="47" t="s">
        <v>213</v>
      </c>
      <c r="K121" s="47" t="s">
        <v>214</v>
      </c>
      <c r="L121" s="50">
        <v>4.2824074074074075E-3</v>
      </c>
      <c r="M121" s="49" t="s">
        <v>215</v>
      </c>
      <c r="N121" s="51">
        <f>N120+L121</f>
        <v>0.42372685185185172</v>
      </c>
      <c r="O121" s="47" t="s">
        <v>280</v>
      </c>
      <c r="P121" s="52">
        <v>988</v>
      </c>
      <c r="Q121" s="52">
        <f t="shared" si="18"/>
        <v>988</v>
      </c>
      <c r="R121" s="52">
        <f>ROUND(60+0.8*Q121+0.0012*Q121^2,0)</f>
        <v>2022</v>
      </c>
      <c r="S121" s="52"/>
      <c r="T121" s="52"/>
      <c r="U121" s="52" t="str">
        <f t="shared" si="21"/>
        <v/>
      </c>
      <c r="V121" s="52" t="str">
        <f t="shared" si="19"/>
        <v/>
      </c>
      <c r="W121" s="54"/>
      <c r="X121" s="54"/>
      <c r="Y121" s="54"/>
    </row>
    <row r="122" spans="1:25" ht="81.95" customHeight="1">
      <c r="A122" s="47" t="s">
        <v>258</v>
      </c>
      <c r="B122" s="55">
        <v>121</v>
      </c>
      <c r="C122" s="48">
        <v>2</v>
      </c>
      <c r="D122" s="48">
        <v>9</v>
      </c>
      <c r="E122" s="47" t="s">
        <v>290</v>
      </c>
      <c r="F122" s="47" t="s">
        <v>29</v>
      </c>
      <c r="G122" s="47" t="s">
        <v>30</v>
      </c>
      <c r="H122" s="49" t="s">
        <v>146</v>
      </c>
      <c r="I122" s="48">
        <v>1</v>
      </c>
      <c r="J122" s="47" t="s">
        <v>32</v>
      </c>
      <c r="K122" s="47" t="s">
        <v>33</v>
      </c>
      <c r="L122" s="50">
        <v>3.0092592592592593E-3</v>
      </c>
      <c r="M122" s="49" t="s">
        <v>34</v>
      </c>
      <c r="N122" s="51">
        <f>N121+L122</f>
        <v>0.42673611111111098</v>
      </c>
      <c r="O122" s="47" t="s">
        <v>291</v>
      </c>
      <c r="P122" s="52">
        <v>992</v>
      </c>
      <c r="Q122" s="52">
        <f t="shared" si="18"/>
        <v>992</v>
      </c>
      <c r="R122" s="52">
        <f>ROUND(60+0.8*Q122+0.0012*Q122^2,0)</f>
        <v>2034</v>
      </c>
      <c r="S122" s="52"/>
      <c r="T122" s="52"/>
      <c r="U122" s="52" t="str">
        <f t="shared" si="21"/>
        <v/>
      </c>
      <c r="V122" s="52" t="str">
        <f t="shared" si="19"/>
        <v/>
      </c>
      <c r="W122" s="54"/>
      <c r="X122" s="54"/>
      <c r="Y122" s="54"/>
    </row>
    <row r="123" spans="1:25" ht="81.95" customHeight="1">
      <c r="A123" s="47" t="s">
        <v>258</v>
      </c>
      <c r="B123" s="55">
        <v>122</v>
      </c>
      <c r="C123" s="48">
        <v>2</v>
      </c>
      <c r="D123" s="48">
        <v>9</v>
      </c>
      <c r="E123" s="47" t="s">
        <v>292</v>
      </c>
      <c r="F123" s="47" t="s">
        <v>29</v>
      </c>
      <c r="G123" s="47" t="s">
        <v>30</v>
      </c>
      <c r="H123" s="49" t="s">
        <v>146</v>
      </c>
      <c r="I123" s="48">
        <v>1</v>
      </c>
      <c r="J123" s="47" t="s">
        <v>32</v>
      </c>
      <c r="K123" s="47" t="s">
        <v>33</v>
      </c>
      <c r="L123" s="50">
        <v>3.0092592592592593E-3</v>
      </c>
      <c r="M123" s="49" t="s">
        <v>34</v>
      </c>
      <c r="N123" s="51">
        <f>N122+L123</f>
        <v>0.42974537037037025</v>
      </c>
      <c r="O123" s="47" t="s">
        <v>291</v>
      </c>
      <c r="P123" s="52">
        <v>996</v>
      </c>
      <c r="Q123" s="52">
        <f t="shared" si="18"/>
        <v>996</v>
      </c>
      <c r="R123" s="52">
        <f>ROUND(60+0.8*Q123+0.0012*Q123^2,0)</f>
        <v>2047</v>
      </c>
      <c r="S123" s="52"/>
      <c r="T123" s="52"/>
      <c r="U123" s="52" t="str">
        <f t="shared" si="21"/>
        <v/>
      </c>
      <c r="V123" s="52" t="str">
        <f t="shared" si="19"/>
        <v/>
      </c>
      <c r="W123" s="54"/>
      <c r="X123" s="54"/>
      <c r="Y123" s="54"/>
    </row>
    <row r="124" spans="1:25" ht="81.95" customHeight="1">
      <c r="A124" s="47" t="s">
        <v>258</v>
      </c>
      <c r="B124" s="55">
        <v>123</v>
      </c>
      <c r="C124" s="48">
        <v>2</v>
      </c>
      <c r="D124" s="48">
        <v>9</v>
      </c>
      <c r="E124" s="47" t="s">
        <v>293</v>
      </c>
      <c r="F124" s="47" t="s">
        <v>29</v>
      </c>
      <c r="G124" s="47" t="s">
        <v>30</v>
      </c>
      <c r="H124" s="49" t="s">
        <v>146</v>
      </c>
      <c r="I124" s="48">
        <v>1</v>
      </c>
      <c r="J124" s="47" t="s">
        <v>32</v>
      </c>
      <c r="K124" s="47" t="s">
        <v>33</v>
      </c>
      <c r="L124" s="50">
        <v>3.0092592592592593E-3</v>
      </c>
      <c r="M124" s="49" t="s">
        <v>34</v>
      </c>
      <c r="N124" s="51">
        <f>N123+L124</f>
        <v>0.43275462962962952</v>
      </c>
      <c r="O124" s="47" t="s">
        <v>291</v>
      </c>
      <c r="P124" s="52">
        <v>1000</v>
      </c>
      <c r="Q124" s="52">
        <f t="shared" si="18"/>
        <v>1000</v>
      </c>
      <c r="R124" s="52">
        <f>ROUND(60+0.8*Q124+0.0012*Q124^2,0)</f>
        <v>2060</v>
      </c>
      <c r="S124" s="52"/>
      <c r="T124" s="52"/>
      <c r="U124" s="52" t="str">
        <f t="shared" si="21"/>
        <v/>
      </c>
      <c r="V124" s="52" t="str">
        <f t="shared" si="19"/>
        <v/>
      </c>
      <c r="W124" s="54"/>
      <c r="X124" s="54"/>
      <c r="Y124" s="54"/>
    </row>
    <row r="125" spans="1: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</sheetData>
  <phoneticPr fontId="4" type="noConversion"/>
  <conditionalFormatting sqref="A1:A120">
    <cfRule type="colorScale" priority="15">
      <colorScale>
        <cfvo type="min"/>
        <cfvo type="max"/>
        <color rgb="FF9BCFD9"/>
        <color rgb="FFC6A5CB"/>
      </colorScale>
    </cfRule>
    <cfRule type="colorScale" priority="16">
      <colorScale>
        <cfvo type="min"/>
        <cfvo type="max"/>
        <color rgb="FF63BE7B"/>
        <color rgb="FFFCFCFF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1:B1048572">
    <cfRule type="colorScale" priority="12">
      <colorScale>
        <cfvo type="min"/>
        <cfvo type="max"/>
        <color rgb="FF9BCFD9"/>
        <color rgb="FFC6A5CB"/>
      </colorScale>
    </cfRule>
    <cfRule type="colorScale" priority="13">
      <colorScale>
        <cfvo type="min"/>
        <cfvo type="max"/>
        <color rgb="FF63BE7B"/>
        <color rgb="FFFCFCFF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20">
    <cfRule type="dataBar" priority="10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  <cfRule type="dataBar" priority="1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</conditionalFormatting>
  <conditionalFormatting sqref="C1:C1048572">
    <cfRule type="iconSet" priority="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1:D1048572">
    <cfRule type="iconSet" priority="21">
      <iconSet iconSet="4TrafficLights">
        <cfvo type="percent" val="0"/>
        <cfvo type="percent" val="25"/>
        <cfvo type="percent" val="50"/>
        <cfvo type="percent" val="75"/>
      </iconSet>
    </cfRule>
    <cfRule type="iconSet" priority="2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5A4EDB-5382-442C-9FAF-2D10AB71817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25A4EDB-5382-442C-9FAF-2D10AB7181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I2:I120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/>
  </sheetViews>
  <sheetFormatPr defaultColWidth="9" defaultRowHeight="14.25"/>
  <cols>
    <col min="1" max="52" width="4.25" style="17" customWidth="1"/>
    <col min="53" max="16384" width="9" style="17"/>
  </cols>
  <sheetData>
    <row r="1" spans="1:22" ht="18" customHeight="1">
      <c r="A1" s="18"/>
    </row>
    <row r="2" spans="1:22" ht="18" customHeight="1">
      <c r="A2" s="19"/>
      <c r="B2" s="44" t="s">
        <v>20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ht="18" customHeigh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1:22" ht="18" customHeight="1">
      <c r="B4" s="44" t="s">
        <v>294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pans="1:22" ht="18" customHeight="1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20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44" t="s">
        <v>295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2:26" ht="18" customHeight="1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2:26" ht="18" customHeight="1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ColWidth="8.875" defaultRowHeight="14.25"/>
  <cols>
    <col min="1" max="1" width="20" customWidth="1"/>
    <col min="2" max="2" width="42" customWidth="1"/>
    <col min="3" max="3" width="22" customWidth="1"/>
    <col min="4" max="4" width="50" customWidth="1"/>
  </cols>
  <sheetData>
    <row r="1" spans="1:4">
      <c r="A1" s="45" t="s">
        <v>296</v>
      </c>
      <c r="B1" s="45"/>
      <c r="C1" s="45"/>
      <c r="D1" s="45"/>
    </row>
    <row r="3" spans="1:4">
      <c r="A3" s="1" t="s">
        <v>21</v>
      </c>
      <c r="B3" s="2" t="s">
        <v>22</v>
      </c>
      <c r="C3" s="2" t="s">
        <v>23</v>
      </c>
      <c r="D3" s="3" t="s">
        <v>24</v>
      </c>
    </row>
    <row r="4" spans="1:4" ht="57.95" customHeight="1">
      <c r="A4" s="5" t="s">
        <v>2</v>
      </c>
      <c r="B4" s="6" t="s">
        <v>297</v>
      </c>
      <c r="C4" s="6" t="s">
        <v>298</v>
      </c>
      <c r="D4" s="7" t="s">
        <v>299</v>
      </c>
    </row>
    <row r="5" spans="1:4" ht="57.95" customHeight="1">
      <c r="A5" s="8" t="s">
        <v>3</v>
      </c>
      <c r="B5" s="4" t="s">
        <v>300</v>
      </c>
      <c r="C5" s="4" t="s">
        <v>298</v>
      </c>
      <c r="D5" s="9" t="s">
        <v>301</v>
      </c>
    </row>
    <row r="6" spans="1:4" ht="57.95" customHeight="1">
      <c r="A6" s="8" t="s">
        <v>1</v>
      </c>
      <c r="B6" s="4" t="s">
        <v>302</v>
      </c>
      <c r="C6" s="4" t="s">
        <v>303</v>
      </c>
      <c r="D6" s="9" t="s">
        <v>304</v>
      </c>
    </row>
    <row r="7" spans="1:4" ht="57.95" customHeight="1">
      <c r="A7" s="8" t="s">
        <v>4</v>
      </c>
      <c r="B7" s="4" t="s">
        <v>305</v>
      </c>
      <c r="C7" s="4" t="s">
        <v>306</v>
      </c>
      <c r="D7" s="9" t="s">
        <v>307</v>
      </c>
    </row>
    <row r="8" spans="1:4" ht="57.95" customHeight="1">
      <c r="A8" s="8" t="s">
        <v>5</v>
      </c>
      <c r="B8" s="4" t="s">
        <v>308</v>
      </c>
      <c r="C8" s="4" t="s">
        <v>309</v>
      </c>
      <c r="D8" s="9" t="s">
        <v>310</v>
      </c>
    </row>
    <row r="9" spans="1:4" ht="57.95" customHeight="1">
      <c r="A9" s="8" t="s">
        <v>6</v>
      </c>
      <c r="B9" s="4" t="s">
        <v>311</v>
      </c>
      <c r="C9" s="4" t="s">
        <v>312</v>
      </c>
      <c r="D9" s="9" t="s">
        <v>313</v>
      </c>
    </row>
    <row r="10" spans="1:4" ht="57.95" customHeight="1">
      <c r="A10" s="8" t="s">
        <v>7</v>
      </c>
      <c r="B10" s="4" t="s">
        <v>314</v>
      </c>
      <c r="C10" s="4" t="s">
        <v>315</v>
      </c>
      <c r="D10" s="9" t="s">
        <v>316</v>
      </c>
    </row>
    <row r="11" spans="1:4" ht="57.95" customHeight="1">
      <c r="A11" s="8" t="s">
        <v>8</v>
      </c>
      <c r="B11" s="4" t="s">
        <v>317</v>
      </c>
      <c r="C11" s="4" t="s">
        <v>318</v>
      </c>
      <c r="D11" s="9" t="s">
        <v>319</v>
      </c>
    </row>
    <row r="12" spans="1:4" ht="57.95" customHeight="1">
      <c r="A12" s="8" t="s">
        <v>9</v>
      </c>
      <c r="B12" s="4" t="s">
        <v>320</v>
      </c>
      <c r="C12" s="4" t="s">
        <v>321</v>
      </c>
      <c r="D12" s="9" t="s">
        <v>322</v>
      </c>
    </row>
    <row r="13" spans="1:4" ht="57.95" customHeight="1">
      <c r="A13" s="8" t="s">
        <v>10</v>
      </c>
      <c r="B13" s="4" t="s">
        <v>323</v>
      </c>
      <c r="C13" s="4" t="s">
        <v>324</v>
      </c>
      <c r="D13" s="9" t="s">
        <v>325</v>
      </c>
    </row>
    <row r="14" spans="1:4" ht="57.95" customHeight="1">
      <c r="A14" s="8" t="s">
        <v>11</v>
      </c>
      <c r="B14" s="4" t="s">
        <v>326</v>
      </c>
      <c r="C14" s="4" t="s">
        <v>327</v>
      </c>
      <c r="D14" s="9" t="s">
        <v>328</v>
      </c>
    </row>
    <row r="15" spans="1:4" ht="57.95" customHeight="1">
      <c r="A15" s="8" t="s">
        <v>12</v>
      </c>
      <c r="B15" s="4" t="s">
        <v>329</v>
      </c>
      <c r="C15" s="4" t="s">
        <v>330</v>
      </c>
      <c r="D15" s="9" t="s">
        <v>331</v>
      </c>
    </row>
    <row r="16" spans="1:4" ht="57.95" customHeight="1">
      <c r="A16" s="8" t="s">
        <v>18</v>
      </c>
      <c r="B16" s="4" t="s">
        <v>332</v>
      </c>
      <c r="C16" s="4" t="s">
        <v>318</v>
      </c>
      <c r="D16" s="9" t="s">
        <v>333</v>
      </c>
    </row>
    <row r="17" spans="1:4" ht="57.95" customHeight="1">
      <c r="A17" s="8" t="s">
        <v>334</v>
      </c>
      <c r="B17" s="4" t="s">
        <v>335</v>
      </c>
      <c r="C17" s="4" t="s">
        <v>336</v>
      </c>
      <c r="D17" s="9" t="s">
        <v>337</v>
      </c>
    </row>
    <row r="18" spans="1:4" ht="57.95" customHeight="1">
      <c r="A18" s="10" t="s">
        <v>338</v>
      </c>
      <c r="B18" s="11" t="s">
        <v>339</v>
      </c>
      <c r="C18" s="11" t="s">
        <v>340</v>
      </c>
      <c r="D18" s="12" t="s">
        <v>341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7"/>
  <sheetViews>
    <sheetView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18" customWidth="1"/>
    <col min="6" max="6" width="24" customWidth="1"/>
    <col min="7" max="10" width="12" customWidth="1"/>
  </cols>
  <sheetData>
    <row r="1" spans="1:10">
      <c r="A1" s="45" t="s">
        <v>342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ht="32.1" customHeight="1">
      <c r="A3" s="13" t="s">
        <v>343</v>
      </c>
      <c r="B3" s="23">
        <f>COUNTA('밸런스 문서'!B2:B124)</f>
        <v>123</v>
      </c>
      <c r="C3" s="24" t="s">
        <v>344</v>
      </c>
      <c r="D3" s="33">
        <f>AVERAGE('밸런스 문서'!C2:C124)</f>
        <v>4.8699186991869921</v>
      </c>
      <c r="E3" s="33" t="s">
        <v>345</v>
      </c>
      <c r="F3" s="33">
        <f>AVERAGE('밸런스 문서'!D2:D124)</f>
        <v>8.6747967479674788</v>
      </c>
      <c r="G3" s="24" t="s">
        <v>346</v>
      </c>
      <c r="H3" s="23">
        <f>MAX('밸런스 문서'!C2:C124)</f>
        <v>10</v>
      </c>
      <c r="I3" s="24" t="s">
        <v>347</v>
      </c>
      <c r="J3" s="43">
        <f>MAX('밸런스 문서'!D2:D124)</f>
        <v>10</v>
      </c>
    </row>
    <row r="4" spans="1:10">
      <c r="B4" s="24"/>
      <c r="C4" s="24"/>
      <c r="D4" s="24"/>
      <c r="E4" s="24"/>
      <c r="F4" s="24"/>
      <c r="G4" s="24"/>
      <c r="H4" s="24"/>
    </row>
    <row r="5" spans="1:10" ht="28.5">
      <c r="A5" s="1" t="s">
        <v>348</v>
      </c>
      <c r="B5" s="34" t="s">
        <v>349</v>
      </c>
      <c r="C5" s="34" t="s">
        <v>344</v>
      </c>
      <c r="D5" s="34" t="s">
        <v>345</v>
      </c>
      <c r="E5" s="35" t="s">
        <v>346</v>
      </c>
      <c r="F5" s="24"/>
      <c r="G5" s="24"/>
      <c r="H5" s="24"/>
    </row>
    <row r="6" spans="1:10" ht="24.95" customHeight="1">
      <c r="A6" s="14" t="s">
        <v>350</v>
      </c>
      <c r="B6" s="39">
        <v>22</v>
      </c>
      <c r="C6" s="36">
        <f>AVERAGE('밸런스 문서'!C2:C23)</f>
        <v>2.7727272727272729</v>
      </c>
      <c r="D6" s="36">
        <f>AVERAGE('밸런스 문서'!D2:D23)</f>
        <v>7.1363636363636367</v>
      </c>
      <c r="E6" s="41">
        <f>MAX('밸런스 문서'!C2:C23)</f>
        <v>8</v>
      </c>
      <c r="F6" s="24"/>
      <c r="G6" s="24"/>
      <c r="H6" s="24"/>
    </row>
    <row r="7" spans="1:10" ht="24.95" customHeight="1">
      <c r="A7" s="15" t="s">
        <v>351</v>
      </c>
      <c r="B7" s="40">
        <v>24</v>
      </c>
      <c r="C7" s="37">
        <f>AVERAGE('밸런스 문서'!C24:C47)</f>
        <v>4.875</v>
      </c>
      <c r="D7" s="37">
        <f>AVERAGE('밸런스 문서'!D24:D47)</f>
        <v>8.5833333333333339</v>
      </c>
      <c r="E7" s="42">
        <f>MAX('밸런스 문서'!C24:C47)</f>
        <v>9</v>
      </c>
      <c r="F7" s="24"/>
      <c r="G7" s="24"/>
      <c r="H7" s="24"/>
    </row>
    <row r="8" spans="1:10" ht="24.95" customHeight="1">
      <c r="A8" s="15" t="s">
        <v>352</v>
      </c>
      <c r="B8" s="40">
        <v>26</v>
      </c>
      <c r="C8" s="37">
        <f>AVERAGE('밸런스 문서'!C48:C73)</f>
        <v>4.8461538461538458</v>
      </c>
      <c r="D8" s="37">
        <f>AVERAGE('밸런스 문서'!D48:D73)</f>
        <v>8.5</v>
      </c>
      <c r="E8" s="42">
        <f>MAX('밸런스 문서'!C48:C73)</f>
        <v>10</v>
      </c>
      <c r="F8" s="24"/>
      <c r="G8" s="24"/>
      <c r="H8" s="24"/>
    </row>
    <row r="9" spans="1:10" ht="24.95" customHeight="1">
      <c r="A9" s="15" t="s">
        <v>353</v>
      </c>
      <c r="B9" s="40">
        <v>28</v>
      </c>
      <c r="C9" s="37">
        <f>AVERAGE('밸런스 문서'!C74:C101)</f>
        <v>5.7857142857142856</v>
      </c>
      <c r="D9" s="37">
        <f>AVERAGE('밸런스 문서'!D74:D101)</f>
        <v>9.3571428571428577</v>
      </c>
      <c r="E9" s="42">
        <f>MAX('밸런스 문서'!C74:C101)</f>
        <v>10</v>
      </c>
      <c r="F9" s="24"/>
      <c r="G9" s="24"/>
      <c r="H9" s="24"/>
    </row>
    <row r="10" spans="1:10" ht="24.95" customHeight="1">
      <c r="A10" s="16" t="s">
        <v>354</v>
      </c>
      <c r="B10" s="29">
        <v>23</v>
      </c>
      <c r="C10" s="38">
        <f>AVERAGE('밸런스 문서'!C102:C124)</f>
        <v>5.7826086956521738</v>
      </c>
      <c r="D10" s="38">
        <f>AVERAGE('밸런스 문서'!D102:D124)</f>
        <v>9.6086956521739122</v>
      </c>
      <c r="E10" s="23">
        <f>MAX('밸런스 문서'!C102:C124)</f>
        <v>10</v>
      </c>
      <c r="F10" s="24"/>
      <c r="G10" s="24"/>
      <c r="H10" s="24"/>
    </row>
    <row r="14" spans="1:10" ht="28.5">
      <c r="A14" s="26" t="s">
        <v>1</v>
      </c>
      <c r="B14" s="27" t="s">
        <v>2</v>
      </c>
      <c r="C14" s="28" t="s">
        <v>3</v>
      </c>
      <c r="D14" s="25"/>
      <c r="E14" s="30" t="s">
        <v>355</v>
      </c>
      <c r="F14" s="30" t="s">
        <v>356</v>
      </c>
    </row>
    <row r="15" spans="1:10">
      <c r="A15" s="31">
        <v>1</v>
      </c>
      <c r="B15" s="31">
        <f>'밸런스 문서'!C2</f>
        <v>1</v>
      </c>
      <c r="C15" s="31">
        <f>'밸런스 문서'!D2</f>
        <v>5</v>
      </c>
      <c r="D15" s="25"/>
      <c r="E15" s="31">
        <f>'밸런스 문서'!Q2</f>
        <v>2</v>
      </c>
      <c r="F15" s="32">
        <f>'밸런스 문서'!R2</f>
        <v>62</v>
      </c>
    </row>
    <row r="16" spans="1:10">
      <c r="A16" s="31">
        <v>2</v>
      </c>
      <c r="B16" s="31">
        <f>'밸런스 문서'!C3</f>
        <v>2</v>
      </c>
      <c r="C16" s="31">
        <f>'밸런스 문서'!D3</f>
        <v>7</v>
      </c>
      <c r="D16" s="25"/>
      <c r="E16" s="31">
        <f>'밸런스 문서'!Q3</f>
        <v>6</v>
      </c>
      <c r="F16" s="32">
        <f>'밸런스 문서'!R3</f>
        <v>65</v>
      </c>
    </row>
    <row r="17" spans="1:6">
      <c r="A17" s="31">
        <v>3</v>
      </c>
      <c r="B17" s="31">
        <f>'밸런스 문서'!C4</f>
        <v>1</v>
      </c>
      <c r="C17" s="31">
        <f>'밸런스 문서'!D4</f>
        <v>5</v>
      </c>
      <c r="D17" s="25"/>
      <c r="E17" s="31">
        <f>'밸런스 문서'!Q4</f>
        <v>8</v>
      </c>
      <c r="F17" s="32">
        <f>'밸런스 문서'!R4</f>
        <v>66</v>
      </c>
    </row>
    <row r="18" spans="1:6">
      <c r="A18" s="31">
        <v>4</v>
      </c>
      <c r="B18" s="31">
        <f>'밸런스 문서'!C5</f>
        <v>2</v>
      </c>
      <c r="C18" s="31">
        <f>'밸런스 문서'!D5</f>
        <v>7</v>
      </c>
      <c r="D18" s="25"/>
      <c r="E18" s="31">
        <f>'밸런스 문서'!Q5</f>
        <v>12</v>
      </c>
      <c r="F18" s="32">
        <f>'밸런스 문서'!R5</f>
        <v>70</v>
      </c>
    </row>
    <row r="19" spans="1:6">
      <c r="A19" s="31">
        <v>5</v>
      </c>
      <c r="B19" s="31">
        <f>'밸런스 문서'!C6</f>
        <v>4</v>
      </c>
      <c r="C19" s="31">
        <f>'밸런스 문서'!D6</f>
        <v>7</v>
      </c>
      <c r="D19" s="25"/>
      <c r="E19" s="31">
        <f>'밸런스 문서'!Q6</f>
        <v>17</v>
      </c>
      <c r="F19" s="32">
        <f>'밸런스 문서'!R6</f>
        <v>74</v>
      </c>
    </row>
    <row r="20" spans="1:6">
      <c r="A20" s="31">
        <v>6</v>
      </c>
      <c r="B20" s="31">
        <f>'밸런스 문서'!C7</f>
        <v>2</v>
      </c>
      <c r="C20" s="31">
        <f>'밸런스 문서'!D7</f>
        <v>6</v>
      </c>
      <c r="D20" s="25"/>
      <c r="E20" s="31">
        <f>'밸런스 문서'!Q7</f>
        <v>20</v>
      </c>
      <c r="F20" s="32">
        <f>'밸런스 문서'!R7</f>
        <v>76</v>
      </c>
    </row>
    <row r="21" spans="1:6">
      <c r="A21" s="31">
        <v>7</v>
      </c>
      <c r="B21" s="31">
        <f>'밸런스 문서'!C8</f>
        <v>4</v>
      </c>
      <c r="C21" s="31">
        <f>'밸런스 문서'!D8</f>
        <v>8</v>
      </c>
      <c r="D21" s="25"/>
      <c r="E21" s="31">
        <f>'밸런스 문서'!Q8</f>
        <v>26</v>
      </c>
      <c r="F21" s="32">
        <f>'밸런스 문서'!R8</f>
        <v>82</v>
      </c>
    </row>
    <row r="22" spans="1:6">
      <c r="A22" s="31">
        <v>8</v>
      </c>
      <c r="B22" s="31">
        <f>'밸런스 문서'!C9</f>
        <v>1</v>
      </c>
      <c r="C22" s="31">
        <f>'밸런스 문서'!D9</f>
        <v>9</v>
      </c>
      <c r="D22" s="25"/>
      <c r="E22" s="31">
        <f>'밸런스 문서'!Q9</f>
        <v>29</v>
      </c>
      <c r="F22" s="32">
        <f>'밸런스 문서'!R9</f>
        <v>84</v>
      </c>
    </row>
    <row r="23" spans="1:6">
      <c r="A23" s="31">
        <v>9</v>
      </c>
      <c r="B23" s="31">
        <f>'밸런스 문서'!C10</f>
        <v>2</v>
      </c>
      <c r="C23" s="31">
        <f>'밸런스 문서'!D10</f>
        <v>6</v>
      </c>
      <c r="D23" s="25"/>
      <c r="E23" s="31">
        <f>'밸런스 문서'!Q10</f>
        <v>32</v>
      </c>
      <c r="F23" s="32">
        <f>'밸런스 문서'!R10</f>
        <v>87</v>
      </c>
    </row>
    <row r="24" spans="1:6">
      <c r="A24" s="31">
        <v>10</v>
      </c>
      <c r="B24" s="31">
        <f>'밸런스 문서'!C11</f>
        <v>1</v>
      </c>
      <c r="C24" s="31">
        <f>'밸런스 문서'!D11</f>
        <v>6</v>
      </c>
      <c r="D24" s="25"/>
      <c r="E24" s="31">
        <f>'밸런스 문서'!Q11</f>
        <v>34</v>
      </c>
      <c r="F24" s="32">
        <f>'밸런스 문서'!R11</f>
        <v>89</v>
      </c>
    </row>
    <row r="25" spans="1:6">
      <c r="A25" s="31">
        <v>11</v>
      </c>
      <c r="B25" s="31">
        <f>'밸런스 문서'!C12</f>
        <v>2</v>
      </c>
      <c r="C25" s="31">
        <f>'밸런스 문서'!D12</f>
        <v>7</v>
      </c>
      <c r="D25" s="25"/>
      <c r="E25" s="31">
        <f>'밸런스 문서'!Q12</f>
        <v>38</v>
      </c>
      <c r="F25" s="32">
        <f>'밸런스 문서'!R12</f>
        <v>92</v>
      </c>
    </row>
    <row r="26" spans="1:6">
      <c r="A26" s="31">
        <v>12</v>
      </c>
      <c r="B26" s="31">
        <f>'밸런스 문서'!C13</f>
        <v>2</v>
      </c>
      <c r="C26" s="31">
        <f>'밸런스 문서'!D13</f>
        <v>7</v>
      </c>
      <c r="D26" s="25"/>
      <c r="E26" s="31">
        <f>'밸런스 문서'!Q13</f>
        <v>42</v>
      </c>
      <c r="F26" s="32">
        <f>'밸런스 문서'!R13</f>
        <v>96</v>
      </c>
    </row>
    <row r="27" spans="1:6">
      <c r="A27" s="31">
        <v>13</v>
      </c>
      <c r="B27" s="31">
        <f>'밸런스 문서'!C14</f>
        <v>2</v>
      </c>
      <c r="C27" s="31">
        <f>'밸런스 문서'!D14</f>
        <v>7</v>
      </c>
      <c r="D27" s="25"/>
      <c r="E27" s="31">
        <f>'밸런스 문서'!Q14</f>
        <v>46</v>
      </c>
      <c r="F27" s="32">
        <f>'밸런스 문서'!R14</f>
        <v>99</v>
      </c>
    </row>
    <row r="28" spans="1:6">
      <c r="A28" s="31">
        <v>14</v>
      </c>
      <c r="B28" s="31">
        <f>'밸런스 문서'!C15</f>
        <v>4</v>
      </c>
      <c r="C28" s="31">
        <f>'밸런스 문서'!D15</f>
        <v>8</v>
      </c>
      <c r="D28" s="25"/>
      <c r="E28" s="31">
        <f>'밸런스 문서'!Q15</f>
        <v>53</v>
      </c>
      <c r="F28" s="32">
        <f>'밸런스 문서'!R15</f>
        <v>106</v>
      </c>
    </row>
    <row r="29" spans="1:6">
      <c r="A29" s="31">
        <v>15</v>
      </c>
      <c r="B29" s="31">
        <f>'밸런스 문서'!C16</f>
        <v>2</v>
      </c>
      <c r="C29" s="31">
        <f>'밸런스 문서'!D16</f>
        <v>7</v>
      </c>
      <c r="D29" s="25"/>
      <c r="E29" s="31">
        <f>'밸런스 문서'!Q16</f>
        <v>57</v>
      </c>
      <c r="F29" s="32">
        <f>'밸런스 문서'!R16</f>
        <v>109</v>
      </c>
    </row>
    <row r="30" spans="1:6">
      <c r="A30" s="31">
        <v>16</v>
      </c>
      <c r="B30" s="31">
        <f>'밸런스 문서'!C17</f>
        <v>1</v>
      </c>
      <c r="C30" s="31">
        <f>'밸런스 문서'!D17</f>
        <v>6</v>
      </c>
      <c r="D30" s="25"/>
      <c r="E30" s="31">
        <f>'밸런스 문서'!Q17</f>
        <v>60</v>
      </c>
      <c r="F30" s="32">
        <f>'밸런스 문서'!R17</f>
        <v>112</v>
      </c>
    </row>
    <row r="31" spans="1:6">
      <c r="A31" s="31">
        <v>17</v>
      </c>
      <c r="B31" s="31">
        <f>'밸런스 문서'!C18</f>
        <v>1</v>
      </c>
      <c r="C31" s="31">
        <f>'밸런스 문서'!D18</f>
        <v>6</v>
      </c>
      <c r="D31" s="25"/>
      <c r="E31" s="31">
        <f>'밸런스 문서'!Q18</f>
        <v>62</v>
      </c>
      <c r="F31" s="32">
        <f>'밸런스 문서'!R18</f>
        <v>114</v>
      </c>
    </row>
    <row r="32" spans="1:6">
      <c r="A32" s="31">
        <v>18</v>
      </c>
      <c r="B32" s="31">
        <f>'밸런스 문서'!C19</f>
        <v>4</v>
      </c>
      <c r="C32" s="31">
        <f>'밸런스 문서'!D19</f>
        <v>8</v>
      </c>
      <c r="D32" s="25"/>
      <c r="E32" s="31">
        <f>'밸런스 문서'!Q19</f>
        <v>69</v>
      </c>
      <c r="F32" s="32">
        <f>'밸런스 문서'!R19</f>
        <v>121</v>
      </c>
    </row>
    <row r="33" spans="1:6">
      <c r="A33" s="31">
        <v>19</v>
      </c>
      <c r="B33" s="31">
        <f>'밸런스 문서'!C20</f>
        <v>5</v>
      </c>
      <c r="C33" s="31">
        <f>'밸런스 문서'!D20</f>
        <v>8</v>
      </c>
      <c r="D33" s="25"/>
      <c r="E33" s="31">
        <f>'밸런스 문서'!Q20</f>
        <v>77</v>
      </c>
      <c r="F33" s="32">
        <f>'밸런스 문서'!R20</f>
        <v>129</v>
      </c>
    </row>
    <row r="34" spans="1:6">
      <c r="A34" s="31">
        <v>20</v>
      </c>
      <c r="B34" s="31">
        <f>'밸런스 문서'!C21</f>
        <v>6</v>
      </c>
      <c r="C34" s="31">
        <f>'밸런스 문서'!D21</f>
        <v>9</v>
      </c>
      <c r="D34" s="25"/>
      <c r="E34" s="31">
        <f>'밸런스 문서'!Q21</f>
        <v>87</v>
      </c>
      <c r="F34" s="32">
        <f>'밸런스 문서'!R21</f>
        <v>139</v>
      </c>
    </row>
    <row r="35" spans="1:6">
      <c r="A35" s="31">
        <v>21</v>
      </c>
      <c r="B35" s="31">
        <f>'밸런스 문서'!C22</f>
        <v>4</v>
      </c>
      <c r="C35" s="31">
        <f>'밸런스 문서'!D22</f>
        <v>8</v>
      </c>
      <c r="D35" s="25"/>
      <c r="E35" s="25">
        <f>'밸런스 문서'!Q22</f>
        <v>94</v>
      </c>
      <c r="F35" s="25">
        <f>'밸런스 문서'!R22</f>
        <v>146</v>
      </c>
    </row>
    <row r="36" spans="1:6">
      <c r="A36" s="31">
        <v>22</v>
      </c>
      <c r="B36" s="31">
        <f>'밸런스 문서'!C23</f>
        <v>8</v>
      </c>
      <c r="C36" s="31">
        <f>'밸런스 문서'!D23</f>
        <v>10</v>
      </c>
      <c r="D36" s="25"/>
      <c r="E36" s="25">
        <f>'밸런스 문서'!Q23</f>
        <v>111</v>
      </c>
      <c r="F36" s="25">
        <f>'밸런스 문서'!R23</f>
        <v>164</v>
      </c>
    </row>
    <row r="37" spans="1:6">
      <c r="A37" s="31">
        <v>23</v>
      </c>
      <c r="B37" s="31">
        <f>'밸런스 문서'!C24</f>
        <v>2</v>
      </c>
      <c r="C37" s="31">
        <f>'밸런스 문서'!D24</f>
        <v>7</v>
      </c>
      <c r="D37" s="25"/>
      <c r="E37" s="25">
        <f>'밸런스 문서'!Q24</f>
        <v>115</v>
      </c>
      <c r="F37" s="25">
        <f>'밸런스 문서'!R24</f>
        <v>168</v>
      </c>
    </row>
    <row r="38" spans="1:6">
      <c r="A38" s="31">
        <v>24</v>
      </c>
      <c r="B38" s="31">
        <f>'밸런스 문서'!C25</f>
        <v>2</v>
      </c>
      <c r="C38" s="31">
        <f>'밸런스 문서'!D25</f>
        <v>7</v>
      </c>
      <c r="D38" s="25"/>
      <c r="E38" s="25">
        <f>'밸런스 문서'!Q25</f>
        <v>119</v>
      </c>
      <c r="F38" s="25">
        <f>'밸런스 문서'!R25</f>
        <v>172</v>
      </c>
    </row>
    <row r="39" spans="1:6">
      <c r="A39" s="31">
        <v>25</v>
      </c>
      <c r="B39" s="31">
        <f>'밸런스 문서'!C26</f>
        <v>3</v>
      </c>
      <c r="C39" s="31">
        <f>'밸런스 문서'!D26</f>
        <v>7</v>
      </c>
      <c r="D39" s="25"/>
      <c r="E39" s="25">
        <f>'밸런스 문서'!Q26</f>
        <v>123</v>
      </c>
      <c r="F39" s="25">
        <f>'밸런스 문서'!R26</f>
        <v>177</v>
      </c>
    </row>
    <row r="40" spans="1:6">
      <c r="A40" s="31">
        <v>26</v>
      </c>
      <c r="B40" s="31">
        <f>'밸런스 문서'!C27</f>
        <v>5</v>
      </c>
      <c r="C40" s="31">
        <f>'밸런스 문서'!D27</f>
        <v>9</v>
      </c>
      <c r="D40" s="25"/>
      <c r="E40" s="25">
        <f>'밸런스 문서'!Q27</f>
        <v>130</v>
      </c>
      <c r="F40" s="25">
        <f>'밸런스 문서'!R27</f>
        <v>184</v>
      </c>
    </row>
    <row r="41" spans="1:6">
      <c r="A41" s="31">
        <v>27</v>
      </c>
      <c r="B41" s="31">
        <f>'밸런스 문서'!C28</f>
        <v>5</v>
      </c>
      <c r="C41" s="31">
        <f>'밸런스 문서'!D28</f>
        <v>9</v>
      </c>
      <c r="D41" s="25"/>
      <c r="E41" s="25">
        <f>'밸런스 문서'!Q28</f>
        <v>137</v>
      </c>
      <c r="F41" s="25">
        <f>'밸런스 문서'!R28</f>
        <v>192</v>
      </c>
    </row>
    <row r="42" spans="1:6">
      <c r="A42" s="31">
        <v>28</v>
      </c>
      <c r="B42" s="31">
        <f>'밸런스 문서'!C29</f>
        <v>6</v>
      </c>
      <c r="C42" s="31">
        <f>'밸런스 문서'!D29</f>
        <v>9</v>
      </c>
      <c r="D42" s="25"/>
      <c r="E42" s="25">
        <f>'밸런스 문서'!Q29</f>
        <v>146</v>
      </c>
      <c r="F42" s="25">
        <f>'밸런스 문서'!R29</f>
        <v>202</v>
      </c>
    </row>
    <row r="43" spans="1:6">
      <c r="A43" s="31">
        <v>29</v>
      </c>
      <c r="B43" s="31">
        <f>'밸런스 문서'!C30</f>
        <v>5</v>
      </c>
      <c r="C43" s="31">
        <f>'밸런스 문서'!D30</f>
        <v>9</v>
      </c>
      <c r="D43" s="25"/>
      <c r="E43" s="25">
        <f>'밸런스 문서'!Q30</f>
        <v>153</v>
      </c>
      <c r="F43" s="25">
        <f>'밸런스 문서'!R30</f>
        <v>210</v>
      </c>
    </row>
    <row r="44" spans="1:6">
      <c r="A44" s="31">
        <v>30</v>
      </c>
      <c r="B44" s="31">
        <f>'밸런스 문서'!C31</f>
        <v>7</v>
      </c>
      <c r="C44" s="31">
        <f>'밸런스 문서'!D31</f>
        <v>10</v>
      </c>
      <c r="D44" s="25"/>
      <c r="E44" s="25">
        <f>'밸런스 문서'!Q31</f>
        <v>164</v>
      </c>
      <c r="F44" s="25">
        <f>'밸런스 문서'!R31</f>
        <v>223</v>
      </c>
    </row>
    <row r="45" spans="1:6">
      <c r="A45" s="31">
        <v>31</v>
      </c>
      <c r="B45" s="31">
        <f>'밸런스 문서'!C32</f>
        <v>2</v>
      </c>
      <c r="C45" s="31">
        <f>'밸런스 문서'!D32</f>
        <v>7</v>
      </c>
      <c r="D45" s="25"/>
      <c r="E45" s="25">
        <f>'밸런스 문서'!Q32</f>
        <v>167</v>
      </c>
      <c r="F45" s="25">
        <f>'밸런스 문서'!R32</f>
        <v>227</v>
      </c>
    </row>
    <row r="46" spans="1:6">
      <c r="A46" s="31">
        <v>32</v>
      </c>
      <c r="B46" s="31">
        <f>'밸런스 문서'!C33</f>
        <v>2</v>
      </c>
      <c r="C46" s="31">
        <f>'밸런스 문서'!D33</f>
        <v>7</v>
      </c>
      <c r="D46" s="25"/>
      <c r="E46" s="25">
        <f>'밸런스 문서'!Q33</f>
        <v>171</v>
      </c>
      <c r="F46" s="25">
        <f>'밸런스 문서'!R33</f>
        <v>232</v>
      </c>
    </row>
    <row r="47" spans="1:6">
      <c r="A47" s="31">
        <v>33</v>
      </c>
      <c r="B47" s="31">
        <f>'밸런스 문서'!C34</f>
        <v>6</v>
      </c>
      <c r="C47" s="31">
        <f>'밸런스 문서'!D34</f>
        <v>9</v>
      </c>
      <c r="D47" s="25"/>
      <c r="E47" s="25">
        <f>'밸런스 문서'!Q34</f>
        <v>180</v>
      </c>
      <c r="F47" s="25">
        <f>'밸런스 문서'!R34</f>
        <v>243</v>
      </c>
    </row>
    <row r="48" spans="1:6">
      <c r="A48" s="31">
        <v>34</v>
      </c>
      <c r="B48" s="31">
        <f>'밸런스 문서'!C35</f>
        <v>5</v>
      </c>
      <c r="C48" s="31">
        <f>'밸런스 문서'!D35</f>
        <v>9</v>
      </c>
      <c r="D48" s="25"/>
      <c r="E48" s="25">
        <f>'밸런스 문서'!Q35</f>
        <v>187</v>
      </c>
      <c r="F48" s="25">
        <f>'밸런스 문서'!R35</f>
        <v>252</v>
      </c>
    </row>
    <row r="49" spans="1:6">
      <c r="A49" s="31">
        <v>35</v>
      </c>
      <c r="B49" s="31">
        <f>'밸런스 문서'!C36</f>
        <v>5</v>
      </c>
      <c r="C49" s="31">
        <f>'밸런스 문서'!D36</f>
        <v>9</v>
      </c>
      <c r="D49" s="25"/>
      <c r="E49" s="25">
        <f>'밸런스 문서'!Q36</f>
        <v>194</v>
      </c>
      <c r="F49" s="25">
        <f>'밸런스 문서'!R36</f>
        <v>260</v>
      </c>
    </row>
    <row r="50" spans="1:6">
      <c r="A50" s="31">
        <v>36</v>
      </c>
      <c r="B50" s="31">
        <f>'밸런스 문서'!C37</f>
        <v>6</v>
      </c>
      <c r="C50" s="31">
        <f>'밸런스 문서'!D37</f>
        <v>9</v>
      </c>
      <c r="D50" s="25"/>
      <c r="E50" s="25">
        <f>'밸런스 문서'!Q37</f>
        <v>203</v>
      </c>
      <c r="F50" s="25">
        <f>'밸런스 문서'!R37</f>
        <v>272</v>
      </c>
    </row>
    <row r="51" spans="1:6">
      <c r="A51" s="31">
        <v>37</v>
      </c>
      <c r="B51" s="31">
        <f>'밸런스 문서'!C38</f>
        <v>6</v>
      </c>
      <c r="C51" s="31">
        <f>'밸런스 문서'!D38</f>
        <v>9</v>
      </c>
      <c r="D51" s="25"/>
      <c r="E51" s="25">
        <f>'밸런스 문서'!Q38</f>
        <v>212</v>
      </c>
      <c r="F51" s="25">
        <f>'밸런스 문서'!R38</f>
        <v>284</v>
      </c>
    </row>
    <row r="52" spans="1:6">
      <c r="A52" s="31">
        <v>38</v>
      </c>
      <c r="B52" s="31">
        <f>'밸런스 문서'!C39</f>
        <v>5</v>
      </c>
      <c r="C52" s="31">
        <f>'밸런스 문서'!D39</f>
        <v>9</v>
      </c>
      <c r="D52" s="25"/>
      <c r="E52" s="25">
        <f>'밸런스 문서'!Q39</f>
        <v>219</v>
      </c>
      <c r="F52" s="25">
        <f>'밸런스 문서'!R39</f>
        <v>293</v>
      </c>
    </row>
    <row r="53" spans="1:6">
      <c r="A53" s="31">
        <v>39</v>
      </c>
      <c r="B53" s="31">
        <f>'밸런스 문서'!C40</f>
        <v>9</v>
      </c>
      <c r="C53" s="31">
        <f>'밸런스 문서'!D40</f>
        <v>10</v>
      </c>
      <c r="D53" s="25"/>
      <c r="E53" s="25">
        <f>'밸런스 문서'!Q40</f>
        <v>235</v>
      </c>
      <c r="F53" s="25">
        <f>'밸런스 문서'!R40</f>
        <v>314</v>
      </c>
    </row>
    <row r="54" spans="1:6">
      <c r="A54" s="31">
        <v>40</v>
      </c>
      <c r="B54" s="31">
        <f>'밸런스 문서'!C41</f>
        <v>2</v>
      </c>
      <c r="C54" s="31">
        <f>'밸런스 문서'!D41</f>
        <v>7</v>
      </c>
      <c r="D54" s="25"/>
      <c r="E54" s="25">
        <f>'밸런스 문서'!Q41</f>
        <v>239</v>
      </c>
      <c r="F54" s="25">
        <f>'밸런스 문서'!R41</f>
        <v>320</v>
      </c>
    </row>
    <row r="55" spans="1:6">
      <c r="A55" s="31">
        <v>41</v>
      </c>
      <c r="B55" s="31">
        <f>'밸런스 문서'!C42</f>
        <v>2</v>
      </c>
      <c r="C55" s="31">
        <f>'밸런스 문서'!D42</f>
        <v>7</v>
      </c>
      <c r="D55" s="25"/>
      <c r="E55" s="25">
        <f>'밸런스 문서'!Q42</f>
        <v>243</v>
      </c>
      <c r="F55" s="25">
        <f>'밸런스 문서'!R42</f>
        <v>325</v>
      </c>
    </row>
    <row r="56" spans="1:6">
      <c r="A56" s="31">
        <v>42</v>
      </c>
      <c r="B56" s="31">
        <f>'밸런스 문서'!C43</f>
        <v>5</v>
      </c>
      <c r="C56" s="31">
        <f>'밸런스 문서'!D43</f>
        <v>9</v>
      </c>
      <c r="D56" s="25"/>
      <c r="E56" s="25">
        <f>'밸런스 문서'!Q43</f>
        <v>250</v>
      </c>
      <c r="F56" s="25">
        <f>'밸런스 문서'!R43</f>
        <v>335</v>
      </c>
    </row>
    <row r="57" spans="1:6">
      <c r="A57" s="31">
        <v>43</v>
      </c>
      <c r="B57" s="31">
        <f>'밸런스 문서'!C44</f>
        <v>5</v>
      </c>
      <c r="C57" s="31">
        <f>'밸런스 문서'!D44</f>
        <v>9</v>
      </c>
      <c r="D57" s="25"/>
      <c r="E57" s="25">
        <f>'밸런스 문서'!Q44</f>
        <v>257</v>
      </c>
      <c r="F57" s="25">
        <f>'밸런스 문서'!R44</f>
        <v>345</v>
      </c>
    </row>
    <row r="58" spans="1:6">
      <c r="A58" s="31">
        <v>44</v>
      </c>
      <c r="B58" s="31">
        <f>'밸런스 문서'!C45</f>
        <v>7</v>
      </c>
      <c r="C58" s="31">
        <f>'밸런스 문서'!D45</f>
        <v>10</v>
      </c>
      <c r="D58" s="25"/>
      <c r="E58" s="25">
        <f>'밸런스 문서'!Q45</f>
        <v>268</v>
      </c>
      <c r="F58" s="25">
        <f>'밸런스 문서'!R45</f>
        <v>361</v>
      </c>
    </row>
    <row r="59" spans="1:6">
      <c r="A59" s="31">
        <v>45</v>
      </c>
      <c r="B59" s="31">
        <f>'밸런스 문서'!C46</f>
        <v>6</v>
      </c>
      <c r="C59" s="31">
        <f>'밸런스 문서'!D46</f>
        <v>9</v>
      </c>
      <c r="D59" s="25"/>
      <c r="E59" s="25">
        <f>'밸런스 문서'!Q46</f>
        <v>277</v>
      </c>
      <c r="F59" s="25">
        <f>'밸런스 문서'!R46</f>
        <v>374</v>
      </c>
    </row>
    <row r="60" spans="1:6">
      <c r="A60" s="31">
        <v>46</v>
      </c>
      <c r="B60" s="31">
        <f>'밸런스 문서'!C47</f>
        <v>9</v>
      </c>
      <c r="C60" s="31">
        <f>'밸런스 문서'!D47</f>
        <v>10</v>
      </c>
      <c r="D60" s="25"/>
      <c r="E60" s="25">
        <f>'밸런스 문서'!Q47</f>
        <v>296</v>
      </c>
      <c r="F60" s="25">
        <f>'밸런스 문서'!R47</f>
        <v>402</v>
      </c>
    </row>
    <row r="61" spans="1:6">
      <c r="A61" s="31">
        <v>47</v>
      </c>
      <c r="B61" s="31">
        <f>'밸런스 문서'!C48</f>
        <v>2</v>
      </c>
      <c r="C61" s="31">
        <f>'밸런스 문서'!D48</f>
        <v>7</v>
      </c>
      <c r="D61" s="25"/>
      <c r="E61" s="25">
        <f>'밸런스 문서'!Q48</f>
        <v>299</v>
      </c>
      <c r="F61" s="25">
        <f>'밸런스 문서'!R48</f>
        <v>406</v>
      </c>
    </row>
    <row r="62" spans="1:6">
      <c r="A62" s="31">
        <v>48</v>
      </c>
      <c r="B62" s="31">
        <f>'밸런스 문서'!C49</f>
        <v>2</v>
      </c>
      <c r="C62" s="31">
        <f>'밸런스 문서'!D49</f>
        <v>7</v>
      </c>
      <c r="D62" s="25"/>
      <c r="E62" s="25">
        <f>'밸런스 문서'!Q49</f>
        <v>302</v>
      </c>
      <c r="F62" s="25">
        <f>'밸런스 문서'!R49</f>
        <v>411</v>
      </c>
    </row>
    <row r="63" spans="1:6">
      <c r="A63" s="31">
        <v>49</v>
      </c>
      <c r="B63" s="31">
        <f>'밸런스 문서'!C50</f>
        <v>4</v>
      </c>
      <c r="C63" s="31">
        <f>'밸런스 문서'!D50</f>
        <v>8</v>
      </c>
      <c r="D63" s="25"/>
      <c r="E63" s="25">
        <f>'밸런스 문서'!Q50</f>
        <v>307</v>
      </c>
      <c r="F63" s="25">
        <f>'밸런스 문서'!R50</f>
        <v>419</v>
      </c>
    </row>
    <row r="64" spans="1:6">
      <c r="A64" s="31">
        <v>50</v>
      </c>
      <c r="B64" s="31">
        <f>'밸런스 문서'!C51</f>
        <v>3</v>
      </c>
      <c r="C64" s="31">
        <f>'밸런스 문서'!D51</f>
        <v>7</v>
      </c>
      <c r="D64" s="25"/>
      <c r="E64" s="25">
        <f>'밸런스 문서'!Q51</f>
        <v>311</v>
      </c>
      <c r="F64" s="25">
        <f>'밸런스 문서'!R51</f>
        <v>425</v>
      </c>
    </row>
    <row r="65" spans="1:6">
      <c r="A65" s="31">
        <v>51</v>
      </c>
      <c r="B65" s="31">
        <f>'밸런스 문서'!C52</f>
        <v>5</v>
      </c>
      <c r="C65" s="31">
        <f>'밸런스 문서'!D52</f>
        <v>9</v>
      </c>
      <c r="D65" s="25"/>
      <c r="E65" s="25">
        <f>'밸런스 문서'!Q52</f>
        <v>319</v>
      </c>
      <c r="F65" s="25">
        <f>'밸런스 문서'!R52</f>
        <v>437</v>
      </c>
    </row>
    <row r="66" spans="1:6">
      <c r="A66" s="31">
        <v>52</v>
      </c>
      <c r="B66" s="31">
        <f>'밸런스 문서'!C53</f>
        <v>5</v>
      </c>
      <c r="C66" s="31">
        <f>'밸런스 문서'!D53</f>
        <v>9</v>
      </c>
      <c r="D66" s="25"/>
      <c r="E66" s="25">
        <f>'밸런스 문서'!Q53</f>
        <v>327</v>
      </c>
      <c r="F66" s="25">
        <f>'밸런스 문서'!R53</f>
        <v>450</v>
      </c>
    </row>
    <row r="67" spans="1:6">
      <c r="A67" s="31">
        <v>53</v>
      </c>
      <c r="B67" s="31">
        <f>'밸런스 문서'!C54</f>
        <v>7</v>
      </c>
      <c r="C67" s="31">
        <f>'밸런스 문서'!D54</f>
        <v>10</v>
      </c>
      <c r="D67" s="25"/>
      <c r="E67" s="25">
        <f>'밸런스 문서'!Q54</f>
        <v>339</v>
      </c>
      <c r="F67" s="25">
        <f>'밸런스 문서'!R54</f>
        <v>469</v>
      </c>
    </row>
    <row r="68" spans="1:6">
      <c r="A68" s="31">
        <v>54</v>
      </c>
      <c r="B68" s="31">
        <f>'밸런스 문서'!C55</f>
        <v>6</v>
      </c>
      <c r="C68" s="31">
        <f>'밸런스 문서'!D55</f>
        <v>9</v>
      </c>
      <c r="D68" s="25"/>
      <c r="E68" s="25">
        <f>'밸런스 문서'!Q55</f>
        <v>349</v>
      </c>
      <c r="F68" s="25">
        <f>'밸런스 문서'!R55</f>
        <v>485</v>
      </c>
    </row>
    <row r="69" spans="1:6">
      <c r="A69" s="31">
        <v>55</v>
      </c>
      <c r="B69" s="31">
        <f>'밸런스 문서'!C56</f>
        <v>9</v>
      </c>
      <c r="C69" s="31">
        <f>'밸런스 문서'!D56</f>
        <v>10</v>
      </c>
      <c r="D69" s="25"/>
      <c r="E69" s="25">
        <f>'밸런스 문서'!Q56</f>
        <v>367</v>
      </c>
      <c r="F69" s="25">
        <f>'밸런스 문서'!R56</f>
        <v>515</v>
      </c>
    </row>
    <row r="70" spans="1:6">
      <c r="A70" s="31">
        <v>56</v>
      </c>
      <c r="B70" s="31">
        <f>'밸런스 문서'!C57</f>
        <v>2</v>
      </c>
      <c r="C70" s="31">
        <f>'밸런스 문서'!D57</f>
        <v>7</v>
      </c>
      <c r="D70" s="25"/>
      <c r="E70" s="25">
        <f>'밸런스 문서'!Q57</f>
        <v>371</v>
      </c>
      <c r="F70" s="25">
        <f>'밸런스 문서'!R57</f>
        <v>522</v>
      </c>
    </row>
    <row r="71" spans="1:6">
      <c r="A71" s="31">
        <v>57</v>
      </c>
      <c r="B71" s="31">
        <f>'밸런스 문서'!C58</f>
        <v>2</v>
      </c>
      <c r="C71" s="31">
        <f>'밸런스 문서'!D58</f>
        <v>7</v>
      </c>
      <c r="D71" s="25"/>
      <c r="E71" s="25">
        <f>'밸런스 문서'!Q58</f>
        <v>374</v>
      </c>
      <c r="F71" s="25">
        <f>'밸런스 문서'!R58</f>
        <v>527</v>
      </c>
    </row>
    <row r="72" spans="1:6">
      <c r="A72" s="31">
        <v>58</v>
      </c>
      <c r="B72" s="31">
        <f>'밸런스 문서'!C59</f>
        <v>5</v>
      </c>
      <c r="C72" s="31">
        <f>'밸런스 문서'!D59</f>
        <v>9</v>
      </c>
      <c r="D72" s="25"/>
      <c r="E72" s="25">
        <f>'밸런스 문서'!Q59</f>
        <v>382</v>
      </c>
      <c r="F72" s="25">
        <f>'밸런스 문서'!R59</f>
        <v>541</v>
      </c>
    </row>
    <row r="73" spans="1:6">
      <c r="A73" s="31">
        <v>59</v>
      </c>
      <c r="B73" s="31">
        <f>'밸런스 문서'!C60</f>
        <v>6</v>
      </c>
      <c r="C73" s="31">
        <f>'밸런스 문서'!D60</f>
        <v>9</v>
      </c>
      <c r="D73" s="25"/>
      <c r="E73" s="25">
        <f>'밸런스 문서'!Q60</f>
        <v>392</v>
      </c>
      <c r="F73" s="25">
        <f>'밸런스 문서'!R60</f>
        <v>558</v>
      </c>
    </row>
    <row r="74" spans="1:6">
      <c r="A74" s="31">
        <v>60</v>
      </c>
      <c r="B74" s="31">
        <f>'밸런스 문서'!C61</f>
        <v>7</v>
      </c>
      <c r="C74" s="31">
        <f>'밸런스 문서'!D61</f>
        <v>10</v>
      </c>
      <c r="D74" s="25"/>
      <c r="E74" s="25">
        <f>'밸런스 문서'!Q61</f>
        <v>404</v>
      </c>
      <c r="F74" s="25">
        <f>'밸런스 문서'!R61</f>
        <v>579</v>
      </c>
    </row>
    <row r="75" spans="1:6">
      <c r="A75" s="31">
        <v>61</v>
      </c>
      <c r="B75" s="31">
        <f>'밸런스 문서'!C62</f>
        <v>5</v>
      </c>
      <c r="C75" s="31">
        <f>'밸런스 문서'!D62</f>
        <v>9</v>
      </c>
      <c r="D75" s="25"/>
      <c r="E75" s="25">
        <f>'밸런스 문서'!Q62</f>
        <v>412</v>
      </c>
      <c r="F75" s="25">
        <f>'밸런스 문서'!R62</f>
        <v>593</v>
      </c>
    </row>
    <row r="76" spans="1:6">
      <c r="A76" s="31">
        <v>62</v>
      </c>
      <c r="B76" s="31">
        <f>'밸런스 문서'!C63</f>
        <v>5</v>
      </c>
      <c r="C76" s="31">
        <f>'밸런스 문서'!D63</f>
        <v>9</v>
      </c>
      <c r="D76" s="25"/>
      <c r="E76" s="25">
        <f>'밸런스 문서'!Q63</f>
        <v>420</v>
      </c>
      <c r="F76" s="25">
        <f>'밸런스 문서'!R63</f>
        <v>608</v>
      </c>
    </row>
    <row r="77" spans="1:6">
      <c r="A77" s="31">
        <v>63</v>
      </c>
      <c r="B77" s="31">
        <f>'밸런스 문서'!C64</f>
        <v>10</v>
      </c>
      <c r="C77" s="31">
        <f>'밸런스 문서'!D64</f>
        <v>10</v>
      </c>
      <c r="D77" s="25"/>
      <c r="E77" s="25">
        <f>'밸런스 문서'!Q64</f>
        <v>438</v>
      </c>
      <c r="F77" s="25">
        <f>'밸런스 문서'!R64</f>
        <v>641</v>
      </c>
    </row>
    <row r="78" spans="1:6">
      <c r="A78" s="31">
        <v>64</v>
      </c>
      <c r="B78" s="31">
        <f>'밸런스 문서'!C65</f>
        <v>2</v>
      </c>
      <c r="C78" s="31">
        <f>'밸런스 문서'!D65</f>
        <v>7</v>
      </c>
      <c r="D78" s="25"/>
      <c r="E78" s="25">
        <f>'밸런스 문서'!Q65</f>
        <v>441</v>
      </c>
      <c r="F78" s="25">
        <f>'밸런스 문서'!R65</f>
        <v>646</v>
      </c>
    </row>
    <row r="79" spans="1:6">
      <c r="A79" s="31">
        <v>65</v>
      </c>
      <c r="B79" s="31">
        <f>'밸런스 문서'!C66</f>
        <v>2</v>
      </c>
      <c r="C79" s="31">
        <f>'밸런스 문서'!D66</f>
        <v>7</v>
      </c>
      <c r="D79" s="25"/>
      <c r="E79" s="25">
        <f>'밸런스 문서'!Q66</f>
        <v>444</v>
      </c>
      <c r="F79" s="25">
        <f>'밸런스 문서'!R66</f>
        <v>652</v>
      </c>
    </row>
    <row r="80" spans="1:6">
      <c r="A80" s="31">
        <v>66</v>
      </c>
      <c r="B80" s="31">
        <f>'밸런스 문서'!C67</f>
        <v>2</v>
      </c>
      <c r="C80" s="31">
        <f>'밸런스 문서'!D67</f>
        <v>7</v>
      </c>
      <c r="D80" s="25"/>
      <c r="E80" s="25">
        <f>'밸런스 문서'!Q67</f>
        <v>448</v>
      </c>
      <c r="F80" s="25">
        <f>'밸런스 문서'!R67</f>
        <v>659</v>
      </c>
    </row>
    <row r="81" spans="1:6">
      <c r="A81" s="31">
        <v>67</v>
      </c>
      <c r="B81" s="31">
        <f>'밸런스 문서'!C68</f>
        <v>5</v>
      </c>
      <c r="C81" s="31">
        <f>'밸런스 문서'!D68</f>
        <v>9</v>
      </c>
      <c r="D81" s="25"/>
      <c r="E81" s="25">
        <f>'밸런스 문서'!Q68</f>
        <v>456</v>
      </c>
      <c r="F81" s="25">
        <f>'밸런스 문서'!R68</f>
        <v>674</v>
      </c>
    </row>
    <row r="82" spans="1:6">
      <c r="A82" s="31">
        <v>68</v>
      </c>
      <c r="B82" s="31">
        <f>'밸런스 문서'!C69</f>
        <v>6</v>
      </c>
      <c r="C82" s="31">
        <f>'밸런스 문서'!D69</f>
        <v>9</v>
      </c>
      <c r="D82" s="25"/>
      <c r="E82" s="25">
        <f>'밸런스 문서'!Q69</f>
        <v>466</v>
      </c>
      <c r="F82" s="25">
        <f>'밸런스 문서'!R69</f>
        <v>693</v>
      </c>
    </row>
    <row r="83" spans="1:6">
      <c r="A83" s="31">
        <v>69</v>
      </c>
      <c r="B83" s="31">
        <f>'밸런스 문서'!C70</f>
        <v>7</v>
      </c>
      <c r="C83" s="31">
        <f>'밸런스 문서'!D70</f>
        <v>10</v>
      </c>
      <c r="D83" s="25"/>
      <c r="E83" s="25">
        <f>'밸런스 문서'!Q70</f>
        <v>478</v>
      </c>
      <c r="F83" s="25">
        <f>'밸런스 문서'!R70</f>
        <v>717</v>
      </c>
    </row>
    <row r="84" spans="1:6">
      <c r="A84" s="31">
        <v>70</v>
      </c>
      <c r="B84" s="31">
        <f>'밸런스 문서'!C71</f>
        <v>6</v>
      </c>
      <c r="C84" s="31">
        <f>'밸런스 문서'!D71</f>
        <v>9</v>
      </c>
      <c r="D84" s="25"/>
      <c r="E84" s="25">
        <f>'밸런스 문서'!Q71</f>
        <v>486</v>
      </c>
      <c r="F84" s="25">
        <f>'밸런스 문서'!R71</f>
        <v>732</v>
      </c>
    </row>
    <row r="85" spans="1:6">
      <c r="A85" s="31">
        <v>71</v>
      </c>
      <c r="B85" s="31">
        <f>'밸런스 문서'!C72</f>
        <v>9</v>
      </c>
      <c r="C85" s="31">
        <f>'밸런스 문서'!D72</f>
        <v>10</v>
      </c>
      <c r="D85" s="25"/>
      <c r="E85" s="25">
        <f>'밸런스 문서'!Q72</f>
        <v>504</v>
      </c>
      <c r="F85" s="25">
        <f>'밸런스 문서'!R72</f>
        <v>768</v>
      </c>
    </row>
    <row r="86" spans="1:6">
      <c r="A86" s="31">
        <v>72</v>
      </c>
      <c r="B86" s="31">
        <f>'밸런스 문서'!C73</f>
        <v>2</v>
      </c>
      <c r="C86" s="31">
        <f>'밸런스 문서'!D73</f>
        <v>7</v>
      </c>
      <c r="D86" s="25"/>
      <c r="E86" s="25">
        <f>'밸런스 문서'!Q73</f>
        <v>507</v>
      </c>
      <c r="F86" s="25">
        <f>'밸런스 문서'!R73</f>
        <v>774</v>
      </c>
    </row>
    <row r="87" spans="1:6">
      <c r="A87" s="31">
        <v>73</v>
      </c>
      <c r="B87" s="31">
        <f>'밸런스 문서'!C74</f>
        <v>4</v>
      </c>
      <c r="C87" s="31">
        <f>'밸런스 문서'!D74</f>
        <v>8</v>
      </c>
      <c r="D87" s="25"/>
      <c r="E87" s="25">
        <f>'밸런스 문서'!Q74</f>
        <v>511</v>
      </c>
      <c r="F87" s="25">
        <f>'밸런스 문서'!R74</f>
        <v>782</v>
      </c>
    </row>
    <row r="88" spans="1:6">
      <c r="A88" s="31">
        <v>74</v>
      </c>
      <c r="B88" s="31">
        <f>'밸런스 문서'!C75</f>
        <v>6</v>
      </c>
      <c r="C88" s="31">
        <f>'밸런스 문서'!D75</f>
        <v>10</v>
      </c>
      <c r="D88" s="25"/>
      <c r="E88" s="25">
        <f>'밸런스 문서'!Q75</f>
        <v>520</v>
      </c>
      <c r="F88" s="25">
        <f>'밸런스 문서'!R75</f>
        <v>800</v>
      </c>
    </row>
    <row r="89" spans="1:6">
      <c r="A89" s="31">
        <v>75</v>
      </c>
      <c r="B89" s="31">
        <f>'밸런스 문서'!C76</f>
        <v>5</v>
      </c>
      <c r="C89" s="31">
        <f>'밸런스 문서'!D76</f>
        <v>9</v>
      </c>
      <c r="D89" s="25"/>
      <c r="E89" s="25">
        <f>'밸런스 문서'!Q76</f>
        <v>528</v>
      </c>
      <c r="F89" s="25">
        <f>'밸런스 문서'!R76</f>
        <v>817</v>
      </c>
    </row>
    <row r="90" spans="1:6">
      <c r="A90" s="31">
        <v>76</v>
      </c>
      <c r="B90" s="31">
        <f>'밸런스 문서'!C77</f>
        <v>4</v>
      </c>
      <c r="C90" s="31">
        <f>'밸런스 문서'!D77</f>
        <v>9</v>
      </c>
      <c r="D90" s="25"/>
      <c r="E90" s="25">
        <f>'밸런스 문서'!Q77</f>
        <v>534</v>
      </c>
      <c r="F90" s="25">
        <f>'밸런스 문서'!R77</f>
        <v>829</v>
      </c>
    </row>
    <row r="91" spans="1:6">
      <c r="A91" s="31">
        <v>77</v>
      </c>
      <c r="B91" s="31">
        <f>'밸런스 문서'!C78</f>
        <v>6</v>
      </c>
      <c r="C91" s="31">
        <f>'밸런스 문서'!D78</f>
        <v>10</v>
      </c>
      <c r="D91" s="25"/>
      <c r="E91" s="25">
        <f>'밸런스 문서'!Q78</f>
        <v>543</v>
      </c>
      <c r="F91" s="25">
        <f>'밸런스 문서'!R78</f>
        <v>848</v>
      </c>
    </row>
    <row r="92" spans="1:6">
      <c r="A92" s="31">
        <v>78</v>
      </c>
      <c r="B92" s="31">
        <f>'밸런스 문서'!C79</f>
        <v>4</v>
      </c>
      <c r="C92" s="31">
        <f>'밸런스 문서'!D79</f>
        <v>8</v>
      </c>
      <c r="D92" s="25"/>
      <c r="E92" s="25">
        <f>'밸런스 문서'!Q79</f>
        <v>547</v>
      </c>
      <c r="F92" s="25">
        <f>'밸런스 문서'!R79</f>
        <v>857</v>
      </c>
    </row>
    <row r="93" spans="1:6">
      <c r="A93" s="31">
        <v>79</v>
      </c>
      <c r="B93" s="31">
        <f>'밸런스 문서'!C80</f>
        <v>8</v>
      </c>
      <c r="C93" s="31">
        <f>'밸런스 문서'!D80</f>
        <v>10</v>
      </c>
      <c r="D93" s="25"/>
      <c r="E93" s="25">
        <f>'밸런스 문서'!Q80</f>
        <v>560</v>
      </c>
      <c r="F93" s="25">
        <f>'밸런스 문서'!R80</f>
        <v>884</v>
      </c>
    </row>
    <row r="94" spans="1:6">
      <c r="A94" s="31">
        <v>80</v>
      </c>
      <c r="B94" s="31">
        <f>'밸런스 문서'!C81</f>
        <v>7</v>
      </c>
      <c r="C94" s="31">
        <f>'밸런스 문서'!D81</f>
        <v>10</v>
      </c>
      <c r="D94" s="25"/>
      <c r="E94" s="25">
        <f>'밸런스 문서'!Q81</f>
        <v>571</v>
      </c>
      <c r="F94" s="25">
        <f>'밸런스 문서'!R81</f>
        <v>908</v>
      </c>
    </row>
    <row r="95" spans="1:6">
      <c r="A95" s="31">
        <v>81</v>
      </c>
      <c r="B95" s="31">
        <f>'밸런스 문서'!C82</f>
        <v>4</v>
      </c>
      <c r="C95" s="31">
        <f>'밸런스 문서'!D82</f>
        <v>9</v>
      </c>
      <c r="D95" s="25"/>
      <c r="E95" s="25">
        <f>'밸런스 문서'!Q82</f>
        <v>577</v>
      </c>
      <c r="F95" s="25">
        <f>'밸런스 문서'!R82</f>
        <v>921</v>
      </c>
    </row>
    <row r="96" spans="1:6">
      <c r="A96" s="31">
        <v>82</v>
      </c>
      <c r="B96" s="31">
        <f>'밸런스 문서'!C83</f>
        <v>6</v>
      </c>
      <c r="C96" s="31">
        <f>'밸런스 문서'!D83</f>
        <v>10</v>
      </c>
      <c r="D96" s="25"/>
      <c r="E96" s="25">
        <f>'밸런스 문서'!Q83</f>
        <v>586</v>
      </c>
      <c r="F96" s="25">
        <f>'밸런스 문서'!R83</f>
        <v>941</v>
      </c>
    </row>
    <row r="97" spans="1:6">
      <c r="A97" s="31">
        <v>83</v>
      </c>
      <c r="B97" s="31">
        <f>'밸런스 문서'!C84</f>
        <v>5</v>
      </c>
      <c r="C97" s="31">
        <f>'밸런스 문서'!D84</f>
        <v>9</v>
      </c>
      <c r="D97" s="25"/>
      <c r="E97" s="25">
        <f>'밸런스 문서'!Q84</f>
        <v>594</v>
      </c>
      <c r="F97" s="25">
        <f>'밸런스 문서'!R84</f>
        <v>959</v>
      </c>
    </row>
    <row r="98" spans="1:6">
      <c r="A98" s="31">
        <v>84</v>
      </c>
      <c r="B98" s="31">
        <f>'밸런스 문서'!C85</f>
        <v>8</v>
      </c>
      <c r="C98" s="31">
        <f>'밸런스 문서'!D85</f>
        <v>10</v>
      </c>
      <c r="D98" s="25"/>
      <c r="E98" s="25">
        <f>'밸런스 문서'!Q85</f>
        <v>607</v>
      </c>
      <c r="F98" s="25">
        <f>'밸런스 문서'!R85</f>
        <v>988</v>
      </c>
    </row>
    <row r="99" spans="1:6">
      <c r="A99" s="31">
        <v>85</v>
      </c>
      <c r="B99" s="31">
        <f>'밸런스 문서'!C86</f>
        <v>5</v>
      </c>
      <c r="C99" s="31">
        <f>'밸런스 문서'!D86</f>
        <v>9</v>
      </c>
      <c r="D99" s="25"/>
      <c r="E99" s="25">
        <f>'밸런스 문서'!Q86</f>
        <v>615</v>
      </c>
      <c r="F99" s="25">
        <f>'밸런스 문서'!R86</f>
        <v>1006</v>
      </c>
    </row>
    <row r="100" spans="1:6">
      <c r="A100" s="31">
        <v>86</v>
      </c>
      <c r="B100" s="31">
        <f>'밸런스 문서'!C87</f>
        <v>10</v>
      </c>
      <c r="C100" s="31">
        <f>'밸런스 문서'!D87</f>
        <v>10</v>
      </c>
      <c r="D100" s="25"/>
      <c r="E100" s="25">
        <f>'밸런스 문서'!Q87</f>
        <v>635</v>
      </c>
      <c r="F100" s="25">
        <f>'밸런스 문서'!R87</f>
        <v>1052</v>
      </c>
    </row>
    <row r="101" spans="1:6">
      <c r="A101" s="31">
        <v>87</v>
      </c>
      <c r="B101" s="31">
        <f>'밸런스 문서'!C88</f>
        <v>4</v>
      </c>
      <c r="C101" s="31">
        <f>'밸런스 문서'!D88</f>
        <v>8</v>
      </c>
      <c r="D101" s="25"/>
      <c r="E101" s="25">
        <f>'밸런스 문서'!Q88</f>
        <v>639</v>
      </c>
      <c r="F101" s="25">
        <f>'밸런스 문서'!R88</f>
        <v>1061</v>
      </c>
    </row>
    <row r="102" spans="1:6">
      <c r="A102" s="31">
        <v>88</v>
      </c>
      <c r="B102" s="31">
        <f>'밸런스 문서'!C89</f>
        <v>5</v>
      </c>
      <c r="C102" s="31">
        <f>'밸런스 문서'!D89</f>
        <v>9</v>
      </c>
      <c r="D102" s="25"/>
      <c r="E102" s="25">
        <f>'밸런스 문서'!Q89</f>
        <v>647</v>
      </c>
      <c r="F102" s="25">
        <f>'밸런스 문서'!R89</f>
        <v>1080</v>
      </c>
    </row>
    <row r="103" spans="1:6">
      <c r="A103" s="31">
        <v>89</v>
      </c>
      <c r="B103" s="31">
        <f>'밸런스 문서'!C90</f>
        <v>6</v>
      </c>
      <c r="C103" s="31">
        <f>'밸런스 문서'!D90</f>
        <v>10</v>
      </c>
      <c r="D103" s="25"/>
      <c r="E103" s="25">
        <f>'밸런스 문서'!Q90</f>
        <v>656</v>
      </c>
      <c r="F103" s="25">
        <f>'밸런스 문서'!R90</f>
        <v>1101</v>
      </c>
    </row>
    <row r="104" spans="1:6">
      <c r="A104" s="31">
        <v>90</v>
      </c>
      <c r="B104" s="31">
        <f>'밸런스 문서'!C91</f>
        <v>7</v>
      </c>
      <c r="C104" s="31">
        <f>'밸런스 문서'!D91</f>
        <v>10</v>
      </c>
      <c r="D104" s="25"/>
      <c r="E104" s="25">
        <f>'밸런스 문서'!Q91</f>
        <v>667</v>
      </c>
      <c r="F104" s="25">
        <f>'밸런스 문서'!R91</f>
        <v>1127</v>
      </c>
    </row>
    <row r="105" spans="1:6">
      <c r="A105" s="31">
        <v>91</v>
      </c>
      <c r="B105" s="31">
        <f>'밸런스 문서'!C92</f>
        <v>4</v>
      </c>
      <c r="C105" s="31">
        <f>'밸런스 문서'!D92</f>
        <v>9</v>
      </c>
      <c r="D105" s="25"/>
      <c r="E105" s="25">
        <f>'밸런스 문서'!Q92</f>
        <v>673</v>
      </c>
      <c r="F105" s="25">
        <f>'밸런스 문서'!R92</f>
        <v>1142</v>
      </c>
    </row>
    <row r="106" spans="1:6">
      <c r="A106" s="31">
        <v>92</v>
      </c>
      <c r="B106" s="31">
        <f>'밸런스 문서'!C93</f>
        <v>8</v>
      </c>
      <c r="C106" s="31">
        <f>'밸런스 문서'!D93</f>
        <v>10</v>
      </c>
      <c r="D106" s="25"/>
      <c r="E106" s="25">
        <f>'밸런스 문서'!Q93</f>
        <v>686</v>
      </c>
      <c r="F106" s="25">
        <f>'밸런스 문서'!R93</f>
        <v>1174</v>
      </c>
    </row>
    <row r="107" spans="1:6">
      <c r="A107" s="31">
        <v>93</v>
      </c>
      <c r="B107" s="31">
        <f>'밸런스 문서'!C94</f>
        <v>5</v>
      </c>
      <c r="C107" s="31">
        <f>'밸런스 문서'!D94</f>
        <v>9</v>
      </c>
      <c r="D107" s="25"/>
      <c r="E107" s="25">
        <f>'밸런스 문서'!Q94</f>
        <v>694</v>
      </c>
      <c r="F107" s="25">
        <f>'밸런스 문서'!R94</f>
        <v>1193</v>
      </c>
    </row>
    <row r="108" spans="1:6">
      <c r="A108" s="31">
        <v>94</v>
      </c>
      <c r="B108" s="31">
        <f>'밸런스 문서'!C95</f>
        <v>3</v>
      </c>
      <c r="C108" s="31">
        <f>'밸런스 문서'!D95</f>
        <v>8</v>
      </c>
      <c r="D108" s="25"/>
      <c r="E108" s="25">
        <f>'밸런스 문서'!Q95</f>
        <v>698</v>
      </c>
      <c r="F108" s="25">
        <f>'밸런스 문서'!R95</f>
        <v>1203</v>
      </c>
    </row>
    <row r="109" spans="1:6">
      <c r="A109" s="31">
        <v>95</v>
      </c>
      <c r="B109" s="31">
        <f>'밸런스 문서'!C96</f>
        <v>7</v>
      </c>
      <c r="C109" s="31">
        <f>'밸런스 문서'!D96</f>
        <v>10</v>
      </c>
      <c r="D109" s="25"/>
      <c r="E109" s="25">
        <f>'밸런스 문서'!Q96</f>
        <v>709</v>
      </c>
      <c r="F109" s="25">
        <f>'밸런스 문서'!R96</f>
        <v>1230</v>
      </c>
    </row>
    <row r="110" spans="1:6">
      <c r="A110" s="31">
        <v>96</v>
      </c>
      <c r="B110" s="31">
        <f>'밸런스 문서'!C97</f>
        <v>7</v>
      </c>
      <c r="C110" s="31">
        <f>'밸런스 문서'!D97</f>
        <v>10</v>
      </c>
      <c r="D110" s="25"/>
      <c r="E110" s="25">
        <f>'밸런스 문서'!Q97</f>
        <v>720</v>
      </c>
      <c r="F110" s="25">
        <f>'밸런스 문서'!R97</f>
        <v>1258</v>
      </c>
    </row>
    <row r="111" spans="1:6">
      <c r="A111" s="31">
        <v>97</v>
      </c>
      <c r="B111" s="31">
        <f>'밸런스 문서'!C98</f>
        <v>2</v>
      </c>
      <c r="C111" s="31">
        <f>'밸런스 문서'!D98</f>
        <v>8</v>
      </c>
      <c r="D111" s="25"/>
      <c r="E111" s="25">
        <f>'밸런스 문서'!Q98</f>
        <v>723</v>
      </c>
      <c r="F111" s="25">
        <f>'밸런스 문서'!R98</f>
        <v>1266</v>
      </c>
    </row>
    <row r="112" spans="1:6">
      <c r="A112" s="31">
        <v>98</v>
      </c>
      <c r="B112" s="31">
        <f>'밸런스 문서'!C99</f>
        <v>10</v>
      </c>
      <c r="C112" s="31">
        <f>'밸런스 문서'!D99</f>
        <v>10</v>
      </c>
      <c r="D112" s="25"/>
      <c r="E112" s="25">
        <f>'밸런스 문서'!Q99</f>
        <v>743</v>
      </c>
      <c r="F112" s="25">
        <f>'밸런스 문서'!R99</f>
        <v>1317</v>
      </c>
    </row>
    <row r="113" spans="1:6">
      <c r="A113" s="31">
        <v>99</v>
      </c>
      <c r="B113" s="31">
        <f>'밸런스 문서'!C100</f>
        <v>10</v>
      </c>
      <c r="C113" s="31">
        <f>'밸런스 문서'!D100</f>
        <v>10</v>
      </c>
      <c r="D113" s="25"/>
      <c r="E113" s="25">
        <f>'밸런스 문서'!Q100</f>
        <v>763</v>
      </c>
      <c r="F113" s="25">
        <f>'밸런스 문서'!R100</f>
        <v>1369</v>
      </c>
    </row>
    <row r="114" spans="1:6">
      <c r="A114" s="31">
        <v>100</v>
      </c>
      <c r="B114" s="31">
        <f>'밸런스 문서'!C101</f>
        <v>2</v>
      </c>
      <c r="C114" s="31">
        <f>'밸런스 문서'!D101</f>
        <v>10</v>
      </c>
      <c r="D114" s="25"/>
      <c r="E114" s="25">
        <f>'밸런스 문서'!Q101</f>
        <v>769</v>
      </c>
      <c r="F114" s="25">
        <f>'밸런스 문서'!R101</f>
        <v>1385</v>
      </c>
    </row>
    <row r="115" spans="1:6">
      <c r="A115" s="31">
        <v>101</v>
      </c>
      <c r="B115" s="31">
        <f>'밸런스 문서'!C102</f>
        <v>2</v>
      </c>
      <c r="C115" s="31">
        <f>'밸런스 문서'!D102</f>
        <v>9</v>
      </c>
      <c r="D115" s="25"/>
      <c r="E115" s="25">
        <f>'밸런스 문서'!Q102</f>
        <v>773</v>
      </c>
      <c r="F115" s="25">
        <f>'밸런스 문서'!R102</f>
        <v>1395</v>
      </c>
    </row>
    <row r="116" spans="1:6">
      <c r="A116" s="31">
        <v>102</v>
      </c>
      <c r="B116" s="31">
        <f>'밸런스 문서'!C103</f>
        <v>2</v>
      </c>
      <c r="C116" s="31">
        <f>'밸런스 문서'!D103</f>
        <v>9</v>
      </c>
      <c r="D116" s="25"/>
      <c r="E116" s="25">
        <f>'밸런스 문서'!Q103</f>
        <v>777</v>
      </c>
      <c r="F116" s="25">
        <f>'밸런스 문서'!R103</f>
        <v>1406</v>
      </c>
    </row>
    <row r="117" spans="1:6">
      <c r="A117" s="31">
        <v>103</v>
      </c>
      <c r="B117" s="31">
        <f>'밸런스 문서'!C104</f>
        <v>3</v>
      </c>
      <c r="C117" s="31">
        <f>'밸런스 문서'!D104</f>
        <v>9</v>
      </c>
      <c r="D117" s="25"/>
      <c r="E117" s="25">
        <f>'밸런스 문서'!Q104</f>
        <v>782</v>
      </c>
      <c r="F117" s="25">
        <f>'밸런스 문서'!R104</f>
        <v>1419</v>
      </c>
    </row>
    <row r="118" spans="1:6">
      <c r="A118" s="31">
        <v>104</v>
      </c>
      <c r="B118" s="31">
        <f>'밸런스 문서'!C105</f>
        <v>7</v>
      </c>
      <c r="C118" s="31">
        <f>'밸런스 문서'!D105</f>
        <v>10</v>
      </c>
      <c r="D118" s="25"/>
      <c r="E118" s="25">
        <f>'밸런스 문서'!Q105</f>
        <v>792</v>
      </c>
      <c r="F118" s="25">
        <f>'밸런스 문서'!R105</f>
        <v>1446</v>
      </c>
    </row>
    <row r="119" spans="1:6">
      <c r="A119" s="31">
        <v>105</v>
      </c>
      <c r="B119" s="31">
        <f>'밸런스 문서'!C106</f>
        <v>8</v>
      </c>
      <c r="C119" s="31">
        <f>'밸런스 문서'!D106</f>
        <v>10</v>
      </c>
      <c r="D119" s="25"/>
      <c r="E119" s="25">
        <f>'밸런스 문서'!Q106</f>
        <v>804</v>
      </c>
      <c r="F119" s="25">
        <f>'밸런스 문서'!R106</f>
        <v>1479</v>
      </c>
    </row>
    <row r="120" spans="1:6">
      <c r="A120" s="31">
        <v>106</v>
      </c>
      <c r="B120" s="31">
        <f>'밸런스 문서'!C107</f>
        <v>10</v>
      </c>
      <c r="C120" s="31">
        <f>'밸런스 문서'!D107</f>
        <v>10</v>
      </c>
      <c r="D120" s="25"/>
      <c r="E120" s="25">
        <f>'밸런스 문서'!Q107</f>
        <v>826</v>
      </c>
      <c r="F120" s="25">
        <f>'밸런스 문서'!R107</f>
        <v>1540</v>
      </c>
    </row>
    <row r="121" spans="1:6">
      <c r="A121" s="31">
        <v>107</v>
      </c>
      <c r="B121" s="31">
        <f>'밸런스 문서'!C108</f>
        <v>5</v>
      </c>
      <c r="C121" s="31">
        <f>'밸런스 문서'!D108</f>
        <v>9</v>
      </c>
      <c r="D121" s="25"/>
      <c r="E121" s="25">
        <f>'밸런스 문서'!Q108</f>
        <v>831</v>
      </c>
      <c r="F121" s="25">
        <f>'밸런스 문서'!R108</f>
        <v>1553</v>
      </c>
    </row>
    <row r="122" spans="1:6">
      <c r="A122" s="31">
        <v>108</v>
      </c>
      <c r="B122" s="31">
        <f>'밸런스 문서'!C109</f>
        <v>5</v>
      </c>
      <c r="C122" s="31">
        <f>'밸런스 문서'!D109</f>
        <v>9</v>
      </c>
      <c r="D122" s="25"/>
      <c r="E122" s="25">
        <f>'밸런스 문서'!Q109</f>
        <v>836</v>
      </c>
      <c r="F122" s="25">
        <f>'밸런스 문서'!R109</f>
        <v>1567</v>
      </c>
    </row>
    <row r="123" spans="1:6">
      <c r="A123" s="31">
        <v>109</v>
      </c>
      <c r="B123" s="31">
        <f>'밸런스 문서'!C110</f>
        <v>7</v>
      </c>
      <c r="C123" s="31">
        <f>'밸런스 문서'!D110</f>
        <v>10</v>
      </c>
      <c r="D123" s="25"/>
      <c r="E123" s="25">
        <f>'밸런스 문서'!Q110</f>
        <v>846</v>
      </c>
      <c r="F123" s="25">
        <f>'밸런스 문서'!R110</f>
        <v>1596</v>
      </c>
    </row>
    <row r="124" spans="1:6">
      <c r="A124" s="31">
        <v>110</v>
      </c>
      <c r="B124" s="31">
        <f>'밸런스 문서'!C111</f>
        <v>9</v>
      </c>
      <c r="C124" s="31">
        <f>'밸런스 문서'!D111</f>
        <v>10</v>
      </c>
      <c r="D124" s="25"/>
      <c r="E124" s="25">
        <f>'밸런스 문서'!Q111</f>
        <v>860</v>
      </c>
      <c r="F124" s="25">
        <f>'밸런스 문서'!R111</f>
        <v>1636</v>
      </c>
    </row>
    <row r="125" spans="1:6">
      <c r="A125" s="31">
        <v>111</v>
      </c>
      <c r="B125" s="31">
        <f>'밸런스 문서'!C112</f>
        <v>6</v>
      </c>
      <c r="C125" s="31">
        <f>'밸런스 문서'!D112</f>
        <v>10</v>
      </c>
      <c r="D125" s="25"/>
      <c r="E125" s="25">
        <f>'밸런스 문서'!Q112</f>
        <v>868</v>
      </c>
      <c r="F125" s="25">
        <f>'밸런스 문서'!R112</f>
        <v>1659</v>
      </c>
    </row>
    <row r="126" spans="1:6">
      <c r="A126" s="31">
        <v>112</v>
      </c>
      <c r="B126" s="31">
        <f>'밸런스 문서'!C113</f>
        <v>9</v>
      </c>
      <c r="C126" s="31">
        <f>'밸런스 문서'!D113</f>
        <v>10</v>
      </c>
      <c r="D126" s="25"/>
      <c r="E126" s="25">
        <f>'밸런스 문서'!Q113</f>
        <v>882</v>
      </c>
      <c r="F126" s="25">
        <f>'밸런스 문서'!R113</f>
        <v>1699</v>
      </c>
    </row>
    <row r="127" spans="1:6">
      <c r="A127" s="31">
        <v>113</v>
      </c>
      <c r="B127" s="31">
        <f>'밸런스 문서'!C114</f>
        <v>6</v>
      </c>
      <c r="C127" s="31">
        <f>'밸런스 문서'!D114</f>
        <v>10</v>
      </c>
      <c r="D127" s="25"/>
      <c r="E127" s="25">
        <f>'밸런스 문서'!Q114</f>
        <v>890</v>
      </c>
      <c r="F127" s="25">
        <f>'밸런스 문서'!R114</f>
        <v>1723</v>
      </c>
    </row>
    <row r="128" spans="1:6">
      <c r="A128" s="31">
        <v>114</v>
      </c>
      <c r="B128" s="31">
        <f>'밸런스 문서'!C115</f>
        <v>2</v>
      </c>
      <c r="C128" s="31">
        <f>'밸런스 문서'!D115</f>
        <v>9</v>
      </c>
      <c r="D128" s="25"/>
      <c r="E128" s="25">
        <f>'밸런스 문서'!Q115</f>
        <v>894</v>
      </c>
      <c r="F128" s="25">
        <f>'밸런스 문서'!R115</f>
        <v>1734</v>
      </c>
    </row>
    <row r="129" spans="1:6">
      <c r="A129" s="31">
        <v>115</v>
      </c>
      <c r="B129" s="31">
        <f>'밸런스 문서'!C116</f>
        <v>10</v>
      </c>
      <c r="C129" s="31">
        <f>'밸런스 문서'!D116</f>
        <v>10</v>
      </c>
      <c r="D129" s="25"/>
      <c r="E129" s="25">
        <f>'밸런스 문서'!Q116</f>
        <v>916</v>
      </c>
      <c r="F129" s="25">
        <f>'밸런스 문서'!R116</f>
        <v>1800</v>
      </c>
    </row>
    <row r="130" spans="1:6">
      <c r="A130" s="31">
        <v>116</v>
      </c>
      <c r="B130" s="31">
        <f>'밸런스 문서'!C117</f>
        <v>10</v>
      </c>
      <c r="C130" s="31">
        <f>'밸런스 문서'!D117</f>
        <v>10</v>
      </c>
      <c r="D130" s="25"/>
      <c r="E130" s="25">
        <f>'밸런스 문서'!Q117</f>
        <v>938</v>
      </c>
      <c r="F130" s="25">
        <f>'밸런스 문서'!R117</f>
        <v>1866</v>
      </c>
    </row>
    <row r="131" spans="1:6">
      <c r="A131" s="31">
        <v>117</v>
      </c>
      <c r="B131" s="31">
        <f>'밸런스 문서'!C118</f>
        <v>8</v>
      </c>
      <c r="C131" s="31">
        <f>'밸런스 문서'!D118</f>
        <v>10</v>
      </c>
      <c r="D131" s="25"/>
      <c r="E131" s="25">
        <f>'밸런스 문서'!Q118</f>
        <v>950</v>
      </c>
      <c r="F131" s="25">
        <f>'밸런스 문서'!R118</f>
        <v>1903</v>
      </c>
    </row>
    <row r="132" spans="1:6">
      <c r="A132" s="31">
        <v>118</v>
      </c>
      <c r="B132" s="31">
        <f>'밸런스 문서'!C119</f>
        <v>10</v>
      </c>
      <c r="C132" s="31">
        <f>'밸런스 문서'!D119</f>
        <v>10</v>
      </c>
      <c r="D132" s="25"/>
      <c r="E132" s="25">
        <f>'밸런스 문서'!Q119</f>
        <v>972</v>
      </c>
      <c r="F132" s="25">
        <f>'밸런스 문서'!R119</f>
        <v>1971</v>
      </c>
    </row>
    <row r="133" spans="1:6">
      <c r="A133" s="31">
        <v>119</v>
      </c>
      <c r="B133" s="31">
        <f>'밸런스 문서'!C120</f>
        <v>2</v>
      </c>
      <c r="C133" s="31">
        <f>'밸런스 문서'!D120</f>
        <v>10</v>
      </c>
      <c r="D133" s="25"/>
      <c r="E133" s="25">
        <f>'밸런스 문서'!Q120</f>
        <v>978</v>
      </c>
      <c r="F133" s="25">
        <f>'밸런스 문서'!R120</f>
        <v>1990</v>
      </c>
    </row>
    <row r="134" spans="1:6">
      <c r="A134" s="31">
        <v>120</v>
      </c>
      <c r="B134" s="31">
        <f>'밸런스 문서'!C121</f>
        <v>6</v>
      </c>
      <c r="C134" s="31">
        <f>'밸런스 문서'!D121</f>
        <v>10</v>
      </c>
      <c r="D134" s="25"/>
      <c r="E134" s="25">
        <f>'밸런스 문서'!Q121</f>
        <v>988</v>
      </c>
      <c r="F134" s="25">
        <f>'밸런스 문서'!R121</f>
        <v>2022</v>
      </c>
    </row>
    <row r="135" spans="1:6">
      <c r="A135" s="31">
        <v>121</v>
      </c>
      <c r="B135" s="31">
        <f>'밸런스 문서'!C122</f>
        <v>2</v>
      </c>
      <c r="C135" s="31">
        <f>'밸런스 문서'!D122</f>
        <v>9</v>
      </c>
      <c r="D135" s="25"/>
      <c r="E135" s="25">
        <f>'밸런스 문서'!Q122</f>
        <v>992</v>
      </c>
      <c r="F135" s="25">
        <f>'밸런스 문서'!R122</f>
        <v>2034</v>
      </c>
    </row>
    <row r="136" spans="1:6">
      <c r="A136" s="31">
        <v>122</v>
      </c>
      <c r="B136" s="31">
        <f>'밸런스 문서'!C123</f>
        <v>2</v>
      </c>
      <c r="C136" s="31">
        <f>'밸런스 문서'!D123</f>
        <v>9</v>
      </c>
      <c r="D136" s="25"/>
      <c r="E136" s="25">
        <f>'밸런스 문서'!Q123</f>
        <v>996</v>
      </c>
      <c r="F136" s="25">
        <f>'밸런스 문서'!R123</f>
        <v>2047</v>
      </c>
    </row>
    <row r="137" spans="1:6">
      <c r="A137" s="31">
        <v>123</v>
      </c>
      <c r="B137" s="31">
        <f>'밸런스 문서'!C124</f>
        <v>2</v>
      </c>
      <c r="C137" s="31">
        <f>'밸런스 문서'!D124</f>
        <v>9</v>
      </c>
      <c r="D137" s="25"/>
      <c r="E137" s="25">
        <f>'밸런스 문서'!Q124</f>
        <v>1000</v>
      </c>
      <c r="F137" s="25">
        <f>'밸런스 문서'!R124</f>
        <v>2060</v>
      </c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문서</vt:lpstr>
      <vt:lpstr>밸런스 팩터</vt:lpstr>
      <vt:lpstr>작성 기준</vt:lpstr>
      <vt:lpstr>밸런스 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2026-07-24T04:50:40Z</dcterms:modified>
</cp:coreProperties>
</file>
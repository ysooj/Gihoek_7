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drawings/charts/chart2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2398b4a42d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밸런스 문서" sheetId="1" r:id="Rc961176714314de0"/>
    <x:sheet xmlns:r="http://schemas.openxmlformats.org/officeDocument/2006/relationships" name="밸런스 팩터" sheetId="2" r:id="Rdcff2aca7f64444b"/>
    <x:sheet xmlns:r="http://schemas.openxmlformats.org/officeDocument/2006/relationships" name="작성 기준" sheetId="3" r:id="R5a4cd482cf1e4278"/>
    <x:sheet xmlns:r="http://schemas.openxmlformats.org/officeDocument/2006/relationships" name="밸런스 곡선" sheetId="4" r:id="Rd9de9f773e1542a8"/>
    <x:sheet xmlns:r="http://schemas.openxmlformats.org/officeDocument/2006/relationships" name="스테이지 점수 기준" sheetId="5" r:id="R364da7ca9e9b43aa"/>
  </x:sheets>
</x:workbook>
</file>

<file path=xl/sharedStrings.xml><?xml version="1.0" encoding="utf-8"?>
<x:sst xmlns:x="http://schemas.openxmlformats.org/spreadsheetml/2006/main">
  <x:si>
    <x:t xml:space="preserve">a</x:t>
  </x:si>
  <x:si>
    <x:t xml:space="preserve">b</x:t>
  </x:si>
  <x:si>
    <x:t xml:space="preserve">챕터</x:t>
  </x:si>
  <x:si>
    <x:t xml:space="preserve">콘텐츠 진행 순서</x:t>
  </x:si>
  <x:si>
    <x:t xml:space="preserve">플레이 난이도</x:t>
  </x:si>
  <x:si>
    <x:t xml:space="preserve">플레이 흥미도</x:t>
  </x:si>
  <x:si>
    <x:t xml:space="preserve">플레이 목표</x:t>
  </x:si>
  <x:si>
    <x:t xml:space="preserve">플레이 난관</x:t>
  </x:si>
  <x:si>
    <x:t xml:space="preserve">공략 방법</x:t>
  </x:si>
  <x:si>
    <x:t xml:space="preserve">체감 난이도</x:t>
  </x:si>
  <x:si>
    <x:t xml:space="preserve">수행 과제 수</x:t>
  </x:si>
  <x:si>
    <x:t xml:space="preserve">목표 달성 조건</x:t>
  </x:si>
  <x:si>
    <x:t xml:space="preserve">실패 결과</x:t>
  </x:si>
  <x:si>
    <x:t xml:space="preserve">예상 소요 시간</x:t>
  </x:si>
  <x:si>
    <x:t xml:space="preserve">난이도 조절 요소</x:t>
  </x:si>
  <x:si>
    <x:t xml:space="preserve">누적 플레이 시간</x:t>
  </x:si>
  <x:si>
    <x:t xml:space="preserve">스테이지</x:t>
  </x:si>
  <x:si>
    <x:t xml:space="preserve">콘텐츠 진행 포인트 누적</x:t>
  </x:si>
  <x:si>
    <x:t xml:space="preserve">X
콘텐츠 진행 포인트</x:t>
  </x:si>
  <x:si>
    <x:t xml:space="preserve">Y
레벨업을 위한 필요 경험치</x:t>
  </x:si>
  <x:si>
    <x:t xml:space="preserve">한마리 몬스터가 주는 경험치</x:t>
  </x:si>
  <x:si>
    <x:t xml:space="preserve">한마리 몬스터와 전투시간</x:t>
  </x:si>
  <x:si>
    <x:t xml:space="preserve">레벨 업을 위한 전투시간</x:t>
  </x:si>
  <x:si>
    <x:t xml:space="preserve">레벨 업을 위해 잡아야하는 몬스터 수</x:t>
  </x:si>
  <x:si>
    <x:t xml:space="preserve">1 | 동생 심부름</x:t>
  </x:si>
  <x:si>
    <x:t xml:space="preserve">차한해의 과거 오프닝 감상</x:t>
  </x:si>
  <x:si>
    <x:t xml:space="preserve">입양 이후 가족 안에서 희생을 요구받아 온 과거를 보여주는 연출이 길게 이어져 플레이어가 핵심 정보를 놓칠 수 있음</x:t>
  </x:si>
  <x:si>
    <x:t xml:space="preserve">핵심 장면의 시선 유도와 짧은 자막을 통해 관계와 감정 변화를 이해함</x:t>
  </x:si>
  <x:si>
    <x:t xml:space="preserve">1 – 연출 길이와 정보량이 난이도를 결정함</x:t>
  </x:si>
  <x:si>
    <x:t xml:space="preserve">오프닝 재생이 끝나면 자동 완료</x:t>
  </x:si>
  <x:si>
    <x:t xml:space="preserve">-</x:t>
  </x:si>
  <x:si>
    <x:t xml:space="preserve">1분 30초</x:t>
  </x:si>
  <x:si>
    <x:t xml:space="preserve">스킵·다시 보기 기능 제공</x:t>
  </x:si>
  <x:si>
    <x:t xml:space="preserve">1-A | 집·튜토리얼</x:t>
  </x:si>
  <x:si>
    <x:t xml:space="preserve">빨래 개기</x:t>
  </x:si>
  <x:si>
    <x:t xml:space="preserve">조사 가능한 가구가 많아 조작 가능한 대상을 바로 알아보기 어려움</x:t>
  </x:si>
  <x:si>
    <x:t xml:space="preserve">주인공 주변의 상호작용 표시를 확인하고 조사 키를 누름</x:t>
  </x:si>
  <x:si>
    <x:t xml:space="preserve">1 – 상호작용 표시의 가시성과 조사 범위가 난이도를 결정함</x:t>
  </x:si>
  <x:si>
    <x:t xml:space="preserve">소파 옆 주인공에서 조사 입력 1회 완료</x:t>
  </x:si>
  <x:si>
    <x:t xml:space="preserve">20초</x:t>
  </x:si>
  <x:si>
    <x:t xml:space="preserve">첫 상호작용 대상에 반짝임 표시</x:t>
  </x:si>
  <x:si>
    <x:t xml:space="preserve">동생에게 심부름 지시 받기</x:t>
  </x:si>
  <x:si>
    <x:t xml:space="preserve">대화 속에 다음 목적지와 필요한 물품 정보가 섞여 있음</x:t>
  </x:si>
  <x:si>
    <x:t xml:space="preserve">강조되는 핵심 단어와 NPC의 요구를 확인하며 대화를 끝까지 진행함</x:t>
  </x:si>
  <x:si>
    <x:t xml:space="preserve">1 – 대사 길이·핵심 정보의 명확성·선택지 수가 난이도를 결정함</x:t>
  </x:si>
  <x:si>
    <x:t xml:space="preserve">신상 과자·헤어롤·팝콘 심부름에 관한 대화를 마지막 문장까지 진행</x:t>
  </x:si>
  <x:si>
    <x:t xml:space="preserve">1분</x:t>
  </x:si>
  <x:si>
    <x:t xml:space="preserve">대화 종료 후 핵심 내용을 화면 한쪽에 요약 표시</x:t>
  </x:si>
  <x:si>
    <x:t xml:space="preserve">이동 조작 안내 확인</x:t>
  </x:si>
  <x:si>
    <x:t xml:space="preserve">여러 조작을 한 번에 제시하면 입력 방법을 혼동할 수 있음</x:t>
  </x:si>
  <x:si>
    <x:t xml:space="preserve">화면에 표시되는 키를 순서대로 입력하고 각 동작의 결과를 확인함</x:t>
  </x:si>
  <x:si>
    <x:t xml:space="preserve">1 – 동시에 제시되는 조작 수와 입력 허용 시간이 난이도를 결정함</x:t>
  </x:si>
  <x:si>
    <x:t xml:space="preserve">상하좌우 이동과 조사 키를 안내 순서대로 모두 수행</x:t>
  </x:si>
  <x:si>
    <x:t xml:space="preserve">40초</x:t>
  </x:si>
  <x:si>
    <x:t xml:space="preserve">입력하지 않은 키 안내를 계속 유지</x:t>
  </x:si>
  <x:si>
    <x:t xml:space="preserve">현관으로 이동하기</x:t>
  </x:si>
  <x:si>
    <x:t xml:space="preserve">갈림길과 주변 상호작용 오브젝트 때문에 목적지 방향을 놓칠 수 있음</x:t>
  </x:si>
  <x:si>
    <x:t xml:space="preserve">표지판·미니맵·NPC 이동 방향을 확인하며 거실에서 현관문까지 이동함</x:t>
  </x:si>
  <x:si>
    <x:t xml:space="preserve">1 – 맵 크기·갈림길 수·목적지 표식의 가시성이 난이도를 결정함</x:t>
  </x:si>
  <x:si>
    <x:t xml:space="preserve">거실에서 현관문의 도착 트리거에 진입</x:t>
  </x:si>
  <x:si>
    <x:t xml:space="preserve">30초</x:t>
  </x:si>
  <x:si>
    <x:t xml:space="preserve">일정 시간 정체 시 목적지 방향 화살표 표시</x:t>
  </x:si>
  <x:si>
    <x:t xml:space="preserve">집 밖으로 나가기</x:t>
  </x:si>
  <x:si>
    <x:t xml:space="preserve">조사 대상이 배경 오브젝트와 비슷해 상호작용 가능 여부를 놓칠 수 있음</x:t>
  </x:si>
  <x:si>
    <x:t xml:space="preserve">현관문 가까이 이동한 뒤 상호작용 아이콘이 나타날 때 조사함</x:t>
  </x:si>
  <x:si>
    <x:t xml:space="preserve">1 – 조사 대상의 크기·배경과의 대비·상호작용 범위가 난이도를 결정함</x:t>
  </x:si>
  <x:si>
    <x:t xml:space="preserve">현관문 조사 완료</x:t>
  </x:si>
  <x:si>
    <x:t xml:space="preserve">상호작용 가능 범위를 넓히고 아이콘 표시</x:t>
  </x:si>
  <x:si>
    <x:t xml:space="preserve">편의점으로 이동하기</x:t>
  </x:si>
  <x:si>
    <x:t xml:space="preserve">표지판·미니맵·NPC 이동 방향을 확인하며 아파트에서 편의점까지 이동함</x:t>
  </x:si>
  <x:si>
    <x:t xml:space="preserve">2 – 맵 크기·갈림길 수·목적지 표식의 가시성이 난이도를 결정함</x:t>
  </x:si>
  <x:si>
    <x:t xml:space="preserve">아파트에서 편의점의 도착 트리거에 진입</x:t>
  </x:si>
  <x:si>
    <x:t xml:space="preserve">1분 15초</x:t>
  </x:si>
  <x:si>
    <x:t xml:space="preserve">1-B | 편의점</x:t>
  </x:si>
  <x:si>
    <x:t xml:space="preserve">신상 과자 진열대 찾기</x:t>
  </x:si>
  <x:si>
    <x:t xml:space="preserve">비슷한 오브젝트와 진열대가 많아 목표 대상을 한 번에 찾기 어려움</x:t>
  </x:si>
  <x:si>
    <x:t xml:space="preserve">구역별 표지와 상품 외형을 비교하며 편의점 안 신상 과자 진열대를 조사함</x:t>
  </x:si>
  <x:si>
    <x:t xml:space="preserve">3 – 후보 오브젝트 수·외형 유사도·탐색 범위가 난이도를 결정함</x:t>
  </x:si>
  <x:si>
    <x:t xml:space="preserve">편의점 안 신상 과자 진열대 발견 및 조사 완료</x:t>
  </x:si>
  <x:si>
    <x:t xml:space="preserve">30초 이상 미발견 시 목표 구역에 약한 반짝임 표시</x:t>
  </x:si>
  <x:si>
    <x:t xml:space="preserve">품절 안내 조사하기</x:t>
  </x:si>
  <x:si>
    <x:t xml:space="preserve">비어 있는 진열칸과 손글씨 품절 안내 가까이 이동한 뒤 상호작용 아이콘이 나타날 때 조사함</x:t>
  </x:si>
  <x:si>
    <x:t xml:space="preserve">2 – 조사 대상의 크기·배경과의 대비·상호작용 범위가 난이도를 결정함</x:t>
  </x:si>
  <x:si>
    <x:t xml:space="preserve">비어 있는 진열칸과 손글씨 품절 안내 조사 완료</x:t>
  </x:si>
  <x:si>
    <x:t xml:space="preserve">35초</x:t>
  </x:si>
  <x:si>
    <x:t xml:space="preserve">알바생 NPC와 대화하기</x:t>
  </x:si>
  <x:si>
    <x:t xml:space="preserve">2 – 대사 길이·핵심 정보의 명확성·선택지 수가 난이도를 결정함</x:t>
  </x:si>
  <x:si>
    <x:t xml:space="preserve">재입고 시간과 물류 트럭 정보에 관한 대화를 마지막 문장까지 진행</x:t>
  </x:si>
  <x:si>
    <x:t xml:space="preserve">다이소로 이동하기</x:t>
  </x:si>
  <x:si>
    <x:t xml:space="preserve">표지판·미니맵·NPC 이동 방향을 확인하며 편의점에서 다이소까지 이동함</x:t>
  </x:si>
  <x:si>
    <x:t xml:space="preserve">편의점에서 다이소의 도착 트리거에 진입</x:t>
  </x:si>
  <x:si>
    <x:t xml:space="preserve">1-C | 다이소</x:t>
  </x:si>
  <x:si>
    <x:t xml:space="preserve">헤어롤 진열대 찾기</x:t>
  </x:si>
  <x:si>
    <x:t xml:space="preserve">구역별 표지와 상품 외형을 비교하며 생활용품 코너의 헤어롤을 조사함</x:t>
  </x:si>
  <x:si>
    <x:t xml:space="preserve">생활용품 코너의 헤어롤 발견 및 조사 완료</x:t>
  </x:si>
  <x:si>
    <x:t xml:space="preserve">1분 50초</x:t>
  </x:si>
  <x:si>
    <x:t xml:space="preserve">헤어롤 구매하기</x:t>
  </x:si>
  <x:si>
    <x:t xml:space="preserve">구매 대상·수량·결제 순서를 잘못 선택할 수 있음</x:t>
  </x:si>
  <x:si>
    <x:t xml:space="preserve">요청받은 품목을 확인하고 상품 선택→계산대 상호작용→결제를 순서대로 진행함</x:t>
  </x:si>
  <x:si>
    <x:t xml:space="preserve">2 – 상품 후보 수·품목 유사도·구매 단계 수가 난이도를 결정함</x:t>
  </x:si>
  <x:si>
    <x:t xml:space="preserve">헤어롤 1개 구매 후 인벤토리에 등록</x:t>
  </x:si>
  <x:si>
    <x:t xml:space="preserve">잘못된 품목 구매 시 다시 선택해야 함</x:t>
  </x:si>
  <x:si>
    <x:t xml:space="preserve">50초</x:t>
  </x:si>
  <x:si>
    <x:t xml:space="preserve">요청 품목에 작은 임무 아이콘 표시</x:t>
  </x:si>
  <x:si>
    <x:t xml:space="preserve">영화관으로 이동하기</x:t>
  </x:si>
  <x:si>
    <x:t xml:space="preserve">표지판·미니맵·NPC 이동 방향을 확인하며 다이소에서 영화관까지 이동함</x:t>
  </x:si>
  <x:si>
    <x:t xml:space="preserve">다이소에서 영화관의 도착 트리거에 진입</x:t>
  </x:si>
  <x:si>
    <x:t xml:space="preserve">2분</x:t>
  </x:si>
  <x:si>
    <x:t xml:space="preserve">1-D | 영화관</x:t>
  </x:si>
  <x:si>
    <x:t xml:space="preserve">팝콘 구매하기</x:t>
  </x:si>
  <x:si>
    <x:t xml:space="preserve">동생이 지정한 팝콘 구매 후 인벤토리에 등록</x:t>
  </x:si>
  <x:si>
    <x:t xml:space="preserve">1분 20초</x:t>
  </x:si>
  <x:si>
    <x:t xml:space="preserve">편의점 물류 트럭 발견하기</x:t>
  </x:si>
  <x:si>
    <x:t xml:space="preserve">짧은 시간 동안 화면을 지나가는 대상이라 시선을 다른 곳에 두면 놓칠 수 있음</x:t>
  </x:si>
  <x:si>
    <x:t xml:space="preserve">카메라 이동과 NPC 시선을 따라 영화관 출구 앞을 지나가는 편의점 물류 트럭을 확인함</x:t>
  </x:si>
  <x:si>
    <x:t xml:space="preserve">2 – 대상 노출 시간·화면 내 이동속도·시선 유도 강도가 난이도를 결정함</x:t>
  </x:si>
  <x:si>
    <x:t xml:space="preserve">영화관 출구 앞을 지나가는 편의점 물류 트럭을 화면 안에서 확인</x:t>
  </x:si>
  <x:si>
    <x:t xml:space="preserve">대상을 놓치면 짧은 연출이 다시 재생됨</x:t>
  </x:si>
  <x:si>
    <x:t xml:space="preserve">25초</x:t>
  </x:si>
  <x:si>
    <x:t xml:space="preserve">대상 등장 직전 효과음과 화면 가장자리 표시</x:t>
  </x:si>
  <x:si>
    <x:t xml:space="preserve">편의점 물류 트럭 따라가기</x:t>
  </x:si>
  <x:si>
    <x:t xml:space="preserve">대상이 빠르게 이동하고 시민과 건물이 시야를 가려 추적이 끊길 수 있음</x:t>
  </x:si>
  <x:si>
    <x:t xml:space="preserve">목표 아이콘과 도로 방향을 보며 허용 거리 안에서 물류 트럭을 따라감</x:t>
  </x:si>
  <x:si>
    <x:t xml:space="preserve">6 – 플레이어와 대상의 속도 차이·허용 거리·시야 차단물이 난이도를 결정함</x:t>
  </x:si>
  <x:si>
    <x:t xml:space="preserve">허용 거리 안에서 추적 종료 지점 도착</x:t>
  </x:si>
  <x:si>
    <x:t xml:space="preserve">대상과 6초 이상 거리 초과 시 추격 구간 재시작</x:t>
  </x:si>
  <x:si>
    <x:t xml:space="preserve">실패 2회 후 대상 속도 감소 및 경로 화살표 표시</x:t>
  </x:si>
  <x:si>
    <x:t xml:space="preserve">1-E | 편의점 재입고</x:t>
  </x:si>
  <x:si>
    <x:t xml:space="preserve">신상 과자 오픈런 참가하기</x:t>
  </x:si>
  <x:si>
    <x:t xml:space="preserve">여러 NPC가 동시에 진열대로 이동해 접근 경로와 상호작용 위치가 막힘</x:t>
  </x:si>
  <x:si>
    <x:t xml:space="preserve">군중의 이동 방향을 예측하고 빈 공간으로 우회해 편의점 진열대 앞 군중에 접근함</x:t>
  </x:si>
  <x:si>
    <x:t xml:space="preserve">6 – 경쟁 NPC 수·충돌 범위·재고 수량·접근 가능 시간이 난이도를 결정함</x:t>
  </x:si>
  <x:si>
    <x:t xml:space="preserve">재고가 남아 있을 때 목표 상품 상호작용 성공</x:t>
  </x:si>
  <x:si>
    <x:t xml:space="preserve">재고가 모두 소진되면 직전 체크포인트에서 재시도</x:t>
  </x:si>
  <x:si>
    <x:t xml:space="preserve">1분 40초</x:t>
  </x:si>
  <x:si>
    <x:t xml:space="preserve">재시도 시 경쟁 NPC 수 1명 감소</x:t>
  </x:si>
  <x:si>
    <x:t xml:space="preserve">신상 과자 구매하기</x:t>
  </x:si>
  <x:si>
    <x:t xml:space="preserve">3/10 – 상품 후보 수·품목 유사도·구매 단계 수가 난이도를 결정함</x:t>
  </x:si>
  <x:si>
    <x:t xml:space="preserve">신상 과자 1봉 구매 후 인벤토리에 등록</x:t>
  </x:si>
  <x:si>
    <x:t xml:space="preserve">55초</x:t>
  </x:si>
  <x:si>
    <x:t xml:space="preserve">동생 연락 받기</x:t>
  </x:si>
  <x:si>
    <x:t xml:space="preserve">2/10 – 대사 길이·핵심 정보의 명확성·선택지 수가 난이도를 결정함</x:t>
  </x:si>
  <x:si>
    <x:t xml:space="preserve">중고 거래 물품 수령 요청에 관한 대화를 마지막 문장까지 진행</x:t>
  </x:si>
  <x:si>
    <x:t xml:space="preserve">1분 10초</x:t>
  </x:si>
  <x:si>
    <x:t xml:space="preserve">지하철역으로 이동하기</x:t>
  </x:si>
  <x:si>
    <x:t xml:space="preserve">표지판·미니맵·NPC 이동 방향을 확인하며 편의점에서 지하철역 개찰구까지 이동함</x:t>
  </x:si>
  <x:si>
    <x:t xml:space="preserve">2/10 – 맵 크기·갈림길 수·목적지 표식의 가시성이 난이도를 결정함</x:t>
  </x:si>
  <x:si>
    <x:t xml:space="preserve">편의점에서 지하철역 개찰구의 도착 트리거에 진입</x:t>
  </x:si>
  <x:si>
    <x:t xml:space="preserve">2분 30초</x:t>
  </x:si>
  <x:si>
    <x:t xml:space="preserve">1-F | 지하철역</x:t>
  </x:si>
  <x:si>
    <x:t xml:space="preserve">거래자 후보 3명 관찰하기</x:t>
  </x:si>
  <x:si>
    <x:t xml:space="preserve">중요한 단서가 여러 인물과 배경 오브젝트 사이에 분산되어 있음</x:t>
  </x:si>
  <x:si>
    <x:t xml:space="preserve">시선·행동·복장·주변 오브젝트를 순서대로 확인해 회색 후드 특징이 겹치는 세 명의 후보의 특징을 파악함</x:t>
  </x:si>
  <x:si>
    <x:t xml:space="preserve">5/10 – 관찰 대상 수·단서의 명확성·외형 유사도가 난이도를 결정함</x:t>
  </x:si>
  <x:si>
    <x:t xml:space="preserve">필수 관찰 대상 모두 조사</x:t>
  </x:si>
  <x:si>
    <x:t xml:space="preserve">필수 대상 위에 짧은 시선 유도 아이콘 표시</x:t>
  </x:si>
  <x:si>
    <x:t xml:space="preserve">중고 거래자 찾기</x:t>
  </x:si>
  <x:si>
    <x:t xml:space="preserve">후보들이 공통 특징을 가지고 있어 한 가지 단서만으로는 구별할 수 없음</x:t>
  </x:si>
  <x:si>
    <x:t xml:space="preserve">복장·소지품·대화 반응을 함께 비교해 대화 단서와 복장 단서가 일치하는 거래자를 선택함</x:t>
  </x:si>
  <x:si>
    <x:t xml:space="preserve">6/10 – 후보 수·공통 특징 수·추가 단서의 명확성이 난이도를 결정함</x:t>
  </x:si>
  <x:si>
    <x:t xml:space="preserve">올바른 거래자와 대화 시작</x:t>
  </x:si>
  <x:si>
    <x:t xml:space="preserve">오답 후보 선택 시 경계 대사가 출력되고 다시 선택</x:t>
  </x:si>
  <x:si>
    <x:t xml:space="preserve">오답 2회 후 확인하지 않은 단서 목록 표시</x:t>
  </x:si>
  <x:si>
    <x:t xml:space="preserve">중고 거래 완료하기</x:t>
  </x:si>
  <x:si>
    <x:t xml:space="preserve">2/10 – 상품 후보 수·품목 유사도·구매 단계 수가 난이도를 결정함</x:t>
  </x:si>
  <x:si>
    <x:t xml:space="preserve">동생이 부탁한 중고 물품 구매 후 인벤토리에 등록</x:t>
  </x:si>
  <x:si>
    <x:t xml:space="preserve">1분 5초</x:t>
  </x:si>
  <x:si>
    <x:t xml:space="preserve">집으로 돌아가는 길에 공원 진입하기</x:t>
  </x:si>
  <x:si>
    <x:t xml:space="preserve">표지판·미니맵·NPC 이동 방향을 확인하며 지하철역에서 축제 종료 공원까지 이동함</x:t>
  </x:si>
  <x:si>
    <x:t xml:space="preserve">지하철역에서 축제 종료 공원의 도착 트리거에 진입</x:t>
  </x:si>
  <x:si>
    <x:t xml:space="preserve">1-G | 공원 진입</x:t>
  </x:si>
  <x:si>
    <x:t xml:space="preserve">2 | 공원 청소</x:t>
  </x:si>
  <x:si>
    <x:t xml:space="preserve">축제 종료 현장 관찰하기</x:t>
  </x:si>
  <x:si>
    <x:t xml:space="preserve">시선·행동·복장·주변 오브젝트를 순서대로 확인해 떠나는 시민과 공원에 남은 쓰레기의 특징을 파악함</x:t>
  </x:si>
  <x:si>
    <x:t xml:space="preserve">3/10 – 관찰 대상 수·단서의 명확성·외형 유사도가 난이도를 결정함</x:t>
  </x:si>
  <x:si>
    <x:t xml:space="preserve">2-A | 공원 축제·청소</x:t>
  </x:si>
  <x:si>
    <x:t xml:space="preserve">아이가 쓰레기에 걸려 넘어질 뻔한 장면 목격하기</x:t>
  </x:si>
  <x:si>
    <x:t xml:space="preserve">짧은 연출 안에서 사건의 원인과 인물의 태도를 동시에 이해해야 함</x:t>
  </x:si>
  <x:si>
    <x:t xml:space="preserve">카메라가 강조하는 인물과 오브젝트를 보며 아이와 가족의 행동을 확인함</x:t>
  </x:si>
  <x:si>
    <x:t xml:space="preserve">1/10 – 연출 속도·동시에 제시되는 정보량이 난이도를 결정함</x:t>
  </x:si>
  <x:si>
    <x:t xml:space="preserve">사건 연출 종료</x:t>
  </x:si>
  <x:si>
    <x:t xml:space="preserve">핵심 오브젝트에 카메라 줌과 효과음 적용</x:t>
  </x:si>
  <x:si>
    <x:t xml:space="preserve">쓰레기를 치우기로 결정하기</x:t>
  </x:si>
  <x:si>
    <x:t xml:space="preserve">두 선택 모두 이후 상황에 영향을 주므로 감정적 판단 부담이 발생함</x:t>
  </x:si>
  <x:si>
    <x:t xml:space="preserve">현재 상황과 주인공의 독백을 확인한 뒤 공원을 지나갈지 쓰레기를 치울지 판단에 대한 행동을 결정함</x:t>
  </x:si>
  <x:si>
    <x:t xml:space="preserve">3/10 – 정보의 불완전성·결과 예측 가능성·감정적 부담이 난이도를 결정함</x:t>
  </x:si>
  <x:si>
    <x:t xml:space="preserve">선택지 1개 확정</x:t>
  </x:si>
  <x:si>
    <x:t xml:space="preserve">45초</x:t>
  </x:si>
  <x:si>
    <x:t xml:space="preserve">선택 직전 핵심 상황을 한 문장으로 다시 표시</x:t>
  </x:si>
  <x:si>
    <x:t xml:space="preserve">청소 도구 찾기</x:t>
  </x:si>
  <x:si>
    <x:t xml:space="preserve">구역별 표지와 상품 외형을 비교하며 공원 관리함의 집게와 봉투를 조사함</x:t>
  </x:si>
  <x:si>
    <x:t xml:space="preserve">3/10 – 후보 오브젝트 수·외형 유사도·탐색 범위가 난이도를 결정함</x:t>
  </x:si>
  <x:si>
    <x:t xml:space="preserve">공원 관리함의 집게와 봉투 발견 및 조사 완료</x:t>
  </x:si>
  <x:si>
    <x:t xml:space="preserve">1분 25초</x:t>
  </x:si>
  <x:si>
    <x:t xml:space="preserve">첫 쓰레기 줍기</x:t>
  </x:si>
  <x:si>
    <x:t xml:space="preserve">수거 대상과 배경 장식의 차이를 처음에는 구별하기 어려움</x:t>
  </x:si>
  <x:si>
    <x:t xml:space="preserve">반짝임 표시가 있는 산책로의 첫 쓰레기에 접근해 줍기 입력을 수행함</x:t>
  </x:si>
  <x:si>
    <x:t xml:space="preserve">2/10 – 대상 가시성·입력 단계 수가 난이도를 결정함</x:t>
  </x:si>
  <x:si>
    <x:t xml:space="preserve">안내된 수거 행동 3회 완료</x:t>
  </x:si>
  <x:si>
    <x:t xml:space="preserve">수거 대상 반짝임과 상호작용 범위를 크게 설정</x:t>
  </x:si>
  <x:si>
    <x:t xml:space="preserve">잔디 구역 쓰레기 수거하기</x:t>
  </x:si>
  <x:si>
    <x:t xml:space="preserve">쓰레기가 넓은 구역과 가려진 틈에 흩어져 있어 남은 대상을 찾기 어려움</x:t>
  </x:si>
  <x:si>
    <x:t xml:space="preserve">구역을 일정한 방향으로 순회하고 반짝임·잔여 개수 UI를 확인하며 잔디 구역 쓰레기 8개를 수거함</x:t>
  </x:si>
  <x:si>
    <x:t xml:space="preserve">4/10 – 목표 수량·배치 밀도·가림 오브젝트·탐색 범위가 난이도를 결정함</x:t>
  </x:si>
  <x:si>
    <x:t xml:space="preserve">잔디 구역 쓰레기 8개 전부 수거</x:t>
  </x:si>
  <x:si>
    <x:t xml:space="preserve">필수 수량을 채우지 못하면 다음 구역 진행 불가</x:t>
  </x:si>
  <x:si>
    <x:t xml:space="preserve">3분</x:t>
  </x:si>
  <x:si>
    <x:t xml:space="preserve">60초 이상 미발견 시 가장 가까운 미수거 대상 방향 표시</x:t>
  </x:si>
  <x:si>
    <x:t xml:space="preserve">산책로 쓰레기 수거하기</x:t>
  </x:si>
  <x:si>
    <x:t xml:space="preserve">구역을 일정한 방향으로 순회하고 반짝임·잔여 개수 UI를 확인하며 산책로 쓰레기 7개를 수거함</x:t>
  </x:si>
  <x:si>
    <x:t xml:space="preserve">산책로 쓰레기 7개 전부 수거</x:t>
  </x:si>
  <x:si>
    <x:t xml:space="preserve">2분 40초</x:t>
  </x:si>
  <x:si>
    <x:t xml:space="preserve">벤치 주변 쓰레기 수거하기</x:t>
  </x:si>
  <x:si>
    <x:t xml:space="preserve">구역을 일정한 방향으로 순회하고 반짝임·잔여 개수 UI를 확인하며 벤치와 가려진 틈의 쓰레기 6개를 수거함</x:t>
  </x:si>
  <x:si>
    <x:t xml:space="preserve">5/10 – 목표 수량·배치 밀도·가림 오브젝트·탐색 범위가 난이도를 결정함</x:t>
  </x:si>
  <x:si>
    <x:t xml:space="preserve">벤치와 가려진 틈의 쓰레기 6개 전부 수거</x:t>
  </x:si>
  <x:si>
    <x:t xml:space="preserve">한도윤과 대화하기</x:t>
  </x:si>
  <x:si>
    <x:t xml:space="preserve">혼자 청소하는 이유와 도움 제안에 관한 대화를 마지막 문장까지 진행</x:t>
  </x:si>
  <x:si>
    <x:t xml:space="preserve">한도윤과 구역 분담하기</x:t>
  </x:si>
  <x:si>
    <x:t xml:space="preserve">동료가 담당하는 구역과 플레이어 구역이 겹치면 불필요한 이동이 발생함</x:t>
  </x:si>
  <x:si>
    <x:t xml:space="preserve">대화에서 정한 담당 구역을 확인하고 서로 다른 공원 구역를 순서대로 처리함</x:t>
  </x:si>
  <x:si>
    <x:t xml:space="preserve">4/10 – 구역 수·동료 행동 예측 가능성·이동 동선이 난이도를 결정함</x:t>
  </x:si>
  <x:si>
    <x:t xml:space="preserve">플레이어 담당 구역의 목표 수량 달성</x:t>
  </x:si>
  <x:si>
    <x:t xml:space="preserve">2분 20초</x:t>
  </x:si>
  <x:si>
    <x:t xml:space="preserve">미니맵에 담당 구역을 서로 다른 테두리로 표시</x:t>
  </x:si>
  <x:si>
    <x:t xml:space="preserve">우정 반지 단서 발견하기</x:t>
  </x:si>
  <x:si>
    <x:t xml:space="preserve">작은 단서가 쓰레기와 배경에 섞여 있어 일반 수거물로 오인할 수 있음</x:t>
  </x:si>
  <x:si>
    <x:t xml:space="preserve">중학생이 잃어버린 반지의 흔적의 형태와 주변 대사를 확인하고 별도 조사함</x:t>
  </x:si>
  <x:si>
    <x:t xml:space="preserve">4/10 – 단서 크기·배경 대비·오인 가능성이 난이도를 결정함</x:t>
  </x:si>
  <x:si>
    <x:t xml:space="preserve">필수 단서 모두 조사</x:t>
  </x:si>
  <x:si>
    <x:t xml:space="preserve">단서를 버리려 하면 경고 후 행동 취소</x:t>
  </x:si>
  <x:si>
    <x:t xml:space="preserve">단서에 일반 쓰레기와 다른 약한 빛 효과 적용</x:t>
  </x:si>
  <x:si>
    <x:t xml:space="preserve">우정 반지 찾기</x:t>
  </x:si>
  <x:si>
    <x:t xml:space="preserve">목표물이 작고 수거 가능한 쓰레기 사이에 섞여 있어 탐색 부담이 큼</x:t>
  </x:si>
  <x:si>
    <x:t xml:space="preserve">마지막 목격 위치와 반짝임 주기를 이용해 쓰레기 사이에 섞인 작은 반지를 찾음</x:t>
  </x:si>
  <x:si>
    <x:t xml:space="preserve">6/10 – 목표물 크기·탐색 범위·가짜 후보 수가 난이도를 결정함</x:t>
  </x:si>
  <x:si>
    <x:t xml:space="preserve">쓰레기 사이에 섞인 작은 반지 발견 후 획득</x:t>
  </x:si>
  <x:si>
    <x:t xml:space="preserve">2분 50초</x:t>
  </x:si>
  <x:si>
    <x:t xml:space="preserve">90초 이상 미발견 시 탐색 범위를 단계적으로 축소</x:t>
  </x:si>
  <x:si>
    <x:t xml:space="preserve">중학생에게 반지 전달하기</x:t>
  </x:si>
  <x:si>
    <x:t xml:space="preserve">비슷한 복장의 NPC가 있어 물건의 주인을 잘못 선택할 수 있음</x:t>
  </x:si>
  <x:si>
    <x:t xml:space="preserve">의뢰 대사와 위치를 확인한 뒤 반지의 주인에게 전달함</x:t>
  </x:si>
  <x:si>
    <x:t xml:space="preserve">2/10 – NPC 후보 수·위치 이동 여부·의뢰 단서 명확성이 난이도를 결정함</x:t>
  </x:si>
  <x:si>
    <x:t xml:space="preserve">올바른 NPC에게 물품 전달</x:t>
  </x:si>
  <x:si>
    <x:t xml:space="preserve">오답 NPC 선택 시 전달이 취소되고 다시 선택</x:t>
  </x:si>
  <x:si>
    <x:t xml:space="preserve">의뢰 NPC 머리 위에 약한 대화 아이콘 표시</x:t>
  </x:si>
  <x:si>
    <x:t xml:space="preserve">남은 쓰레기 확인하기</x:t>
  </x:si>
  <x:si>
    <x:t xml:space="preserve">완료한 것처럼 보여도 남은 대상이나 오분류 항목이 존재할 수 있음</x:t>
  </x:si>
  <x:si>
    <x:t xml:space="preserve">잔여 수량과 각 구역 상태를 확인해 공원 미수거 구역과 남은 수량의 미완료 항목을 점검함</x:t>
  </x:si>
  <x:si>
    <x:t xml:space="preserve">4/10 – 검사 항목 수·오류 위치의 분산 정도가 난이도를 결정함</x:t>
  </x:si>
  <x:si>
    <x:t xml:space="preserve">잔여 수량 0 및 오류 항목 0</x:t>
  </x:si>
  <x:si>
    <x:t xml:space="preserve">조건 미달 시 완료 상호작용이 비활성화됨</x:t>
  </x:si>
  <x:si>
    <x:t xml:space="preserve">미완료 구역과 오류 수량을 별도 UI로 표시</x:t>
  </x:si>
  <x:si>
    <x:t xml:space="preserve">분리수거장으로 이동하기</x:t>
  </x:si>
  <x:si>
    <x:t xml:space="preserve">표지판·미니맵·NPC 이동 방향을 확인하며 공원에서 분리수거장까지 이동함</x:t>
  </x:si>
  <x:si>
    <x:t xml:space="preserve">공원에서 분리수거장의 도착 트리거에 진입</x:t>
  </x:si>
  <x:si>
    <x:t xml:space="preserve">2-B | 분리수거장</x:t>
  </x:si>
  <x:si>
    <x:t xml:space="preserve">일반쓰레기 분류하기</x:t>
  </x:si>
  <x:si>
    <x:t xml:space="preserve">외형이 비슷하거나 내용물이 남은 쓰레기는 분류 기준을 혼동하기 쉬움</x:t>
  </x:si>
  <x:si>
    <x:t xml:space="preserve">재질·오염 여부·남은 내용물을 확인하고 일반쓰레기 8개를 올바른 수거함에 넣음</x:t>
  </x:si>
  <x:si>
    <x:t xml:space="preserve">4/10 – 분류 종류 수·외형 유사도·오답 허용 횟수가 난이도를 결정함</x:t>
  </x:si>
  <x:si>
    <x:t xml:space="preserve">일반쓰레기 8개 전부 올바르게 분류</x:t>
  </x:si>
  <x:si>
    <x:t xml:space="preserve">오분류 5회 누적 시 해당 분류 단계 재시작</x:t>
  </x:si>
  <x:si>
    <x:t xml:space="preserve">오답 2회 후 분류 기준 그림 표시</x:t>
  </x:si>
  <x:si>
    <x:t xml:space="preserve">재활용품 분류하기</x:t>
  </x:si>
  <x:si>
    <x:t xml:space="preserve">재질·오염 여부·남은 내용물을 확인하고 플라스틱·캔·종이 10개를 올바른 수거함에 넣음</x:t>
  </x:si>
  <x:si>
    <x:t xml:space="preserve">6/10 – 분류 종류 수·외형 유사도·오답 허용 횟수가 난이도를 결정함</x:t>
  </x:si>
  <x:si>
    <x:t xml:space="preserve">플라스틱·캔·종이 10개 전부 올바르게 분류</x:t>
  </x:si>
  <x:si>
    <x:t xml:space="preserve">오염된 쓰레기 분류하기</x:t>
  </x:si>
  <x:si>
    <x:t xml:space="preserve">재질·오염 여부·남은 내용물을 확인하고 내용물이 남거나 오염된 쓰레기 6개를 올바른 수거함에 넣음</x:t>
  </x:si>
  <x:si>
    <x:t xml:space="preserve">7/10 – 분류 종류 수·외형 유사도·오답 허용 횟수가 난이도를 결정함</x:t>
  </x:si>
  <x:si>
    <x:t xml:space="preserve">내용물이 남거나 오염된 쓰레기 6개 전부 올바르게 분류</x:t>
  </x:si>
  <x:si>
    <x:t xml:space="preserve">분리수거 완료하기</x:t>
  </x:si>
  <x:si>
    <x:t xml:space="preserve">잔여 수량과 각 구역 상태를 확인해 모든 분류함과 오분류 여부의 미완료 항목을 점검함</x:t>
  </x:si>
  <x:si>
    <x:t xml:space="preserve">균열 발생을 목격하기</x:t>
  </x:si>
  <x:si>
    <x:t xml:space="preserve">카메라가 강조하는 인물과 오브젝트를 보며 분리수거장 바닥에서 열리는 도덕 균열를 확인함</x:t>
  </x:si>
  <x:si>
    <x:t xml:space="preserve">2-C | 균열 발생</x:t>
  </x:si>
  <x:si>
    <x:t xml:space="preserve">균열 구경하기</x:t>
  </x:si>
  <x:si>
    <x:t xml:space="preserve">시선·행동·복장·주변 오브젝트를 순서대로 확인해 균열의 빛·소리·주변 반응의 특징을 파악함</x:t>
  </x:si>
  <x:si>
    <x:t xml:space="preserve">4/10 – 관찰 대상 수·단서의 명확성·외형 유사도가 난이도를 결정함</x:t>
  </x:si>
  <x:si>
    <x:t xml:space="preserve">1분 35초</x:t>
  </x:si>
  <x:si>
    <x:t xml:space="preserve">집으로 귀가하기</x:t>
  </x:si>
  <x:si>
    <x:t xml:space="preserve">표지판·미니맵·NPC 이동 방향을 확인하며 공원에서 집까지 이동함</x:t>
  </x:si>
  <x:si>
    <x:t xml:space="preserve">공원에서 집의 도착 트리거에 진입</x:t>
  </x:si>
  <x:si>
    <x:t xml:space="preserve">2-D | 귀가·밤</x:t>
  </x:si>
  <x:si>
    <x:t xml:space="preserve">잠자기</x:t>
  </x:si>
  <x:si>
    <x:t xml:space="preserve">다음 날로 넘어가는 상호작용임을 알아차리지 못할 수 있음</x:t>
  </x:si>
  <x:si>
    <x:t xml:space="preserve">침대를 조사하고 휴식 확인 선택지를 선택함</x:t>
  </x:si>
  <x:si>
    <x:t xml:space="preserve">1/10 – 상호작용 대상의 명확성이 난이도를 결정함</x:t>
  </x:si>
  <x:si>
    <x:t xml:space="preserve">잠자기 확인 후 다음 장면 전환</x:t>
  </x:si>
  <x:si>
    <x:t xml:space="preserve">침대에 임무 아이콘 표시</x:t>
  </x:si>
  <x:si>
    <x:t xml:space="preserve">3 | 재난 대응</x:t>
  </x:si>
  <x:si>
    <x:t xml:space="preserve">새벽 재난 문자 확인하기</x:t>
  </x:si>
  <x:si>
    <x:t xml:space="preserve">재난 문자와 주변 효과음이 동시에 출력되어 핵심 행동을 놓칠 수 있음</x:t>
  </x:si>
  <x:si>
    <x:t xml:space="preserve">균열 인근 대피 안내의 대피 위치와 위험 지역을 먼저 확인함</x:t>
  </x:si>
  <x:si>
    <x:t xml:space="preserve">2/10 – 동시 정보량·경고 문구의 명확성이 난이도를 결정함</x:t>
  </x:si>
  <x:si>
    <x:t xml:space="preserve">재난 문자 핵심 항목 확인</x:t>
  </x:si>
  <x:si>
    <x:t xml:space="preserve">문자를 닫은 뒤 화면에 대피 목표를 고정 표시</x:t>
  </x:si>
  <x:si>
    <x:t xml:space="preserve">3-A | 아파트 재난</x:t>
  </x:si>
  <x:si>
    <x:t xml:space="preserve">가족 찾기</x:t>
  </x:si>
  <x:si>
    <x:t xml:space="preserve">3/10 – 대사 길이·핵심 정보의 명확성·선택지 수가 난이도를 결정함</x:t>
  </x:si>
  <x:si>
    <x:t xml:space="preserve">부모와 동생에 관한 대화를 마지막 문장까지 진행</x:t>
  </x:si>
  <x:si>
    <x:t xml:space="preserve">비상 물품 챙기기</x:t>
  </x:si>
  <x:si>
    <x:t xml:space="preserve">제한된 가방 칸 때문에 모든 물품을 챙길 수 없고 우선순위 판단이 필요함</x:t>
  </x:si>
  <x:si>
    <x:t xml:space="preserve">대피 상황에 필요한 물품을 비교해 가방·물·손전등·구급품 중 필수 물품를 선택함</x:t>
  </x:si>
  <x:si>
    <x:t xml:space="preserve">5/10 – 후보 물품 수·인벤토리 제한·필수 조합 수가 난이도를 결정함</x:t>
  </x:si>
  <x:si>
    <x:t xml:space="preserve">필수 물품이 포함된 상태로 준비 완료</x:t>
  </x:si>
  <x:si>
    <x:t xml:space="preserve">필수 물품이 없으면 확인 단계에서 진행 불가</x:t>
  </x:si>
  <x:si>
    <x:t xml:space="preserve">필수 물품 누락 시 용도 힌트 표시</x:t>
  </x:si>
  <x:si>
    <x:t xml:space="preserve">가족들 대피시키기</x:t>
  </x:si>
  <x:si>
    <x:t xml:space="preserve">동행 NPC가 장애물에 걸리거나 플레이어와 멀어지면 대피가 중단됨</x:t>
  </x:si>
  <x:si>
    <x:t xml:space="preserve">동행자 속도에 맞춰 이동하고 위험 구역 앞에서 부모와 동생를 기다림</x:t>
  </x:si>
  <x:si>
    <x:t xml:space="preserve">6/10 – 동행 인원·속도 차이·장애물 수·허용 거리가 난이도를 결정함</x:t>
  </x:si>
  <x:si>
    <x:t xml:space="preserve">모든 동행 NPC가 대피 지점 도착</x:t>
  </x:si>
  <x:si>
    <x:t xml:space="preserve">동행 NPC가 위험 구역에 8초 이상 고립되면 재시작</x:t>
  </x:si>
  <x:si>
    <x:t xml:space="preserve">동행 NPC가 멀어지면 화면 가장자리에 방향 표시</x:t>
  </x:si>
  <x:si>
    <x:t xml:space="preserve">아파트 계단으로 이동하기</x:t>
  </x:si>
  <x:si>
    <x:t xml:space="preserve">좁은 통로·어두운 조명·장애물로 이동 경로가 제한됨</x:t>
  </x:si>
  <x:si>
    <x:t xml:space="preserve">손전등과 안전한 발판을 확인하며 정전된 계단를 통과함</x:t>
  </x:si>
  <x:si>
    <x:t xml:space="preserve">5/10 – 통로 폭·시야 범위·장애물 간격이 난이도를 결정함</x:t>
  </x:si>
  <x:si>
    <x:t xml:space="preserve">다음 층 도착 트리거 진입</x:t>
  </x:si>
  <x:si>
    <x:t xml:space="preserve">낙하 또는 장애물 피격 3회 시 구간 재시작</x:t>
  </x:si>
  <x:si>
    <x:t xml:space="preserve">안전 발판 테두리와 체크포인트 제공</x:t>
  </x:si>
  <x:si>
    <x:t xml:space="preserve">3-B | 대피 경로</x:t>
  </x:si>
  <x:si>
    <x:t xml:space="preserve">이웃 주민 구조하기</x:t>
  </x:si>
  <x:si>
    <x:t xml:space="preserve">위험이 지속되는 동안 대상 상태를 확인하고 구조 행동을 여러 번 수행해야 함</x:t>
  </x:si>
  <x:si>
    <x:t xml:space="preserve">위험 패턴이 멈춘 순간에 접근해 계단에 쓰러진 이웃 주민를 안전 지점으로 옮김</x:t>
  </x:si>
  <x:si>
    <x:t xml:space="preserve">7/10 – 위험 주기·대상 체력·이동 거리·구조 단계 수가 난이도를 결정함</x:t>
  </x:si>
  <x:si>
    <x:t xml:space="preserve">구조 대상이 안전 지점 도착</x:t>
  </x:si>
  <x:si>
    <x:t xml:space="preserve">구조 대상 체력이 0이 되면 체크포인트 재시작</x:t>
  </x:si>
  <x:si>
    <x:t xml:space="preserve">대상 체력 경고와 안전 경로 표시</x:t>
  </x:si>
  <x:si>
    <x:t xml:space="preserve">아파트 밖으로 탈출하기</x:t>
  </x:si>
  <x:si>
    <x:t xml:space="preserve">출구가 무너지고 안전 경로가 짧은 시간마다 바뀜</x:t>
  </x:si>
  <x:si>
    <x:t xml:space="preserve">붕괴 경고 표시를 보고 붕괴되는 출입구의 열린 통로로 빠르게 이동함</x:t>
  </x:si>
  <x:si>
    <x:t xml:space="preserve">7/10 – 제한시간·안전 경로 폭·장애물 발생 주기가 난이도를 결정함</x:t>
  </x:si>
  <x:si>
    <x:t xml:space="preserve">제한시간 안에 탈출 지점 도착</x:t>
  </x:si>
  <x:si>
    <x:t xml:space="preserve">제한시간 종료 또는 3회 피격 시 재시작</x:t>
  </x:si>
  <x:si>
    <x:t xml:space="preserve">실패 후 제한시간 10초 증가</x:t>
  </x:si>
  <x:si>
    <x:t xml:space="preserve">안전 구역으로 이동하기</x:t>
  </x:si>
  <x:si>
    <x:t xml:space="preserve">표지판·미니맵·NPC 이동 방향을 확인하며 아파트에서 임시 안전 구역까지 이동함</x:t>
  </x:si>
  <x:si>
    <x:t xml:space="preserve">5/10 – 맵 크기·갈림길 수·목적지 표식의 가시성이 난이도를 결정함</x:t>
  </x:si>
  <x:si>
    <x:t xml:space="preserve">아파트에서 임시 안전 구역의 도착 트리거에 진입</x:t>
  </x:si>
  <x:si>
    <x:t xml:space="preserve">괴물의 첫 습격 회피하기</x:t>
  </x:si>
  <x:si>
    <x:t xml:space="preserve">적의 시야와 공격 범위가 넓어 직선 이동만으로는 회피하기 어려움</x:t>
  </x:si>
  <x:si>
    <x:t xml:space="preserve">장애물 뒤로 이동하고 공격 예고를 확인하며 새벽에 출현한 균열 괴물의 공격을 피함</x:t>
  </x:si>
  <x:si>
    <x:t xml:space="preserve">7/10 – 적 속도·공격 범위·예고 시간·안전 지점 수가 난이도를 결정함</x:t>
  </x:si>
  <x:si>
    <x:t xml:space="preserve">회피 구간 종료 지점 도착</x:t>
  </x:si>
  <x:si>
    <x:t xml:space="preserve">체력 0 또는 연속 피격 4회 시 체크포인트 재시작</x:t>
  </x:si>
  <x:si>
    <x:t xml:space="preserve">공격 예고 시간을 늘리고 안전 지점 표시</x:t>
  </x:si>
  <x:si>
    <x:t xml:space="preserve">한도윤과 합류하기</x:t>
  </x:si>
  <x:si>
    <x:t xml:space="preserve">혼란 속에서 신호를 보내는 한도윤에 관한 대화를 마지막 문장까지 진행</x:t>
  </x:si>
  <x:si>
    <x:t xml:space="preserve">임시 대피소 도착하기</x:t>
  </x:si>
  <x:si>
    <x:t xml:space="preserve">표지판·미니맵·NPC 이동 방향을 확인하며 임시 대피소까지 이동함</x:t>
  </x:si>
  <x:si>
    <x:t xml:space="preserve">4/10 – 맵 크기·갈림길 수·목적지 표식의 가시성이 난이도를 결정함</x:t>
  </x:si>
  <x:si>
    <x:t xml:space="preserve">임시 대피소의 도착 트리거에 진입</x:t>
  </x:si>
  <x:si>
    <x:t xml:space="preserve">3-C | 대피소·선의관리국</x:t>
  </x:si>
  <x:si>
    <x:t xml:space="preserve">선의관리국 안내 듣기</x:t>
  </x:si>
  <x:si>
    <x:t xml:space="preserve">선의 측정과 등급제 설명에 관한 대화를 마지막 문장까지 진행</x:t>
  </x:si>
  <x:si>
    <x:t xml:space="preserve">선의 측정 받기</x:t>
  </x:si>
  <x:si>
    <x:t xml:space="preserve">장치 반응과 안내 문구가 평소와 달라 오류인지 결과인지 판단하기 어려움</x:t>
  </x:si>
  <x:si>
    <x:t xml:space="preserve">안내에 따라 손을 올리고 재측정 절차를 완료해 선의 측정 장치를 확인함</x:t>
  </x:si>
  <x:si>
    <x:t xml:space="preserve">4/10 – 측정 단계 수·대기 시간·비정상 결과의 설명 명확성이 난이도를 결정함</x:t>
  </x:si>
  <x:si>
    <x:t xml:space="preserve">측정 절차 모두 완료</x:t>
  </x:si>
  <x:si>
    <x:t xml:space="preserve">중간 이탈 시 측정 단계 처음부터 재진행</x:t>
  </x:si>
  <x:si>
    <x:t xml:space="preserve">현재 측정 단계와 남은 시간을 표시</x:t>
  </x:si>
  <x:si>
    <x:t xml:space="preserve">무한대 수치 재측정하기</x:t>
  </x:si>
  <x:si>
    <x:t xml:space="preserve">안내에 따라 손을 올리고 재측정 절차를 완료해 오류로 의심받는 무한대 수치를 확인함</x:t>
  </x:si>
  <x:si>
    <x:t xml:space="preserve">5/10 – 측정 단계 수·대기 시간·비정상 결과의 설명 명확성이 난이도를 결정함</x:t>
  </x:si>
  <x:si>
    <x:t xml:space="preserve">2분 10초</x:t>
  </x:si>
  <x:si>
    <x:t xml:space="preserve">영웅화 보도 확인하기</x:t>
  </x:si>
  <x:si>
    <x:t xml:space="preserve">방송 화면·시민 반응·관리국 설명이 동시에 제시되어 의미가 분산됨</x:t>
  </x:si>
  <x:si>
    <x:t xml:space="preserve">주요 보도 문구와 주변 인물 반응을 순서대로 확인해 생방송과 주변 시민의 반응을 확인함</x:t>
  </x:si>
  <x:si>
    <x:t xml:space="preserve">3/10 – 동시 정보량·필수 관찰 대상 수가 난이도를 결정함</x:t>
  </x:si>
  <x:si>
    <x:t xml:space="preserve">필수 방송 및 NPC 반응 확인</x:t>
  </x:si>
  <x:si>
    <x:t xml:space="preserve">필수 확인 대상을 목록으로 표시</x:t>
  </x:si>
  <x:si>
    <x:t xml:space="preserve">호화 숙소와 전용 지원 제안 받기</x:t>
  </x:si>
  <x:si>
    <x:t xml:space="preserve">호의처럼 보이는 제안 안에 이후 행동을 제한하는 조건이 포함되어 있음</x:t>
  </x:si>
  <x:si>
    <x:t xml:space="preserve">제안 내용과 조건을 확인해 영웅 대우를 전제로 한 관리국의 제안의 의미를 파악함</x:t>
  </x:si>
  <x:si>
    <x:t xml:space="preserve">3/10 – 조건 문구의 간접성·선택지의 감정적 부담이 난이도를 결정함</x:t>
  </x:si>
  <x:si>
    <x:t xml:space="preserve">제안 대화 종료</x:t>
  </x:si>
  <x:si>
    <x:t xml:space="preserve">제안 조건의 핵심 문구를 강조</x:t>
  </x:si>
  <x:si>
    <x:t xml:space="preserve">첫 구조 임무 수락하기</x:t>
  </x:si>
  <x:si>
    <x:t xml:space="preserve">임무 목표와 위험 요소가 한 번에 제시되어 우선순위를 놓칠 수 있음</x:t>
  </x:si>
  <x:si>
    <x:t xml:space="preserve">요청 지역·구조 대상·예상 위험을 확인한 뒤 도심 잔해 구역 구조 요청를 수락함</x:t>
  </x:si>
  <x:si>
    <x:t xml:space="preserve">3/10 – 목표 수·위험 정보량·선택지 수가 난이도를 결정함</x:t>
  </x:si>
  <x:si>
    <x:t xml:space="preserve">임무 수락 선택 완료</x:t>
  </x:si>
  <x:si>
    <x:t xml:space="preserve">수락 후 목표를 세 줄로 요약 표시</x:t>
  </x:si>
  <x:si>
    <x:t xml:space="preserve">3-D | 도심 구조 임무</x:t>
  </x:si>
  <x:si>
    <x:t xml:space="preserve">도심 잔해 구역으로 이동하기</x:t>
  </x:si>
  <x:si>
    <x:t xml:space="preserve">표지판·미니맵·NPC 이동 방향을 확인하며 대피소에서 붕괴 지역까지 이동함</x:t>
  </x:si>
  <x:si>
    <x:t xml:space="preserve">대피소에서 붕괴 지역의 도착 트리거에 진입</x:t>
  </x:si>
  <x:si>
    <x:t xml:space="preserve">고립 시민 찾기</x:t>
  </x:si>
  <x:si>
    <x:t xml:space="preserve">잔해와 효과음 때문에 구조 신호의 방향을 정확히 판단하기 어려움</x:t>
  </x:si>
  <x:si>
    <x:t xml:space="preserve">소리 크기와 탐지기 반응을 비교하며 잔해 속 구조 신호를 탐색함</x:t>
  </x:si>
  <x:si>
    <x:t xml:space="preserve">6/10 – 탐색 범위·가짜 신호 수·제한시간이 난이도를 결정함</x:t>
  </x:si>
  <x:si>
    <x:t xml:space="preserve">모든 구조 대상 위치 확인</x:t>
  </x:si>
  <x:si>
    <x:t xml:space="preserve">제한시간 종료 시 가장 가까운 체크포인트에서 재시작</x:t>
  </x:si>
  <x:si>
    <x:t xml:space="preserve">탐지기 반응 범위를 넓히고 방향 표시 제공</x:t>
  </x:si>
  <x:si>
    <x:t xml:space="preserve">잔해 제거하기</x:t>
  </x:si>
  <x:si>
    <x:t xml:space="preserve">잔해마다 필요한 조작과 안전한 제거 순서가 다름</x:t>
  </x:si>
  <x:si>
    <x:t xml:space="preserve">균열이 적은 잔해부터 선택하고 반복 입력으로 통로를 막는 잔해 6개를 제거함</x:t>
  </x:si>
  <x:si>
    <x:t xml:space="preserve">7/10 – 잔해 수·입력 횟수·위험 순서·피격 빈도가 난이도를 결정함</x:t>
  </x:si>
  <x:si>
    <x:t xml:space="preserve">통로를 막는 잔해 전부 제거</x:t>
  </x:si>
  <x:si>
    <x:t xml:space="preserve">위험 잔해를 먼저 제거하면 체력 감소 및 진행 지연</x:t>
  </x:si>
  <x:si>
    <x:t xml:space="preserve">3분 20초</x:t>
  </x:si>
  <x:si>
    <x:t xml:space="preserve">안전한 제거 순서를 색이 아닌 아이콘으로 표시</x:t>
  </x:si>
  <x:si>
    <x:t xml:space="preserve">시민 대피 유도하기</x:t>
  </x:si>
  <x:si>
    <x:t xml:space="preserve">시민들이 서로 다른 속도로 이동하고 공포 상태에서 경로를 이탈함</x:t>
  </x:si>
  <x:si>
    <x:t xml:space="preserve">가장 느린 시민 속도에 맞추고 위험 앞에서 집결 명령을 사용함</x:t>
  </x:si>
  <x:si>
    <x:t xml:space="preserve">7/10 – 동행 인원·속도 편차·위험 구간 수·명령 재사용 시간이 난이도를 결정함</x:t>
  </x:si>
  <x:si>
    <x:t xml:space="preserve">고립 시민 5명 전원이 안전 지점 도착</x:t>
  </x:si>
  <x:si>
    <x:t xml:space="preserve">시민 1명이라도 체력 0이 되면 체크포인트 재시작</x:t>
  </x:si>
  <x:si>
    <x:t xml:space="preserve">3분 10초</x:t>
  </x:si>
  <x:si>
    <x:t xml:space="preserve">이탈 시민 방향과 안전 경로를 표시</x:t>
  </x:si>
  <x:si>
    <x:t xml:space="preserve">균열 괴물과 첫 전투 치르기</x:t>
  </x:si>
  <x:si>
    <x:t xml:space="preserve">공격·회피·회복 조작을 처음 전투에서 동시에 익혀야 함</x:t>
  </x:si>
  <x:si>
    <x:t xml:space="preserve">공격 예고를 보고 회피한 뒤 빈틈에 공격하며 하급 균열 괴물를 처치함</x:t>
  </x:si>
  <x:si>
    <x:t xml:space="preserve">7/10 – 적 수·공격 빈도·회피 타이밍·회복 수단이 난이도를 결정함</x:t>
  </x:si>
  <x:si>
    <x:t xml:space="preserve">모든 적 처치 및 주인공 생존</x:t>
  </x:si>
  <x:si>
    <x:t xml:space="preserve">주인공 체력 0 시 전투 시작 지점 재시작</x:t>
  </x:si>
  <x:si>
    <x:t xml:space="preserve">3분 40초</x:t>
  </x:si>
  <x:si>
    <x:t xml:space="preserve">첫 패턴은 느리게 재생하고 회복 아이템 자동 지급</x:t>
  </x:si>
  <x:si>
    <x:t xml:space="preserve">구조 임무 완료 보고하기</x:t>
  </x:si>
  <x:si>
    <x:t xml:space="preserve">완료 정보와 새로 발견한 사실 중 무엇을 보고해야 하는지 구분해야 함</x:t>
  </x:si>
  <x:si>
    <x:t xml:space="preserve">임무 결과·인원·특이사항을 확인하고 구조 인원과 현장 상태를 순서대로 보고함</x:t>
  </x:si>
  <x:si>
    <x:t xml:space="preserve">2/10 – 보고 항목 수·정보 분산 정도가 난이도를 결정함</x:t>
  </x:si>
  <x:si>
    <x:t xml:space="preserve">필수 보고 항목 모두 선택</x:t>
  </x:si>
  <x:si>
    <x:t xml:space="preserve">누락 항목이 있으면 보고 완료 불가</x:t>
  </x:si>
  <x:si>
    <x:t xml:space="preserve">미보고 항목을 체크리스트로 표시</x:t>
  </x:si>
  <x:si>
    <x:t xml:space="preserve">시민들의 연속 부탁 처리하기</x:t>
  </x:si>
  <x:si>
    <x:t xml:space="preserve">작은 목표가 연속으로 추가되어 피로와 동선 낭비가 누적됨</x:t>
  </x:si>
  <x:si>
    <x:t xml:space="preserve">요청 위치를 묶어 처리하고 우선순위를 정해 작은 부탁이 끊임없이 추가되는 상황를 완료함</x:t>
  </x:si>
  <x:si>
    <x:t xml:space="preserve">7/10 – 요청 수·이동 거리·동시 활성 목표 수가 난이도를 결정함</x:t>
  </x:si>
  <x:si>
    <x:t xml:space="preserve">필수 부탁 전부 완료</x:t>
  </x:si>
  <x:si>
    <x:t xml:space="preserve">필수 부탁을 포기하면 해당 구간 보상 감소</x:t>
  </x:si>
  <x:si>
    <x:t xml:space="preserve">4분</x:t>
  </x:si>
  <x:si>
    <x:t xml:space="preserve">비슷한 위치의 부탁을 한 묶음으로 지도에 표시</x:t>
  </x:si>
  <x:si>
    <x:t xml:space="preserve">자아 마모도 변화 확인하기</x:t>
  </x:si>
  <x:si>
    <x:t xml:space="preserve">UI 변화가 서서히 나타나 원인과 의미를 알아차리기 어려움</x:t>
  </x:si>
  <x:si>
    <x:t xml:space="preserve">이전 상태와 비교하며 표정·UI 색상·독백 변화의 변화 단계를 확인함</x:t>
  </x:si>
  <x:si>
    <x:t xml:space="preserve">4/10 – 변화의 시각적 차이·설명 문구의 명확성이 난이도를 결정함</x:t>
  </x:si>
  <x:si>
    <x:t xml:space="preserve">상태 안내와 독백 확인</x:t>
  </x:si>
  <x:si>
    <x:t xml:space="preserve">첫 변화 발생 시 이전·현재 상태 비교 창 제공</x:t>
  </x:si>
  <x:si>
    <x:t xml:space="preserve">다음 출동 준비하기</x:t>
  </x:si>
  <x:si>
    <x:t xml:space="preserve">장비·회복품·동료 상태를 동시에 확인해야 하며 준비 누락이 다음 임무에 영향을 줌</x:t>
  </x:si>
  <x:si>
    <x:t xml:space="preserve">체력과 보유 자원을 확인해 회복 아이템·장비·동료 상태를 기준 이상으로 맞춤</x:t>
  </x:si>
  <x:si>
    <x:t xml:space="preserve">5/10 – 확인 항목 수·인벤토리 복잡도·추천 정보가 난이도를 결정함</x:t>
  </x:si>
  <x:si>
    <x:t xml:space="preserve">필수 장비 장착 및 회복품 보유</x:t>
  </x:si>
  <x:si>
    <x:t xml:space="preserve">필수 장비 미장착 시 출동 불가</x:t>
  </x:si>
  <x:si>
    <x:t xml:space="preserve">누락 항목 경고와 추천 장비 표시</x:t>
  </x:si>
  <x:si>
    <x:t xml:space="preserve">4 | 폐교 탐색</x:t>
  </x:si>
  <x:si>
    <x:t xml:space="preserve">폐교 조사 명령 받기</x:t>
  </x:si>
  <x:si>
    <x:t xml:space="preserve">관리국의 공식 목표와 주인공이 느끼는 개인적 목적이 다름</x:t>
  </x:si>
  <x:si>
    <x:t xml:space="preserve">대화와 자료를 확인해 폐교 균열 조사와 실종자 수색의 공식 목표와 숨은 위험을 구분함</x:t>
  </x:si>
  <x:si>
    <x:t xml:space="preserve">3/10 – 목표 간 충돌 정도·브리핑 정보량이 난이도를 결정함</x:t>
  </x:si>
  <x:si>
    <x:t xml:space="preserve">명령 브리핑 종료</x:t>
  </x:si>
  <x:si>
    <x:t xml:space="preserve">브리핑 종료 후 공식 목표와 개인 목표를 분리 표시</x:t>
  </x:si>
  <x:si>
    <x:t xml:space="preserve">4-A | 출동 준비</x:t>
  </x:si>
  <x:si>
    <x:t xml:space="preserve">조사 장비 수령하기</x:t>
  </x:si>
  <x:si>
    <x:t xml:space="preserve">장비 칸이 제한되어 탐색과 전투 장비를 모두 챙길 수 없음</x:t>
  </x:si>
  <x:si>
    <x:t xml:space="preserve">예상 위험에 맞춰 손전등·회복품·탐지기·전투 장비 중 필수 장비를 선택함</x:t>
  </x:si>
  <x:si>
    <x:t xml:space="preserve">4/10 – 장비 후보 수·슬롯 제한·역할 중복이 난이도를 결정함</x:t>
  </x:si>
  <x:si>
    <x:t xml:space="preserve">필수 장비가 포함된 상태로 준비 완료</x:t>
  </x:si>
  <x:si>
    <x:t xml:space="preserve">필수 장비 누락 시 출발 불가</x:t>
  </x:si>
  <x:si>
    <x:t xml:space="preserve">장비 역할과 추천 조합 표시</x:t>
  </x:si>
  <x:si>
    <x:t xml:space="preserve">고등급자 파티에 합류하기</x:t>
  </x:si>
  <x:si>
    <x:t xml:space="preserve">동료마다 역할과 행동 우선순위가 달라 협력 방식을 이해해야 함</x:t>
  </x:si>
  <x:si>
    <x:t xml:space="preserve">대화를 통해 역할이 다른 고등급자 3명의 역할과 지원 조건을 확인함</x:t>
  </x:si>
  <x:si>
    <x:t xml:space="preserve">4/10 – 파티원 수·역할 차이·지원 조건 수가 난이도를 결정함</x:t>
  </x:si>
  <x:si>
    <x:t xml:space="preserve">모든 파티원 소개 및 역할 확인</x:t>
  </x:si>
  <x:si>
    <x:t xml:space="preserve">전투 UI에 역할 아이콘 고정 표시</x:t>
  </x:si>
  <x:si>
    <x:t xml:space="preserve">폐교 정문에 도착하기</x:t>
  </x:si>
  <x:si>
    <x:t xml:space="preserve">목적지 주변에 잘못된 진입로와 위험 오브젝트가 배치되어 있음</x:t>
  </x:si>
  <x:si>
    <x:t xml:space="preserve">탐지기와 표지물을 확인하며 폐교 정문의 안전한 진입로로 이동함</x:t>
  </x:si>
  <x:si>
    <x:t xml:space="preserve">4/10 – 진입로 수·위험 구역 범위·탐지기 명확성이 난이도를 결정함</x:t>
  </x:si>
  <x:si>
    <x:t xml:space="preserve">목적지 도착</x:t>
  </x:si>
  <x:si>
    <x:t xml:space="preserve">위험 지역 진입 후 체력 0 시 체크포인트 재시작</x:t>
  </x:si>
  <x:si>
    <x:t xml:space="preserve">안전 진입로에 탐지기 반응 강화</x:t>
  </x:si>
  <x:si>
    <x:t xml:space="preserve">4-B | 폐교 정문</x:t>
  </x:si>
  <x:si>
    <x:t xml:space="preserve">정문 봉인 해제하기</x:t>
  </x:si>
  <x:si>
    <x:t xml:space="preserve">여러 장치와 열쇠 조건을 올바른 순서로 충족해야 함</x:t>
  </x:si>
  <x:si>
    <x:t xml:space="preserve">주변 단서와 장치 반응을 확인해 균열 문양 4개를 순서대로 해제함</x:t>
  </x:si>
  <x:si>
    <x:t xml:space="preserve">6/10 – 단계 수·단서 위치·오답 초기화 범위가 난이도를 결정함</x:t>
  </x:si>
  <x:si>
    <x:t xml:space="preserve">모든 봉인 조건 해제</x:t>
  </x:si>
  <x:si>
    <x:t xml:space="preserve">오답 입력 5회 시 장치 초기화</x:t>
  </x:si>
  <x:si>
    <x:t xml:space="preserve">오답 후 잘못된 단계만 표시</x:t>
  </x:si>
  <x:si>
    <x:t xml:space="preserve">본관 1층 탐색하기</x:t>
  </x:si>
  <x:si>
    <x:t xml:space="preserve">방 구조가 반복되고 일부 길이 연결되어 현재 위치를 잃기 쉬움</x:t>
  </x:si>
  <x:si>
    <x:t xml:space="preserve">지도에 방문 구역을 표시하며 교실·교무실·복도를 한 방향으로 탐색함</x:t>
  </x:si>
  <x:si>
    <x:t xml:space="preserve">6/10 – 방 수·연결 구조·지도 정보량이 난이도를 결정함</x:t>
  </x:si>
  <x:si>
    <x:t xml:space="preserve">필수 구역과 상호작용 대상 모두 확인</x:t>
  </x:si>
  <x:si>
    <x:t xml:space="preserve">3분 30초</x:t>
  </x:si>
  <x:si>
    <x:t xml:space="preserve">방문한 문과 미방문 문을 아이콘으로 구분</x:t>
  </x:si>
  <x:si>
    <x:t xml:space="preserve">4-C | 폐교 본관 1층</x:t>
  </x:si>
  <x:si>
    <x:t xml:space="preserve">환영체 회피하기</x:t>
  </x:si>
  <x:si>
    <x:t xml:space="preserve">적이 소리에 반응하고 시야 밖에서도 이동해 안전 구간을 예측하기 어려움</x:t>
  </x:si>
  <x:si>
    <x:t xml:space="preserve">적 이동 소리와 순찰 경로를 확인해 소리에 반응하는 환영체를 피하며 이동함</x:t>
  </x:si>
  <x:si>
    <x:t xml:space="preserve">7/10 – 적 감지 범위·순찰 주기·은폐물 간격이 난이도를 결정함</x:t>
  </x:si>
  <x:si>
    <x:t xml:space="preserve">발각되지 않거나 추적을 끊고 종료 지점 도착</x:t>
  </x:si>
  <x:si>
    <x:t xml:space="preserve">연속 발각 3회 또는 체력 0 시 체크포인트 재시작</x:t>
  </x:si>
  <x:si>
    <x:t xml:space="preserve">실패 후 적 청각 범위 감소</x:t>
  </x:si>
  <x:si>
    <x:t xml:space="preserve">교실 기억 단서 수집하기</x:t>
  </x:si>
  <x:si>
    <x:t xml:space="preserve">필수 단서가 여러 방에 흩어져 있고 일부는 환영 연출 뒤에 숨겨짐</x:t>
  </x:si>
  <x:si>
    <x:t xml:space="preserve">방문 기록과 단서 목록을 확인하며 친구의 과거를 보여주는 기억 단서 5개를 수집함</x:t>
  </x:si>
  <x:si>
    <x:t xml:space="preserve">6/10 – 단서 수·방 분산 정도·환영 연출 길이가 난이도를 결정함</x:t>
  </x:si>
  <x:si>
    <x:t xml:space="preserve">필수 기억 단서 전부 수집</x:t>
  </x:si>
  <x:si>
    <x:t xml:space="preserve">단서 부족 시 다음 퍼즐 활성화 불가</x:t>
  </x:si>
  <x:si>
    <x:t xml:space="preserve">미수집 단서가 있는 방에 지도 표시</x:t>
  </x:si>
  <x:si>
    <x:t xml:space="preserve">컴퓨터 잠금 퍼즐 해결하기</x:t>
  </x:si>
  <x:si>
    <x:t xml:space="preserve">여러 단서를 조합해 입력 순서나 의미를 추론해야 함</x:t>
  </x:si>
  <x:si>
    <x:t xml:space="preserve">수집한 기록을 비교하고 교실 단서를 순서대로 입력하는 잠금 장치의 규칙에 맞게 단계별로 입력함</x:t>
  </x:si>
  <x:si>
    <x:t xml:space="preserve">7/10 – 단서 수·추론 단계·오답 페널티·초기화 범위가 난이도를 결정함</x:t>
  </x:si>
  <x:si>
    <x:t xml:space="preserve">정답 순서 완성</x:t>
  </x:si>
  <x:si>
    <x:t xml:space="preserve">오답 누적 시 퍼즐 단계 일부 초기화</x:t>
  </x:si>
  <x:si>
    <x:t xml:space="preserve">오답 3회 후 사용하지 않은 단서 강조</x:t>
  </x:si>
  <x:si>
    <x:t xml:space="preserve">본관 2층으로 이동하기</x:t>
  </x:si>
  <x:si>
    <x:t xml:space="preserve">손전등과 안전한 발판을 확인하며 붕괴된 계단를 통과함</x:t>
  </x:si>
  <x:si>
    <x:t xml:space="preserve">4-D | 폐교 본관 2층</x:t>
  </x:si>
  <x:si>
    <x:t xml:space="preserve">학교폭력 흔적 조사하기</x:t>
  </x:si>
  <x:si>
    <x:t xml:space="preserve">시선·행동·복장·주변 오브젝트를 순서대로 확인해 낙서·찢어진 공책·잠긴 사물함의 특징을 파악함</x:t>
  </x:si>
  <x:si>
    <x:t xml:space="preserve">6/10 – 관찰 대상 수·단서의 명확성·외형 유사도가 난이도를 결정함</x:t>
  </x:si>
  <x:si>
    <x:t xml:space="preserve">선택의 분기 퍼즐 해결하기</x:t>
  </x:si>
  <x:si>
    <x:t xml:space="preserve">수집한 기록을 비교하고 서로 다른 기억 문을 선택하는 퍼즐의 규칙에 맞게 단계별로 입력함</x:t>
  </x:si>
  <x:si>
    <x:t xml:space="preserve">8/10 – 단서 수·추론 단계·오답 페널티·초기화 범위가 난이도를 결정함</x:t>
  </x:si>
  <x:si>
    <x:t xml:space="preserve">아군 환영 구분하기</x:t>
  </x:si>
  <x:si>
    <x:t xml:space="preserve">환영이 동료의 외형과 목소리를 복제해 단순 외형만으로 구분할 수 없음</x:t>
  </x:si>
  <x:si>
    <x:t xml:space="preserve">이전 대화와 행동 습관을 비교해 동료와 똑같이 행동하는 환영을 판별함</x:t>
  </x:si>
  <x:si>
    <x:t xml:space="preserve">8/10 – 후보 수·복제 정확도·행동 단서의 명확성이 난이도를 결정함</x:t>
  </x:si>
  <x:si>
    <x:t xml:space="preserve">진짜 동료 전원 선택</x:t>
  </x:si>
  <x:si>
    <x:t xml:space="preserve">환영 선택 시 전투 또는 체력 감소 발생</x:t>
  </x:si>
  <x:si>
    <x:t xml:space="preserve">오답 후 구분 가능한 행동 단서 1개 표시</x:t>
  </x:si>
  <x:si>
    <x:t xml:space="preserve">본관 3층으로 이동하기</x:t>
  </x:si>
  <x:si>
    <x:t xml:space="preserve">손전등과 안전한 발판을 확인하며 환영이 반복되는 계단를 통과함</x:t>
  </x:si>
  <x:si>
    <x:t xml:space="preserve">6/10 – 통로 폭·시야 범위·장애물 간격이 난이도를 결정함</x:t>
  </x:si>
  <x:si>
    <x:t xml:space="preserve">4-E | 폐교 본관 3층</x:t>
  </x:si>
  <x:si>
    <x:t xml:space="preserve">친구의 목소리 추적하기</x:t>
  </x:si>
  <x:si>
    <x:t xml:space="preserve">반사음과 가짜 목소리 때문에 실제 방향을 잘못 판단할 수 있음</x:t>
  </x:si>
  <x:si>
    <x:t xml:space="preserve">소리 크기 변화와 파티원의 반응을 비교하며 복도마다 방향이 달라지는 목소리를 추적함</x:t>
  </x:si>
  <x:si>
    <x:t xml:space="preserve">7/10 – 가짜 신호 수·방향 변화 빈도·이동 거리의 차이가 난이도를 결정함</x:t>
  </x:si>
  <x:si>
    <x:t xml:space="preserve">올바른 강당 방향 도착</x:t>
  </x:si>
  <x:si>
    <x:t xml:space="preserve">가짜 경로 끝에 도달하면 추가 환영 전투 발생</x:t>
  </x:si>
  <x:si>
    <x:t xml:space="preserve">정체 45초 후 실제 방향의 음량을 강화</x:t>
  </x:si>
  <x:si>
    <x:t xml:space="preserve">강당 열쇠 찾기</x:t>
  </x:si>
  <x:si>
    <x:t xml:space="preserve">구역별 표지와 상품 외형을 비교하며 관리실·음악실·방송실의 열쇠 후보를 조사함</x:t>
  </x:si>
  <x:si>
    <x:t xml:space="preserve">7/10 – 후보 오브젝트 수·외형 유사도·탐색 범위가 난이도를 결정함</x:t>
  </x:si>
  <x:si>
    <x:t xml:space="preserve">관리실·음악실·방송실의 열쇠 후보 발견 및 조사 완료</x:t>
  </x:si>
  <x:si>
    <x:t xml:space="preserve">강당에 진입하기</x:t>
  </x:si>
  <x:si>
    <x:t xml:space="preserve">주변 단서와 장치 반응을 확인해 봉인된 강당 출입문를 순서대로 해제함</x:t>
  </x:si>
  <x:si>
    <x:t xml:space="preserve">5/10 – 단계 수·단서 위치·오답 초기화 범위가 난이도를 결정함</x:t>
  </x:si>
  <x:si>
    <x:t xml:space="preserve">괴물형 보스 1페이즈 공략하기</x:t>
  </x:si>
  <x:si>
    <x:t xml:space="preserve">넓은 공격 범위와 소환 패턴이 겹쳐 이동 공간이 빠르게 줄어듦</x:t>
  </x:si>
  <x:si>
    <x:t xml:space="preserve">공격 예고를 보고 안전 구역으로 이동한 뒤 소환체부터 제거하며 친구의 괴물형 보스를 공략함</x:t>
  </x:si>
  <x:si>
    <x:t xml:space="preserve">9/10 – 패턴 수·공격 범위·소환체 수·안전 구역 크기가 난이도를 결정함</x:t>
  </x:si>
  <x:si>
    <x:t xml:space="preserve">보스 체력 50% 이하 도달</x:t>
  </x:si>
  <x:si>
    <x:t xml:space="preserve">주인공 또는 필수 동료 전멸 시 페이즈 재시작</x:t>
  </x:si>
  <x:si>
    <x:t xml:space="preserve">5분</x:t>
  </x:si>
  <x:si>
    <x:t xml:space="preserve">3회 실패 후 공격 예고 시간 증가</x:t>
  </x:si>
  <x:si>
    <x:t xml:space="preserve">4-F | 폐교 강당·보스전</x:t>
  </x:si>
  <x:si>
    <x:t xml:space="preserve">기억 개입 패턴 공략하기</x:t>
  </x:si>
  <x:si>
    <x:t xml:space="preserve">가짜 기억과 실제 전투 화면이 겹쳐 입력 대상과 회피 방향을 혼동함</x:t>
  </x:si>
  <x:si>
    <x:t xml:space="preserve">기억 속 모순 단서를 찾아 가짜 기억을 강제로 재생하는 패턴를 끊고 실제 공격 타이밍에 회피함</x:t>
  </x:si>
  <x:si>
    <x:t xml:space="preserve">9/10 – 동시 정보량·모순 단서 수·입력 제한시간이 난이도를 결정함</x:t>
  </x:si>
  <x:si>
    <x:t xml:space="preserve">기억 개입 패턴 전부 해제</x:t>
  </x:si>
  <x:si>
    <x:t xml:space="preserve">오답 선택 누적 시 죄책감 수치와 피격 위험 증가</x:t>
  </x:si>
  <x:si>
    <x:t xml:space="preserve">4분 20초</x:t>
  </x:si>
  <x:si>
    <x:t xml:space="preserve">실패 후 모순 단서 노출 시간을 늘림</x:t>
  </x:si>
  <x:si>
    <x:t xml:space="preserve">인간형 보스 2페이즈 공략하기</x:t>
  </x:si>
  <x:si>
    <x:t xml:space="preserve">빠른 공격과 선택 강요 패턴이 연속으로 이어져 회복할 시간이 부족함</x:t>
  </x:si>
  <x:si>
    <x:t xml:space="preserve">거리 유지와 방어를 우선하고 선택 패턴이 끝난 직후 빠른 근접 공격과 선택 강요 패턴를 공격함</x:t>
  </x:si>
  <x:si>
    <x:t xml:space="preserve">10/10 – 공격 속도·연속 패턴 수·회복 가능 시간·선택 제한시간이 난이도를 결정함</x:t>
  </x:si>
  <x:si>
    <x:t xml:space="preserve">보스 체력 0 또는 인간형 상태 해제</x:t>
  </x:si>
  <x:si>
    <x:t xml:space="preserve">파티 전멸 시 2페이즈 시작 지점 재시작</x:t>
  </x:si>
  <x:si>
    <x:t xml:space="preserve">5분 40초</x:t>
  </x:si>
  <x:si>
    <x:t xml:space="preserve">반복 실패 시 회복 아이템 1개 추가</x:t>
  </x:si>
  <x:si>
    <x:t xml:space="preserve">죄책감 축적 패턴 버티기</x:t>
  </x:si>
  <x:si>
    <x:t xml:space="preserve">공격 회피만으로 해결되지 않고 이전 선택에 따라 누적 수치가 달라짐</x:t>
  </x:si>
  <x:si>
    <x:t xml:space="preserve">안전 행동을 유지하고 올바른 기억 선택으로 피격보다 선택 실패로 쌓이는 죄책감의 누적을 낮춤</x:t>
  </x:si>
  <x:si>
    <x:t xml:space="preserve">9/10 – 누적 속도·감소 수단·제한시간·체력 회복량이 난이도를 결정함</x:t>
  </x:si>
  <x:si>
    <x:t xml:space="preserve">제한시간 동안 생존하고 죄책감 수치 기준 이하 유지</x:t>
  </x:si>
  <x:si>
    <x:t xml:space="preserve">죄책감 최대치 또는 체력 0 시 재시작</x:t>
  </x:si>
  <x:si>
    <x:t xml:space="preserve">3분 50초</x:t>
  </x:si>
  <x:si>
    <x:t xml:space="preserve">누적 수치가 높을 때 감소 가능한 선택을 강조</x:t>
  </x:si>
  <x:si>
    <x:t xml:space="preserve">친구에게 다가가기</x:t>
  </x:si>
  <x:si>
    <x:t xml:space="preserve">보스가 공격을 멈추더라도 잔류 패턴과 화면 왜곡이 계속됨</x:t>
  </x:si>
  <x:si>
    <x:t xml:space="preserve">잔류 공격 사이의 빈틈을 이용해 공격을 멈춘 친구에게 단계적으로 접근함</x:t>
  </x:si>
  <x:si>
    <x:t xml:space="preserve">8/10 – 잔류 패턴 수·안전 구간 길이·필요 접근 횟수가 난이도를 결정함</x:t>
  </x:si>
  <x:si>
    <x:t xml:space="preserve">보스 앞 상호작용 지점 도착</x:t>
  </x:si>
  <x:si>
    <x:t xml:space="preserve">잔류 공격에 4회 피격 시 구간 재시작</x:t>
  </x:si>
  <x:si>
    <x:t xml:space="preserve">접근 실패 후 안전 지점 표시</x:t>
  </x:si>
  <x:si>
    <x:t xml:space="preserve">친구를 포옹하기</x:t>
  </x:si>
  <x:si>
    <x:t xml:space="preserve">전투에서 사용하던 공격 입력과 반대되는 행동을 선택해야 함</x:t>
  </x:si>
  <x:si>
    <x:t xml:space="preserve">주인공의 기억과 친구의 상태를 확인하고 처치 대신 포옹하는 선택를 선택함</x:t>
  </x:si>
  <x:si>
    <x:t xml:space="preserve">5/10 – 기존 조작 습관과 선택의 감정적 부담이 난이도를 결정함</x:t>
  </x:si>
  <x:si>
    <x:t xml:space="preserve">포옹 상호작용 완료</x:t>
  </x:si>
  <x:si>
    <x:t xml:space="preserve">공격 선택 시 다른 결말 분기로 전환</x:t>
  </x:si>
  <x:si>
    <x:t xml:space="preserve">상호작용 직전 공격 버튼 안내를 숨기고 선택 문구 강조</x:t>
  </x:si>
  <x:si>
    <x:t xml:space="preserve">친구를 인간으로 복원하기</x:t>
  </x:si>
  <x:si>
    <x:t xml:space="preserve">복원 과정 중 친구의 상태와 주인공의 선의 수치를 동시에 유지해야 함</x:t>
  </x:si>
  <x:si>
    <x:t xml:space="preserve">안내되는 타이밍에 상호작용해 선의가 고갈된 친구의 변이 수치를 단계적으로 낮춤</x:t>
  </x:si>
  <x:si>
    <x:t xml:space="preserve">4/10 – 입력 타이밍·유지 시간·실패 시 초기화 범위가 난이도를 결정함</x:t>
  </x:si>
  <x:si>
    <x:t xml:space="preserve">복원 게이지 100% 달성</x:t>
  </x:si>
  <x:si>
    <x:t xml:space="preserve">중단 게이지 최대 시 복원 단계 재시작</x:t>
  </x:si>
  <x:si>
    <x:t xml:space="preserve">입력 타이밍 범위를 넓히고 단계 체크포인트 제공</x:t>
  </x:si>
  <x:si>
    <x:t xml:space="preserve">폐교에서 탈출하기</x:t>
  </x:si>
  <x:si>
    <x:t xml:space="preserve">붕괴로 기존 길이 막히고 동료와 함께 제한시간 안에 탈출해야 함</x:t>
  </x:si>
  <x:si>
    <x:t xml:space="preserve">새로 열린 우회로를 따라가며 붕괴하는 폐교에서 파티원을 기다림</x:t>
  </x:si>
  <x:si>
    <x:t xml:space="preserve">7/10 – 제한시간·우회로 길이·동행 인원·붕괴 주기가 난이도를 결정함</x:t>
  </x:si>
  <x:si>
    <x:t xml:space="preserve">모든 생존 파티원이 출구 도착</x:t>
  </x:si>
  <x:si>
    <x:t xml:space="preserve">제한시간 종료 또는 파티원 전멸 시 재시작</x:t>
  </x:si>
  <x:si>
    <x:t xml:space="preserve">실패 후 붕괴 주기 완화 및 우회로 표시</x:t>
  </x:si>
  <x:si>
    <x:t xml:space="preserve">4-G | 폐교 탈출·귀환</x:t>
  </x:si>
  <x:si>
    <x:t xml:space="preserve">관리국에 귀환 보고하기</x:t>
  </x:si>
  <x:si>
    <x:t xml:space="preserve">임무 결과·인원·특이사항을 확인하고 친구 복원 사실과 균열 정보를 순서대로 보고함</x:t>
  </x:si>
  <x:si>
    <x:t xml:space="preserve">3/10 – 보고 항목 수·정보 분산 정도가 난이도를 결정함</x:t>
  </x:si>
  <x:si>
    <x:t xml:space="preserve">5 | 균열의 진실</x:t>
  </x:si>
  <x:si>
    <x:t xml:space="preserve">균열의 진실</x:t>
  </x:si>
  <x:si>
    <x:t xml:space="preserve">공식 명령과 주인공의 생존 가능성이 충돌해 목표를 단순히 받아들이기 어려움</x:t>
  </x:si>
  <x:si>
    <x:t xml:space="preserve">자료와 대화를 확인해 주인공만 진입 가능한 대형 균열의 목적과 위험을 이해함</x:t>
  </x:si>
  <x:si>
    <x:t xml:space="preserve">3/10 – 정보 비대칭·목표 충돌 정도가 난이도를 결정함</x:t>
  </x:si>
  <x:si>
    <x:t xml:space="preserve">최종 브리핑 종료</x:t>
  </x:si>
  <x:si>
    <x:t xml:space="preserve">명령의 공개 정보와 숨겨진 조건을 구분해 표시</x:t>
  </x:si>
  <x:si>
    <x:t xml:space="preserve">5-A | 대형 균열 외부</x:t>
  </x:si>
  <x:si>
    <x:t xml:space="preserve">강제 출동 압박 견디기</x:t>
  </x:si>
  <x:si>
    <x:t xml:space="preserve">여러 인물이 서로 다른 이유로 같은 희생을 요구해 감정적 압박이 커짐</x:t>
  </x:si>
  <x:si>
    <x:t xml:space="preserve">각 인물의 요구와 주인공의 상태를 비교하며 가족·관리국·시민의 희생 요구의 의미를 판단함</x:t>
  </x:si>
  <x:si>
    <x:t xml:space="preserve">6/10 – 요구 인물 수·대사 강도·선택지의 감정적 부담이 난이도를 결정함</x:t>
  </x:si>
  <x:si>
    <x:t xml:space="preserve">압박 대화 전부 확인</x:t>
  </x:si>
  <x:si>
    <x:t xml:space="preserve">대화 사이에 독백과 상태 확인 시간을 제공</x:t>
  </x:si>
  <x:si>
    <x:t xml:space="preserve">균열 중심부로 이동하기</x:t>
  </x:si>
  <x:si>
    <x:t xml:space="preserve">표지판·미니맵·NPC 이동 방향을 확인하며 도시에서 대형 균열 중심까지 이동함</x:t>
  </x:si>
  <x:si>
    <x:t xml:space="preserve">6/10 – 맵 크기·갈림길 수·목적지 표식의 가시성이 난이도를 결정함</x:t>
  </x:si>
  <x:si>
    <x:t xml:space="preserve">도시에서 대형 균열 중심의 도착 트리거에 진입</x:t>
  </x:si>
  <x:si>
    <x:t xml:space="preserve">균열 내부에 진입하기</x:t>
  </x:si>
  <x:si>
    <x:t xml:space="preserve">공간 왜곡으로 이동 방향과 상호작용 위치가 계속 바뀜</x:t>
  </x:si>
  <x:si>
    <x:t xml:space="preserve">고정된 빛 표식과 바닥 파동을 기준으로 왜곡된 진입 통로의 통로를 통과함</x:t>
  </x:si>
  <x:si>
    <x:t xml:space="preserve">7/10 – 화면 왜곡 강도·안전 표식 수·통로 폭이 난이도를 결정함</x:t>
  </x:si>
  <x:si>
    <x:t xml:space="preserve">균열 내부 첫 구역 도착</x:t>
  </x:si>
  <x:si>
    <x:t xml:space="preserve">왜곡 구역 낙하 3회 시 체크포인트 재시작</x:t>
  </x:si>
  <x:si>
    <x:t xml:space="preserve">실패 후 고정 표식의 밝기 증가</x:t>
  </x:si>
  <x:si>
    <x:t xml:space="preserve">5-B | 균열 내부</x:t>
  </x:si>
  <x:si>
    <x:t xml:space="preserve">선의 조각 수집하기</x:t>
  </x:si>
  <x:si>
    <x:t xml:space="preserve">자원이 움직이는 지형과 위험 구역에 분산되어 수집 동선이 길어짐</x:t>
  </x:si>
  <x:si>
    <x:t xml:space="preserve">위험 주기를 피하며 가까운 순서로 균열 내부에 흩어진 선의 조각 8개를 수집함</x:t>
  </x:si>
  <x:si>
    <x:t xml:space="preserve">7/10 – 목표 수량·배치 거리·위험 주기·이동 지형이 난이도를 결정함</x:t>
  </x:si>
  <x:si>
    <x:t xml:space="preserve">필수 자원 전부 수집</x:t>
  </x:si>
  <x:si>
    <x:t xml:space="preserve">필수 수량 미달 시 심층부 통로 활성화 불가</x:t>
  </x:si>
  <x:si>
    <x:t xml:space="preserve">남은 자원의 대략적 방향과 거리 표시</x:t>
  </x:si>
  <x:si>
    <x:t xml:space="preserve">과거 기억 재생하기</x:t>
  </x:si>
  <x:si>
    <x:t xml:space="preserve">현재와 과거 장면이 교차해 사건의 시간 순서를 혼동할 수 있음</x:t>
  </x:si>
  <x:si>
    <x:t xml:space="preserve">반복되는 사물과 대사를 기준으로 주인공의 탄생과 가족의 기억의 순서를 맞춤</x:t>
  </x:si>
  <x:si>
    <x:t xml:space="preserve">5/10 – 장면 수·시간 순서의 복잡도·인물 수가 난이도를 결정함</x:t>
  </x:si>
  <x:si>
    <x:t xml:space="preserve">필수 기억 장면 모두 확인</x:t>
  </x:si>
  <x:si>
    <x:t xml:space="preserve">기억 장면마다 시간 표식과 인물 관계 아이콘 표시</x:t>
  </x:si>
  <x:si>
    <x:t xml:space="preserve">가짜 가족 환영 돌파하기</x:t>
  </x:si>
  <x:si>
    <x:t xml:space="preserve">칭찬과 비난이 번갈아 제시되어 올바른 길보다 감정적 반응을 유도함</x:t>
  </x:si>
  <x:si>
    <x:t xml:space="preserve">말의 내용보다 행동과 기억의 모순을 확인해 칭찬과 비난을 반복하는 가족 환영을 무시하고 진행함</x:t>
  </x:si>
  <x:si>
    <x:t xml:space="preserve">9/10 – 환영 수·가짜 단서의 설득력·자아 마모도 누적량이 난이도를 결정함</x:t>
  </x:si>
  <x:si>
    <x:t xml:space="preserve">환영 구역 종료 지점 도착</x:t>
  </x:si>
  <x:si>
    <x:t xml:space="preserve">잘못된 환영 선택 누적 시 자아 마모도 증가</x:t>
  </x:si>
  <x:si>
    <x:t xml:space="preserve">실패 후 모순되는 대사의 일부 강조</x:t>
  </x:si>
  <x:si>
    <x:t xml:space="preserve">균열 수호체 전투 치르기</x:t>
  </x:si>
  <x:si>
    <x:t xml:space="preserve">다단계 패턴·환경 공격·자아 마모도 관리가 동시에 요구됨</x:t>
  </x:si>
  <x:si>
    <x:t xml:space="preserve">안전 구역을 확보하고 약점 노출 때 집중 공격해 균열 심층부 수호체를 처치함</x:t>
  </x:si>
  <x:si>
    <x:t xml:space="preserve">10/10 – 패턴 수·동시 관리 자원·안전 구역 크기·체크포인트 간격이 난이도를 결정함</x:t>
  </x:si>
  <x:si>
    <x:t xml:space="preserve">보스 체력 0 및 주인공 생존</x:t>
  </x:si>
  <x:si>
    <x:t xml:space="preserve">체력 0 또는 자아 마모도 최대 시 전투 재시작</x:t>
  </x:si>
  <x:si>
    <x:t xml:space="preserve">6분</x:t>
  </x:si>
  <x:si>
    <x:t xml:space="preserve">반복 실패 시 체크포인트 세분화와 회복 자원 추가</x:t>
  </x:si>
  <x:si>
    <x:t xml:space="preserve">균열 심층부로 이동하기</x:t>
  </x:si>
  <x:si>
    <x:t xml:space="preserve">통로가 붕괴하고 화면 왜곡이 심해져 이동 경로를 오래 유지할 수 없음</x:t>
  </x:si>
  <x:si>
    <x:t xml:space="preserve">붕괴 예고와 고정 표식을 보며 붕괴하는 균열 통로까지 짧은 구간 단위로 이동함</x:t>
  </x:si>
  <x:si>
    <x:t xml:space="preserve">7/10 – 붕괴 속도·통로 폭·왜곡 강도·체크포인트 간격이 난이도를 결정함</x:t>
  </x:si>
  <x:si>
    <x:t xml:space="preserve">심층부 도착</x:t>
  </x:si>
  <x:si>
    <x:t xml:space="preserve">낙하 또는 제한시간 종료 시 직전 지점 재시작</x:t>
  </x:si>
  <x:si>
    <x:t xml:space="preserve">구간별 체크포인트와 안전 발판 강조</x:t>
  </x:si>
  <x:si>
    <x:t xml:space="preserve">5-C | 균열 심층부</x:t>
  </x:si>
  <x:si>
    <x:t xml:space="preserve">출생의 진실 확인하기</x:t>
  </x:si>
  <x:si>
    <x:t xml:space="preserve">기존에 알고 있던 세계 규칙과 반대되는 정보가 연속으로 제시됨</x:t>
  </x:si>
  <x:si>
    <x:t xml:space="preserve">기록·기억·균열 반응을 비교해 차한해가 균열에서 태어난 존재라는 기록의 사실 관계를 확인함</x:t>
  </x:si>
  <x:si>
    <x:t xml:space="preserve">4/10 – 새 정보량·기존 정보와의 충돌 정도가 난이도를 결정함</x:t>
  </x:si>
  <x:si>
    <x:t xml:space="preserve">필수 진실 기록 전부 확인</x:t>
  </x:si>
  <x:si>
    <x:t xml:space="preserve">핵심 사실을 단계별로 요약해 기록 메뉴에 저장</x:t>
  </x:si>
  <x:si>
    <x:t xml:space="preserve">한도윤과 마지막 통신하기</x:t>
  </x:si>
  <x:si>
    <x:t xml:space="preserve">통신이 끊기고 잡음이 섞여 상대의 의도를 정확히 듣기 어려움</x:t>
  </x:si>
  <x:si>
    <x:t xml:space="preserve">반복되는 핵심 문구를 확인하며 귀환을 요청하는 한도윤의 마지막 대화를 진행함</x:t>
  </x:si>
  <x:si>
    <x:t xml:space="preserve">5/10 – 잡음 강도·대사 길이·감정적 부담이 난이도를 결정함</x:t>
  </x:si>
  <x:si>
    <x:t xml:space="preserve">통신 종료</x:t>
  </x:si>
  <x:si>
    <x:t xml:space="preserve">핵심 대사 자막을 화면에 오래 유지</x:t>
  </x:si>
  <x:si>
    <x:t xml:space="preserve">소멸 선택지 확인하기</x:t>
  </x:si>
  <x:si>
    <x:t xml:space="preserve">어떤 선택도 완전한 보상이 없고 플레이어가 결말을 직접 확정해야 함</x:t>
  </x:si>
  <x:si>
    <x:t xml:space="preserve">지금까지 수집한 정보와 관계 변화를 확인해 자신의 소멸과 균열 소멸의 관계를 결정함</x:t>
  </x:si>
  <x:si>
    <x:t xml:space="preserve">8/10 – 결과의 비가역성·정보량·감정적 부담이 난이도를 결정함</x:t>
  </x:si>
  <x:si>
    <x:t xml:space="preserve">최종 선택지 확정</x:t>
  </x:si>
  <x:si>
    <x:t xml:space="preserve">선택 전 저장 및 주요 결과 요약 제공</x:t>
  </x:si>
  <x:si>
    <x:t xml:space="preserve">마지막 기억 회수하기</x:t>
  </x:si>
  <x:si>
    <x:t xml:space="preserve">기억 조각이 위험 구역과 멀리 떨어져 있어 수집 순서가 중요함</x:t>
  </x:si>
  <x:si>
    <x:t xml:space="preserve">가장 안전한 경로를 정하고 주인공이 지키고 싶었던 사람들의 기억 5개를 회수함</x:t>
  </x:si>
  <x:si>
    <x:t xml:space="preserve">7/10 – 목표 수·동선 길이·위험 구역 밀도·자아 마모도 증가량이 난이도를 결정함</x:t>
  </x:si>
  <x:si>
    <x:t xml:space="preserve">필수 기억 전부 회수</x:t>
  </x:si>
  <x:si>
    <x:t xml:space="preserve">자아 마모도 최대 시 직전 체크포인트 재시작</x:t>
  </x:si>
  <x:si>
    <x:t xml:space="preserve">남은 기억 방향과 안전 경로를 단계적으로 표시</x:t>
  </x:si>
  <x:si>
    <x:t xml:space="preserve">균열 핵에 접근하기</x:t>
  </x:si>
  <x:si>
    <x:t xml:space="preserve">핵의 충격파가 일정 주기로 넓어져 접근 가능한 시간이 짧음</x:t>
  </x:si>
  <x:si>
    <x:t xml:space="preserve">충격파 예고를 보고 안전 지점에서 대기한 뒤 주기적으로 충격파를 내보내는 균열 핵에 단계적으로 접근함</x:t>
  </x:si>
  <x:si>
    <x:t xml:space="preserve">9/10 – 충격파 주기·안전 지점 거리·필요 접근 횟수가 난이도를 결정함</x:t>
  </x:si>
  <x:si>
    <x:t xml:space="preserve">균열 핵 상호작용 지점 도착</x:t>
  </x:si>
  <x:si>
    <x:t xml:space="preserve">충격파 5회 피격 또는 체력 0 시 재시작</x:t>
  </x:si>
  <x:si>
    <x:t xml:space="preserve">실패 후 충격파 예고 시간 증가</x:t>
  </x:si>
  <x:si>
    <x:t xml:space="preserve">균열 핵과 동기화하기</x:t>
  </x:si>
  <x:si>
    <x:t xml:space="preserve">두 게이지가 서로 반대로 움직여 하나만 맞추면 다른 값이 벗어남</x:t>
  </x:si>
  <x:si>
    <x:t xml:space="preserve">입력 강도와 타이밍을 조절해 선의와 자아 마모도를 맞추는 입력의 두 수치를 목표 범위에 유지함</x:t>
  </x:si>
  <x:si>
    <x:t xml:space="preserve">9/10 – 게이지 이동속도·목표 범위·동시 입력 수·초기화 범위가 난이도를 결정함</x:t>
  </x:si>
  <x:si>
    <x:t xml:space="preserve">동기화 게이지 100% 달성</x:t>
  </x:si>
  <x:si>
    <x:t xml:space="preserve">불안정 수치 최대 시 동기화 단계 재시작</x:t>
  </x:si>
  <x:si>
    <x:t xml:space="preserve">실패 후 목표 범위 확대와 중간 체크포인트 제공</x:t>
  </x:si>
  <x:si>
    <x:t xml:space="preserve">최종 선택 실행하기</x:t>
  </x:si>
  <x:si>
    <x:t xml:space="preserve">최종 선택을 실행하면 되돌릴 수 없다는 사실이 강한 심리적 부담을 줌</x:t>
  </x:si>
  <x:si>
    <x:t xml:space="preserve">확인 문구와 지금까지의 결과를 검토한 뒤 균열과 함께 소멸하는 선택를 실행함</x:t>
  </x:si>
  <x:si>
    <x:t xml:space="preserve">7/10 – 선택의 비가역성과 감정적 부담이 난이도를 결정함</x:t>
  </x:si>
  <x:si>
    <x:t xml:space="preserve">최종 행동 확인 입력 완료</x:t>
  </x:si>
  <x:si>
    <x:t xml:space="preserve">이중 확인과 자동 저장 제공</x:t>
  </x:si>
  <x:si>
    <x:t xml:space="preserve">5-D | 최종 선택·후일담</x:t>
  </x:si>
  <x:si>
    <x:t xml:space="preserve">균열과 몬스터 소멸 확인하기</x:t>
  </x:si>
  <x:si>
    <x:t xml:space="preserve">여러 지역과 인물의 변화를 짧은 장면 안에서 연결해 이해해야 함</x:t>
  </x:si>
  <x:si>
    <x:t xml:space="preserve">장면 순서와 반복되는 상징을 보며 도시 곳곳의 균열과 괴물의 결과를 확인함</x:t>
  </x:si>
  <x:si>
    <x:t xml:space="preserve">3/10 – 등장 인물 수·장면 전환 속도·결과 연결성이 난이도를 결정함</x:t>
  </x:si>
  <x:si>
    <x:t xml:space="preserve">후일담 장면 전부 재생</x:t>
  </x:si>
  <x:si>
    <x:t xml:space="preserve">인물별 이름과 이전 선택 결과를 함께 표시</x:t>
  </x:si>
  <x:si>
    <x:t xml:space="preserve">생존자들의 후일담 확인하기</x:t>
  </x:si>
  <x:si>
    <x:t xml:space="preserve">장면 순서와 반복되는 상징을 보며 가족·한도윤·친구·시민의 변화의 결과를 확인함</x:t>
  </x:si>
  <x:si>
    <x:t xml:space="preserve">2/10 – 등장 인물 수·장면 전환 속도·결과 연결성이 난이도를 결정함</x:t>
  </x:si>
  <x:si>
    <x:t xml:space="preserve">엔딩 크레딧 감상하기</x:t>
  </x:si>
  <x:si>
    <x:t xml:space="preserve">긴 크레딧 중 추가 장면과 기록이 삽입되어 놓칠 수 있음</x:t>
  </x:si>
  <x:si>
    <x:t xml:space="preserve">크레딧 사이의 주요 장면과 엔딩 크레딧를 확인하며 마지막까지 감상함</x:t>
  </x:si>
  <x:si>
    <x:t xml:space="preserve">1/10 – 추가 장면의 노출 시간과 배치 간격이 난이도를 결정함</x:t>
  </x:si>
  <x:si>
    <x:t xml:space="preserve">크레딧 종료</x:t>
  </x:si>
  <x:si>
    <x:t xml:space="preserve">일시정지·배속·다시 보기 기능 제공</x:t>
  </x:si>
  <x:si>
    <x:t xml:space="preserve">밸런스 팩터</x:t>
  </x:si>
  <x:si>
    <x:t xml:space="preserve">게임 「넌 착해!」의 플레이 경험에 영향을 주는 주요 조정 요소를 원형으로 정리</x:t>
  </x:si>
  <x:si>
    <x:t xml:space="preserve">큰 원은 플레이 전반에 미치는 영향이 큰 핵심 팩터이며, 작은 원은 장면·미션 단위에서 조정하는 세부 팩터임</x:t>
  </x:si>
  <x:si>
    <x:t xml:space="preserve">밸런스 문서 작성 기준</x:t>
  </x:si>
  <x:si>
    <x:t xml:space="preserve">항목</x:t>
  </x:si>
  <x:si>
    <x:t xml:space="preserve">작성 방식</x:t>
  </x:si>
  <x:si>
    <x:t xml:space="preserve">값/형식</x:t>
  </x:si>
  <x:si>
    <x:t xml:space="preserve">우리 게임 적용 기준</x:t>
  </x:si>
  <x:si>
    <x:t xml:space="preserve">조작난이도</x:t>
  </x:si>
  <x:si>
    <x:t xml:space="preserve">플레이어가 실제 입력을 수행할 때 느끼는 손 조작의 어려움</x:t>
  </x:si>
  <x:si>
    <x:t xml:space="preserve">1~10 숫자</x:t>
  </x:si>
  <x:si>
    <x:t xml:space="preserve">1은 단순 확인·대화, 10은 빠른 보스 패턴과 복합 입력</x:t>
  </x:si>
  <x:si>
    <x:t xml:space="preserve">재미율</x:t>
  </x:si>
  <x:si>
    <x:t xml:space="preserve">기획자가 해당 구간이 이 정도로 재미있기를 기대하며 정하는 정성적 목표값</x:t>
  </x:si>
  <x:si>
    <x:t xml:space="preserve">탐색·긴장·감정·반전·성취를 모두 포함하며 실제 테스트값이 아님</x:t>
  </x:si>
  <x:si>
    <x:t xml:space="preserve">컨텐츠 제시순서</x:t>
  </x:si>
  <x:si>
    <x:t xml:space="preserve">게임 시작부터 엔딩까지 해금되는 모든 플레이 내용을 순서대로 기록</x:t>
  </x:si>
  <x:si>
    <x:t xml:space="preserve">1부터 연속 넘버링</x:t>
  </x:si>
  <x:si>
    <x:t xml:space="preserve">UI 미션뿐 아니라 이동·조사·대화·전투·업적성 행동·연출 확인까지 포함</x:t>
  </x:si>
  <x:si>
    <x:t xml:space="preserve">미션</x:t>
  </x:si>
  <x:si>
    <x:t xml:space="preserve">제목만 읽어도 플레이어가 무엇을 해야 하는지 보이도록 작성</x:t>
  </x:si>
  <x:si>
    <x:t xml:space="preserve">행동형 제목</x:t>
  </x:si>
  <x:si>
    <x:t xml:space="preserve">예: 신상 과자 진열대 찾기, 균열 괴물과 첫 전투 치르기</x:t>
  </x:si>
  <x:si>
    <x:t xml:space="preserve">방해요소</x:t>
  </x:si>
  <x:si>
    <x:t xml:space="preserve">목표를 바로 달성하지 못하게 만드는 맵·NPC·시간·정보·전투 요소</x:t>
  </x:si>
  <x:si>
    <x:t xml:space="preserve">구체적 서술</x:t>
  </x:si>
  <x:si>
    <x:t xml:space="preserve">비슷한 후보, 넓은 탐색 범위, 제한시간, 시야 차단, 감정적 압박 등</x:t>
  </x:si>
  <x:si>
    <x:t xml:space="preserve">방해요소 공략</x:t>
  </x:si>
  <x:si>
    <x:t xml:space="preserve">방해요소를 해결하기 위해 플레이어가 관찰·판단·조작해야 하는 내용</x:t>
  </x:si>
  <x:si>
    <x:t xml:space="preserve">구체적 플레이 절차</x:t>
  </x:si>
  <x:si>
    <x:t xml:space="preserve">이 표에서 가장 핵심적인 항목으로 작성</x:t>
  </x:si>
  <x:si>
    <x:t xml:space="preserve">방해요인의 난이도</x:t>
  </x:si>
  <x:si>
    <x:t xml:space="preserve">관찰·판단·공략의 어려움과 그 난이도를 만드는 요인을 함께 기록</x:t>
  </x:si>
  <x:si>
    <x:t xml:space="preserve">숫자/10 + 원인 설명</x:t>
  </x:si>
  <x:si>
    <x:t xml:space="preserve">후보 수, 맵 크기, 속도 차이, 제한시간, 패턴 수 등</x:t>
  </x:si>
  <x:si>
    <x:t xml:space="preserve">미션개수</x:t>
  </x:si>
  <x:si>
    <x:t xml:space="preserve">해당 행의 목표를 완료하기 위해 필요한 행동·대상·단계의 수</x:t>
  </x:si>
  <x:si>
    <x:t xml:space="preserve">정수</x:t>
  </x:si>
  <x:si>
    <x:t xml:space="preserve">수거 8개, 단서 5개, 대화 1회, 보스 패턴 6회 등</x:t>
  </x:si>
  <x:si>
    <x:t xml:space="preserve">성공 미션조건</x:t>
  </x:si>
  <x:si>
    <x:t xml:space="preserve">시스템이 완료를 판정할 수 있는 명확한 조건</x:t>
  </x:si>
  <x:si>
    <x:t xml:space="preserve">구체적 판정 조건</x:t>
  </x:si>
  <x:si>
    <x:t xml:space="preserve">목표 수량 달성, 트리거 진입, 보스 체력 0 등</x:t>
  </x:si>
  <x:si>
    <x:t xml:space="preserve">실패 미션조건</x:t>
  </x:si>
  <x:si>
    <x:t xml:space="preserve">실패가 존재하는 경우 재시작·페널티가 발생하는 조건</x:t>
  </x:si>
  <x:si>
    <x:t xml:space="preserve">구체적 판정 조건 또는 실패 없음</x:t>
  </x:si>
  <x:si>
    <x:t xml:space="preserve">추격 거리 초과, 체력 0, 제한시간 종료, 오답 누적 등</x:t>
  </x:si>
  <x:si>
    <x:t xml:space="preserve">예상 플레이타임</x:t>
  </x:si>
  <x:si>
    <x:t xml:space="preserve">초회 플레이어가 해당 콘텐츠를 완료하는 데 걸릴 것으로 예상하는 시간</x:t>
  </x:si>
  <x:si>
    <x:t xml:space="preserve">초/분</x:t>
  </x:si>
  <x:si>
    <x:t xml:space="preserve">이동거리·미션개수·대사량·재시도 가능성을 함께 고려</x:t>
  </x:si>
  <x:si>
    <x:t xml:space="preserve">난이도 보정 컨텐츠</x:t>
  </x:si>
  <x:si>
    <x:t xml:space="preserve">막힌 플레이어가 목표를 다시 파악하도록 돕는 힌트와 보정 장치</x:t>
  </x:si>
  <x:si>
    <x:t xml:space="preserve">필요한 경우 작성</x:t>
  </x:si>
  <x:si>
    <x:t xml:space="preserve">방향 표시, 반짝임, 속도 감소, 체크포인트, 오답 힌트 등</x:t>
  </x:si>
  <x:si>
    <x:t xml:space="preserve">이동속도 A</x:t>
  </x:si>
  <x:si>
    <x:t xml:space="preserve">플레이어 또는 해당 행에서 주체가 되는 캐릭터의 이동속도</x:t>
  </x:si>
  <x:si>
    <x:t xml:space="preserve">1~5 상대값</x:t>
  </x:si>
  <x:si>
    <x:t xml:space="preserve">1 매우 느림, 3 보통, 5 빠름. 이동이 핵심이 아닐 때는 공란</x:t>
  </x:si>
  <x:si>
    <x:t xml:space="preserve">이동속도 B</x:t>
  </x:si>
  <x:si>
    <x:t xml:space="preserve">추격 대상·동행 NPC·위협체 등 상대 캐릭터의 이동속도</x:t>
  </x:si>
  <x:si>
    <x:t xml:space="preserve">A와 B의 속도 차이가 추격·호위·회피 난이도를 결정</x:t>
  </x:si>
  <x:si>
    <x:t xml:space="preserve">문서 범위</x:t>
  </x:si>
  <x:si>
    <x:t xml:space="preserve">게임 시작부터 엔딩까지 모든 콘텐츠를 작성</x:t>
  </x:si>
  <x:si>
    <x:t xml:space="preserve">최소 50개 이상</x:t>
  </x:si>
  <x:si>
    <x:t xml:space="preserve">현재 문서에는 총 119개 콘텐츠를 기록</x:t>
  </x:si>
  <x:si>
    <x:t xml:space="preserve">전체 밸런스 곡선 요약</x:t>
  </x:si>
  <x:si>
    <x:t xml:space="preserve">총 콘텐츠 수</x:t>
  </x:si>
  <x:si>
    <x:t xml:space="preserve">평균 조작난이도</x:t>
  </x:si>
  <x:si>
    <x:t xml:space="preserve">평균 재미율</x:t>
  </x:si>
  <x:si>
    <x:t xml:space="preserve">최고 조작난이도</x:t>
  </x:si>
  <x:si>
    <x:t xml:space="preserve">최고 재미율</x:t>
  </x:si>
  <x:si>
    <x:t xml:space="preserve">구간</x:t>
  </x:si>
  <x:si>
    <x:t xml:space="preserve">콘텐츠 수</x:t>
  </x:si>
  <x:si>
    <x:t xml:space="preserve">최고 방해요인 난이도</x:t>
  </x:si>
  <x:si>
    <x:t xml:space="preserve">Q1 동생 심부름</x:t>
  </x:si>
  <x:si>
    <x:t xml:space="preserve">Q2 공원 청소</x:t>
  </x:si>
  <x:si>
    <x:t xml:space="preserve">Q3 재난 대응과 영웅화</x:t>
  </x:si>
  <x:si>
    <x:t xml:space="preserve">Q4 폐교 보스</x:t>
  </x:si>
  <x:si>
    <x:t xml:space="preserve">Q5 균열 탐색과 결말</x:t>
  </x:si>
</x:sst>
</file>

<file path=xl/styles.xml><?xml version="1.0" encoding="utf-8"?>
<x:styleSheet xmlns:x="http://schemas.openxmlformats.org/spreadsheetml/2006/main">
  <x:numFmts count="4">
    <x:numFmt numFmtId="176" formatCode="0.0"/>
    <x:numFmt numFmtId="177" formatCode="[h]&quot;시간 &quot;m&quot;분 &quot;s&quot;초&quot;"/>
    <x:numFmt numFmtId="178" formatCode="[m]&quot;분 &quot;s&quot;초&quot;"/>
    <x:numFmt numFmtId="200" formatCode="0"/>
  </x:numFmts>
  <x:fonts count="18">
    <x:font>
      <x:sz val="11"/>
      <x:color rgb="FF000000"/>
      <x:name val="Carlito"/>
    </x:font>
    <x:font>
      <x:sz val="11"/>
      <x:color rgb="FF000000"/>
      <x:name val="Carlito"/>
    </x:font>
    <x:font>
      <x:b/>
      <x:sz val="10"/>
      <x:color rgb="FFFFFFFF"/>
      <x:name val="Carlito"/>
    </x:font>
    <x:font>
      <x:b/>
      <x:sz val="11"/>
      <x:color rgb="FF172B4D"/>
      <x:name val="Carlito"/>
    </x:font>
    <x:font>
      <x:b/>
      <x:sz val="16"/>
      <x:color rgb="FF000000"/>
      <x:name val="Carlito"/>
    </x:font>
    <x:font>
      <x:sz val="10"/>
      <x:color rgb="FF000000"/>
      <x:name val="Carlito"/>
    </x:font>
    <x:font>
      <x:b/>
      <x:sz val="11"/>
      <x:color rgb="FF000000"/>
      <x:name val="Carlito"/>
    </x:font>
    <x:font>
      <x:b/>
      <x:sz val="20"/>
      <x:color rgb="FF1F1F1F"/>
      <x:name val="Carlito"/>
    </x:font>
    <x:font>
      <x:sz val="10"/>
      <x:color rgb="FF666666"/>
      <x:name val="Carlito"/>
    </x:font>
    <x:font>
      <x:sz val="10"/>
      <x:color rgb="FF404040"/>
      <x:name val="Carlito"/>
    </x:font>
    <x:font>
      <x:b/>
      <x:sz val="15"/>
      <x:color rgb="FFFFFFFF"/>
      <x:name val="Carlito"/>
    </x:font>
    <x:font>
      <x:sz val="8"/>
      <x:name val="돋움"/>
    </x:font>
    <x:font>
      <x:sz val="10"/>
      <x:color rgb="FF000000"/>
      <x:name val="맑은 고딕"/>
    </x:font>
    <x:font>
      <x:b/>
      <x:sz val="10"/>
      <x:color rgb="FFFFFFFF"/>
      <x:name val="맑은 고딕"/>
    </x:font>
    <x:font>
      <x:sz val="10"/>
      <x:color rgb="FF172B4D"/>
      <x:name val="맑은 고딕"/>
    </x:font>
    <x:font>
      <x:b/>
      <x:sz val="11"/>
      <x:color rgb="FFFFFFFF"/>
      <x:name val="맑은 고딕"/>
    </x:font>
    <x:font>
      <x:sz val="11"/>
      <x:color rgb="FF000000"/>
      <x:name val="맑은 고딕"/>
    </x:font>
    <x:font>
      <x:b/>
      <x:sz val="11"/>
      <x:color rgb="FF000000"/>
      <x:name val="맑은 고딕"/>
    </x:font>
  </x:fonts>
  <x:fills count="12">
    <x:fill>
      <x:patternFill patternType="none"/>
    </x:fill>
    <x:fill>
      <x:patternFill patternType="gray125"/>
    </x:fill>
    <x:fill>
      <x:patternFill patternType="solid">
        <x:fgColor rgb="FF334E68"/>
      </x:patternFill>
    </x:fill>
    <x:fill>
      <x:patternFill patternType="solid">
        <x:fgColor rgb="FFD9E2F3"/>
      </x:patternFill>
    </x:fill>
    <x:fill>
      <x:patternFill patternType="solid">
        <x:fgColor rgb="FFDDEBF7"/>
      </x:patternFill>
    </x:fill>
    <x:fill>
      <x:patternFill patternType="solid">
        <x:fgColor rgb="FFCDE5FF"/>
      </x:patternFill>
    </x:fill>
    <x:fill>
      <x:patternFill patternType="solid">
        <x:fgColor rgb="FFD7FFCD"/>
      </x:patternFill>
    </x:fill>
    <x:fill>
      <x:patternFill patternType="solid">
        <x:fgColor rgb="FFFFFBCD"/>
      </x:patternFill>
    </x:fill>
    <x:fill>
      <x:patternFill patternType="solid">
        <x:fgColor rgb="FFFFDBD5"/>
      </x:patternFill>
    </x:fill>
    <x:fill>
      <x:patternFill patternType="solid">
        <x:fgColor rgb="FFF8DDFF"/>
      </x:patternFill>
    </x:fill>
    <x:fill>
      <x:patternFill patternType="solid">
        <x:fgColor rgb="FF24324A"/>
      </x:patternFill>
    </x:fill>
    <x:fill>
      <x:patternFill patternType="solid">
        <x:fgColor rgb="FF334E68"/>
      </x:patternFill>
    </x:fill>
  </x:fills>
  <x:borders count="72">
    <x:border/>
    <x:border>
      <x:left style="thin">
        <x:color rgb="FF172B4D"/>
      </x:left>
      <x:top style="thin">
        <x:color rgb="FF172B4D"/>
      </x:top>
      <x:bottom style="thin">
        <x:color rgb="FF172B4D"/>
      </x:bottom>
    </x:border>
    <x:border>
      <x:top style="thin">
        <x:color rgb="FF172B4D"/>
      </x:top>
      <x:bottom style="thin">
        <x:color rgb="FF172B4D"/>
      </x:bottom>
    </x:border>
    <x:border>
      <x:right style="thin">
        <x:color rgb="FF172B4D"/>
      </x:right>
      <x:top style="thin">
        <x:color rgb="FF172B4D"/>
      </x:top>
      <x:bottom style="thin">
        <x:color rgb="FF172B4D"/>
      </x:bottom>
    </x:border>
    <x:border>
      <x:left style="thin">
        <x:color rgb="FFC8D1DC"/>
      </x:left>
      <x:top style="thin">
        <x:color rgb="FFC8D1DC"/>
      </x:top>
    </x:border>
    <x:border>
      <x:top style="thin">
        <x:color rgb="FFC8D1DC"/>
      </x:top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</x:border>
    <x:border>
      <x:right style="thin">
        <x:color rgb="FFC8D1DC"/>
      </x:right>
    </x:border>
    <x:border>
      <x:left style="thin">
        <x:color rgb="FFC8D1DC"/>
      </x:left>
      <x:bottom style="thin">
        <x:color rgb="FFC8D1DC"/>
      </x:bottom>
    </x:border>
    <x:border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7F8FA6"/>
      </x:left>
      <x:top style="thin">
        <x:color rgb="FF7F8FA6"/>
      </x:top>
      <x:bottom style="thin">
        <x:color rgb="FF7F8FA6"/>
      </x:bottom>
    </x:border>
    <x:border>
      <x:top style="thin">
        <x:color rgb="FF7F8FA6"/>
      </x:top>
      <x:bottom style="thin">
        <x:color rgb="FF7F8FA6"/>
      </x:bottom>
    </x:border>
    <x:border>
      <x:right style="thin">
        <x:color rgb="FF7F8FA6"/>
      </x:right>
      <x:top style="thin">
        <x:color rgb="FF7F8FA6"/>
      </x:top>
      <x:bottom style="thin">
        <x:color rgb="FF7F8FA6"/>
      </x:bottom>
    </x:border>
    <x:border>
      <x:top style="thin">
        <x:color rgb="FF000000"/>
      </x:top>
    </x:border>
    <x:border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left style="thin">
        <x:color rgb="FF000000"/>
      </x:left>
      <x:top style="thin">
        <x:color rgb="FF172B4D"/>
      </x:top>
    </x:border>
    <x:border>
      <x:top style="thin">
        <x:color rgb="FF172B4D"/>
      </x:top>
    </x:border>
    <x:border>
      <x:left style="thin">
        <x:color rgb="FF172B4D"/>
      </x:left>
      <x:top style="thin">
        <x:color rgb="FF172B4D"/>
      </x:top>
    </x:border>
    <x:border>
      <x:left style="thin">
        <x:color auto="1"/>
      </x:left>
      <x:right style="thin">
        <x:color auto="1"/>
      </x:right>
      <x:top style="thin">
        <x:color rgb="FF000000"/>
      </x:top>
    </x:border>
    <x:border>
      <x:right style="thin">
        <x:color auto="1"/>
      </x:right>
      <x:top style="thin">
        <x:color rgb="FF000000"/>
      </x:top>
    </x:border>
    <x:border>
      <x:right style="thin">
        <x:color auto="1"/>
      </x:right>
      <x:top style="thin">
        <x:color rgb="FF000000"/>
      </x:top>
      <x:bottom style="thin">
        <x:color auto="1"/>
      </x:bottom>
    </x:border>
    <x:border>
      <x:top style="thin">
        <x:color auto="1"/>
      </x:top>
      <x:bottom style="thin">
        <x:color auto="1"/>
      </x:bottom>
    </x:border>
    <x:border>
      <x:left style="thin">
        <x:color auto="1"/>
      </x:left>
      <x:top style="thin">
        <x:color rgb="FF000000"/>
      </x:top>
    </x:border>
    <x:border>
      <x:top style="thin">
        <x:color rgb="FF000000"/>
      </x:top>
      <x:bottom style="thin">
        <x:color auto="1"/>
      </x:bottom>
    </x:border>
    <x:border/>
    <x:border>
      <x:left style="thin">
        <x:color rgb="FF172B4D"/>
      </x:left>
      <x:top style="thin">
        <x:color rgb="FF172B4D"/>
      </x:top>
      <x:bottom style="thin">
        <x:color rgb="FF172B4D"/>
      </x:bottom>
    </x:border>
    <x:border>
      <x:top style="thin">
        <x:color rgb="FF172B4D"/>
      </x:top>
      <x:bottom style="thin">
        <x:color rgb="FF172B4D"/>
      </x:bottom>
    </x:border>
    <x:border>
      <x:right style="thin">
        <x:color rgb="FF172B4D"/>
      </x:right>
      <x:top style="thin">
        <x:color rgb="FF172B4D"/>
      </x:top>
      <x:bottom style="thin">
        <x:color rgb="FF172B4D"/>
      </x:bottom>
    </x:border>
    <x:border>
      <x:left style="thin">
        <x:color rgb="FFC8D1DC"/>
      </x:left>
      <x:top style="thin">
        <x:color rgb="FFC8D1DC"/>
      </x:top>
    </x:border>
    <x:border>
      <x:top style="thin">
        <x:color rgb="FFC8D1DC"/>
      </x:top>
    </x:border>
    <x:border>
      <x:right style="thin">
        <x:color rgb="FFC8D1DC"/>
      </x:right>
      <x:top style="thin">
        <x:color rgb="FFC8D1DC"/>
      </x:top>
    </x:border>
    <x:border>
      <x:left style="thin">
        <x:color rgb="FFC8D1DC"/>
      </x:left>
    </x:border>
    <x:border>
      <x:right style="thin">
        <x:color rgb="FFC8D1DC"/>
      </x:right>
    </x:border>
    <x:border>
      <x:left style="thin">
        <x:color rgb="FFC8D1DC"/>
      </x:left>
      <x:bottom style="thin">
        <x:color rgb="FFC8D1DC"/>
      </x:bottom>
    </x:border>
    <x:border>
      <x:bottom style="thin">
        <x:color rgb="FFC8D1DC"/>
      </x:bottom>
    </x:border>
    <x:border>
      <x:right style="thin">
        <x:color rgb="FFC8D1DC"/>
      </x:right>
      <x:bottom style="thin">
        <x:color rgb="FFC8D1DC"/>
      </x:bottom>
    </x:border>
    <x:border>
      <x:left style="thin">
        <x:color rgb="FF7F8FA6"/>
      </x:left>
      <x:top style="thin">
        <x:color rgb="FF7F8FA6"/>
      </x:top>
      <x:bottom style="thin">
        <x:color rgb="FF7F8FA6"/>
      </x:bottom>
    </x:border>
    <x:border>
      <x:top style="thin">
        <x:color rgb="FF7F8FA6"/>
      </x:top>
      <x:bottom style="thin">
        <x:color rgb="FF7F8FA6"/>
      </x:bottom>
    </x:border>
    <x:border>
      <x:right style="thin">
        <x:color rgb="FF7F8FA6"/>
      </x:right>
      <x:top style="thin">
        <x:color rgb="FF7F8FA6"/>
      </x:top>
      <x:bottom style="thin">
        <x:color rgb="FF7F8FA6"/>
      </x:bottom>
    </x:border>
    <x:border>
      <x:left style="thin">
        <x:color rgb="FF000000"/>
      </x:left>
      <x:top style="thin">
        <x:color rgb="FF172B4D"/>
      </x:top>
    </x:border>
    <x:border>
      <x:top style="thin">
        <x:color rgb="FF172B4D"/>
      </x:top>
    </x:border>
    <x:border>
      <x:left style="thin">
        <x:color rgb="FF172B4D"/>
      </x:left>
      <x:top style="thin">
        <x:color rgb="FF172B4D"/>
      </x:top>
    </x:border>
    <x:border>
      <x:top style="thin">
        <x:color rgb="FF000000"/>
      </x:top>
    </x:border>
    <x:border>
      <x:left style="thin">
        <x:color auto="1"/>
      </x:left>
      <x:top style="thin">
        <x:color rgb="FF000000"/>
      </x:top>
    </x:border>
    <x:border>
      <x:left style="thin">
        <x:color auto="1"/>
      </x:left>
      <x:right style="thin">
        <x:color auto="1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</x:border>
    <x:border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rgb="FF000000"/>
      </x:top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auto="1"/>
      </x:bottom>
    </x:border>
    <x:border>
      <x:right style="thin">
        <x:color auto="1"/>
      </x:right>
      <x:top style="thin">
        <x:color rgb="FF000000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auto="1"/>
      </x:left>
      <x:right style="thin">
        <x:color auto="1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</x:borders>
  <x:cellStyleXfs count="3">
    <x:xf numFmtId="0" fontId="0" fillId="0" borderId="0">
      <x:alignment vertical="center"/>
    </x:xf>
    <x:xf numFmtId="0" fontId="1" fillId="0" borderId="0"/>
    <x:xf numFmtId="0" fontId="1" fillId="0" borderId="0">
      <x:alignment vertical="center"/>
    </x:xf>
  </x:cellStyleXfs>
  <x:cellXfs count="314">
    <x:xf numFmtId="0" fontId="0" fillId="0" borderId="0" xfId="0" applyNumberFormat="1" applyAlignment="1"/>
    <x:xf numFmtId="0" fontId="2" fillId="2" borderId="1" xfId="1" applyNumberFormat="1" applyFont="1" applyFill="1" applyBorder="1" applyAlignment="1">
      <x:alignment horizontal="center" vertical="center" wrapText="1"/>
    </x:xf>
    <x:xf numFmtId="0" fontId="2" fillId="2" borderId="2" xfId="1" applyNumberFormat="1" applyFont="1" applyFill="1" applyBorder="1" applyAlignment="1">
      <x:alignment horizontal="center" vertical="center" wrapText="1"/>
    </x:xf>
    <x:xf numFmtId="0" fontId="2" fillId="2" borderId="3" xfId="1" applyNumberFormat="1" applyFont="1" applyFill="1" applyBorder="1" applyAlignment="1">
      <x:alignment horizontal="center" vertical="center" wrapText="1"/>
    </x:xf>
    <x:xf numFmtId="0" fontId="0" fillId="0" borderId="0" xfId="1" applyNumberFormat="1" applyFont="1" applyFill="1" applyBorder="1" applyAlignment="1">
      <x:alignment vertical="top" wrapText="1"/>
    </x:xf>
    <x:xf numFmtId="0" fontId="0" fillId="0" borderId="4" xfId="1" applyNumberFormat="1" applyFont="1" applyFill="1" applyBorder="1" applyAlignment="1">
      <x:alignment vertical="top" wrapText="1"/>
    </x:xf>
    <x:xf numFmtId="0" fontId="0" fillId="0" borderId="5" xfId="1" applyNumberFormat="1" applyFont="1" applyFill="1" applyBorder="1" applyAlignment="1">
      <x:alignment vertical="top" wrapText="1"/>
    </x:xf>
    <x:xf numFmtId="0" fontId="0" fillId="0" borderId="6" xfId="1" applyNumberFormat="1" applyFont="1" applyFill="1" applyBorder="1" applyAlignment="1">
      <x:alignment vertical="top" wrapText="1"/>
    </x:xf>
    <x:xf numFmtId="0" fontId="0" fillId="0" borderId="7" xfId="1" applyNumberFormat="1" applyFont="1" applyFill="1" applyBorder="1" applyAlignment="1">
      <x:alignment vertical="top" wrapText="1"/>
    </x:xf>
    <x:xf numFmtId="0" fontId="0" fillId="0" borderId="8" xfId="1" applyNumberFormat="1" applyFont="1" applyFill="1" applyBorder="1" applyAlignment="1">
      <x:alignment vertical="top" wrapText="1"/>
    </x:xf>
    <x:xf numFmtId="0" fontId="0" fillId="0" borderId="9" xfId="1" applyNumberFormat="1" applyFont="1" applyFill="1" applyBorder="1" applyAlignment="1">
      <x:alignment vertical="top" wrapText="1"/>
    </x:xf>
    <x:xf numFmtId="0" fontId="0" fillId="0" borderId="10" xfId="1" applyNumberFormat="1" applyFont="1" applyFill="1" applyBorder="1" applyAlignment="1">
      <x:alignment vertical="top" wrapText="1"/>
    </x:xf>
    <x:xf numFmtId="0" fontId="0" fillId="0" borderId="11" xfId="1" applyNumberFormat="1" applyFont="1" applyFill="1" applyBorder="1" applyAlignment="1">
      <x:alignment vertical="top" wrapText="1"/>
    </x:xf>
    <x:xf numFmtId="0" fontId="3" fillId="3" borderId="12" xfId="1" applyNumberFormat="1" applyFont="1" applyFill="1" applyBorder="1" applyAlignment="1">
      <x:alignment horizontal="center" vertical="center"/>
    </x:xf>
    <x:xf numFmtId="0" fontId="3" fillId="3" borderId="13" xfId="1" applyNumberFormat="1" applyFont="1" applyFill="1" applyBorder="1" applyAlignment="1">
      <x:alignment horizontal="center" vertical="center"/>
    </x:xf>
    <x:xf numFmtId="0" fontId="3" fillId="3" borderId="14" xfId="1" applyNumberFormat="1" applyFont="1" applyFill="1" applyBorder="1" applyAlignment="1">
      <x:alignment horizontal="center" vertical="center"/>
    </x:xf>
    <x:xf numFmtId="176" fontId="3" fillId="3" borderId="13" xfId="1" applyNumberFormat="1" applyFont="1" applyFill="1" applyBorder="1" applyAlignment="1">
      <x:alignment horizontal="center" vertical="center"/>
    </x:xf>
    <x:xf numFmtId="0" fontId="0" fillId="0" borderId="4" xfId="1" applyNumberFormat="1" applyFont="1" applyFill="1" applyBorder="1"/>
    <x:xf numFmtId="0" fontId="0" fillId="0" borderId="5" xfId="1" applyNumberFormat="1" applyFont="1" applyFill="1" applyBorder="1"/>
    <x:xf numFmtId="0" fontId="0" fillId="0" borderId="6" xfId="1" applyNumberFormat="1" applyFont="1" applyFill="1" applyBorder="1"/>
    <x:xf numFmtId="0" fontId="0" fillId="0" borderId="7" xfId="1" applyNumberFormat="1" applyFont="1" applyFill="1" applyBorder="1"/>
    <x:xf numFmtId="0" fontId="0" fillId="0" borderId="0" xfId="1" applyNumberFormat="1" applyFont="1" applyFill="1" applyBorder="1"/>
    <x:xf numFmtId="0" fontId="0" fillId="0" borderId="8" xfId="1" applyNumberFormat="1" applyFont="1" applyFill="1" applyBorder="1"/>
    <x:xf numFmtId="0" fontId="0" fillId="0" borderId="9" xfId="1" applyNumberFormat="1" applyFont="1" applyFill="1" applyBorder="1"/>
    <x:xf numFmtId="0" fontId="0" fillId="0" borderId="10" xfId="1" applyNumberFormat="1" applyFont="1" applyFill="1" applyBorder="1"/>
    <x:xf numFmtId="0" fontId="0" fillId="0" borderId="11" xfId="1" applyNumberFormat="1" applyFont="1" applyFill="1" applyBorder="1"/>
    <x:xf numFmtId="176" fontId="0" fillId="0" borderId="5" xfId="1" applyNumberFormat="1" applyFont="1" applyFill="1" applyBorder="1"/>
    <x:xf numFmtId="176" fontId="0" fillId="0" borderId="0" xfId="1" applyNumberFormat="1" applyFont="1" applyFill="1" applyBorder="1"/>
    <x:xf numFmtId="176" fontId="0" fillId="0" borderId="10" xfId="1" applyNumberFormat="1" applyFont="1" applyFill="1" applyBorder="1"/>
    <x:xf numFmtId="0" fontId="4" fillId="4" borderId="0" xfId="2" applyNumberFormat="1" applyFont="1" applyFill="1" applyAlignment="1"/>
    <x:xf numFmtId="0" fontId="1" fillId="0" borderId="0" xfId="2" applyNumberFormat="1" applyAlignment="1"/>
    <x:xf numFmtId="0" fontId="5" fillId="4" borderId="0" xfId="2" applyNumberFormat="1" applyFont="1" applyFill="1" applyAlignment="1">
      <x:alignment wrapText="1"/>
    </x:xf>
    <x:xf numFmtId="0" fontId="6" fillId="0" borderId="0" xfId="2" applyNumberFormat="1" applyFont="1" applyAlignment="1"/>
    <x:xf numFmtId="0" fontId="7" fillId="0" borderId="0" xfId="2" applyNumberFormat="1" applyFont="1" applyFill="1" applyBorder="1" applyAlignment="1">
      <x:alignment horizontal="left" vertical="center"/>
    </x:xf>
    <x:xf numFmtId="0" fontId="1" fillId="0" borderId="0" xfId="2" applyNumberFormat="1" applyAlignment="1"/>
    <x:xf numFmtId="0" fontId="8" fillId="0" borderId="0" xfId="2" applyNumberFormat="1" applyFont="1" applyFill="1" applyBorder="1" applyAlignment="1">
      <x:alignment horizontal="left" vertical="center" wrapText="1"/>
    </x:xf>
    <x:xf numFmtId="0" fontId="9" fillId="4" borderId="0" xfId="2" applyNumberFormat="1" applyFont="1" applyFill="1" applyBorder="1" applyAlignment="1">
      <x:alignment horizontal="left" vertical="center" wrapText="1"/>
    </x:xf>
    <x:xf numFmtId="0" fontId="10" fillId="10" borderId="0" xfId="1" applyNumberFormat="1" applyFont="1" applyFill="1" applyBorder="1" applyAlignment="1">
      <x:alignment horizontal="center" vertical="center"/>
    </x:xf>
    <x:xf numFmtId="0" fontId="12" fillId="0" borderId="0" xfId="0" applyNumberFormat="1" applyFont="1" applyAlignment="1">
      <x:alignment vertical="center"/>
    </x:xf>
    <x:xf numFmtId="0" fontId="12" fillId="0" borderId="0" xfId="0" applyNumberFormat="1" applyFont="1" applyAlignment="1">
      <x:alignment horizontal="left" vertical="center"/>
    </x:xf>
    <x:xf numFmtId="0" fontId="13" fillId="2" borderId="19" xfId="1" applyNumberFormat="1" applyFont="1" applyFill="1" applyBorder="1" applyAlignment="1">
      <x:alignment horizontal="center" vertical="center" wrapText="1"/>
    </x:xf>
    <x:xf numFmtId="0" fontId="13" fillId="2" borderId="20" xfId="1" applyNumberFormat="1" applyFont="1" applyFill="1" applyBorder="1" applyAlignment="1">
      <x:alignment horizontal="center" vertical="center" wrapText="1"/>
    </x:xf>
    <x:xf numFmtId="0" fontId="13" fillId="2" borderId="21" xfId="1" applyNumberFormat="1" applyFont="1" applyFill="1" applyBorder="1" applyAlignment="1">
      <x:alignment horizontal="center" vertical="center" wrapText="1"/>
    </x:xf>
    <x:xf numFmtId="33" fontId="13" fillId="2" borderId="15" xfId="1" applyNumberFormat="1" applyFont="1" applyFill="1" applyBorder="1" applyAlignment="1">
      <x:alignment horizontal="center" vertical="center" wrapText="1"/>
    </x:xf>
    <x:xf numFmtId="0" fontId="13" fillId="2" borderId="15" xfId="1" applyNumberFormat="1" applyFont="1" applyFill="1" applyBorder="1" applyAlignment="1">
      <x:alignment horizontal="center" vertical="center" wrapText="1"/>
    </x:xf>
    <x:xf numFmtId="0" fontId="13" fillId="2" borderId="0" xfId="1" applyNumberFormat="1" applyFont="1" applyFill="1" applyBorder="1" applyAlignment="1">
      <x:alignment horizontal="center" vertical="center" wrapText="1"/>
    </x:xf>
    <x:xf numFmtId="0" fontId="13" fillId="2" borderId="26" xfId="1" applyNumberFormat="1" applyFont="1" applyFill="1" applyBorder="1" applyAlignment="1">
      <x:alignment horizontal="center" vertical="center" wrapText="1"/>
    </x:xf>
    <x:xf numFmtId="0" fontId="13" fillId="2" borderId="22" xfId="1" applyNumberFormat="1" applyFont="1" applyFill="1" applyBorder="1" applyAlignment="1">
      <x:alignment horizontal="center" vertical="center" wrapText="1"/>
    </x:xf>
    <x:xf numFmtId="0" fontId="12" fillId="5" borderId="17" xfId="1" applyNumberFormat="1" applyFont="1" applyFill="1" applyBorder="1" applyAlignment="1">
      <x:alignment horizontal="center" vertical="center" wrapText="1"/>
    </x:xf>
    <x:xf numFmtId="0" fontId="12" fillId="0" borderId="15" xfId="1" applyNumberFormat="1" applyFont="1" applyBorder="1" applyAlignment="1">
      <x:alignment horizontal="center" vertical="center" wrapText="1"/>
    </x:xf>
    <x:xf numFmtId="0" fontId="14" fillId="0" borderId="15" xfId="1" applyNumberFormat="1" applyFont="1" applyBorder="1" applyAlignment="1">
      <x:alignment vertical="center" wrapText="1"/>
    </x:xf>
    <x:xf numFmtId="0" fontId="12" fillId="0" borderId="15" xfId="1" applyNumberFormat="1" applyFont="1" applyBorder="1" applyAlignment="1">
      <x:alignment vertical="center" wrapText="1"/>
    </x:xf>
    <x:xf numFmtId="177" fontId="12" fillId="0" borderId="15" xfId="0" applyNumberFormat="1" applyFont="1" applyBorder="1" applyAlignment="1">
      <x:alignment horizontal="center" vertical="center"/>
    </x:xf>
    <x:xf numFmtId="0" fontId="12" fillId="0" borderId="15" xfId="0" applyNumberFormat="1" applyFont="1" applyBorder="1" applyAlignment="1">
      <x:alignment horizontal="left" vertical="center" wrapText="1"/>
    </x:xf>
    <x:xf numFmtId="1" fontId="12" fillId="0" borderId="15" xfId="0" applyNumberFormat="1" applyFont="1" applyBorder="1" applyAlignment="1">
      <x:alignment horizontal="center" vertical="center"/>
    </x:xf>
    <x:xf numFmtId="1" fontId="12" fillId="0" borderId="25" xfId="0" applyNumberFormat="1" applyFont="1" applyFill="1" applyBorder="1" applyAlignment="1">
      <x:alignment horizontal="center" vertical="center"/>
    </x:xf>
    <x:xf numFmtId="0" fontId="12" fillId="0" borderId="15" xfId="0" applyNumberFormat="1" applyFont="1" applyBorder="1" applyAlignment="1">
      <x:alignment horizontal="center" vertical="center"/>
    </x:xf>
    <x:xf numFmtId="0" fontId="12" fillId="0" borderId="23" xfId="0" applyNumberFormat="1" applyFont="1" applyBorder="1" applyAlignment="1">
      <x:alignment horizontal="center" vertical="center"/>
    </x:xf>
    <x:xf numFmtId="0" fontId="12" fillId="6" borderId="17" xfId="1" applyNumberFormat="1" applyFont="1" applyFill="1" applyBorder="1" applyAlignment="1">
      <x:alignment horizontal="center" vertical="center" wrapText="1"/>
    </x:xf>
    <x:xf numFmtId="0" fontId="12" fillId="7" borderId="17" xfId="1" applyNumberFormat="1" applyFont="1" applyFill="1" applyBorder="1" applyAlignment="1">
      <x:alignment horizontal="center" vertical="center" wrapText="1"/>
    </x:xf>
    <x:xf numFmtId="0" fontId="12" fillId="8" borderId="17" xfId="1" applyNumberFormat="1" applyFont="1" applyFill="1" applyBorder="1" applyAlignment="1">
      <x:alignment horizontal="center" vertical="center" wrapText="1"/>
    </x:xf>
    <x:xf numFmtId="0" fontId="12" fillId="9" borderId="17" xfId="1" applyNumberFormat="1" applyFont="1" applyFill="1" applyBorder="1" applyAlignment="1">
      <x:alignment horizontal="center" vertical="center" wrapText="1"/>
    </x:xf>
    <x:xf numFmtId="0" fontId="12" fillId="9" borderId="18" xfId="1" applyNumberFormat="1" applyFont="1" applyFill="1" applyBorder="1" applyAlignment="1">
      <x:alignment horizontal="center" vertical="center" wrapText="1"/>
    </x:xf>
    <x:xf numFmtId="0" fontId="12" fillId="0" borderId="16" xfId="1" applyNumberFormat="1" applyFont="1" applyBorder="1" applyAlignment="1">
      <x:alignment horizontal="center" vertical="center" wrapText="1"/>
    </x:xf>
    <x:xf numFmtId="0" fontId="12" fillId="0" borderId="16" xfId="1" applyNumberFormat="1" applyFont="1" applyBorder="1" applyAlignment="1">
      <x:alignment vertical="center" wrapText="1"/>
    </x:xf>
    <x:xf numFmtId="177" fontId="12" fillId="0" borderId="16" xfId="0" applyNumberFormat="1" applyFont="1" applyBorder="1" applyAlignment="1">
      <x:alignment horizontal="center" vertical="center"/>
    </x:xf>
    <x:xf numFmtId="0" fontId="12" fillId="0" borderId="16" xfId="0" applyNumberFormat="1" applyFont="1" applyBorder="1" applyAlignment="1">
      <x:alignment horizontal="left" vertical="center" wrapText="1"/>
    </x:xf>
    <x:xf numFmtId="1" fontId="12" fillId="0" borderId="16" xfId="0" applyNumberFormat="1" applyFont="1" applyBorder="1" applyAlignment="1">
      <x:alignment horizontal="center" vertical="center"/>
    </x:xf>
    <x:xf numFmtId="0" fontId="12" fillId="0" borderId="27" xfId="0" applyNumberFormat="1" applyFont="1" applyBorder="1" applyAlignment="1">
      <x:alignment horizontal="center" vertical="center"/>
    </x:xf>
    <x:xf numFmtId="0" fontId="12" fillId="0" borderId="27" xfId="0" applyNumberFormat="1" applyFont="1" applyBorder="1" applyAlignment="1">
      <x:alignment horizontal="left" vertical="center" wrapText="1"/>
    </x:xf>
    <x:xf numFmtId="177" fontId="12" fillId="0" borderId="27" xfId="0" applyNumberFormat="1" applyFont="1" applyBorder="1" applyAlignment="1">
      <x:alignment horizontal="left" vertical="center" wrapText="1"/>
    </x:xf>
    <x:xf numFmtId="1" fontId="12" fillId="0" borderId="27" xfId="0" applyNumberFormat="1" applyFont="1" applyBorder="1" applyAlignment="1">
      <x:alignment horizontal="center" vertical="center"/>
    </x:xf>
    <x:xf numFmtId="0" fontId="12" fillId="0" borderId="24" xfId="0" applyNumberFormat="1" applyFont="1" applyBorder="1" applyAlignment="1">
      <x:alignment horizontal="center" vertical="center"/>
    </x:xf>
    <x:xf numFmtId="0" fontId="12" fillId="0" borderId="0" xfId="0" applyNumberFormat="1" applyFont="1" applyBorder="1" applyAlignment="1">
      <x:alignment vertical="center"/>
    </x:xf>
    <x:xf numFmtId="0" fontId="12" fillId="0" borderId="0" xfId="0" applyNumberFormat="1" applyFont="1" applyBorder="1" applyAlignment="1">
      <x:alignment horizontal="center" vertical="center"/>
    </x:xf>
    <x:xf numFmtId="178" fontId="12" fillId="0" borderId="15" xfId="0" applyNumberFormat="1" applyFont="1" applyBorder="1" applyAlignment="1">
      <x:alignment horizontal="left" vertical="center" wrapText="1"/>
    </x:xf>
    <x:xf numFmtId="0" fontId="0" fillId="0" borderId="28" xfId="0" applyNumberFormat="1" applyFont="1" applyFill="1" applyBorder="1"/>
    <x:xf numFmtId="0" fontId="2" fillId="2" borderId="29" xfId="0" applyNumberFormat="1" applyFont="1" applyFill="1" applyBorder="1" applyAlignment="1">
      <x:alignment horizontal="center" vertical="center" wrapText="1"/>
    </x:xf>
    <x:xf numFmtId="0" fontId="2" fillId="2" borderId="30" xfId="0" applyNumberFormat="1" applyFont="1" applyFill="1" applyBorder="1" applyAlignment="1">
      <x:alignment horizontal="center" vertical="center" wrapText="1"/>
    </x:xf>
    <x:xf numFmtId="0" fontId="2" fillId="2" borderId="31" xfId="0" applyNumberFormat="1" applyFont="1" applyFill="1" applyBorder="1" applyAlignment="1">
      <x:alignment horizontal="center" vertical="center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3" fillId="3" borderId="40" xfId="0" applyNumberFormat="1" applyFont="1" applyFill="1" applyBorder="1" applyAlignment="1">
      <x:alignment horizontal="center" vertical="center"/>
    </x:xf>
    <x:xf numFmtId="0" fontId="3" fillId="3" borderId="41" xfId="0" applyNumberFormat="1" applyFont="1" applyFill="1" applyBorder="1" applyAlignment="1">
      <x:alignment horizontal="center" vertical="center"/>
    </x:xf>
    <x:xf numFmtId="0" fontId="3" fillId="3" borderId="42" xfId="0" applyNumberFormat="1" applyFont="1" applyFill="1" applyBorder="1" applyAlignment="1">
      <x:alignment horizontal="center" vertical="center"/>
    </x:xf>
    <x:xf numFmtId="176" fontId="3" fillId="3" borderId="41" xfId="0" applyNumberFormat="1" applyFont="1" applyFill="1" applyBorder="1" applyAlignment="1">
      <x:alignment horizontal="center" vertical="center"/>
    </x:xf>
    <x:xf numFmtId="0" fontId="0" fillId="0" borderId="32" xfId="0" applyNumberFormat="1" applyFont="1" applyFill="1" applyBorder="1"/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176" fontId="0" fillId="0" borderId="33" xfId="0" applyNumberFormat="1" applyFont="1" applyFill="1" applyBorder="1"/>
    <x:xf numFmtId="176" fontId="0" fillId="0" borderId="28" xfId="0" applyNumberFormat="1" applyFont="1" applyFill="1" applyBorder="1"/>
    <x:xf numFmtId="176" fontId="0" fillId="0" borderId="38" xfId="0" applyNumberFormat="1" applyFont="1" applyFill="1" applyBorder="1"/>
    <x:xf numFmtId="0" fontId="4" fillId="4" borderId="28" xfId="0" applyNumberFormat="1" applyFont="1" applyFill="1" applyBorder="1"/>
    <x:xf numFmtId="0" fontId="5" fillId="4" borderId="28" xfId="0" applyNumberFormat="1" applyFont="1" applyFill="1" applyBorder="1" applyAlignment="1">
      <x:alignment wrapText="1"/>
    </x:xf>
    <x:xf numFmtId="0" fontId="6" fillId="0" borderId="28" xfId="0" applyNumberFormat="1" applyFont="1" applyFill="1" applyBorder="1"/>
    <x:xf numFmtId="0" fontId="7" fillId="0" borderId="28" xfId="0" applyNumberFormat="1" applyFont="1" applyFill="1" applyBorder="1" applyAlignment="1">
      <x:alignment horizontal="left" vertical="center"/>
    </x:xf>
    <x:xf numFmtId="0" fontId="8" fillId="0" borderId="28" xfId="0" applyNumberFormat="1" applyFont="1" applyFill="1" applyBorder="1" applyAlignment="1">
      <x:alignment horizontal="left" vertical="center" wrapText="1"/>
    </x:xf>
    <x:xf numFmtId="0" fontId="9" fillId="4" borderId="28" xfId="0" applyNumberFormat="1" applyFont="1" applyFill="1" applyBorder="1" applyAlignment="1">
      <x:alignment horizontal="left" vertical="center" wrapText="1"/>
    </x:xf>
    <x:xf numFmtId="0" fontId="10" fillId="10" borderId="28" xfId="0" applyNumberFormat="1" applyFont="1" applyFill="1" applyBorder="1" applyAlignment="1">
      <x:alignment horizontal="center" vertical="center"/>
    </x:xf>
    <x:xf numFmtId="0" fontId="12" fillId="0" borderId="28" xfId="0" applyNumberFormat="1" applyFont="1" applyFill="1" applyBorder="1" applyAlignment="1">
      <x:alignment vertical="center"/>
    </x:xf>
    <x:xf numFmtId="0" fontId="12" fillId="0" borderId="28" xfId="0" applyNumberFormat="1" applyFont="1" applyFill="1" applyBorder="1" applyAlignment="1">
      <x:alignment horizontal="left" vertical="center"/>
    </x:xf>
    <x:xf numFmtId="0" fontId="13" fillId="2" borderId="43" xfId="0" applyNumberFormat="1" applyFont="1" applyFill="1" applyBorder="1" applyAlignment="1">
      <x:alignment horizontal="center" vertical="center" wrapText="1"/>
    </x:xf>
    <x:xf numFmtId="0" fontId="13" fillId="2" borderId="44" xfId="0" applyNumberFormat="1" applyFont="1" applyFill="1" applyBorder="1" applyAlignment="1">
      <x:alignment horizontal="center" vertical="center" wrapText="1"/>
    </x:xf>
    <x:xf numFmtId="0" fontId="13" fillId="2" borderId="45" xfId="0" applyNumberFormat="1" applyFont="1" applyFill="1" applyBorder="1" applyAlignment="1">
      <x:alignment horizontal="center" vertical="center" wrapText="1"/>
    </x:xf>
    <x:xf numFmtId="33" fontId="13" fillId="2" borderId="46" xfId="0" applyNumberFormat="1" applyFont="1" applyFill="1" applyBorder="1" applyAlignment="1">
      <x:alignment horizontal="center" vertical="center" wrapText="1"/>
    </x:xf>
    <x:xf numFmtId="0" fontId="13" fillId="2" borderId="46" xfId="0" applyNumberFormat="1" applyFont="1" applyFill="1" applyBorder="1" applyAlignment="1">
      <x:alignment horizontal="center" vertical="center" wrapText="1"/>
    </x:xf>
    <x:xf numFmtId="0" fontId="13" fillId="2" borderId="28" xfId="0" applyNumberFormat="1" applyFont="1" applyFill="1" applyBorder="1" applyAlignment="1">
      <x:alignment horizontal="center" vertical="center" wrapText="1"/>
    </x:xf>
    <x:xf numFmtId="0" fontId="13" fillId="2" borderId="47" xfId="0" applyNumberFormat="1" applyFont="1" applyFill="1" applyBorder="1" applyAlignment="1">
      <x:alignment horizontal="center" vertical="center" wrapText="1"/>
    </x:xf>
    <x:xf numFmtId="0" fontId="13" fillId="2" borderId="48" xfId="0" applyNumberFormat="1" applyFont="1" applyFill="1" applyBorder="1" applyAlignment="1">
      <x:alignment horizontal="center" vertical="center" wrapText="1"/>
    </x:xf>
    <x:xf numFmtId="0" fontId="12" fillId="5" borderId="49" xfId="0" applyNumberFormat="1" applyFont="1" applyFill="1" applyBorder="1" applyAlignment="1">
      <x:alignment horizontal="center" vertical="center" wrapText="1"/>
    </x:xf>
    <x:xf numFmtId="0" fontId="12" fillId="0" borderId="46" xfId="0" applyNumberFormat="1" applyFont="1" applyFill="1" applyBorder="1" applyAlignment="1">
      <x:alignment horizontal="center" vertical="center" wrapText="1"/>
    </x:xf>
    <x:xf numFmtId="0" fontId="14" fillId="0" borderId="46" xfId="0" applyNumberFormat="1" applyFont="1" applyFill="1" applyBorder="1" applyAlignment="1">
      <x:alignment vertical="center" wrapText="1"/>
    </x:xf>
    <x:xf numFmtId="0" fontId="12" fillId="0" borderId="46" xfId="0" applyNumberFormat="1" applyFont="1" applyFill="1" applyBorder="1" applyAlignment="1">
      <x:alignment vertical="center" wrapText="1"/>
    </x:xf>
    <x:xf numFmtId="177" fontId="12" fillId="0" borderId="46" xfId="0" applyNumberFormat="1" applyFont="1" applyFill="1" applyBorder="1" applyAlignment="1">
      <x:alignment horizontal="center" vertical="center"/>
    </x:xf>
    <x:xf numFmtId="0" fontId="12" fillId="0" borderId="46" xfId="0" applyNumberFormat="1" applyFont="1" applyFill="1" applyBorder="1" applyAlignment="1">
      <x:alignment horizontal="left" vertical="center" wrapText="1"/>
    </x:xf>
    <x:xf numFmtId="1" fontId="12" fillId="0" borderId="46" xfId="0" applyNumberFormat="1" applyFont="1" applyFill="1" applyBorder="1" applyAlignment="1">
      <x:alignment horizontal="center" vertical="center"/>
    </x:xf>
    <x:xf numFmtId="1" fontId="12" fillId="0" borderId="50" xfId="0" applyNumberFormat="1" applyFont="1" applyFill="1" applyBorder="1" applyAlignment="1">
      <x:alignment horizontal="center" vertical="center"/>
    </x:xf>
    <x:xf numFmtId="0" fontId="12" fillId="0" borderId="46" xfId="0" applyNumberFormat="1" applyFont="1" applyFill="1" applyBorder="1" applyAlignment="1">
      <x:alignment horizontal="center" vertical="center"/>
    </x:xf>
    <x:xf numFmtId="0" fontId="12" fillId="0" borderId="51" xfId="0" applyNumberFormat="1" applyFont="1" applyFill="1" applyBorder="1" applyAlignment="1">
      <x:alignment horizontal="center" vertical="center"/>
    </x:xf>
    <x:xf numFmtId="0" fontId="12" fillId="6" borderId="49" xfId="0" applyNumberFormat="1" applyFont="1" applyFill="1" applyBorder="1" applyAlignment="1">
      <x:alignment horizontal="center" vertical="center" wrapText="1"/>
    </x:xf>
    <x:xf numFmtId="0" fontId="12" fillId="7" borderId="49" xfId="0" applyNumberFormat="1" applyFont="1" applyFill="1" applyBorder="1" applyAlignment="1">
      <x:alignment horizontal="center" vertical="center" wrapText="1"/>
    </x:xf>
    <x:xf numFmtId="0" fontId="12" fillId="8" borderId="49" xfId="0" applyNumberFormat="1" applyFont="1" applyFill="1" applyBorder="1" applyAlignment="1">
      <x:alignment horizontal="center" vertical="center" wrapText="1"/>
    </x:xf>
    <x:xf numFmtId="0" fontId="12" fillId="9" borderId="49" xfId="0" applyNumberFormat="1" applyFont="1" applyFill="1" applyBorder="1" applyAlignment="1">
      <x:alignment horizontal="center" vertical="center" wrapText="1"/>
    </x:xf>
    <x:xf numFmtId="0" fontId="12" fillId="9" borderId="52" xfId="0" applyNumberFormat="1" applyFont="1" applyFill="1" applyBorder="1" applyAlignment="1">
      <x:alignment horizontal="center" vertical="center" wrapText="1"/>
    </x:xf>
    <x:xf numFmtId="0" fontId="12" fillId="0" borderId="53" xfId="0" applyNumberFormat="1" applyFont="1" applyFill="1" applyBorder="1" applyAlignment="1">
      <x:alignment horizontal="center" vertical="center" wrapText="1"/>
    </x:xf>
    <x:xf numFmtId="0" fontId="12" fillId="0" borderId="53" xfId="0" applyNumberFormat="1" applyFont="1" applyFill="1" applyBorder="1" applyAlignment="1">
      <x:alignment vertical="center" wrapText="1"/>
    </x:xf>
    <x:xf numFmtId="177" fontId="12" fillId="0" borderId="53" xfId="0" applyNumberFormat="1" applyFont="1" applyFill="1" applyBorder="1" applyAlignment="1">
      <x:alignment horizontal="center" vertical="center"/>
    </x:xf>
    <x:xf numFmtId="0" fontId="12" fillId="0" borderId="53" xfId="0" applyNumberFormat="1" applyFont="1" applyFill="1" applyBorder="1" applyAlignment="1">
      <x:alignment horizontal="left" vertical="center" wrapText="1"/>
    </x:xf>
    <x:xf numFmtId="1" fontId="12" fillId="0" borderId="53" xfId="0" applyNumberFormat="1" applyFont="1" applyFill="1" applyBorder="1" applyAlignment="1">
      <x:alignment horizontal="center" vertical="center"/>
    </x:xf>
    <x:xf numFmtId="0" fontId="12" fillId="0" borderId="54" xfId="0" applyNumberFormat="1" applyFont="1" applyFill="1" applyBorder="1" applyAlignment="1">
      <x:alignment horizontal="center" vertical="center"/>
    </x:xf>
    <x:xf numFmtId="0" fontId="12" fillId="0" borderId="54" xfId="0" applyNumberFormat="1" applyFont="1" applyFill="1" applyBorder="1" applyAlignment="1">
      <x:alignment horizontal="left" vertical="center" wrapText="1"/>
    </x:xf>
    <x:xf numFmtId="177" fontId="12" fillId="0" borderId="54" xfId="0" applyNumberFormat="1" applyFont="1" applyFill="1" applyBorder="1" applyAlignment="1">
      <x:alignment horizontal="left" vertical="center" wrapText="1"/>
    </x:xf>
    <x:xf numFmtId="1" fontId="12" fillId="0" borderId="54" xfId="0" applyNumberFormat="1" applyFont="1" applyFill="1" applyBorder="1" applyAlignment="1">
      <x:alignment horizontal="center" vertical="center"/>
    </x:xf>
    <x:xf numFmtId="0" fontId="12" fillId="0" borderId="55" xfId="0" applyNumberFormat="1" applyFont="1" applyFill="1" applyBorder="1" applyAlignment="1">
      <x:alignment horizontal="center" vertical="center"/>
    </x:xf>
    <x:xf numFmtId="0" fontId="12" fillId="0" borderId="28" xfId="0" applyNumberFormat="1" applyFont="1" applyFill="1" applyBorder="1" applyAlignment="1">
      <x:alignment horizontal="center" vertical="center"/>
    </x:xf>
    <x:xf numFmtId="178" fontId="12" fillId="0" borderId="46" xfId="0" applyNumberFormat="1" applyFont="1" applyFill="1" applyBorder="1" applyAlignment="1">
      <x:alignment horizontal="left" vertical="center" wrapText="1"/>
    </x:xf>
    <x:xf numFmtId="0" fontId="13" fillId="11" borderId="15" xfId="0" applyNumberFormat="1" applyFont="1" applyFill="1" applyBorder="1" applyAlignment="1">
      <x:alignment horizontal="center" vertical="center" wrapText="1"/>
    </x:xf>
    <x:xf numFmtId="0" fontId="13" fillId="11" borderId="22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5" fillId="11" borderId="0" xfId="0" applyNumberFormat="1" applyFont="1" applyFill="1" applyBorder="1"/>
    <x:xf numFmtId="0" fontId="13" fillId="11" borderId="18" xfId="0" applyNumberFormat="1" applyFont="1" applyFill="1" applyBorder="1" applyAlignment="1">
      <x:alignment horizontal="center" vertical="center" wrapText="1"/>
    </x:xf>
    <x:xf numFmtId="0" fontId="13" fillId="11" borderId="16" xfId="0" applyNumberFormat="1" applyFont="1" applyFill="1" applyBorder="1" applyAlignment="1">
      <x:alignment horizontal="center" vertical="center" wrapText="1"/>
    </x:xf>
    <x:xf numFmtId="0" fontId="13" fillId="11" borderId="56" xfId="0" applyNumberFormat="1" applyFont="1" applyFill="1" applyBorder="1" applyAlignment="1">
      <x:alignment horizontal="center" vertical="center" wrapText="1"/>
    </x:xf>
    <x:xf numFmtId="0" fontId="15" fillId="11" borderId="16" xfId="0" applyNumberFormat="1" applyFont="1" applyFill="1" applyBorder="1"/>
    <x:xf numFmtId="0" fontId="15" fillId="11" borderId="57" xfId="0" applyNumberFormat="1" applyFont="1" applyFill="1" applyBorder="1"/>
    <x:xf numFmtId="0" fontId="15" fillId="11" borderId="16" xfId="0" applyNumberFormat="1" applyFont="1" applyFill="1" applyBorder="1" applyAlignment="1">
      <x:alignment wrapText="1"/>
    </x:xf>
    <x:xf numFmtId="0" fontId="15" fillId="11" borderId="57" xfId="0" applyNumberFormat="1" applyFont="1" applyFill="1" applyBorder="1" applyAlignment="1">
      <x:alignment wrapText="1"/>
    </x:xf>
    <x:xf numFmtId="0" fontId="15" fillId="11" borderId="16" xfId="0" applyNumberFormat="1" applyFont="1" applyFill="1" applyBorder="1" applyAlignment="1">
      <x:alignment horizontal="center" wrapText="1"/>
    </x:xf>
    <x:xf numFmtId="0" fontId="15" fillId="11" borderId="57" xfId="0" applyNumberFormat="1" applyFont="1" applyFill="1" applyBorder="1" applyAlignment="1">
      <x:alignment horizontal="center" wrapText="1"/>
    </x:xf>
    <x:xf numFmtId="0" fontId="15" fillId="11" borderId="16" xfId="0" applyNumberFormat="1" applyFont="1" applyFill="1" applyBorder="1" applyAlignment="1">
      <x:alignment horizontal="center" vertical="center" wrapText="1"/>
    </x:xf>
    <x:xf numFmtId="0" fontId="15" fillId="11" borderId="57" xfId="0" applyNumberFormat="1" applyFont="1" applyFill="1" applyBorder="1" applyAlignment="1">
      <x:alignment horizontal="center" vertical="center" wrapText="1"/>
    </x:xf>
    <x:xf numFmtId="0" fontId="13" fillId="11" borderId="46" xfId="0" applyNumberFormat="1" applyFont="1" applyFill="1" applyBorder="1" applyAlignment="1">
      <x:alignment horizontal="center" vertical="center" wrapText="1"/>
    </x:xf>
    <x:xf numFmtId="0" fontId="13" fillId="11" borderId="48" xfId="0" applyNumberFormat="1" applyFont="1" applyFill="1" applyBorder="1" applyAlignment="1">
      <x:alignment horizontal="center" vertical="center" wrapText="1"/>
    </x:xf>
    <x:xf numFmtId="0" fontId="0" fillId="11" borderId="28" xfId="0" applyNumberFormat="1" applyFont="1" applyFill="1" applyBorder="1"/>
    <x:xf numFmtId="0" fontId="15" fillId="11" borderId="28" xfId="0" applyNumberFormat="1" applyFont="1" applyFill="1" applyBorder="1"/>
    <x:xf numFmtId="0" fontId="13" fillId="11" borderId="52" xfId="0" applyNumberFormat="1" applyFont="1" applyFill="1" applyBorder="1" applyAlignment="1">
      <x:alignment horizontal="center" vertical="center" wrapText="1"/>
    </x:xf>
    <x:xf numFmtId="0" fontId="13" fillId="11" borderId="53" xfId="0" applyNumberFormat="1" applyFont="1" applyFill="1" applyBorder="1" applyAlignment="1">
      <x:alignment horizontal="center" vertical="center" wrapText="1"/>
    </x:xf>
    <x:xf numFmtId="0" fontId="13" fillId="11" borderId="58" xfId="0" applyNumberFormat="1" applyFont="1" applyFill="1" applyBorder="1" applyAlignment="1">
      <x:alignment horizontal="center" vertical="center" wrapText="1"/>
    </x:xf>
    <x:xf numFmtId="0" fontId="15" fillId="11" borderId="53" xfId="0" applyNumberFormat="1" applyFont="1" applyFill="1" applyBorder="1"/>
    <x:xf numFmtId="0" fontId="15" fillId="11" borderId="59" xfId="0" applyNumberFormat="1" applyFont="1" applyFill="1" applyBorder="1"/>
    <x:xf numFmtId="0" fontId="15" fillId="11" borderId="53" xfId="0" applyNumberFormat="1" applyFont="1" applyFill="1" applyBorder="1" applyAlignment="1">
      <x:alignment wrapText="1"/>
    </x:xf>
    <x:xf numFmtId="0" fontId="15" fillId="11" borderId="59" xfId="0" applyNumberFormat="1" applyFont="1" applyFill="1" applyBorder="1" applyAlignment="1">
      <x:alignment wrapText="1"/>
    </x:xf>
    <x:xf numFmtId="0" fontId="15" fillId="11" borderId="53" xfId="0" applyNumberFormat="1" applyFont="1" applyFill="1" applyBorder="1" applyAlignment="1">
      <x:alignment horizontal="center" wrapText="1"/>
    </x:xf>
    <x:xf numFmtId="0" fontId="15" fillId="11" borderId="59" xfId="0" applyNumberFormat="1" applyFont="1" applyFill="1" applyBorder="1" applyAlignment="1">
      <x:alignment horizontal="center" wrapText="1"/>
    </x:xf>
    <x:xf numFmtId="0" fontId="15" fillId="11" borderId="53" xfId="0" applyNumberFormat="1" applyFont="1" applyFill="1" applyBorder="1" applyAlignment="1">
      <x:alignment horizontal="center" vertical="center" wrapText="1"/>
    </x:xf>
    <x:xf numFmtId="0" fontId="15" fillId="11" borderId="59" xfId="0" applyNumberFormat="1" applyFont="1" applyFill="1" applyBorder="1" applyAlignment="1">
      <x:alignment horizontal="center" vertical="center" wrapText="1"/>
    </x:xf>
    <x:xf numFmtId="0" fontId="12" fillId="0" borderId="15" xfId="0" applyNumberFormat="1" applyFont="1" applyFill="1" applyBorder="1" applyAlignment="1">
      <x:alignment horizontal="left" vertical="center" wrapText="1"/>
    </x:xf>
    <x:xf numFmtId="1" fontId="12" fillId="0" borderId="15" xfId="0" applyNumberFormat="1" applyFont="1" applyFill="1" applyBorder="1" applyAlignment="1">
      <x:alignment horizontal="center" vertical="center"/>
    </x:xf>
    <x:xf numFmtId="0" fontId="12" fillId="0" borderId="23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178" fontId="12" fillId="0" borderId="15" xfId="0" applyNumberFormat="1" applyFont="1" applyFill="1" applyBorder="1" applyAlignment="1">
      <x:alignment horizontal="left" vertical="center" wrapText="1"/>
    </x:xf>
    <x:xf numFmtId="0" fontId="12" fillId="0" borderId="16" xfId="0" applyNumberFormat="1" applyFont="1" applyFill="1" applyBorder="1" applyAlignment="1">
      <x:alignment horizontal="left" vertical="center" wrapText="1"/>
    </x:xf>
    <x:xf numFmtId="177" fontId="12" fillId="0" borderId="27" xfId="0" applyNumberFormat="1" applyFont="1" applyFill="1" applyBorder="1" applyAlignment="1">
      <x:alignment horizontal="left" vertical="center" wrapText="1"/>
    </x:xf>
    <x:xf numFmtId="1" fontId="12" fillId="0" borderId="27" xfId="0" applyNumberFormat="1" applyFont="1" applyFill="1" applyBorder="1" applyAlignment="1">
      <x:alignment horizontal="center" vertical="center"/>
    </x:xf>
    <x:xf numFmtId="0" fontId="12" fillId="0" borderId="24" xfId="0" applyNumberFormat="1" applyFont="1" applyFill="1" applyBorder="1" applyAlignment="1">
      <x:alignment horizontal="center" vertical="center"/>
    </x:xf>
    <x:xf numFmtId="0" fontId="16" fillId="0" borderId="15" xfId="0" applyNumberFormat="1" applyFont="1" applyFill="1" applyBorder="1"/>
    <x:xf numFmtId="177" fontId="12" fillId="0" borderId="15" xfId="0" applyNumberFormat="1" applyFont="1" applyFill="1" applyBorder="1" applyAlignment="1">
      <x:alignment horizontal="left" vertical="center" wrapText="1"/>
    </x:xf>
    <x:xf numFmtId="1" fontId="12" fillId="0" borderId="15" xfId="0" applyNumberFormat="1" applyFont="1" applyFill="1" applyBorder="1" applyAlignment="1">
      <x:alignment horizontal="center" vertical="center" wrapText="1"/>
    </x:xf>
    <x:xf numFmtId="0" fontId="12" fillId="0" borderId="23" xfId="0" applyNumberFormat="1" applyFont="1" applyFill="1" applyBorder="1" applyAlignment="1">
      <x:alignment horizontal="center" vertical="center" wrapText="1"/>
    </x:xf>
    <x:xf numFmtId="0" fontId="16" fillId="0" borderId="15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wrapText="1"/>
    </x:xf>
    <x:xf numFmtId="0" fontId="16" fillId="0" borderId="15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28" xfId="0" applyNumberFormat="1" applyFont="1" applyFill="1" applyBorder="1"/>
    <x:xf numFmtId="0" fontId="16" fillId="0" borderId="46" xfId="0" applyNumberFormat="1" applyFont="1" applyFill="1" applyBorder="1"/>
    <x:xf numFmtId="177" fontId="12" fillId="0" borderId="46" xfId="0" applyNumberFormat="1" applyFont="1" applyFill="1" applyBorder="1" applyAlignment="1">
      <x:alignment horizontal="left" vertical="center" wrapText="1"/>
    </x:xf>
    <x:xf numFmtId="1" fontId="12" fillId="0" borderId="46" xfId="0" applyNumberFormat="1" applyFont="1" applyFill="1" applyBorder="1" applyAlignment="1">
      <x:alignment horizontal="center" vertical="center" wrapText="1"/>
    </x:xf>
    <x:xf numFmtId="0" fontId="12" fillId="0" borderId="51" xfId="0" applyNumberFormat="1" applyFont="1" applyFill="1" applyBorder="1" applyAlignment="1">
      <x:alignment horizontal="center" vertical="center" wrapText="1"/>
    </x:xf>
    <x:xf numFmtId="0" fontId="16" fillId="0" borderId="46" xfId="0" applyNumberFormat="1" applyFont="1" applyFill="1" applyBorder="1" applyAlignment="1">
      <x:alignment wrapText="1"/>
    </x:xf>
    <x:xf numFmtId="0" fontId="16" fillId="0" borderId="28" xfId="0" applyNumberFormat="1" applyFont="1" applyFill="1" applyBorder="1" applyAlignment="1">
      <x:alignment wrapText="1"/>
    </x:xf>
    <x:xf numFmtId="0" fontId="16" fillId="0" borderId="46" xfId="0" applyNumberFormat="1" applyFont="1" applyFill="1" applyBorder="1" applyAlignment="1">
      <x:alignment vertical="center" wrapText="1"/>
    </x:xf>
    <x:xf numFmtId="0" fontId="16" fillId="0" borderId="28" xfId="0" applyNumberFormat="1" applyFont="1" applyFill="1" applyBorder="1" applyAlignment="1">
      <x:alignment vertical="center" wrapText="1"/>
    </x:xf>
    <x:xf numFmtId="0" fontId="12" fillId="0" borderId="15" xfId="0" applyNumberFormat="1" applyFont="1" applyFill="1" applyBorder="1" applyAlignment="1">
      <x:alignment horizontal="center" vertical="center" wrapText="1"/>
    </x:xf>
    <x:xf numFmtId="0" fontId="16" fillId="0" borderId="15" xfId="0" applyNumberFormat="1" applyFont="1" applyFill="1" applyBorder="1" applyAlignment="1">
      <x:alignment horizontal="center" vertic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178" fontId="12" fillId="0" borderId="15" xfId="0" applyNumberFormat="1" applyFont="1" applyFill="1" applyBorder="1" applyAlignment="1">
      <x:alignment horizontal="center" vertical="center" wrapText="1"/>
    </x:xf>
    <x:xf numFmtId="177" fontId="12" fillId="0" borderId="15" xfId="0" applyNumberFormat="1" applyFont="1" applyFill="1" applyBorder="1" applyAlignment="1">
      <x:alignment horizontal="center" vertical="center" wrapText="1"/>
    </x:xf>
    <x:xf numFmtId="0" fontId="16" fillId="0" borderId="46" xfId="0" applyNumberFormat="1" applyFont="1" applyFill="1" applyBorder="1" applyAlignment="1">
      <x:alignment horizontal="center" vertical="center" wrapText="1"/>
    </x:xf>
    <x:xf numFmtId="0" fontId="16" fillId="0" borderId="28" xfId="0" applyNumberFormat="1" applyFont="1" applyFill="1" applyBorder="1" applyAlignment="1">
      <x:alignment horizontal="center" vertical="center" wrapText="1"/>
    </x:xf>
    <x:xf numFmtId="178" fontId="12" fillId="0" borderId="46" xfId="0" applyNumberFormat="1" applyFont="1" applyFill="1" applyBorder="1" applyAlignment="1">
      <x:alignment horizontal="center" vertical="center" wrapText="1"/>
    </x:xf>
    <x:xf numFmtId="177" fontId="12" fillId="0" borderId="46" xfId="0" applyNumberFormat="1" applyFont="1" applyFill="1" applyBorder="1" applyAlignment="1">
      <x:alignment horizontal="center" vertical="center" wrapText="1"/>
    </x:xf>
    <x:xf numFmtId="200" fontId="12" fillId="0" borderId="15" xfId="0" applyNumberFormat="1" applyFont="1" applyFill="1" applyBorder="1" applyAlignment="1">
      <x:alignment horizontal="center" vertical="center" wrapText="1"/>
    </x:xf>
    <x:xf numFmtId="200" fontId="12" fillId="0" borderId="23" xfId="0" applyNumberFormat="1" applyFont="1" applyFill="1" applyBorder="1" applyAlignment="1">
      <x:alignment horizontal="center" vertical="center" wrapText="1"/>
    </x:xf>
    <x:xf numFmtId="200" fontId="16" fillId="0" borderId="15" xfId="0" applyNumberFormat="1" applyFont="1" applyFill="1" applyBorder="1" applyAlignment="1">
      <x:alignment horizontal="center" vertical="center" wrapText="1"/>
    </x:xf>
    <x:xf numFmtId="200" fontId="16" fillId="0" borderId="0" xfId="0" applyNumberFormat="1" applyFont="1" applyFill="1" applyBorder="1" applyAlignment="1">
      <x:alignment horizontal="center" vertical="center" wrapText="1"/>
    </x:xf>
    <x:xf numFmtId="200" fontId="12" fillId="0" borderId="46" xfId="0" applyNumberFormat="1" applyFont="1" applyFill="1" applyBorder="1" applyAlignment="1">
      <x:alignment horizontal="center" vertical="center" wrapText="1"/>
    </x:xf>
    <x:xf numFmtId="200" fontId="12" fillId="0" borderId="51" xfId="0" applyNumberFormat="1" applyFont="1" applyFill="1" applyBorder="1" applyAlignment="1">
      <x:alignment horizontal="center" vertical="center" wrapText="1"/>
    </x:xf>
    <x:xf numFmtId="200" fontId="16" fillId="0" borderId="46" xfId="0" applyNumberFormat="1" applyFont="1" applyFill="1" applyBorder="1" applyAlignment="1">
      <x:alignment horizontal="center" vertical="center" wrapText="1"/>
    </x:xf>
    <x:xf numFmtId="200" fontId="16" fillId="0" borderId="28" xfId="0" applyNumberFormat="1" applyFont="1" applyFill="1" applyBorder="1" applyAlignment="1">
      <x:alignment horizontal="center" vertical="center" wrapText="1"/>
    </x:xf>
    <x:xf numFmtId="178" fontId="16" fillId="0" borderId="15" xfId="0" applyNumberFormat="1" applyFont="1" applyFill="1" applyBorder="1" applyAlignment="1">
      <x:alignment horizontal="center" vertical="center" wrapText="1"/>
    </x:xf>
    <x:xf numFmtId="178" fontId="16" fillId="0" borderId="0" xfId="0" applyNumberFormat="1" applyFont="1" applyFill="1" applyBorder="1" applyAlignment="1">
      <x:alignment horizontal="center" vertical="center" wrapText="1"/>
    </x:xf>
    <x:xf numFmtId="178" fontId="16" fillId="0" borderId="46" xfId="0" applyNumberFormat="1" applyFont="1" applyFill="1" applyBorder="1" applyAlignment="1">
      <x:alignment horizontal="center" vertical="center" wrapText="1"/>
    </x:xf>
    <x:xf numFmtId="178" fontId="16" fillId="0" borderId="28" xfId="0" applyNumberFormat="1" applyFont="1" applyFill="1" applyBorder="1" applyAlignment="1">
      <x:alignment horizontal="center" vertical="center" wrapText="1"/>
    </x:xf>
    <x:xf numFmtId="0" fontId="15" fillId="11" borderId="0" xfId="0" applyNumberFormat="1" applyFont="1" applyFill="1" applyBorder="1" applyAlignment="1">
      <x:alignment horizontal="center"/>
    </x:xf>
    <x:xf numFmtId="0" fontId="15" fillId="11" borderId="0" xfId="0" applyNumberFormat="1" applyFont="1" applyFill="1" applyBorder="1" applyAlignment="1">
      <x:alignment horizontal="center" vertical="center"/>
    </x:xf>
    <x:xf numFmtId="0" fontId="15" fillId="11" borderId="28" xfId="0" applyNumberFormat="1" applyFont="1" applyFill="1" applyBorder="1" applyAlignment="1">
      <x:alignment horizontal="center"/>
    </x:xf>
    <x:xf numFmtId="0" fontId="15" fillId="11" borderId="28" xfId="0" applyNumberFormat="1" applyFont="1" applyFill="1" applyBorder="1" applyAlignment="1">
      <x:alignment horizontal="center" vertical="center"/>
    </x:xf>
    <x:xf numFmtId="0" fontId="15" fillId="11" borderId="18" xfId="0" applyNumberFormat="1" applyFont="1" applyFill="1" applyBorder="1"/>
    <x:xf numFmtId="0" fontId="15" fillId="11" borderId="18" xfId="0" applyNumberFormat="1" applyFont="1" applyFill="1" applyBorder="1" applyAlignment="1">
      <x:alignment wrapText="1"/>
    </x:xf>
    <x:xf numFmtId="0" fontId="15" fillId="11" borderId="18" xfId="0" applyNumberFormat="1" applyFont="1" applyFill="1" applyBorder="1" applyAlignment="1">
      <x:alignment horizontal="center" wrapText="1"/>
    </x:xf>
    <x:xf numFmtId="0" fontId="15" fillId="11" borderId="18" xfId="0" applyNumberFormat="1" applyFont="1" applyFill="1" applyBorder="1" applyAlignment="1">
      <x:alignment horizontal="center" vertical="center" wrapText="1"/>
    </x:xf>
    <x:xf numFmtId="0" fontId="15" fillId="11" borderId="52" xfId="0" applyNumberFormat="1" applyFont="1" applyFill="1" applyBorder="1"/>
    <x:xf numFmtId="0" fontId="15" fillId="11" borderId="52" xfId="0" applyNumberFormat="1" applyFont="1" applyFill="1" applyBorder="1" applyAlignment="1">
      <x:alignment wrapText="1"/>
    </x:xf>
    <x:xf numFmtId="0" fontId="15" fillId="11" borderId="52" xfId="0" applyNumberFormat="1" applyFont="1" applyFill="1" applyBorder="1" applyAlignment="1">
      <x:alignment horizontal="center" wrapText="1"/>
    </x:xf>
    <x:xf numFmtId="0" fontId="15" fillId="11" borderId="52" xfId="0" applyNumberFormat="1" applyFont="1" applyFill="1" applyBorder="1" applyAlignment="1">
      <x:alignment horizontal="center" vertical="center" wrapText="1"/>
    </x:xf>
    <x:xf numFmtId="0" fontId="17" fillId="0" borderId="15" xfId="0" applyNumberFormat="1" applyFont="1" applyFill="1" applyBorder="1" applyAlignment="1">
      <x:alignment vertical="center" wrapText="1"/>
    </x:xf>
    <x:xf numFmtId="0" fontId="17" fillId="0" borderId="0" xfId="0" applyNumberFormat="1" applyFont="1" applyFill="1" applyBorder="1" applyAlignment="1">
      <x:alignment vertical="center" wrapText="1"/>
    </x:xf>
    <x:xf numFmtId="0" fontId="17" fillId="0" borderId="46" xfId="0" applyNumberFormat="1" applyFont="1" applyFill="1" applyBorder="1" applyAlignment="1">
      <x:alignment vertical="center" wrapText="1"/>
    </x:xf>
    <x:xf numFmtId="0" fontId="17" fillId="0" borderId="28" xfId="0" applyNumberFormat="1" applyFont="1" applyFill="1" applyBorder="1" applyAlignment="1">
      <x:alignment vertical="center" wrapText="1"/>
    </x:xf>
    <x:xf numFmtId="0" fontId="17" fillId="0" borderId="15" xfId="0" applyNumberFormat="1" applyFont="1" applyFill="1" applyBorder="1" applyAlignment="1">
      <x:alignment horizontal="center" vertical="center" wrapText="1"/>
    </x:xf>
    <x:xf numFmtId="0" fontId="17" fillId="0" borderId="0" xfId="0" applyNumberFormat="1" applyFont="1" applyFill="1" applyBorder="1" applyAlignment="1">
      <x:alignment horizontal="center" vertical="center" wrapText="1"/>
    </x:xf>
    <x:xf numFmtId="0" fontId="17" fillId="0" borderId="46" xfId="0" applyNumberFormat="1" applyFont="1" applyFill="1" applyBorder="1" applyAlignment="1">
      <x:alignment horizontal="center" vertical="center" wrapText="1"/>
    </x:xf>
    <x:xf numFmtId="0" fontId="17" fillId="0" borderId="28" xfId="0" applyNumberFormat="1" applyFont="1" applyFill="1" applyBorder="1" applyAlignment="1">
      <x:alignment horizontal="center" vertical="center" wrapText="1"/>
    </x:xf>
    <x:xf numFmtId="0" fontId="16" fillId="0" borderId="15" xfId="0" applyNumberFormat="1" applyFont="1" applyFill="1" applyBorder="1" applyAlignment="1">
      <x:alignment horizontal="left" vertical="center" wrapText="1"/>
    </x:xf>
    <x:xf numFmtId="0" fontId="16" fillId="0" borderId="0" xfId="0" applyNumberFormat="1" applyFont="1" applyFill="1" applyBorder="1" applyAlignment="1">
      <x:alignment horizontal="left" vertical="center" wrapText="1"/>
    </x:xf>
    <x:xf numFmtId="0" fontId="16" fillId="0" borderId="46" xfId="0" applyNumberFormat="1" applyFont="1" applyFill="1" applyBorder="1" applyAlignment="1">
      <x:alignment horizontal="left" vertical="center" wrapText="1"/>
    </x:xf>
    <x:xf numFmtId="0" fontId="16" fillId="0" borderId="28" xfId="0" applyNumberFormat="1" applyFont="1" applyFill="1" applyBorder="1" applyAlignment="1">
      <x:alignment horizontal="left" vertical="center" wrapText="1"/>
    </x:xf>
    <x:xf numFmtId="0" fontId="16" fillId="0" borderId="17" xfId="0" applyNumberFormat="1" applyFont="1" applyFill="1" applyBorder="1"/>
    <x:xf numFmtId="0" fontId="16" fillId="0" borderId="60" xfId="0" applyNumberFormat="1" applyFont="1" applyFill="1" applyBorder="1"/>
    <x:xf numFmtId="0" fontId="16" fillId="0" borderId="61" xfId="0" applyNumberFormat="1" applyFont="1" applyFill="1" applyBorder="1"/>
    <x:xf numFmtId="0" fontId="16" fillId="0" borderId="62" xfId="0" applyNumberFormat="1" applyFont="1" applyFill="1" applyBorder="1"/>
    <x:xf numFmtId="0" fontId="16" fillId="0" borderId="63" xfId="0" applyNumberFormat="1" applyFont="1" applyFill="1" applyBorder="1"/>
    <x:xf numFmtId="0" fontId="16" fillId="0" borderId="64" xfId="0" applyNumberFormat="1" applyFont="1" applyFill="1" applyBorder="1"/>
    <x:xf numFmtId="0" fontId="16" fillId="0" borderId="65" xfId="0" applyNumberFormat="1" applyFont="1" applyFill="1" applyBorder="1"/>
    <x:xf numFmtId="0" fontId="16" fillId="0" borderId="17" xfId="0" applyNumberFormat="1" applyFont="1" applyFill="1" applyBorder="1" applyAlignment="1">
      <x:alignment wrapText="1"/>
    </x:xf>
    <x:xf numFmtId="0" fontId="16" fillId="0" borderId="60" xfId="0" applyNumberFormat="1" applyFont="1" applyFill="1" applyBorder="1" applyAlignment="1">
      <x:alignment wrapText="1"/>
    </x:xf>
    <x:xf numFmtId="0" fontId="16" fillId="0" borderId="61" xfId="0" applyNumberFormat="1" applyFont="1" applyFill="1" applyBorder="1" applyAlignment="1">
      <x:alignment wrapText="1"/>
    </x:xf>
    <x:xf numFmtId="0" fontId="16" fillId="0" borderId="62" xfId="0" applyNumberFormat="1" applyFont="1" applyFill="1" applyBorder="1" applyAlignment="1">
      <x:alignment wrapText="1"/>
    </x:xf>
    <x:xf numFmtId="0" fontId="16" fillId="0" borderId="63" xfId="0" applyNumberFormat="1" applyFont="1" applyFill="1" applyBorder="1" applyAlignment="1">
      <x:alignment wrapText="1"/>
    </x:xf>
    <x:xf numFmtId="0" fontId="16" fillId="0" borderId="64" xfId="0" applyNumberFormat="1" applyFont="1" applyFill="1" applyBorder="1" applyAlignment="1">
      <x:alignment wrapText="1"/>
    </x:xf>
    <x:xf numFmtId="0" fontId="16" fillId="0" borderId="65" xfId="0" applyNumberFormat="1" applyFont="1" applyFill="1" applyBorder="1" applyAlignment="1">
      <x:alignment wrapText="1"/>
    </x:xf>
    <x:xf numFmtId="0" fontId="16" fillId="0" borderId="17" xfId="0" applyNumberFormat="1" applyFont="1" applyFill="1" applyBorder="1" applyAlignment="1">
      <x:alignment vertical="center" wrapText="1"/>
    </x:xf>
    <x:xf numFmtId="0" fontId="16" fillId="0" borderId="60" xfId="0" applyNumberFormat="1" applyFont="1" applyFill="1" applyBorder="1" applyAlignment="1">
      <x:alignment vertical="center" wrapText="1"/>
    </x:xf>
    <x:xf numFmtId="0" fontId="16" fillId="0" borderId="61" xfId="0" applyNumberFormat="1" applyFont="1" applyFill="1" applyBorder="1" applyAlignment="1">
      <x:alignment vertical="center" wrapText="1"/>
    </x:xf>
    <x:xf numFmtId="0" fontId="16" fillId="0" borderId="62" xfId="0" applyNumberFormat="1" applyFont="1" applyFill="1" applyBorder="1" applyAlignment="1">
      <x:alignment vertical="center" wrapText="1"/>
    </x:xf>
    <x:xf numFmtId="0" fontId="16" fillId="0" borderId="63" xfId="0" applyNumberFormat="1" applyFont="1" applyFill="1" applyBorder="1" applyAlignment="1">
      <x:alignment vertical="center" wrapText="1"/>
    </x:xf>
    <x:xf numFmtId="0" fontId="16" fillId="0" borderId="64" xfId="0" applyNumberFormat="1" applyFont="1" applyFill="1" applyBorder="1" applyAlignment="1">
      <x:alignment vertical="center" wrapText="1"/>
    </x:xf>
    <x:xf numFmtId="0" fontId="16" fillId="0" borderId="65" xfId="0" applyNumberFormat="1" applyFont="1" applyFill="1" applyBorder="1" applyAlignment="1">
      <x:alignment vertical="center" wrapText="1"/>
    </x:xf>
    <x:xf numFmtId="0" fontId="16" fillId="0" borderId="49" xfId="0" applyNumberFormat="1" applyFont="1" applyFill="1" applyBorder="1"/>
    <x:xf numFmtId="0" fontId="16" fillId="0" borderId="66" xfId="0" applyNumberFormat="1" applyFont="1" applyFill="1" applyBorder="1"/>
    <x:xf numFmtId="0" fontId="16" fillId="0" borderId="67" xfId="0" applyNumberFormat="1" applyFont="1" applyFill="1" applyBorder="1"/>
    <x:xf numFmtId="0" fontId="16" fillId="0" borderId="68" xfId="0" applyNumberFormat="1" applyFont="1" applyFill="1" applyBorder="1"/>
    <x:xf numFmtId="0" fontId="16" fillId="0" borderId="69" xfId="0" applyNumberFormat="1" applyFont="1" applyFill="1" applyBorder="1"/>
    <x:xf numFmtId="0" fontId="16" fillId="0" borderId="70" xfId="0" applyNumberFormat="1" applyFont="1" applyFill="1" applyBorder="1"/>
    <x:xf numFmtId="0" fontId="16" fillId="0" borderId="71" xfId="0" applyNumberFormat="1" applyFont="1" applyFill="1" applyBorder="1"/>
    <x:xf numFmtId="0" fontId="16" fillId="0" borderId="49" xfId="0" applyNumberFormat="1" applyFont="1" applyFill="1" applyBorder="1" applyAlignment="1">
      <x:alignment wrapText="1"/>
    </x:xf>
    <x:xf numFmtId="0" fontId="16" fillId="0" borderId="66" xfId="0" applyNumberFormat="1" applyFont="1" applyFill="1" applyBorder="1" applyAlignment="1">
      <x:alignment wrapText="1"/>
    </x:xf>
    <x:xf numFmtId="0" fontId="16" fillId="0" borderId="67" xfId="0" applyNumberFormat="1" applyFont="1" applyFill="1" applyBorder="1" applyAlignment="1">
      <x:alignment wrapText="1"/>
    </x:xf>
    <x:xf numFmtId="0" fontId="16" fillId="0" borderId="68" xfId="0" applyNumberFormat="1" applyFont="1" applyFill="1" applyBorder="1" applyAlignment="1">
      <x:alignment wrapText="1"/>
    </x:xf>
    <x:xf numFmtId="0" fontId="16" fillId="0" borderId="69" xfId="0" applyNumberFormat="1" applyFont="1" applyFill="1" applyBorder="1" applyAlignment="1">
      <x:alignment wrapText="1"/>
    </x:xf>
    <x:xf numFmtId="0" fontId="16" fillId="0" borderId="70" xfId="0" applyNumberFormat="1" applyFont="1" applyFill="1" applyBorder="1" applyAlignment="1">
      <x:alignment wrapText="1"/>
    </x:xf>
    <x:xf numFmtId="0" fontId="16" fillId="0" borderId="71" xfId="0" applyNumberFormat="1" applyFont="1" applyFill="1" applyBorder="1" applyAlignment="1">
      <x:alignment wrapText="1"/>
    </x:xf>
    <x:xf numFmtId="0" fontId="16" fillId="0" borderId="49" xfId="0" applyNumberFormat="1" applyFont="1" applyFill="1" applyBorder="1" applyAlignment="1">
      <x:alignment vertical="center" wrapText="1"/>
    </x:xf>
    <x:xf numFmtId="0" fontId="16" fillId="0" borderId="66" xfId="0" applyNumberFormat="1" applyFont="1" applyFill="1" applyBorder="1" applyAlignment="1">
      <x:alignment vertical="center" wrapText="1"/>
    </x:xf>
    <x:xf numFmtId="0" fontId="16" fillId="0" borderId="67" xfId="0" applyNumberFormat="1" applyFont="1" applyFill="1" applyBorder="1" applyAlignment="1">
      <x:alignment vertical="center" wrapText="1"/>
    </x:xf>
    <x:xf numFmtId="0" fontId="16" fillId="0" borderId="68" xfId="0" applyNumberFormat="1" applyFont="1" applyFill="1" applyBorder="1" applyAlignment="1">
      <x:alignment vertical="center" wrapText="1"/>
    </x:xf>
    <x:xf numFmtId="0" fontId="16" fillId="0" borderId="69" xfId="0" applyNumberFormat="1" applyFont="1" applyFill="1" applyBorder="1" applyAlignment="1">
      <x:alignment vertical="center" wrapText="1"/>
    </x:xf>
    <x:xf numFmtId="0" fontId="16" fillId="0" borderId="70" xfId="0" applyNumberFormat="1" applyFont="1" applyFill="1" applyBorder="1" applyAlignment="1">
      <x:alignment vertical="center" wrapText="1"/>
    </x:xf>
    <x:xf numFmtId="0" fontId="16" fillId="0" borderId="71" xfId="0" applyNumberFormat="1" applyFont="1" applyFill="1" applyBorder="1" applyAlignment="1">
      <x:alignment vertical="center" wrapText="1"/>
    </x:xf>
    <x:xf numFmtId="0" fontId="17" fillId="0" borderId="17" xfId="0" applyNumberFormat="1" applyFont="1" applyFill="1" applyBorder="1" applyAlignment="1">
      <x:alignment vertical="center" wrapText="1"/>
    </x:xf>
    <x:xf numFmtId="0" fontId="17" fillId="0" borderId="61" xfId="0" applyNumberFormat="1" applyFont="1" applyFill="1" applyBorder="1" applyAlignment="1">
      <x:alignment vertical="center" wrapText="1"/>
    </x:xf>
    <x:xf numFmtId="0" fontId="17" fillId="0" borderId="63" xfId="0" applyNumberFormat="1" applyFont="1" applyFill="1" applyBorder="1" applyAlignment="1">
      <x:alignment vertical="center" wrapText="1"/>
    </x:xf>
    <x:xf numFmtId="0" fontId="17" fillId="0" borderId="49" xfId="0" applyNumberFormat="1" applyFont="1" applyFill="1" applyBorder="1" applyAlignment="1">
      <x:alignment vertical="center" wrapText="1"/>
    </x:xf>
    <x:xf numFmtId="0" fontId="17" fillId="0" borderId="67" xfId="0" applyNumberFormat="1" applyFont="1" applyFill="1" applyBorder="1" applyAlignment="1">
      <x:alignment vertical="center" wrapText="1"/>
    </x:xf>
    <x:xf numFmtId="0" fontId="17" fillId="0" borderId="69" xfId="0" applyNumberFormat="1" applyFont="1" applyFill="1" applyBorder="1" applyAlignment="1">
      <x:alignment vertical="center" wrapText="1"/>
    </x:xf>
    <x:xf numFmtId="0" fontId="17" fillId="0" borderId="17" xfId="0" applyNumberFormat="1" applyFont="1" applyFill="1" applyBorder="1" applyAlignment="1">
      <x:alignment horizontal="center" vertical="center" wrapText="1"/>
    </x:xf>
    <x:xf numFmtId="0" fontId="17" fillId="0" borderId="61" xfId="0" applyNumberFormat="1" applyFont="1" applyFill="1" applyBorder="1" applyAlignment="1">
      <x:alignment horizontal="center" vertical="center" wrapText="1"/>
    </x:xf>
    <x:xf numFmtId="0" fontId="17" fillId="0" borderId="63" xfId="0" applyNumberFormat="1" applyFont="1" applyFill="1" applyBorder="1" applyAlignment="1">
      <x:alignment horizontal="center" vertical="center" wrapText="1"/>
    </x:xf>
    <x:xf numFmtId="0" fontId="17" fillId="0" borderId="49" xfId="0" applyNumberFormat="1" applyFont="1" applyFill="1" applyBorder="1" applyAlignment="1">
      <x:alignment horizontal="center" vertical="center" wrapText="1"/>
    </x:xf>
    <x:xf numFmtId="0" fontId="17" fillId="0" borderId="67" xfId="0" applyNumberFormat="1" applyFont="1" applyFill="1" applyBorder="1" applyAlignment="1">
      <x:alignment horizontal="center" vertical="center" wrapText="1"/>
    </x:xf>
    <x:xf numFmtId="0" fontId="17" fillId="0" borderId="69" xfId="0" applyNumberFormat="1" applyFont="1" applyFill="1" applyBorder="1" applyAlignment="1">
      <x:alignment horizontal="center" vertical="center" wrapText="1"/>
    </x:xf>
    <x:xf numFmtId="0" fontId="16" fillId="0" borderId="60" xfId="0" applyNumberFormat="1" applyFont="1" applyFill="1" applyBorder="1" applyAlignment="1">
      <x:alignment horizontal="left" vertical="center" wrapText="1"/>
    </x:xf>
    <x:xf numFmtId="0" fontId="16" fillId="0" borderId="62" xfId="0" applyNumberFormat="1" applyFont="1" applyFill="1" applyBorder="1" applyAlignment="1">
      <x:alignment horizontal="left" vertical="center" wrapText="1"/>
    </x:xf>
    <x:xf numFmtId="0" fontId="16" fillId="0" borderId="64" xfId="0" applyNumberFormat="1" applyFont="1" applyFill="1" applyBorder="1" applyAlignment="1">
      <x:alignment horizontal="left" vertical="center" wrapText="1"/>
    </x:xf>
    <x:xf numFmtId="0" fontId="16" fillId="0" borderId="65" xfId="0" applyNumberFormat="1" applyFont="1" applyFill="1" applyBorder="1" applyAlignment="1">
      <x:alignment horizontal="left" vertical="center" wrapText="1"/>
    </x:xf>
    <x:xf numFmtId="0" fontId="16" fillId="0" borderId="66" xfId="0" applyNumberFormat="1" applyFont="1" applyFill="1" applyBorder="1" applyAlignment="1">
      <x:alignment horizontal="left" vertical="center" wrapText="1"/>
    </x:xf>
    <x:xf numFmtId="0" fontId="16" fillId="0" borderId="68" xfId="0" applyNumberFormat="1" applyFont="1" applyFill="1" applyBorder="1" applyAlignment="1">
      <x:alignment horizontal="left" vertical="center" wrapText="1"/>
    </x:xf>
    <x:xf numFmtId="0" fontId="16" fillId="0" borderId="70" xfId="0" applyNumberFormat="1" applyFont="1" applyFill="1" applyBorder="1" applyAlignment="1">
      <x:alignment horizontal="left" vertical="center" wrapText="1"/>
    </x:xf>
    <x:xf numFmtId="0" fontId="16" fillId="0" borderId="71" xfId="0" applyNumberFormat="1" applyFont="1" applyFill="1" applyBorder="1" applyAlignment="1">
      <x:alignment horizontal="left" vertical="center" wrapText="1"/>
    </x:xf>
    <x:xf numFmtId="0" fontId="15" fillId="11" borderId="18" xfId="0" applyNumberFormat="1" applyFont="1" applyFill="1" applyBorder="1" applyAlignment="1">
      <x:alignment horizontal="center" vertical="center"/>
    </x:xf>
    <x:xf numFmtId="0" fontId="15" fillId="11" borderId="16" xfId="0" applyNumberFormat="1" applyFont="1" applyFill="1" applyBorder="1" applyAlignment="1">
      <x:alignment horizontal="center" vertical="center"/>
    </x:xf>
    <x:xf numFmtId="0" fontId="15" fillId="11" borderId="57" xfId="0" applyNumberFormat="1" applyFont="1" applyFill="1" applyBorder="1" applyAlignment="1">
      <x:alignment horizontal="center" vertical="center"/>
    </x:xf>
  </x:cellXfs>
  <x:cellStyles count="3">
    <x:cellStyle name="Normal" xfId="1"/>
    <x:cellStyle name="표준" xfId="0"/>
    <x:cellStyle name="표준 2" xfId="2"/>
  </x:cellStyles>
  <x:dxfs count="21">
    <x:dxf>
      <x:fill>
        <x:patternFill>
          <x:bgColor rgb="FF6182D6"/>
        </x:patternFill>
      </x:fill>
    </x:dxf>
    <x:dxf>
      <x:fill>
        <x:patternFill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ont>
        <x:b/>
      </x:font>
    </x:dxf>
    <x:dxf>
      <x:font>
        <x:b/>
      </x:font>
    </x:dxf>
    <x:dxf>
      <x:font>
        <x:b/>
      </x:font>
      <x:border>
        <x:top style="thin">
          <x:color rgb="FF6182D6"/>
        </x:top>
      </x:border>
    </x:dxf>
    <x:dxf>
      <x:font>
        <x:b/>
      </x:font>
      <x:border>
        <x:bottom style="medium">
          <x:color rgb="FF6182D6"/>
        </x:bottom>
      </x:border>
    </x:dxf>
    <x:dxf>
      <x:font>
        <x:color rgb="FF000000"/>
      </x:font>
      <x:border>
        <x:left/>
        <x:right/>
        <x:top style="medium">
          <x:color rgb="FF6182D6"/>
        </x:top>
        <x:bottom style="medium">
          <x:color rgb="FF6182D6"/>
        </x:bottom>
      </x:border>
    </x:dxf>
    <x:dxf>
      <x:fill>
        <x:patternFill>
          <x:bgColor rgb="FFAEBFEA"/>
        </x:patternFill>
      </x:fill>
    </x:dxf>
    <x:dxf>
      <x:fill>
        <x:patternFill>
          <x:bgColor rgb="FFAEBFEA"/>
        </x:patternFill>
      </x:fill>
    </x:dxf>
    <x:dxf>
      <x:font>
        <x:b/>
        <x:color rgb="FFFFFFFF"/>
      </x:font>
      <x:fill>
        <x:patternFill>
          <x:bgColor rgb="FF6182D6"/>
        </x:patternFill>
      </x:fill>
    </x:dxf>
    <x:dxf>
      <x:font>
        <x:b/>
        <x:color rgb="FFFFFFFF"/>
      </x:font>
      <x:fill>
        <x:patternFill>
          <x:bgColor rgb="FF6182D6"/>
        </x:patternFill>
      </x:fill>
    </x:dxf>
    <x:dxf>
      <x:font>
        <x:b/>
        <x:color rgb="FFFFFFFF"/>
      </x:font>
      <x:fill>
        <x:patternFill>
          <x:bgColor rgb="FF6182D6"/>
        </x:patternFill>
      </x:fill>
      <x:border>
        <x:top style="thick">
          <x:color rgb="FFFFFFFF"/>
        </x:top>
      </x:border>
    </x:dxf>
    <x:dxf>
      <x:font>
        <x:b/>
        <x:color rgb="FFFFFFFF"/>
      </x:font>
      <x:fill>
        <x:patternFill>
          <x:bgColor rgb="FF6182D6"/>
        </x:patternFill>
      </x:fill>
      <x:border>
        <x:bottom style="thick">
          <x:color rgb="FFFFFFFF"/>
        </x:bottom>
      </x:border>
    </x:dxf>
    <x:dxf>
      <x:font>
        <x:color rgb="FF000000"/>
      </x:font>
      <x:fill>
        <x:patternFill>
          <x:bgColor rgb="FFD7DFF4"/>
        </x:patternFill>
      </x:fill>
      <x:border>
        <x:left style="thin">
          <x:color rgb="FFFFFFFF"/>
        </x:left>
        <x:right style="thin">
          <x:color rgb="FFFFFFFF"/>
        </x:right>
        <x:top style="thin">
          <x:color rgb="FFFFFFFF"/>
        </x:top>
        <x:bottom style="thin">
          <x:color rgb="FFFFFFFF"/>
        </x:bottom>
      </x:border>
    </x:dxf>
    <x:dxf>
      <x:fill>
        <x:patternFill patternType="solid">
          <x:bgColor rgb="FFE6F4EA"/>
        </x:patternFill>
      </x:fill>
    </x:dxf>
    <x:dxf>
      <x:fill>
        <x:patternFill patternType="solid">
          <x:bgColor rgb="FFEEF7E8"/>
        </x:patternFill>
      </x:fill>
    </x:dxf>
    <x:dxf>
      <x:fill>
        <x:patternFill patternType="solid">
          <x:bgColor rgb="FFFFF7D6"/>
        </x:patternFill>
      </x:fill>
    </x:dxf>
    <x:dxf>
      <x:fill>
        <x:patternFill patternType="solid">
          <x:bgColor rgb="FFFFF1D6"/>
        </x:patternFill>
      </x:fill>
    </x:dxf>
    <x:dxf>
      <x:fill>
        <x:patternFill patternType="solid">
          <x:bgColor rgb="FFFCE8D5"/>
        </x:patternFill>
      </x:fill>
    </x:dxf>
    <x:dxf>
      <x:fill>
        <x:patternFill patternType="solid">
          <x:bgColor rgb="FFF8D7DA"/>
        </x:patternFill>
      </x:fill>
    </x:dxf>
    <x:dxf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9600e5e8d54a7c" /><Relationship Type="http://schemas.openxmlformats.org/officeDocument/2006/relationships/theme" Target="/xl/theme/theme1.xml" Id="R1a5102ee85534ff8" /><Relationship Type="http://schemas.openxmlformats.org/officeDocument/2006/relationships/sharedStrings" Target="/xl/sharedStrings.xml" Id="R7a1ee5962bb942b3" /><Relationship Type="http://schemas.openxmlformats.org/officeDocument/2006/relationships/worksheet" Target="/xl/worksheets/sheet1.xml" Id="Rc961176714314de0" /><Relationship Type="http://schemas.openxmlformats.org/officeDocument/2006/relationships/worksheet" Target="/xl/worksheets/sheet2.xml" Id="Rdcff2aca7f64444b" /><Relationship Type="http://schemas.openxmlformats.org/officeDocument/2006/relationships/worksheet" Target="/xl/worksheets/sheet3.xml" Id="R5a4cd482cf1e4278" /><Relationship Type="http://schemas.openxmlformats.org/officeDocument/2006/relationships/worksheet" Target="/xl/worksheets/sheet4.xml" Id="Rd9de9f773e1542a8" /><Relationship Type="http://schemas.openxmlformats.org/officeDocument/2006/relationships/worksheet" Target="/xl/worksheets/sheet5.xml" Id="R364da7ca9e9b43a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58ac7dafa804acb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9ead007a92d04cc3" /></Relationships>
</file>

<file path=xl/drawings/charts/chart1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plotArea>
      <c:layout/>
      <c:lineChart>
        <c:grouping val="standard"/>
        <c:varyColors val="0"/>
        <c:ser>
          <c:idx val="0"/>
          <c:order val="0"/>
          <c:spPr>
            <a:ln xmlns:a="http://schemas.openxmlformats.org/drawingml/2006/main" w="28575">
              <a:solidFill>
                <a:schemeClr val="accent1"/>
              </a:solidFill>
            </a:ln>
          </c:spPr>
          <c:marker>
            <c:symbol val="none"/>
          </c:marker>
          <c:cat>
            <c:strLit>
              <c:ptCount val="0"/>
            </c:strLit>
          </c:cat>
          <c:val>
            <c:numRef>
              <c:f>'밸런스 문서'!$R$5:$R$123</c:f>
              <c:numCache>
                <c:formatCode>General</c:formatCode>
                <c:ptCount val="119"/>
                <c:pt idx="0">
                  <c:v>1.98</c:v>
                </c:pt>
                <c:pt idx="1">
                  <c:v>3.12</c:v>
                </c:pt>
                <c:pt idx="2">
                  <c:v>6.12</c:v>
                </c:pt>
                <c:pt idx="3">
                  <c:v>9</c:v>
                </c:pt>
                <c:pt idx="4">
                  <c:v>12.42</c:v>
                </c:pt>
                <c:pt idx="5">
                  <c:v>16.38</c:v>
                </c:pt>
                <c:pt idx="6">
                  <c:v>24.18</c:v>
                </c:pt>
                <c:pt idx="7">
                  <c:v>35.519999999999996</c:v>
                </c:pt>
                <c:pt idx="8">
                  <c:v>44.28</c:v>
                </c:pt>
                <c:pt idx="9">
                  <c:v>56.58</c:v>
                </c:pt>
                <c:pt idx="10">
                  <c:v>73.32</c:v>
                </c:pt>
                <c:pt idx="11">
                  <c:v>95.57999999999998</c:v>
                </c:pt>
                <c:pt idx="12">
                  <c:v>109.62</c:v>
                </c:pt>
                <c:pt idx="13">
                  <c:v>136.5</c:v>
                </c:pt>
                <c:pt idx="14">
                  <c:v>161.88</c:v>
                </c:pt>
                <c:pt idx="15">
                  <c:v>180</c:v>
                </c:pt>
                <c:pt idx="16">
                  <c:v>224.28</c:v>
                </c:pt>
                <c:pt idx="17">
                  <c:v>267.71999999999997</c:v>
                </c:pt>
                <c:pt idx="18">
                  <c:v>296.82</c:v>
                </c:pt>
                <c:pt idx="19">
                  <c:v>327.42</c:v>
                </c:pt>
                <c:pt idx="20">
                  <c:v>372.78000000000003</c:v>
                </c:pt>
                <c:pt idx="21">
                  <c:v>421.08</c:v>
                </c:pt>
                <c:pt idx="22">
                  <c:v>487.5</c:v>
                </c:pt>
                <c:pt idx="23">
                  <c:v>526.5</c:v>
                </c:pt>
                <c:pt idx="24">
                  <c:v>575.28</c:v>
                </c:pt>
                <c:pt idx="25">
                  <c:v>617.5799999999999</c:v>
                </c:pt>
                <c:pt idx="26">
                  <c:v>652.5</c:v>
                </c:pt>
                <c:pt idx="27">
                  <c:v>688.38</c:v>
                </c:pt>
                <c:pt idx="28">
                  <c:v>743.9999999999999</c:v>
                </c:pt>
                <c:pt idx="29">
                  <c:v>782.28</c:v>
                </c:pt>
                <c:pt idx="30">
                  <c:v>871.9200000000001</c:v>
                </c:pt>
                <c:pt idx="31">
                  <c:v>966.4199999999998</c:v>
                </c:pt>
                <c:pt idx="32">
                  <c:v>1065.7800000000002</c:v>
                </c:pt>
                <c:pt idx="33">
                  <c:v>1123.08</c:v>
                </c:pt>
                <c:pt idx="34">
                  <c:v>1217.8799999999999</c:v>
                </c:pt>
                <c:pt idx="35">
                  <c:v>1291.5</c:v>
                </c:pt>
                <c:pt idx="36">
                  <c:v>1419</c:v>
                </c:pt>
                <c:pt idx="37">
                  <c:v>1498.38</c:v>
                </c:pt>
                <c:pt idx="38">
                  <c:v>1579.9199999999998</c:v>
                </c:pt>
                <c:pt idx="39">
                  <c:v>1663.62</c:v>
                </c:pt>
                <c:pt idx="40">
                  <c:v>1778.58</c:v>
                </c:pt>
                <c:pt idx="41">
                  <c:v>1927.6799999999998</c:v>
                </c:pt>
                <c:pt idx="42">
                  <c:v>2082.78</c:v>
                </c:pt>
                <c:pt idx="43">
                  <c:v>2178.7200000000003</c:v>
                </c:pt>
                <c:pt idx="44">
                  <c:v>2276.8199999999997</c:v>
                </c:pt>
                <c:pt idx="45">
                  <c:v>2410.98</c:v>
                </c:pt>
                <c:pt idx="46">
                  <c:v>2531.52</c:v>
                </c:pt>
                <c:pt idx="47">
                  <c:v>2601.7200000000003</c:v>
                </c:pt>
                <c:pt idx="48">
                  <c:v>2672.8799999999997</c:v>
                </c:pt>
                <c:pt idx="49">
                  <c:v>2799.72</c:v>
                </c:pt>
                <c:pt idx="50">
                  <c:v>2948.28</c:v>
                </c:pt>
                <c:pt idx="51">
                  <c:v>3139.3799999999997</c:v>
                </c:pt>
                <c:pt idx="52">
                  <c:v>3296.5799999999995</c:v>
                </c:pt>
                <c:pt idx="53">
                  <c:v>3518.9999999999995</c:v>
                </c:pt>
                <c:pt idx="54">
                  <c:v>3727.5</c:v>
                </c:pt>
                <c:pt idx="55">
                  <c:v>3920.2799999999997</c:v>
                </c:pt>
                <c:pt idx="56">
                  <c:v>4162.5</c:v>
                </c:pt>
                <c:pt idx="57">
                  <c:v>4320.42</c:v>
                </c:pt>
                <c:pt idx="58">
                  <c:v>4504.5</c:v>
                </c:pt>
                <c:pt idx="59">
                  <c:v>4668.72</c:v>
                </c:pt>
                <c:pt idx="60">
                  <c:v>4835.88</c:v>
                </c:pt>
                <c:pt idx="61">
                  <c:v>5055.12</c:v>
                </c:pt>
                <c:pt idx="62">
                  <c:v>5254.08</c:v>
                </c:pt>
                <c:pt idx="63">
                  <c:v>5431.32</c:v>
                </c:pt>
                <c:pt idx="64">
                  <c:v>5585.58</c:v>
                </c:pt>
                <c:pt idx="65">
                  <c:v>5821.0199999999995</c:v>
                </c:pt>
                <c:pt idx="66">
                  <c:v>6088.32</c:v>
                </c:pt>
                <c:pt idx="67">
                  <c:v>6389.28</c:v>
                </c:pt>
                <c:pt idx="68">
                  <c:v>6697.5</c:v>
                </c:pt>
                <c:pt idx="69">
                  <c:v>7071.12</c:v>
                </c:pt>
                <c:pt idx="70">
                  <c:v>7246.9800000000005</c:v>
                </c:pt>
                <c:pt idx="71">
                  <c:v>7605.179999999999</c:v>
                </c:pt>
                <c:pt idx="72">
                  <c:v>7787.5199999999995</c:v>
                </c:pt>
                <c:pt idx="73">
                  <c:v>8002.9800000000005</c:v>
                </c:pt>
                <c:pt idx="74">
                  <c:v>8221.38</c:v>
                </c:pt>
                <c:pt idx="75">
                  <c:v>8410.919999999998</c:v>
                </c:pt>
                <c:pt idx="76">
                  <c:v>8634.78</c:v>
                </c:pt>
                <c:pt idx="77">
                  <c:v>8894.219999999998</c:v>
                </c:pt>
                <c:pt idx="78">
                  <c:v>9190.68</c:v>
                </c:pt>
                <c:pt idx="79">
                  <c:v>9559.619999999999</c:v>
                </c:pt>
                <c:pt idx="80">
                  <c:v>9970.38</c:v>
                </c:pt>
                <c:pt idx="81">
                  <c:v>10354.5</c:v>
                </c:pt>
                <c:pt idx="82">
                  <c:v>10745.88</c:v>
                </c:pt>
                <c:pt idx="83">
                  <c:v>10998.720000000001</c:v>
                </c:pt>
                <c:pt idx="84">
                  <c:v>11401.98</c:v>
                </c:pt>
                <c:pt idx="85">
                  <c:v>11887.919999999998</c:v>
                </c:pt>
                <c:pt idx="86">
                  <c:v>12307.02</c:v>
                </c:pt>
                <c:pt idx="87">
                  <c:v>12616.38</c:v>
                </c:pt>
                <c:pt idx="88">
                  <c:v>13048.02</c:v>
                </c:pt>
                <c:pt idx="89">
                  <c:v>13486.92</c:v>
                </c:pt>
                <c:pt idx="90">
                  <c:v>13770</c:v>
                </c:pt>
                <c:pt idx="91">
                  <c:v>14469.719999999998</c:v>
                </c:pt>
                <c:pt idx="92">
                  <c:v>15101.52</c:v>
                </c:pt>
                <c:pt idx="93">
                  <c:v>15877.5</c:v>
                </c:pt>
                <c:pt idx="94">
                  <c:v>16539</c:v>
                </c:pt>
                <c:pt idx="95">
                  <c:v>17032.68</c:v>
                </c:pt>
                <c:pt idx="96">
                  <c:v>17350.62</c:v>
                </c:pt>
                <c:pt idx="97">
                  <c:v>17763.719999999998</c:v>
                </c:pt>
                <c:pt idx="98">
                  <c:v>18275.22</c:v>
                </c:pt>
                <c:pt idx="99">
                  <c:v>18604.5</c:v>
                </c:pt>
                <c:pt idx="100">
                  <c:v>18936.719999999998</c:v>
                </c:pt>
                <c:pt idx="101">
                  <c:v>19368.18</c:v>
                </c:pt>
                <c:pt idx="102">
                  <c:v>19902.12</c:v>
                </c:pt>
                <c:pt idx="103">
                  <c:v>20393.82</c:v>
                </c:pt>
                <c:pt idx="104">
                  <c:v>21042</c:v>
                </c:pt>
                <c:pt idx="105">
                  <c:v>21649.32</c:v>
                </c:pt>
                <c:pt idx="106">
                  <c:v>22420.62</c:v>
                </c:pt>
                <c:pt idx="107">
                  <c:v>23416.98</c:v>
                </c:pt>
                <c:pt idx="108">
                  <c:v>24003.719999999998</c:v>
                </c:pt>
                <c:pt idx="109">
                  <c:v>24597.72</c:v>
                </c:pt>
                <c:pt idx="110">
                  <c:v>25144.02</c:v>
                </c:pt>
                <c:pt idx="111">
                  <c:v>25640.82</c:v>
                </c:pt>
                <c:pt idx="112">
                  <c:v>26310.78</c:v>
                </c:pt>
                <c:pt idx="113">
                  <c:v>26989.38</c:v>
                </c:pt>
                <c:pt idx="114">
                  <c:v>27791.999999999996</c:v>
                </c:pt>
                <c:pt idx="115">
                  <c:v>28255.92</c:v>
                </c:pt>
                <c:pt idx="116">
                  <c:v>28841.22</c:v>
                </c:pt>
                <c:pt idx="117">
                  <c:v>29551.5</c:v>
                </c:pt>
                <c:pt idx="118">
                  <c:v>30150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xmlns:a="http://schemas.openxmlformats.org/drawingml/2006/main"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 cmpd="sng">
              <a:solidFill>
                <a:schemeClr val="tx1">
                  <a:lumMod val="15000"/>
                  <a:lumOff val="85000"/>
                </a:schemeClr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rot="-60000000" vert="horz" anchor="ctr" anchorCtr="1"/>
          <a:lstStyle xmlns:a="http://schemas.openxmlformats.org/drawingml/2006/main"/>
          <a:p xmlns:a="http://schemas.openxmlformats.org/drawingml/2006/main">
            <a:pPr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lt"/>
                <a:cs typeface="+mn-lt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solidFill xmlns:a="http://schemas.openxmlformats.org/drawingml/2006/main">
      <a:schemeClr val="bg1"/>
    </a:solidFill>
    <a:ln xmlns:a="http://schemas.openxmlformats.org/drawingml/2006/main" w="9525" cmpd="sng">
      <a:solidFill>
        <a:schemeClr val="tx1">
          <a:lumMod val="15000"/>
          <a:lumOff val="85000"/>
        </a:schemeClr>
      </a:solidFill>
    </a:ln>
  </c:spPr>
</c:chartSpace>
</file>

<file path=xl/drawings/charts/chart2.xml><?xml version="1.0" encoding="utf-8"?>
<c:chartSpace xmlns:mc="http://schemas.openxmlformats.org/markup-compatibility/2006" xmlns:c14="http://schemas.microsoft.com/office/drawing/2007/8/2/chart" xmlns:c="http://schemas.openxmlformats.org/drawingml/2006/chart" mc:Ignorable="c14"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b="0" i="0" u="none"/>
              <a:t>게임 시작부터 엔딩까지의 조작난이도·재미율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0" i="0" u="none"/>
          </a:pPr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조작난이도</c:v>
          </c:tx>
          <c:marker>
            <c:symbol val="diamond"/>
            <c:size val="7"/>
          </c:marker>
          <c:cat>
            <c:numRef>
              <c:f>'밸런스 곡선'!$A$15:$A$133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'밸런스 곡선'!$B$15:$B$133</c:f>
              <c:numCache>
                <c:formatCode>General</c:formatCode>
                <c:ptCount val="1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5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1">
                  <c:v>2</c:v>
                </c:pt>
                <c:pt idx="22">
                  <c:v>3</c:v>
                </c:pt>
                <c:pt idx="23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2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3</c:v>
                </c:pt>
                <c:pt idx="33">
                  <c:v>1</c:v>
                </c:pt>
                <c:pt idx="34">
                  <c:v>2</c:v>
                </c:pt>
                <c:pt idx="35">
                  <c:v>2</c:v>
                </c:pt>
                <c:pt idx="36">
                  <c:v>3</c:v>
                </c:pt>
                <c:pt idx="37">
                  <c:v>1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3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5</c:v>
                </c:pt>
                <c:pt idx="55">
                  <c:v>4</c:v>
                </c:pt>
                <c:pt idx="56">
                  <c:v>6</c:v>
                </c:pt>
                <c:pt idx="57">
                  <c:v>2</c:v>
                </c:pt>
                <c:pt idx="58">
                  <c:v>3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4</c:v>
                </c:pt>
                <c:pt idx="66">
                  <c:v>4</c:v>
                </c:pt>
                <c:pt idx="67">
                  <c:v>6</c:v>
                </c:pt>
                <c:pt idx="68">
                  <c:v>5</c:v>
                </c:pt>
                <c:pt idx="69">
                  <c:v>6</c:v>
                </c:pt>
                <c:pt idx="70">
                  <c:v>1</c:v>
                </c:pt>
                <c:pt idx="71">
                  <c:v>4</c:v>
                </c:pt>
                <c:pt idx="72">
                  <c:v>1</c:v>
                </c:pt>
                <c:pt idx="73">
                  <c:v>3</c:v>
                </c:pt>
                <c:pt idx="74">
                  <c:v>1</c:v>
                </c:pt>
                <c:pt idx="75">
                  <c:v>2</c:v>
                </c:pt>
                <c:pt idx="76">
                  <c:v>2</c:v>
                </c:pt>
                <c:pt idx="77">
                  <c:v>3</c:v>
                </c:pt>
                <c:pt idx="78">
                  <c:v>4</c:v>
                </c:pt>
                <c:pt idx="79">
                  <c:v>4</c:v>
                </c:pt>
                <c:pt idx="80">
                  <c:v>6</c:v>
                </c:pt>
                <c:pt idx="81">
                  <c:v>3</c:v>
                </c:pt>
                <c:pt idx="82">
                  <c:v>5</c:v>
                </c:pt>
                <c:pt idx="83">
                  <c:v>4</c:v>
                </c:pt>
                <c:pt idx="84">
                  <c:v>3</c:v>
                </c:pt>
                <c:pt idx="85">
                  <c:v>6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3</c:v>
                </c:pt>
                <c:pt idx="91">
                  <c:v>8</c:v>
                </c:pt>
                <c:pt idx="92">
                  <c:v>8</c:v>
                </c:pt>
                <c:pt idx="93">
                  <c:v>9</c:v>
                </c:pt>
                <c:pt idx="94">
                  <c:v>8</c:v>
                </c:pt>
                <c:pt idx="95">
                  <c:v>7</c:v>
                </c:pt>
                <c:pt idx="96">
                  <c:v>1</c:v>
                </c:pt>
                <c:pt idx="97">
                  <c:v>2</c:v>
                </c:pt>
                <c:pt idx="98">
                  <c:v>6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5</c:v>
                </c:pt>
                <c:pt idx="103">
                  <c:v>6</c:v>
                </c:pt>
                <c:pt idx="104">
                  <c:v>5</c:v>
                </c:pt>
                <c:pt idx="105">
                  <c:v>2</c:v>
                </c:pt>
                <c:pt idx="106">
                  <c:v>7</c:v>
                </c:pt>
                <c:pt idx="107">
                  <c:v>9</c:v>
                </c:pt>
                <c:pt idx="108">
                  <c:v>6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4</c:v>
                </c:pt>
                <c:pt idx="113">
                  <c:v>7</c:v>
                </c:pt>
                <c:pt idx="114">
                  <c:v>6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</c:numCache>
            </c:numRef>
          </c:val>
          <c:smooth val="0"/>
        </c:ser>
        <c:ser>
          <c:idx val="1"/>
          <c:order val="1"/>
          <c:tx>
            <c:v>재미율</c:v>
          </c:tx>
          <c:marker>
            <c:symbol val="square"/>
            <c:size val="7"/>
          </c:marker>
          <c:cat>
            <c:numRef>
              <c:f>'밸런스 곡선'!$A$15:$A$133</c:f>
              <c:numCache>
                <c:formatCode>General</c:formatCode>
                <c:ptCount val="11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</c:numCache>
            </c:numRef>
          </c:cat>
          <c:val>
            <c:numRef>
              <c:f>'밸런스 곡선'!$C$15:$C$133</c:f>
              <c:numCache>
                <c:formatCode>General</c:formatCode>
                <c:ptCount val="119"/>
                <c:pt idx="0">
                  <c:v>7</c:v>
                </c:pt>
                <c:pt idx="1">
                  <c:v>4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6</c:v>
                </c:pt>
                <c:pt idx="15">
                  <c:v>7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6</c:v>
                </c:pt>
                <c:pt idx="20">
                  <c:v>5</c:v>
                </c:pt>
                <c:pt idx="21">
                  <c:v>7</c:v>
                </c:pt>
                <c:pt idx="22">
                  <c:v>8</c:v>
                </c:pt>
                <c:pt idx="23">
                  <c:v>6</c:v>
                </c:pt>
                <c:pt idx="24">
                  <c:v>6</c:v>
                </c:pt>
                <c:pt idx="25">
                  <c:v>7</c:v>
                </c:pt>
                <c:pt idx="26">
                  <c:v>8</c:v>
                </c:pt>
                <c:pt idx="27">
                  <c:v>8</c:v>
                </c:pt>
                <c:pt idx="28">
                  <c:v>6</c:v>
                </c:pt>
                <c:pt idx="29">
                  <c:v>6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8</c:v>
                </c:pt>
                <c:pt idx="34">
                  <c:v>8</c:v>
                </c:pt>
                <c:pt idx="35">
                  <c:v>7</c:v>
                </c:pt>
                <c:pt idx="36">
                  <c:v>8</c:v>
                </c:pt>
                <c:pt idx="37">
                  <c:v>8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8</c:v>
                </c:pt>
                <c:pt idx="42">
                  <c:v>8</c:v>
                </c:pt>
                <c:pt idx="43">
                  <c:v>8</c:v>
                </c:pt>
                <c:pt idx="44">
                  <c:v>9</c:v>
                </c:pt>
                <c:pt idx="45">
                  <c:v>9</c:v>
                </c:pt>
                <c:pt idx="46">
                  <c:v>6</c:v>
                </c:pt>
                <c:pt idx="47">
                  <c:v>6</c:v>
                </c:pt>
                <c:pt idx="48">
                  <c:v>8</c:v>
                </c:pt>
                <c:pt idx="49">
                  <c:v>7</c:v>
                </c:pt>
                <c:pt idx="50">
                  <c:v>7</c:v>
                </c:pt>
                <c:pt idx="51">
                  <c:v>9</c:v>
                </c:pt>
                <c:pt idx="52">
                  <c:v>8</c:v>
                </c:pt>
                <c:pt idx="53">
                  <c:v>9</c:v>
                </c:pt>
                <c:pt idx="54">
                  <c:v>9</c:v>
                </c:pt>
                <c:pt idx="55">
                  <c:v>8</c:v>
                </c:pt>
                <c:pt idx="56">
                  <c:v>9</c:v>
                </c:pt>
                <c:pt idx="57">
                  <c:v>8</c:v>
                </c:pt>
                <c:pt idx="58">
                  <c:v>8</c:v>
                </c:pt>
                <c:pt idx="59">
                  <c:v>7</c:v>
                </c:pt>
                <c:pt idx="60">
                  <c:v>8</c:v>
                </c:pt>
                <c:pt idx="61">
                  <c:v>9</c:v>
                </c:pt>
                <c:pt idx="62">
                  <c:v>9</c:v>
                </c:pt>
                <c:pt idx="63">
                  <c:v>8</c:v>
                </c:pt>
                <c:pt idx="64">
                  <c:v>8</c:v>
                </c:pt>
                <c:pt idx="65">
                  <c:v>8</c:v>
                </c:pt>
                <c:pt idx="66">
                  <c:v>8</c:v>
                </c:pt>
                <c:pt idx="67">
                  <c:v>8</c:v>
                </c:pt>
                <c:pt idx="68">
                  <c:v>9</c:v>
                </c:pt>
                <c:pt idx="69">
                  <c:v>9</c:v>
                </c:pt>
                <c:pt idx="70">
                  <c:v>7</c:v>
                </c:pt>
                <c:pt idx="71">
                  <c:v>7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7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9</c:v>
                </c:pt>
                <c:pt idx="81">
                  <c:v>9</c:v>
                </c:pt>
                <c:pt idx="82">
                  <c:v>8</c:v>
                </c:pt>
                <c:pt idx="83">
                  <c:v>8</c:v>
                </c:pt>
                <c:pt idx="84">
                  <c:v>9</c:v>
                </c:pt>
                <c:pt idx="85">
                  <c:v>9</c:v>
                </c:pt>
                <c:pt idx="86">
                  <c:v>9</c:v>
                </c:pt>
                <c:pt idx="87">
                  <c:v>9</c:v>
                </c:pt>
                <c:pt idx="88">
                  <c:v>9</c:v>
                </c:pt>
                <c:pt idx="89">
                  <c:v>9</c:v>
                </c:pt>
                <c:pt idx="90">
                  <c:v>9</c:v>
                </c:pt>
                <c:pt idx="91">
                  <c:v>10</c:v>
                </c:pt>
                <c:pt idx="92">
                  <c:v>10</c:v>
                </c:pt>
                <c:pt idx="93">
                  <c:v>10</c:v>
                </c:pt>
                <c:pt idx="94">
                  <c:v>10</c:v>
                </c:pt>
                <c:pt idx="95">
                  <c:v>10</c:v>
                </c:pt>
                <c:pt idx="96">
                  <c:v>10</c:v>
                </c:pt>
                <c:pt idx="97">
                  <c:v>10</c:v>
                </c:pt>
                <c:pt idx="98">
                  <c:v>9</c:v>
                </c:pt>
                <c:pt idx="99">
                  <c:v>8</c:v>
                </c:pt>
                <c:pt idx="100">
                  <c:v>8</c:v>
                </c:pt>
                <c:pt idx="101">
                  <c:v>9</c:v>
                </c:pt>
                <c:pt idx="102">
                  <c:v>9</c:v>
                </c:pt>
                <c:pt idx="103">
                  <c:v>10</c:v>
                </c:pt>
                <c:pt idx="104">
                  <c:v>9</c:v>
                </c:pt>
                <c:pt idx="105">
                  <c:v>10</c:v>
                </c:pt>
                <c:pt idx="106">
                  <c:v>10</c:v>
                </c:pt>
                <c:pt idx="107">
                  <c:v>10</c:v>
                </c:pt>
                <c:pt idx="108">
                  <c:v>10</c:v>
                </c:pt>
                <c:pt idx="109">
                  <c:v>10</c:v>
                </c:pt>
                <c:pt idx="110">
                  <c:v>10</c:v>
                </c:pt>
                <c:pt idx="111">
                  <c:v>10</c:v>
                </c:pt>
                <c:pt idx="112">
                  <c:v>10</c:v>
                </c:pt>
                <c:pt idx="113">
                  <c:v>10</c:v>
                </c:pt>
                <c:pt idx="114">
                  <c:v>10</c:v>
                </c:pt>
                <c:pt idx="115">
                  <c:v>10</c:v>
                </c:pt>
                <c:pt idx="116">
                  <c:v>10</c:v>
                </c:pt>
                <c:pt idx="117">
                  <c:v>9</c:v>
                </c:pt>
                <c:pt idx="118">
                  <c:v>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ickMarkSkip val="1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294409</xdr:colOff>
      <xdr:row>0</xdr:row>
      <xdr:rowOff>57150</xdr:rowOff>
    </xdr:from>
    <xdr:to>
      <xdr:col>14</xdr:col>
      <xdr:colOff>900546</xdr:colOff>
      <xdr:row>2</xdr:row>
      <xdr:rowOff>348096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58ac7dafa804ac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20</xdr:col>
      <xdr:colOff>0</xdr:colOff>
      <xdr:row>21</xdr:row>
      <xdr:rowOff>0</xdr:rowOff>
    </xdr:from>
    <xdr:to>
      <xdr:col>27</xdr:col>
      <xdr:colOff>266700</xdr:colOff>
      <xdr:row>32</xdr:row>
      <xdr:rowOff>152400</xdr:rowOff>
    </xdr:to>
    <xdr:sp>
      <xdr:nvSpPr>
        <xdr:cNvPr id="1" name="밸런스팩터_0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3854545" y="9455727"/>
          <a:ext cx="5385954" cy="526472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퀘스트 동선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레벨디자인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650" b="1">
              <a:solidFill>
                <a:srgbClr val="000000"/>
              </a:solidFill>
              <a:latin typeface="Carlito"/>
              <a:ea typeface="Carlito"/>
              <a:cs typeface="Carlito"/>
            </a:rPr>
            <a:t>오브젝트 배치</a:t>
          </a:r>
          <a:endParaRPr/>
        </a:p>
      </xdr:txBody>
    </xdr:sp>
    <xdr:clientData/>
  </xdr:twoCellAnchor>
  <xdr:twoCellAnchor editAs="oneCell">
    <xdr:from>
      <xdr:col>14</xdr:col>
      <xdr:colOff>190500</xdr:colOff>
      <xdr:row>29</xdr:row>
      <xdr:rowOff>19050</xdr:rowOff>
    </xdr:from>
    <xdr:to>
      <xdr:col>20</xdr:col>
      <xdr:colOff>323850</xdr:colOff>
      <xdr:row>38</xdr:row>
      <xdr:rowOff>152400</xdr:rowOff>
    </xdr:to>
    <xdr:sp>
      <xdr:nvSpPr>
        <xdr:cNvPr id="2" name="밸런스팩터_0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79181" y="13092545"/>
          <a:ext cx="4416136" cy="432954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공원 쓰레기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개수·배치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분리수거 규칙</a:t>
          </a:r>
          <a:endParaRPr/>
        </a:p>
      </xdr:txBody>
    </xdr:sp>
    <xdr:clientData/>
  </xdr:twoCellAnchor>
  <xdr:twoCellAnchor editAs="oneCell">
    <xdr:from>
      <xdr:col>28</xdr:col>
      <xdr:colOff>171449</xdr:colOff>
      <xdr:row>22</xdr:row>
      <xdr:rowOff>57150</xdr:rowOff>
    </xdr:from>
    <xdr:to>
      <xdr:col>34</xdr:col>
      <xdr:colOff>304800</xdr:colOff>
      <xdr:row>31</xdr:row>
      <xdr:rowOff>190500</xdr:rowOff>
    </xdr:to>
    <xdr:sp>
      <xdr:nvSpPr>
        <xdr:cNvPr id="3" name="밸런스팩터_0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9742728" y="10027227"/>
          <a:ext cx="4416136" cy="4312227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선의 감소량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자아 마모도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회복 수단</a:t>
          </a:r>
          <a:endParaRPr/>
        </a:p>
      </xdr:txBody>
    </xdr:sp>
    <xdr:clientData/>
  </xdr:twoCellAnchor>
  <xdr:twoCellAnchor editAs="oneCell">
    <xdr:from>
      <xdr:col>27</xdr:col>
      <xdr:colOff>142875</xdr:colOff>
      <xdr:row>12</xdr:row>
      <xdr:rowOff>76200</xdr:rowOff>
    </xdr:from>
    <xdr:to>
      <xdr:col>33</xdr:col>
      <xdr:colOff>133350</xdr:colOff>
      <xdr:row>21</xdr:row>
      <xdr:rowOff>66675</xdr:rowOff>
    </xdr:to>
    <xdr:sp>
      <xdr:nvSpPr>
        <xdr:cNvPr id="4" name="밸런스팩터_0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980726" y="5559136"/>
          <a:ext cx="4139045" cy="4035136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몬스터 개수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배치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공격 판정</a:t>
          </a:r>
          <a:endParaRPr/>
        </a:p>
      </xdr:txBody>
    </xdr:sp>
    <xdr:clientData/>
  </xdr:twoCellAnchor>
  <xdr:twoCellAnchor editAs="oneCell">
    <xdr:from>
      <xdr:col>13</xdr:col>
      <xdr:colOff>19050</xdr:colOff>
      <xdr:row>19</xdr:row>
      <xdr:rowOff>180975</xdr:rowOff>
    </xdr:from>
    <xdr:to>
      <xdr:col>18</xdr:col>
      <xdr:colOff>257175</xdr:colOff>
      <xdr:row>28</xdr:row>
      <xdr:rowOff>76200</xdr:rowOff>
    </xdr:to>
    <xdr:sp>
      <xdr:nvSpPr>
        <xdr:cNvPr id="5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040091" y="8918863"/>
          <a:ext cx="3948545" cy="3844636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이벤트 템포</a:t>
          </a:r>
          <a:endParaRPr/>
        </a:p>
      </xdr:txBody>
    </xdr:sp>
    <xdr:clientData/>
  </xdr:twoCellAnchor>
  <xdr:twoCellAnchor editAs="oneCell">
    <xdr:from>
      <xdr:col>23</xdr:col>
      <xdr:colOff>0</xdr:colOff>
      <xdr:row>8</xdr:row>
      <xdr:rowOff>0</xdr:rowOff>
    </xdr:from>
    <xdr:to>
      <xdr:col>27</xdr:col>
      <xdr:colOff>57150</xdr:colOff>
      <xdr:row>14</xdr:row>
      <xdr:rowOff>57150</xdr:rowOff>
    </xdr:to>
    <xdr:sp>
      <xdr:nvSpPr>
        <xdr:cNvPr id="6" name="밸런스팩터_0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5932728" y="3602182"/>
          <a:ext cx="2892136" cy="2822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PC 이동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30</xdr:col>
      <xdr:colOff>209550</xdr:colOff>
      <xdr:row>6</xdr:row>
      <xdr:rowOff>95250</xdr:rowOff>
    </xdr:from>
    <xdr:to>
      <xdr:col>34</xdr:col>
      <xdr:colOff>123824</xdr:colOff>
      <xdr:row>12</xdr:row>
      <xdr:rowOff>9525</xdr:rowOff>
    </xdr:to>
    <xdr:sp>
      <xdr:nvSpPr>
        <xdr:cNvPr id="7" name="밸런스팩터_0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1197454" y="2892136"/>
          <a:ext cx="2597727" cy="2528454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달리기 속도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지속시간</a:t>
          </a:r>
          <a:endParaRPr/>
        </a:p>
      </xdr:txBody>
    </xdr:sp>
    <xdr:clientData/>
  </xdr:twoCellAnchor>
  <xdr:twoCellAnchor editAs="oneCell">
    <xdr:from>
      <xdr:col>36</xdr:col>
      <xdr:colOff>19050</xdr:colOff>
      <xdr:row>6</xdr:row>
      <xdr:rowOff>157225</xdr:rowOff>
    </xdr:from>
    <xdr:to>
      <xdr:col>40</xdr:col>
      <xdr:colOff>28575</xdr:colOff>
      <xdr:row>12</xdr:row>
      <xdr:rowOff>171449</xdr:rowOff>
    </xdr:to>
    <xdr:sp>
      <xdr:nvSpPr>
        <xdr:cNvPr id="8" name="밸런스팩터_0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972818" y="3013363"/>
          <a:ext cx="2788227" cy="273627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맵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425" b="1">
              <a:solidFill>
                <a:srgbClr val="000000"/>
              </a:solidFill>
              <a:latin typeface="Carlito"/>
              <a:ea typeface="Carlito"/>
              <a:cs typeface="Carlito"/>
            </a:rPr>
            <a:t>크기</a:t>
          </a:r>
          <a:endParaRPr/>
        </a:p>
      </xdr:txBody>
    </xdr:sp>
    <xdr:clientData/>
  </xdr:twoCellAnchor>
  <xdr:twoCellAnchor editAs="oneCell">
    <xdr:from>
      <xdr:col>11</xdr:col>
      <xdr:colOff>209550</xdr:colOff>
      <xdr:row>3</xdr:row>
      <xdr:rowOff>157225</xdr:rowOff>
    </xdr:from>
    <xdr:to>
      <xdr:col>15</xdr:col>
      <xdr:colOff>171449</xdr:colOff>
      <xdr:row>9</xdr:row>
      <xdr:rowOff>123824</xdr:rowOff>
    </xdr:to>
    <xdr:sp>
      <xdr:nvSpPr>
        <xdr:cNvPr id="9" name="밸런스팩터_0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035636" y="1662545"/>
          <a:ext cx="2701636" cy="26323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카메라 시야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가시성</a:t>
          </a:r>
          <a:endParaRPr/>
        </a:p>
      </xdr:txBody>
    </xdr:sp>
    <xdr:clientData/>
  </xdr:twoCellAnchor>
  <xdr:twoCellAnchor editAs="oneCell">
    <xdr:from>
      <xdr:col>9</xdr:col>
      <xdr:colOff>0</xdr:colOff>
      <xdr:row>18</xdr:row>
      <xdr:rowOff>38100</xdr:rowOff>
    </xdr:from>
    <xdr:to>
      <xdr:col>12</xdr:col>
      <xdr:colOff>304800</xdr:colOff>
      <xdr:row>24</xdr:row>
      <xdr:rowOff>0</xdr:rowOff>
    </xdr:to>
    <xdr:sp>
      <xdr:nvSpPr>
        <xdr:cNvPr id="10" name="밸런스팩터_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234545" y="8174182"/>
          <a:ext cx="2684318" cy="26323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트리거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350" b="1">
              <a:solidFill>
                <a:srgbClr val="000000"/>
              </a:solidFill>
              <a:latin typeface="Carlito"/>
              <a:ea typeface="Carlito"/>
              <a:cs typeface="Carlito"/>
            </a:rPr>
            <a:t>위치</a:t>
          </a:r>
          <a:endParaRPr/>
        </a:p>
      </xdr:txBody>
    </xdr:sp>
    <xdr:clientData/>
  </xdr:twoCellAnchor>
  <xdr:twoCellAnchor editAs="oneCell">
    <xdr:from>
      <xdr:col>10</xdr:col>
      <xdr:colOff>0</xdr:colOff>
      <xdr:row>26</xdr:row>
      <xdr:rowOff>142875</xdr:rowOff>
    </xdr:from>
    <xdr:to>
      <xdr:col>13</xdr:col>
      <xdr:colOff>304800</xdr:colOff>
      <xdr:row>32</xdr:row>
      <xdr:rowOff>104775</xdr:rowOff>
    </xdr:to>
    <xdr:sp>
      <xdr:nvSpPr>
        <xdr:cNvPr id="11" name="밸런스팩터_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927272" y="12001500"/>
          <a:ext cx="2684318" cy="2615045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상호작용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범위</a:t>
          </a:r>
          <a:endParaRPr/>
        </a:p>
      </xdr:txBody>
    </xdr:sp>
    <xdr:clientData/>
  </xdr:twoCellAnchor>
  <xdr:twoCellAnchor editAs="oneCell">
    <xdr:from>
      <xdr:col>16</xdr:col>
      <xdr:colOff>0</xdr:colOff>
      <xdr:row>6</xdr:row>
      <xdr:rowOff>0</xdr:rowOff>
    </xdr:from>
    <xdr:to>
      <xdr:col>19</xdr:col>
      <xdr:colOff>304800</xdr:colOff>
      <xdr:row>11</xdr:row>
      <xdr:rowOff>190500</xdr:rowOff>
    </xdr:to>
    <xdr:sp>
      <xdr:nvSpPr>
        <xdr:cNvPr id="12" name="밸런스팩터_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083636" y="2701636"/>
          <a:ext cx="2684318" cy="26323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목표 표시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12</xdr:col>
      <xdr:colOff>228600</xdr:colOff>
      <xdr:row>13</xdr:row>
      <xdr:rowOff>142875</xdr:rowOff>
    </xdr:from>
    <xdr:to>
      <xdr:col>16</xdr:col>
      <xdr:colOff>47625</xdr:colOff>
      <xdr:row>18</xdr:row>
      <xdr:rowOff>190500</xdr:rowOff>
    </xdr:to>
    <xdr:sp>
      <xdr:nvSpPr>
        <xdr:cNvPr id="13" name="밸런스팩터_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763000" y="6147954"/>
          <a:ext cx="2407227" cy="2337954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밀도</a:t>
          </a:r>
          <a:endParaRPr/>
        </a:p>
      </xdr:txBody>
    </xdr:sp>
    <xdr:clientData/>
  </xdr:twoCellAnchor>
  <xdr:twoCellAnchor editAs="oneCell">
    <xdr:from>
      <xdr:col>11</xdr:col>
      <xdr:colOff>95250</xdr:colOff>
      <xdr:row>35</xdr:row>
      <xdr:rowOff>76200</xdr:rowOff>
    </xdr:from>
    <xdr:to>
      <xdr:col>14</xdr:col>
      <xdr:colOff>304800</xdr:colOff>
      <xdr:row>40</xdr:row>
      <xdr:rowOff>171449</xdr:rowOff>
    </xdr:to>
    <xdr:sp>
      <xdr:nvSpPr>
        <xdr:cNvPr id="14" name="밸런스팩터_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810500" y="15915409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미니게임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제한 시간</a:t>
          </a:r>
          <a:endParaRPr/>
        </a:p>
      </xdr:txBody>
    </xdr:sp>
    <xdr:clientData/>
  </xdr:twoCellAnchor>
  <xdr:twoCellAnchor editAs="oneCell">
    <xdr:from>
      <xdr:col>21</xdr:col>
      <xdr:colOff>123824</xdr:colOff>
      <xdr:row>33</xdr:row>
      <xdr:rowOff>76200</xdr:rowOff>
    </xdr:from>
    <xdr:to>
      <xdr:col>24</xdr:col>
      <xdr:colOff>333375</xdr:colOff>
      <xdr:row>38</xdr:row>
      <xdr:rowOff>171449</xdr:rowOff>
    </xdr:to>
    <xdr:sp>
      <xdr:nvSpPr>
        <xdr:cNvPr id="15" name="밸런스팩터_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789728" y="15014864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미션 실패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패널티</a:t>
          </a:r>
          <a:endParaRPr/>
        </a:p>
      </xdr:txBody>
    </xdr:sp>
    <xdr:clientData/>
  </xdr:twoCellAnchor>
  <xdr:twoCellAnchor editAs="oneCell">
    <xdr:from>
      <xdr:col>23</xdr:col>
      <xdr:colOff>104775</xdr:colOff>
      <xdr:row>15</xdr:row>
      <xdr:rowOff>76200</xdr:rowOff>
    </xdr:from>
    <xdr:to>
      <xdr:col>26</xdr:col>
      <xdr:colOff>314325</xdr:colOff>
      <xdr:row>20</xdr:row>
      <xdr:rowOff>171449</xdr:rowOff>
    </xdr:to>
    <xdr:sp>
      <xdr:nvSpPr>
        <xdr:cNvPr id="16" name="밸런스팩터_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140545" y="6909954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칭찬·보상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빈도</a:t>
          </a:r>
          <a:endParaRPr/>
        </a:p>
      </xdr:txBody>
    </xdr:sp>
    <xdr:clientData/>
  </xdr:twoCellAnchor>
  <xdr:twoCellAnchor editAs="oneCell">
    <xdr:from>
      <xdr:col>20</xdr:col>
      <xdr:colOff>76200</xdr:colOff>
      <xdr:row>4</xdr:row>
      <xdr:rowOff>0</xdr:rowOff>
    </xdr:from>
    <xdr:to>
      <xdr:col>23</xdr:col>
      <xdr:colOff>285750</xdr:colOff>
      <xdr:row>9</xdr:row>
      <xdr:rowOff>95250</xdr:rowOff>
    </xdr:to>
    <xdr:sp>
      <xdr:nvSpPr>
        <xdr:cNvPr id="17" name="밸런스팩터_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4010409" y="1801091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체크포인트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간격</a:t>
          </a:r>
          <a:endParaRPr/>
        </a:p>
      </xdr:txBody>
    </xdr:sp>
    <xdr:clientData/>
  </xdr:twoCellAnchor>
  <xdr:twoCellAnchor editAs="oneCell">
    <xdr:from>
      <xdr:col>26</xdr:col>
      <xdr:colOff>0</xdr:colOff>
      <xdr:row>40</xdr:row>
      <xdr:rowOff>76200</xdr:rowOff>
    </xdr:from>
    <xdr:to>
      <xdr:col>29</xdr:col>
      <xdr:colOff>209550</xdr:colOff>
      <xdr:row>45</xdr:row>
      <xdr:rowOff>171449</xdr:rowOff>
    </xdr:to>
    <xdr:sp>
      <xdr:nvSpPr>
        <xdr:cNvPr id="18" name="밸런스팩터_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8010910" y="18166772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선택지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영향도</a:t>
          </a:r>
          <a:endParaRPr/>
        </a:p>
      </xdr:txBody>
    </xdr:sp>
    <xdr:clientData/>
  </xdr:twoCellAnchor>
  <xdr:twoCellAnchor editAs="oneCell">
    <xdr:from>
      <xdr:col>34</xdr:col>
      <xdr:colOff>19050</xdr:colOff>
      <xdr:row>13</xdr:row>
      <xdr:rowOff>104775</xdr:rowOff>
    </xdr:from>
    <xdr:to>
      <xdr:col>37</xdr:col>
      <xdr:colOff>276225</xdr:colOff>
      <xdr:row>19</xdr:row>
      <xdr:rowOff>19050</xdr:rowOff>
    </xdr:to>
    <xdr:sp>
      <xdr:nvSpPr>
        <xdr:cNvPr id="19" name="밸런스팩터_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587362" y="6061364"/>
          <a:ext cx="2597727" cy="2528454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보스 패턴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속도</a:t>
          </a:r>
          <a:endParaRPr/>
        </a:p>
      </xdr:txBody>
    </xdr:sp>
    <xdr:clientData/>
  </xdr:twoCellAnchor>
  <xdr:twoCellAnchor editAs="oneCell">
    <xdr:from>
      <xdr:col>14</xdr:col>
      <xdr:colOff>180975</xdr:colOff>
      <xdr:row>38</xdr:row>
      <xdr:rowOff>209550</xdr:rowOff>
    </xdr:from>
    <xdr:to>
      <xdr:col>18</xdr:col>
      <xdr:colOff>47625</xdr:colOff>
      <xdr:row>44</xdr:row>
      <xdr:rowOff>76200</xdr:rowOff>
    </xdr:to>
    <xdr:sp>
      <xdr:nvSpPr>
        <xdr:cNvPr id="20" name="밸런스팩터_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061864" y="17526000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퍼즐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200" b="1">
              <a:solidFill>
                <a:srgbClr val="000000"/>
              </a:solidFill>
              <a:latin typeface="Carlito"/>
              <a:ea typeface="Carlito"/>
              <a:cs typeface="Carlito"/>
            </a:rPr>
            <a:t>힌트량</a:t>
          </a:r>
          <a:endParaRPr/>
        </a:p>
      </xdr:txBody>
    </xdr:sp>
    <xdr:clientData/>
  </xdr:twoCellAnchor>
  <xdr:twoCellAnchor editAs="oneCell">
    <xdr:from>
      <xdr:col>34</xdr:col>
      <xdr:colOff>266700</xdr:colOff>
      <xdr:row>19</xdr:row>
      <xdr:rowOff>209550</xdr:rowOff>
    </xdr:from>
    <xdr:to>
      <xdr:col>38</xdr:col>
      <xdr:colOff>133350</xdr:colOff>
      <xdr:row>25</xdr:row>
      <xdr:rowOff>76200</xdr:rowOff>
    </xdr:to>
    <xdr:sp>
      <xdr:nvSpPr>
        <xdr:cNvPr id="21" name="밸런스팩터_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4089590" y="8970818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균열 발생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125" b="1">
              <a:solidFill>
                <a:srgbClr val="000000"/>
              </a:solidFill>
              <a:latin typeface="Carlito"/>
              <a:ea typeface="Carlito"/>
              <a:cs typeface="Carlito"/>
            </a:rPr>
            <a:t>타이밍</a:t>
          </a:r>
          <a:endParaRPr/>
        </a:p>
      </xdr:txBody>
    </xdr:sp>
    <xdr:clientData/>
  </xdr:twoCellAnchor>
  <xdr:twoCellAnchor editAs="oneCell">
    <xdr:from>
      <xdr:col>5</xdr:col>
      <xdr:colOff>104775</xdr:colOff>
      <xdr:row>9</xdr:row>
      <xdr:rowOff>157225</xdr:rowOff>
    </xdr:from>
    <xdr:to>
      <xdr:col>8</xdr:col>
      <xdr:colOff>266700</xdr:colOff>
      <xdr:row>14</xdr:row>
      <xdr:rowOff>209550</xdr:rowOff>
    </xdr:to>
    <xdr:sp>
      <xdr:nvSpPr>
        <xdr:cNvPr id="22" name="밸런스팩터_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671454" y="4364181"/>
          <a:ext cx="2407227" cy="235527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회색 후드 NPC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975" b="1">
              <a:solidFill>
                <a:srgbClr val="000000"/>
              </a:solidFill>
              <a:latin typeface="Carlito"/>
              <a:ea typeface="Carlito"/>
              <a:cs typeface="Carlito"/>
            </a:rPr>
            <a:t>구분 난도</a:t>
          </a:r>
          <a:endParaRPr/>
        </a:p>
      </xdr:txBody>
    </xdr:sp>
    <xdr:clientData/>
  </xdr:twoCellAnchor>
  <xdr:twoCellAnchor editAs="oneCell">
    <xdr:from>
      <xdr:col>5</xdr:col>
      <xdr:colOff>180975</xdr:colOff>
      <xdr:row>22</xdr:row>
      <xdr:rowOff>38100</xdr:rowOff>
    </xdr:from>
    <xdr:to>
      <xdr:col>9</xdr:col>
      <xdr:colOff>47625</xdr:colOff>
      <xdr:row>27</xdr:row>
      <xdr:rowOff>133350</xdr:rowOff>
    </xdr:to>
    <xdr:sp>
      <xdr:nvSpPr>
        <xdr:cNvPr id="23" name="밸런스팩터_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827318" y="9975273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편의점 재고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연출 타이밍</a:t>
          </a:r>
          <a:endParaRPr/>
        </a:p>
      </xdr:txBody>
    </xdr:sp>
    <xdr:clientData/>
  </xdr:twoCellAnchor>
  <xdr:twoCellAnchor editAs="oneCell">
    <xdr:from>
      <xdr:col>5</xdr:col>
      <xdr:colOff>19050</xdr:colOff>
      <xdr:row>16</xdr:row>
      <xdr:rowOff>19050</xdr:rowOff>
    </xdr:from>
    <xdr:to>
      <xdr:col>8</xdr:col>
      <xdr:colOff>228600</xdr:colOff>
      <xdr:row>21</xdr:row>
      <xdr:rowOff>114300</xdr:rowOff>
    </xdr:to>
    <xdr:sp>
      <xdr:nvSpPr>
        <xdr:cNvPr id="24" name="밸런스팩터_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3498272" y="7239000"/>
          <a:ext cx="2493818" cy="24418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물류 트럭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이동 속도</a:t>
          </a:r>
          <a:endParaRPr/>
        </a:p>
      </xdr:txBody>
    </xdr:sp>
    <xdr:clientData/>
  </xdr:twoCellAnchor>
  <xdr:twoCellAnchor editAs="oneCell">
    <xdr:from>
      <xdr:col>9</xdr:col>
      <xdr:colOff>228600</xdr:colOff>
      <xdr:row>9</xdr:row>
      <xdr:rowOff>180975</xdr:rowOff>
    </xdr:from>
    <xdr:to>
      <xdr:col>13</xdr:col>
      <xdr:colOff>0</xdr:colOff>
      <xdr:row>14</xdr:row>
      <xdr:rowOff>180975</xdr:rowOff>
    </xdr:to>
    <xdr:sp>
      <xdr:nvSpPr>
        <xdr:cNvPr id="25" name="밸런스팩터_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6684818" y="4416136"/>
          <a:ext cx="2320636" cy="2251363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오픈런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경쟁</a:t>
          </a:r>
          <a:endParaRPr/>
        </a:p>
      </xdr:txBody>
    </xdr:sp>
    <xdr:clientData/>
  </xdr:twoCellAnchor>
  <xdr:twoCellAnchor editAs="oneCell">
    <xdr:from>
      <xdr:col>24</xdr:col>
      <xdr:colOff>57150</xdr:colOff>
      <xdr:row>2</xdr:row>
      <xdr:rowOff>38100</xdr:rowOff>
    </xdr:from>
    <xdr:to>
      <xdr:col>27</xdr:col>
      <xdr:colOff>219075</xdr:colOff>
      <xdr:row>7</xdr:row>
      <xdr:rowOff>85724</xdr:rowOff>
    </xdr:to>
    <xdr:sp>
      <xdr:nvSpPr>
        <xdr:cNvPr id="26" name="밸런스팩터_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6746681" y="969818"/>
          <a:ext cx="2389909" cy="2355272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사운드·시각</a:t>
          </a:r>
          <a:endParaRPr/>
        </a:p>
        <a:p xmlns:a="http://schemas.openxmlformats.org/drawingml/2006/main">
          <a:pPr algn="ctr">
            <a:lnSpc>
              <a:spcPct val="100000"/>
            </a:lnSpc>
            <a:buNone/>
          </a:pPr>
          <a:r>
            <a:rPr sz="1050" b="1">
              <a:solidFill>
                <a:srgbClr val="000000"/>
              </a:solidFill>
              <a:latin typeface="Carlito"/>
              <a:ea typeface="Carlito"/>
              <a:cs typeface="Carlito"/>
            </a:rPr>
            <a:t>경고 강도</a:t>
          </a:r>
          <a:endParaRPr/>
        </a:p>
      </xdr:txBody>
    </xdr:sp>
    <xdr:clientData/>
  </xdr:twoCellAnchor>
  <xdr:twoCellAnchor editAs="oneCell">
    <xdr:from>
      <xdr:col>25</xdr:col>
      <xdr:colOff>142875</xdr:colOff>
      <xdr:row>31</xdr:row>
      <xdr:rowOff>28575</xdr:rowOff>
    </xdr:from>
    <xdr:to>
      <xdr:col>31</xdr:col>
      <xdr:colOff>38100</xdr:colOff>
      <xdr:row>39</xdr:row>
      <xdr:rowOff>152400</xdr:rowOff>
    </xdr:to>
    <xdr:sp>
      <xdr:nvSpPr>
        <xdr:cNvPr id="27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7595272" y="14010409"/>
          <a:ext cx="3948545" cy="3861954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대화 길이</a:t>
          </a:r>
          <a:endParaRPr/>
        </a:p>
      </xdr:txBody>
    </xdr:sp>
    <xdr:clientData/>
  </xdr:twoCellAnchor>
  <xdr:twoCellAnchor editAs="oneCell">
    <xdr:from>
      <xdr:col>17</xdr:col>
      <xdr:colOff>95250</xdr:colOff>
      <xdr:row>12</xdr:row>
      <xdr:rowOff>66675</xdr:rowOff>
    </xdr:from>
    <xdr:to>
      <xdr:col>22</xdr:col>
      <xdr:colOff>328675</xdr:colOff>
      <xdr:row>20</xdr:row>
      <xdr:rowOff>190500</xdr:rowOff>
    </xdr:to>
    <xdr:sp>
      <xdr:nvSpPr>
        <xdr:cNvPr id="28" name="밸런스팩터_0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966864" y="5541818"/>
          <a:ext cx="3931227" cy="3844636"/>
        </a:xfrm>
        <a:prstGeom xmlns:a="http://schemas.openxmlformats.org/drawingml/2006/main" prst="ellipse">
          <a:avLst/>
        </a:prstGeom>
        <a:solidFill xmlns:a="http://schemas.openxmlformats.org/drawingml/2006/main">
          <a:srgbClr val="5B9BD5"/>
        </a:solidFill>
        <a:ln xmlns:a="http://schemas.openxmlformats.org/drawingml/2006/main" w="14288">
          <a:solidFill>
            <a:srgbClr val="4472C4"/>
          </a:solidFill>
        </a:ln>
      </xdr:spPr>
      <xdr:txBody>
        <a:bodyPr xmlns:a="http://schemas.openxmlformats.org/drawingml/2006/main" wrap="square" lIns="76200" tIns="57150" rIns="76200" bIns="57150" anchor="ctr"/>
        <a:lstStyle xmlns:a="http://schemas.openxmlformats.org/drawingml/2006/main"/>
        <a:p xmlns:a="http://schemas.openxmlformats.org/drawingml/2006/main">
          <a:pPr algn="ctr">
            <a:lnSpc>
              <a:spcPct val="100000"/>
            </a:lnSpc>
            <a:buNone/>
          </a:pPr>
          <a:r>
            <a:rPr sz="1275" b="1">
              <a:solidFill>
                <a:srgbClr val="000000"/>
              </a:solidFill>
              <a:latin typeface="Carlito"/>
              <a:ea typeface="Carlito"/>
              <a:cs typeface="Carlito"/>
            </a:rPr>
            <a:t>연출 밀도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6</xdr:col>
      <xdr:colOff>0</xdr:colOff>
      <xdr:row>4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9ead007a92d04cc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ceef71249224bb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3a7545d038ec443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3.xml" Id="R874a9191969246c4" /></Relationships>
</file>

<file path=xl/worksheets/sheet1.xml><?xml version="1.0" encoding="utf-8"?>
<x:worksheet xmlns:x="http://schemas.openxmlformats.org/spreadsheetml/2006/main">
  <x:sheetFormatPr defaultColWidth="9" defaultRowHeight="13.5"/>
  <x:cols>
    <x:col min="1" max="1" width="13.875" style="38" customWidth="1"/>
    <x:col min="2" max="3" width="13.125" style="38" customWidth="1"/>
    <x:col min="4" max="4" width="13.375" style="38" customWidth="1"/>
    <x:col min="5" max="5" width="42" style="38" customWidth="1"/>
    <x:col min="6" max="6" width="38" style="38" customWidth="1"/>
    <x:col min="7" max="7" width="29.25" style="38" customWidth="1"/>
    <x:col min="8" max="8" width="28.125" style="38" customWidth="1"/>
    <x:col min="9" max="9" width="11.875" style="38" customWidth="1"/>
    <x:col min="10" max="10" width="24.375" style="38" customWidth="1"/>
    <x:col min="11" max="11" width="39.625" style="38" customWidth="1"/>
    <x:col min="12" max="12" width="18.625" style="38" customWidth="1"/>
    <x:col min="13" max="13" width="20.875" style="38" customWidth="1"/>
    <x:col min="14" max="14" width="18.75" style="38" customWidth="1"/>
    <x:col min="15" max="17" width="18.875" style="38" customWidth="1"/>
    <x:col min="18" max="18" width="19.5" style="38" customWidth="1"/>
    <x:col min="19" max="19" width="21.75" style="38" customWidth="1"/>
    <x:col min="20" max="20" width="19.5" style="38" customWidth="1"/>
    <x:col min="21" max="29" width="18.875" style="38" customWidth="1"/>
    <x:col min="30" max="30" width="11" style="38" hidden="0" customWidth="1"/>
    <x:col min="31" max="16384" width="9" style="38" customWidth="0"/>
    <x:col min="23" max="23" width="31" hidden="0" customWidth="1"/>
    <x:col min="24" max="24" width="13" hidden="0" customWidth="1"/>
    <x:col min="25" max="25" width="11" hidden="0" customWidth="1"/>
    <x:col min="26" max="26" width="11" hidden="0" customWidth="1"/>
    <x:col min="27" max="27" width="11" hidden="0" customWidth="1"/>
    <x:col min="28" max="28" width="11" hidden="0" customWidth="1"/>
    <x:col min="29" max="29" width="11" hidden="0" customWidth="1"/>
    <x:col min="31" max="31" width="11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36.75" customHeight="1">
      <x:c r="P1" s="38" t="s">
        <x:v>0</x:v>
      </x:c>
      <x:c r="Q1" s="38" t="s">
        <x:v>1</x:v>
      </x:c>
    </x:row>
    <x:row r="2" ht="36.75" customHeight="1">
      <x:c r="P2" s="39">
        <x:v>3</x:v>
      </x:c>
      <x:c r="Q2" s="39">
        <x:v>15</x:v>
      </x:c>
    </x:row>
    <x:row r="3" ht="35.25" customHeight="1">
      <x:c r="P3" s="39" t="n">
        <x:f>P2*0.01</x:f>
        <x:v>0.03</x:v>
      </x:c>
      <x:c r="Q3" s="39" t="n">
        <x:f>Q2*0.01</x:f>
        <x:v>0.15</x:v>
      </x:c>
    </x:row>
    <x:row r="4" ht="58" customHeight="1">
      <x:c r="A4" s="40" t="s">
        <x:v>2</x:v>
      </x:c>
      <x:c r="B4" s="41" t="s">
        <x:v>3</x:v>
      </x:c>
      <x:c r="C4" s="42" t="s">
        <x:v>4</x:v>
      </x:c>
      <x:c r="D4" s="41" t="s">
        <x:v>5</x:v>
      </x:c>
      <x:c r="E4" s="41" t="s">
        <x:v>6</x:v>
      </x:c>
      <x:c r="F4" s="41" t="s">
        <x:v>7</x:v>
      </x:c>
      <x:c r="G4" s="41" t="s">
        <x:v>8</x:v>
      </x:c>
      <x:c r="H4" s="41" t="s">
        <x:v>9</x:v>
      </x:c>
      <x:c r="I4" s="41" t="s">
        <x:v>10</x:v>
      </x:c>
      <x:c r="J4" s="41" t="s">
        <x:v>11</x:v>
      </x:c>
      <x:c r="K4" s="41" t="s">
        <x:v>12</x:v>
      </x:c>
      <x:c r="L4" s="41" t="s">
        <x:v>13</x:v>
      </x:c>
      <x:c r="M4" s="41" t="s">
        <x:v>14</x:v>
      </x:c>
      <x:c r="N4" s="43" t="s">
        <x:v>15</x:v>
      </x:c>
      <x:c r="O4" s="44" t="s">
        <x:v>16</x:v>
      </x:c>
      <x:c r="P4" s="44" t="s">
        <x:v>17</x:v>
      </x:c>
      <x:c r="Q4" s="45" t="s">
        <x:v>18</x:v>
      </x:c>
      <x:c r="R4" s="46" t="s">
        <x:v>19</x:v>
      </x:c>
      <x:c r="S4" s="44" t="s">
        <x:v>20</x:v>
      </x:c>
      <x:c r="T4" s="44" t="s">
        <x:v>21</x:v>
      </x:c>
      <x:c r="U4" s="44" t="s">
        <x:v>22</x:v>
      </x:c>
      <x:c r="V4" s="44" t="s">
        <x:v>23</x:v>
      </x:c>
      <x:c r="W4" s="152" t="str">
        <x:v>스테이지 점수 산정 기준</x:v>
      </x:c>
      <x:c r="X4" s="153" t="str">
        <x:v>기준 결산 점수</x:v>
      </x:c>
      <x:c r="Y4" s="153" t="str">
        <x:v>SS (120%)</x:v>
      </x:c>
      <x:c r="Z4" s="153" t="str">
        <x:v>S (100%)</x:v>
      </x:c>
      <x:c r="AA4" s="153" t="str">
        <x:v>A (85%)</x:v>
      </x:c>
      <x:c r="AB4" s="153" t="str">
        <x:v>B (70%)</x:v>
      </x:c>
      <x:c r="AC4" s="153" t="str">
        <x:v>C (55%)</x:v>
      </x:c>
      <x:c r="AD4" s="154" t="str">
        <x:v>D (40%)</x:v>
      </x:c>
      <x:c r="AE4" s="161" t="str">
        <x:v>F (0%·실패)</x:v>
      </x:c>
      <x:c r="AF4" s="161" t="str">
        <x:v>스테이지 1회 클리어 기준 시간</x:v>
      </x:c>
      <x:c r="AG4" s="161" t="str">
        <x:v>스테이지 1회 클리어 시간 (라이트)</x:v>
      </x:c>
      <x:c r="AH4" s="161" t="str">
        <x:v>스테이지 1회 클리어 시간 (미들)</x:v>
      </x:c>
      <x:c r="AI4" s="162" t="str">
        <x:v>스테이지 1회 클리어 시간 (헤비)</x:v>
      </x:c>
    </x:row>
    <x:row r="5" ht="81.94999694824219" customHeight="1">
      <x:c r="A5" s="48" t="s">
        <x:v>24</x:v>
      </x:c>
      <x:c r="B5" s="49">
        <x:v>1</x:v>
      </x:c>
      <x:c r="C5" s="49">
        <x:v>1</x:v>
      </x:c>
      <x:c r="D5" s="49">
        <x:v>8</x:v>
      </x:c>
      <x:c r="E5" s="50" t="s">
        <x:v>25</x:v>
      </x:c>
      <x:c r="F5" s="51" t="s">
        <x:v>26</x:v>
      </x:c>
      <x:c r="G5" s="51" t="s">
        <x:v>27</x:v>
      </x:c>
      <x:c r="H5" s="49" t="s">
        <x:v>28</x:v>
      </x:c>
      <x:c r="I5" s="49">
        <x:v>1</x:v>
      </x:c>
      <x:c r="J5" s="51" t="s">
        <x:v>29</x:v>
      </x:c>
      <x:c r="K5" s="51" t="s">
        <x:v>30</x:v>
      </x:c>
      <x:c r="L5" s="49" t="s">
        <x:v>31</x:v>
      </x:c>
      <x:c r="M5" s="49" t="s">
        <x:v>32</x:v>
      </x:c>
      <x:c r="N5" s="52" t="n">
        <x:f>(IFERROR(VALUE(LEFT(L5,FIND("분",L5)-1))*60,0)+IFERROR(VALUE(TRIM(MID(L5,IFERROR(FIND("분",L5),0)+1,FIND("초",L5)-IFERROR(FIND("분",L5),0)-1))),0))/86400</x:f>
        <x:v>0.0010416666666666667</x:v>
      </x:c>
      <x:c r="O5" s="53" t="s">
        <x:v>33</x:v>
      </x:c>
      <x:c r="P5" s="54">
        <x:v>6</x:v>
      </x:c>
      <x:c r="Q5" s="55">
        <x:v>3</x:v>
      </x:c>
      <x:c r="R5" s="56" t="n">
        <x:f>$P$3*P5*P5+$Q$3*P5</x:f>
        <x:v>1.98</x:v>
      </x:c>
      <x:c r="S5" s="53"/>
      <x:c r="T5" s="53"/>
      <x:c r="U5" s="53"/>
      <x:c r="V5" s="53"/>
      <x:c r="W5" s="178"/>
      <x:c r="X5" s="204"/>
      <x:c r="Y5" s="213"/>
      <x:c r="Z5" s="213"/>
      <x:c r="AA5" s="213"/>
      <x:c r="AB5" s="213"/>
      <x:c r="AC5" s="213"/>
      <x:c r="AD5" s="214"/>
      <x:c r="AE5" s="215"/>
      <x:c r="AF5" s="221"/>
      <x:c r="AG5" s="221"/>
      <x:c r="AH5" s="221"/>
      <x:c r="AI5" s="221"/>
    </x:row>
    <x:row r="6" ht="81.94999694824219" customHeight="1">
      <x:c r="A6" s="48" t="s">
        <x:v>24</x:v>
      </x:c>
      <x:c r="B6" s="49">
        <x:v>2</x:v>
      </x:c>
      <x:c r="C6" s="49">
        <x:v>1</x:v>
      </x:c>
      <x:c r="D6" s="49">
        <x:v>3</x:v>
      </x:c>
      <x:c r="E6" s="51" t="s">
        <x:v>34</x:v>
      </x:c>
      <x:c r="F6" s="51" t="s">
        <x:v>35</x:v>
      </x:c>
      <x:c r="G6" s="51" t="s">
        <x:v>36</x:v>
      </x:c>
      <x:c r="H6" s="49" t="s">
        <x:v>37</x:v>
      </x:c>
      <x:c r="I6" s="49">
        <x:v>1</x:v>
      </x:c>
      <x:c r="J6" s="51" t="s">
        <x:v>38</x:v>
      </x:c>
      <x:c r="K6" s="51" t="s">
        <x:v>30</x:v>
      </x:c>
      <x:c r="L6" s="49" t="s">
        <x:v>39</x:v>
      </x:c>
      <x:c r="M6" s="49" t="s">
        <x:v>40</x:v>
      </x:c>
      <x:c r="N6" s="52" t="n">
        <x:f>N5+(IFERROR(VALUE(LEFT(L6,FIND("분",L6)-1))*60,0)+IFERROR(VALUE(TRIM(MID(L6,IFERROR(FIND("분",L6),0)+1,FIND("초",L6)-IFERROR(FIND("분",L6),0)-1))),0))/86400</x:f>
        <x:v>0.0012731481481481483</x:v>
      </x:c>
      <x:c r="O6" s="53" t="s">
        <x:v>33</x:v>
      </x:c>
      <x:c r="P6" s="54" t="n">
        <x:f>P5+2</x:f>
        <x:v>8</x:v>
      </x:c>
      <x:c r="Q6" s="55">
        <x:v>2</x:v>
      </x:c>
      <x:c r="R6" s="56" t="n">
        <x:f t="shared" ref="R6:R69" si="0">$P$3*P6*P6+$Q$3*P6</x:f>
        <x:v>3.12</x:v>
      </x:c>
      <x:c r="S6" s="53"/>
      <x:c r="T6" s="53"/>
      <x:c r="U6" s="53"/>
      <x:c r="V6" s="53"/>
      <x:c r="W6" s="178"/>
      <x:c r="X6" s="204"/>
      <x:c r="Y6" s="213"/>
      <x:c r="Z6" s="213"/>
      <x:c r="AA6" s="213"/>
      <x:c r="AB6" s="213"/>
      <x:c r="AC6" s="213"/>
      <x:c r="AD6" s="214"/>
      <x:c r="AE6" s="216"/>
      <x:c r="AF6" s="222"/>
      <x:c r="AG6" s="222"/>
      <x:c r="AH6" s="222"/>
      <x:c r="AI6" s="222"/>
    </x:row>
    <x:row r="7" ht="81.94999694824219" customHeight="1">
      <x:c r="A7" s="48" t="s">
        <x:v>24</x:v>
      </x:c>
      <x:c r="B7" s="49">
        <x:v>3</x:v>
      </x:c>
      <x:c r="C7" s="49">
        <x:v>1</x:v>
      </x:c>
      <x:c r="D7" s="49">
        <x:v>5</x:v>
      </x:c>
      <x:c r="E7" s="51" t="s">
        <x:v>41</x:v>
      </x:c>
      <x:c r="F7" s="51" t="s">
        <x:v>42</x:v>
      </x:c>
      <x:c r="G7" s="51" t="s">
        <x:v>43</x:v>
      </x:c>
      <x:c r="H7" s="49" t="s">
        <x:v>44</x:v>
      </x:c>
      <x:c r="I7" s="49">
        <x:v>1</x:v>
      </x:c>
      <x:c r="J7" s="51" t="s">
        <x:v>45</x:v>
      </x:c>
      <x:c r="K7" s="51" t="s">
        <x:v>30</x:v>
      </x:c>
      <x:c r="L7" s="49" t="s">
        <x:v>46</x:v>
      </x:c>
      <x:c r="M7" s="49" t="s">
        <x:v>47</x:v>
      </x:c>
      <x:c r="N7" s="52" t="n">
        <x:f t="shared" ref="N7:N37" si="1">N6+(IFERROR(VALUE(LEFT(L7,FIND("분",L7)-1))*60,0)+IFERROR(VALUE(TRIM(MID(L7,IFERROR(FIND("분",L7),0)+1,FIND("초",L7)-IFERROR(FIND("분",L7),0)-1))),0))/86400</x:f>
        <x:v>0.001967592592592593</x:v>
      </x:c>
      <x:c r="O7" s="53" t="s">
        <x:v>33</x:v>
      </x:c>
      <x:c r="P7" s="54" t="n">
        <x:f>P6+4</x:f>
        <x:v>12</x:v>
      </x:c>
      <x:c r="Q7" s="55">
        <x:v>4</x:v>
      </x:c>
      <x:c r="R7" s="56">
        <x:f t="shared" si="0"/>
        <x:v>6.12</x:v>
      </x:c>
      <x:c r="S7" s="53"/>
      <x:c r="T7" s="53"/>
      <x:c r="U7" s="53"/>
      <x:c r="V7" s="53"/>
      <x:c r="W7" s="178"/>
      <x:c r="X7" s="204"/>
      <x:c r="Y7" s="213"/>
      <x:c r="Z7" s="213"/>
      <x:c r="AA7" s="213"/>
      <x:c r="AB7" s="213"/>
      <x:c r="AC7" s="213"/>
      <x:c r="AD7" s="214"/>
      <x:c r="AE7" s="216"/>
      <x:c r="AF7" s="222"/>
      <x:c r="AG7" s="222"/>
      <x:c r="AH7" s="222"/>
      <x:c r="AI7" s="222"/>
    </x:row>
    <x:row r="8" ht="81.94999694824219" customHeight="1">
      <x:c r="A8" s="48" t="s">
        <x:v>24</x:v>
      </x:c>
      <x:c r="B8" s="49">
        <x:v>4</x:v>
      </x:c>
      <x:c r="C8" s="49">
        <x:v>1</x:v>
      </x:c>
      <x:c r="D8" s="49">
        <x:v>3</x:v>
      </x:c>
      <x:c r="E8" s="51" t="s">
        <x:v>48</x:v>
      </x:c>
      <x:c r="F8" s="51" t="s">
        <x:v>49</x:v>
      </x:c>
      <x:c r="G8" s="51" t="s">
        <x:v>50</x:v>
      </x:c>
      <x:c r="H8" s="49" t="s">
        <x:v>51</x:v>
      </x:c>
      <x:c r="I8" s="49">
        <x:v>4</x:v>
      </x:c>
      <x:c r="J8" s="51" t="s">
        <x:v>52</x:v>
      </x:c>
      <x:c r="K8" s="51" t="s">
        <x:v>30</x:v>
      </x:c>
      <x:c r="L8" s="49" t="s">
        <x:v>53</x:v>
      </x:c>
      <x:c r="M8" s="49" t="s">
        <x:v>54</x:v>
      </x:c>
      <x:c r="N8" s="52">
        <x:f t="shared" si="1"/>
        <x:v>2.4305555555555556E-3</x:v>
      </x:c>
      <x:c r="O8" s="53" t="s">
        <x:v>33</x:v>
      </x:c>
      <x:c r="P8" s="54" t="n">
        <x:f>P7+3</x:f>
        <x:v>15</x:v>
      </x:c>
      <x:c r="Q8" s="55">
        <x:v>3</x:v>
      </x:c>
      <x:c r="R8" s="56">
        <x:f t="shared" si="0"/>
        <x:v>9</x:v>
      </x:c>
      <x:c r="S8" s="53"/>
      <x:c r="T8" s="53"/>
      <x:c r="U8" s="53"/>
      <x:c r="V8" s="53"/>
      <x:c r="W8" s="178"/>
      <x:c r="X8" s="204"/>
      <x:c r="Y8" s="213"/>
      <x:c r="Z8" s="213"/>
      <x:c r="AA8" s="213"/>
      <x:c r="AB8" s="213"/>
      <x:c r="AC8" s="213"/>
      <x:c r="AD8" s="214"/>
      <x:c r="AE8" s="216"/>
      <x:c r="AF8" s="222"/>
      <x:c r="AG8" s="222"/>
      <x:c r="AH8" s="222"/>
      <x:c r="AI8" s="222"/>
    </x:row>
    <x:row r="9" ht="81.94999694824219" customHeight="1">
      <x:c r="A9" s="48" t="s">
        <x:v>24</x:v>
      </x:c>
      <x:c r="B9" s="49">
        <x:v>5</x:v>
      </x:c>
      <x:c r="C9" s="49">
        <x:v>1</x:v>
      </x:c>
      <x:c r="D9" s="49">
        <x:v>3</x:v>
      </x:c>
      <x:c r="E9" s="51" t="s">
        <x:v>55</x:v>
      </x:c>
      <x:c r="F9" s="51" t="s">
        <x:v>56</x:v>
      </x:c>
      <x:c r="G9" s="51" t="s">
        <x:v>57</x:v>
      </x:c>
      <x:c r="H9" s="49" t="s">
        <x:v>58</x:v>
      </x:c>
      <x:c r="I9" s="49">
        <x:v>1</x:v>
      </x:c>
      <x:c r="J9" s="51" t="s">
        <x:v>59</x:v>
      </x:c>
      <x:c r="K9" s="51" t="s">
        <x:v>30</x:v>
      </x:c>
      <x:c r="L9" s="49" t="s">
        <x:v>60</x:v>
      </x:c>
      <x:c r="M9" s="49" t="s">
        <x:v>61</x:v>
      </x:c>
      <x:c r="N9" s="52">
        <x:f t="shared" si="1"/>
        <x:v>2.7777777777777779E-3</x:v>
      </x:c>
      <x:c r="O9" s="53" t="s">
        <x:v>33</x:v>
      </x:c>
      <x:c r="P9" s="54" t="n">
        <x:f>P8+3</x:f>
        <x:v>18</x:v>
      </x:c>
      <x:c r="Q9" s="55">
        <x:v>3</x:v>
      </x:c>
      <x:c r="R9" s="56">
        <x:f t="shared" si="0"/>
        <x:v>12.42</x:v>
      </x:c>
      <x:c r="S9" s="53"/>
      <x:c r="T9" s="53"/>
      <x:c r="U9" s="53"/>
      <x:c r="V9" s="53"/>
      <x:c r="W9" s="178"/>
      <x:c r="X9" s="204"/>
      <x:c r="Y9" s="213"/>
      <x:c r="Z9" s="213"/>
      <x:c r="AA9" s="213"/>
      <x:c r="AB9" s="213"/>
      <x:c r="AC9" s="213"/>
      <x:c r="AD9" s="214"/>
      <x:c r="AE9" s="216"/>
      <x:c r="AF9" s="222"/>
      <x:c r="AG9" s="222"/>
      <x:c r="AH9" s="222"/>
      <x:c r="AI9" s="222"/>
    </x:row>
    <x:row r="10" ht="81.94999694824219" customHeight="1">
      <x:c r="A10" s="48" t="s">
        <x:v>24</x:v>
      </x:c>
      <x:c r="B10" s="49">
        <x:v>6</x:v>
      </x:c>
      <x:c r="C10" s="49">
        <x:v>1</x:v>
      </x:c>
      <x:c r="D10" s="49">
        <x:v>5</x:v>
      </x:c>
      <x:c r="E10" s="51" t="s">
        <x:v>62</x:v>
      </x:c>
      <x:c r="F10" s="51" t="s">
        <x:v>63</x:v>
      </x:c>
      <x:c r="G10" s="51" t="s">
        <x:v>64</x:v>
      </x:c>
      <x:c r="H10" s="49" t="s">
        <x:v>65</x:v>
      </x:c>
      <x:c r="I10" s="49">
        <x:v>1</x:v>
      </x:c>
      <x:c r="J10" s="51" t="s">
        <x:v>66</x:v>
      </x:c>
      <x:c r="K10" s="51" t="s">
        <x:v>30</x:v>
      </x:c>
      <x:c r="L10" s="49" t="s">
        <x:v>39</x:v>
      </x:c>
      <x:c r="M10" s="49" t="s">
        <x:v>67</x:v>
      </x:c>
      <x:c r="N10" s="52">
        <x:f t="shared" si="1"/>
        <x:v>3.0092592592592593E-3</x:v>
      </x:c>
      <x:c r="O10" s="53" t="s">
        <x:v>33</x:v>
      </x:c>
      <x:c r="P10" s="54" t="n">
        <x:f>P9+3</x:f>
        <x:v>21</x:v>
      </x:c>
      <x:c r="Q10" s="55">
        <x:v>3</x:v>
      </x:c>
      <x:c r="R10" s="56">
        <x:f t="shared" si="0"/>
        <x:v>16.38</x:v>
      </x:c>
      <x:c r="S10" s="53"/>
      <x:c r="T10" s="53"/>
      <x:c r="U10" s="53"/>
      <x:c r="V10" s="53"/>
      <x:c r="W10" s="178"/>
      <x:c r="X10" s="204"/>
      <x:c r="Y10" s="213"/>
      <x:c r="Z10" s="213"/>
      <x:c r="AA10" s="213"/>
      <x:c r="AB10" s="213"/>
      <x:c r="AC10" s="213"/>
      <x:c r="AD10" s="214"/>
      <x:c r="AE10" s="216"/>
      <x:c r="AF10" s="222"/>
      <x:c r="AG10" s="222"/>
      <x:c r="AH10" s="222"/>
      <x:c r="AI10" s="222"/>
    </x:row>
    <x:row r="11" ht="81.94999694824219" customHeight="1">
      <x:c r="A11" s="48" t="s">
        <x:v>24</x:v>
      </x:c>
      <x:c r="B11" s="49">
        <x:v>7</x:v>
      </x:c>
      <x:c r="C11" s="49">
        <x:v>2</x:v>
      </x:c>
      <x:c r="D11" s="49">
        <x:v>5</x:v>
      </x:c>
      <x:c r="E11" s="51" t="s">
        <x:v>68</x:v>
      </x:c>
      <x:c r="F11" s="51" t="s">
        <x:v>56</x:v>
      </x:c>
      <x:c r="G11" s="51" t="s">
        <x:v>69</x:v>
      </x:c>
      <x:c r="H11" s="49" t="s">
        <x:v>70</x:v>
      </x:c>
      <x:c r="I11" s="49">
        <x:v>1</x:v>
      </x:c>
      <x:c r="J11" s="51" t="s">
        <x:v>71</x:v>
      </x:c>
      <x:c r="K11" s="51" t="s">
        <x:v>30</x:v>
      </x:c>
      <x:c r="L11" s="49" t="s">
        <x:v>72</x:v>
      </x:c>
      <x:c r="M11" s="49" t="s">
        <x:v>61</x:v>
      </x:c>
      <x:c r="N11" s="52">
        <x:f t="shared" si="1"/>
        <x:v>3.8773148148148148E-3</x:v>
      </x:c>
      <x:c r="O11" s="53" t="s">
        <x:v>73</x:v>
      </x:c>
      <x:c r="P11" s="54" t="n">
        <x:f>P10+5</x:f>
        <x:v>26</x:v>
      </x:c>
      <x:c r="Q11" s="55">
        <x:v>5</x:v>
      </x:c>
      <x:c r="R11" s="56">
        <x:f t="shared" si="0"/>
        <x:v>24.18</x:v>
      </x:c>
      <x:c r="S11" s="53"/>
      <x:c r="T11" s="53"/>
      <x:c r="U11" s="53"/>
      <x:c r="V11" s="53"/>
      <x:c r="W11" s="178"/>
      <x:c r="X11" s="204"/>
      <x:c r="Y11" s="213"/>
      <x:c r="Z11" s="213"/>
      <x:c r="AA11" s="213"/>
      <x:c r="AB11" s="213"/>
      <x:c r="AC11" s="213"/>
      <x:c r="AD11" s="214"/>
      <x:c r="AE11" s="216"/>
      <x:c r="AF11" s="222"/>
      <x:c r="AG11" s="222"/>
      <x:c r="AH11" s="222"/>
      <x:c r="AI11" s="222"/>
    </x:row>
    <x:row r="12" ht="81.94999694824219" customHeight="1">
      <x:c r="A12" s="48" t="s">
        <x:v>24</x:v>
      </x:c>
      <x:c r="B12" s="49">
        <x:v>8</x:v>
      </x:c>
      <x:c r="C12" s="49">
        <x:v>2</x:v>
      </x:c>
      <x:c r="D12" s="49">
        <x:v>6</x:v>
      </x:c>
      <x:c r="E12" s="51" t="s">
        <x:v>74</x:v>
      </x:c>
      <x:c r="F12" s="51" t="s">
        <x:v>75</x:v>
      </x:c>
      <x:c r="G12" s="51" t="s">
        <x:v>76</x:v>
      </x:c>
      <x:c r="H12" s="49" t="s">
        <x:v>77</x:v>
      </x:c>
      <x:c r="I12" s="49">
        <x:v>4</x:v>
      </x:c>
      <x:c r="J12" s="51" t="s">
        <x:v>78</x:v>
      </x:c>
      <x:c r="K12" s="51" t="s">
        <x:v>30</x:v>
      </x:c>
      <x:c r="L12" s="49" t="s">
        <x:v>31</x:v>
      </x:c>
      <x:c r="M12" s="49" t="s">
        <x:v>79</x:v>
      </x:c>
      <x:c r="N12" s="52">
        <x:f t="shared" si="1"/>
        <x:v>4.9189814814814816E-3</x:v>
      </x:c>
      <x:c r="O12" s="53" t="s">
        <x:v>73</x:v>
      </x:c>
      <x:c r="P12" s="54" t="n">
        <x:f>P11+6</x:f>
        <x:v>32</x:v>
      </x:c>
      <x:c r="Q12" s="55">
        <x:v>6</x:v>
      </x:c>
      <x:c r="R12" s="56">
        <x:f t="shared" si="0"/>
        <x:v>35.519999999999996</x:v>
      </x:c>
      <x:c r="S12" s="53"/>
      <x:c r="T12" s="53"/>
      <x:c r="U12" s="53"/>
      <x:c r="V12" s="53"/>
      <x:c r="W12" s="178"/>
      <x:c r="X12" s="204"/>
      <x:c r="Y12" s="213"/>
      <x:c r="Z12" s="213"/>
      <x:c r="AA12" s="213"/>
      <x:c r="AB12" s="213"/>
      <x:c r="AC12" s="213"/>
      <x:c r="AD12" s="214"/>
      <x:c r="AE12" s="216"/>
      <x:c r="AF12" s="222"/>
      <x:c r="AG12" s="222"/>
      <x:c r="AH12" s="222"/>
      <x:c r="AI12" s="222"/>
    </x:row>
    <x:row r="13" ht="81.94999694824219" customHeight="1">
      <x:c r="A13" s="48" t="s">
        <x:v>24</x:v>
      </x:c>
      <x:c r="B13" s="49">
        <x:v>9</x:v>
      </x:c>
      <x:c r="C13" s="49">
        <x:v>1</x:v>
      </x:c>
      <x:c r="D13" s="49">
        <x:v>5</x:v>
      </x:c>
      <x:c r="E13" s="51" t="s">
        <x:v>80</x:v>
      </x:c>
      <x:c r="F13" s="51" t="s">
        <x:v>63</x:v>
      </x:c>
      <x:c r="G13" s="51" t="s">
        <x:v>81</x:v>
      </x:c>
      <x:c r="H13" s="49" t="s">
        <x:v>82</x:v>
      </x:c>
      <x:c r="I13" s="49">
        <x:v>2</x:v>
      </x:c>
      <x:c r="J13" s="51" t="s">
        <x:v>83</x:v>
      </x:c>
      <x:c r="K13" s="51" t="s">
        <x:v>30</x:v>
      </x:c>
      <x:c r="L13" s="49" t="s">
        <x:v>84</x:v>
      </x:c>
      <x:c r="M13" s="49" t="s">
        <x:v>67</x:v>
      </x:c>
      <x:c r="N13" s="52">
        <x:f t="shared" si="1"/>
        <x:v>5.324074074074074E-3</x:v>
      </x:c>
      <x:c r="O13" s="53" t="s">
        <x:v>73</x:v>
      </x:c>
      <x:c r="P13" s="54" t="n">
        <x:f>P12+4</x:f>
        <x:v>36</x:v>
      </x:c>
      <x:c r="Q13" s="55">
        <x:v>4</x:v>
      </x:c>
      <x:c r="R13" s="56">
        <x:f t="shared" si="0"/>
        <x:v>44.28</x:v>
      </x:c>
      <x:c r="S13" s="53"/>
      <x:c r="T13" s="53"/>
      <x:c r="U13" s="53"/>
      <x:c r="V13" s="53"/>
      <x:c r="W13" s="178"/>
      <x:c r="X13" s="204"/>
      <x:c r="Y13" s="213"/>
      <x:c r="Z13" s="213"/>
      <x:c r="AA13" s="213"/>
      <x:c r="AB13" s="213"/>
      <x:c r="AC13" s="213"/>
      <x:c r="AD13" s="214"/>
      <x:c r="AE13" s="216"/>
      <x:c r="AF13" s="222"/>
      <x:c r="AG13" s="222"/>
      <x:c r="AH13" s="222"/>
      <x:c r="AI13" s="222"/>
    </x:row>
    <x:row r="14" ht="81.94999694824219" customHeight="1">
      <x:c r="A14" s="48" t="s">
        <x:v>24</x:v>
      </x:c>
      <x:c r="B14" s="49">
        <x:v>10</x:v>
      </x:c>
      <x:c r="C14" s="49">
        <x:v>1</x:v>
      </x:c>
      <x:c r="D14" s="49">
        <x:v>6</x:v>
      </x:c>
      <x:c r="E14" s="51" t="s">
        <x:v>85</x:v>
      </x:c>
      <x:c r="F14" s="51" t="s">
        <x:v>42</x:v>
      </x:c>
      <x:c r="G14" s="51" t="s">
        <x:v>43</x:v>
      </x:c>
      <x:c r="H14" s="49" t="s">
        <x:v>86</x:v>
      </x:c>
      <x:c r="I14" s="49">
        <x:v>1</x:v>
      </x:c>
      <x:c r="J14" s="51" t="s">
        <x:v>87</x:v>
      </x:c>
      <x:c r="K14" s="51" t="s">
        <x:v>30</x:v>
      </x:c>
      <x:c r="L14" s="49" t="s">
        <x:v>72</x:v>
      </x:c>
      <x:c r="M14" s="49" t="s">
        <x:v>47</x:v>
      </x:c>
      <x:c r="N14" s="52">
        <x:f t="shared" si="1"/>
        <x:v>6.192129629629629E-3</x:v>
      </x:c>
      <x:c r="O14" s="53" t="s">
        <x:v>73</x:v>
      </x:c>
      <x:c r="P14" s="54" t="n">
        <x:f>P13+5</x:f>
        <x:v>41</x:v>
      </x:c>
      <x:c r="Q14" s="55">
        <x:v>5</x:v>
      </x:c>
      <x:c r="R14" s="56">
        <x:f t="shared" si="0"/>
        <x:v>56.58</x:v>
      </x:c>
      <x:c r="S14" s="53"/>
      <x:c r="T14" s="53"/>
      <x:c r="U14" s="53"/>
      <x:c r="V14" s="53"/>
      <x:c r="W14" s="178"/>
      <x:c r="X14" s="204"/>
      <x:c r="Y14" s="213"/>
      <x:c r="Z14" s="213"/>
      <x:c r="AA14" s="213"/>
      <x:c r="AB14" s="213"/>
      <x:c r="AC14" s="213"/>
      <x:c r="AD14" s="214"/>
      <x:c r="AE14" s="216"/>
      <x:c r="AF14" s="222"/>
      <x:c r="AG14" s="222"/>
      <x:c r="AH14" s="222"/>
      <x:c r="AI14" s="222"/>
    </x:row>
    <x:row r="15" ht="81.94999694824219" customHeight="1">
      <x:c r="A15" s="48" t="s">
        <x:v>24</x:v>
      </x:c>
      <x:c r="B15" s="49">
        <x:v>11</x:v>
      </x:c>
      <x:c r="C15" s="49">
        <x:v>2</x:v>
      </x:c>
      <x:c r="D15" s="49">
        <x:v>5</x:v>
      </x:c>
      <x:c r="E15" s="51" t="s">
        <x:v>88</x:v>
      </x:c>
      <x:c r="F15" s="51" t="s">
        <x:v>56</x:v>
      </x:c>
      <x:c r="G15" s="51" t="s">
        <x:v>89</x:v>
      </x:c>
      <x:c r="H15" s="49" t="s">
        <x:v>70</x:v>
      </x:c>
      <x:c r="I15" s="49">
        <x:v>1</x:v>
      </x:c>
      <x:c r="J15" s="51" t="s">
        <x:v>90</x:v>
      </x:c>
      <x:c r="K15" s="51" t="s">
        <x:v>30</x:v>
      </x:c>
      <x:c r="L15" s="49" t="s">
        <x:v>31</x:v>
      </x:c>
      <x:c r="M15" s="49" t="s">
        <x:v>61</x:v>
      </x:c>
      <x:c r="N15" s="52">
        <x:f t="shared" si="1"/>
        <x:v>7.2337962962962955E-3</x:v>
      </x:c>
      <x:c r="O15" s="53" t="s">
        <x:v>91</x:v>
      </x:c>
      <x:c r="P15" s="54" t="n">
        <x:f>P14+6</x:f>
        <x:v>47</x:v>
      </x:c>
      <x:c r="Q15" s="55">
        <x:v>6</x:v>
      </x:c>
      <x:c r="R15" s="56">
        <x:f t="shared" si="0"/>
        <x:v>73.319999999999993</x:v>
      </x:c>
      <x:c r="S15" s="53"/>
      <x:c r="T15" s="53"/>
      <x:c r="U15" s="53"/>
      <x:c r="V15" s="53"/>
      <x:c r="W15" s="178"/>
      <x:c r="X15" s="204"/>
      <x:c r="Y15" s="213"/>
      <x:c r="Z15" s="213"/>
      <x:c r="AA15" s="213"/>
      <x:c r="AB15" s="213"/>
      <x:c r="AC15" s="213"/>
      <x:c r="AD15" s="214"/>
      <x:c r="AE15" s="216"/>
      <x:c r="AF15" s="222"/>
      <x:c r="AG15" s="222"/>
      <x:c r="AH15" s="222"/>
      <x:c r="AI15" s="222"/>
    </x:row>
    <x:row r="16" ht="81.94999694824219" customHeight="1">
      <x:c r="A16" s="48" t="s">
        <x:v>24</x:v>
      </x:c>
      <x:c r="B16" s="49">
        <x:v>12</x:v>
      </x:c>
      <x:c r="C16" s="49">
        <x:v>2</x:v>
      </x:c>
      <x:c r="D16" s="49">
        <x:v>6</x:v>
      </x:c>
      <x:c r="E16" s="51" t="s">
        <x:v>92</x:v>
      </x:c>
      <x:c r="F16" s="51" t="s">
        <x:v>75</x:v>
      </x:c>
      <x:c r="G16" s="51" t="s">
        <x:v>93</x:v>
      </x:c>
      <x:c r="H16" s="49" t="s">
        <x:v>77</x:v>
      </x:c>
      <x:c r="I16" s="49">
        <x:v>5</x:v>
      </x:c>
      <x:c r="J16" s="51" t="s">
        <x:v>94</x:v>
      </x:c>
      <x:c r="K16" s="51" t="s">
        <x:v>30</x:v>
      </x:c>
      <x:c r="L16" s="49" t="s">
        <x:v>95</x:v>
      </x:c>
      <x:c r="M16" s="49" t="s">
        <x:v>79</x:v>
      </x:c>
      <x:c r="N16" s="52">
        <x:f t="shared" si="1"/>
        <x:v>8.5069444444444437E-3</x:v>
      </x:c>
      <x:c r="O16" s="53" t="s">
        <x:v>91</x:v>
      </x:c>
      <x:c r="P16" s="54" t="n">
        <x:f>P15+7</x:f>
        <x:v>54</x:v>
      </x:c>
      <x:c r="Q16" s="55">
        <x:v>7</x:v>
      </x:c>
      <x:c r="R16" s="56">
        <x:f t="shared" si="0"/>
        <x:v>95.579999999999984</x:v>
      </x:c>
      <x:c r="S16" s="53"/>
      <x:c r="T16" s="53"/>
      <x:c r="U16" s="53"/>
      <x:c r="V16" s="53"/>
      <x:c r="W16" s="178"/>
      <x:c r="X16" s="204"/>
      <x:c r="Y16" s="213"/>
      <x:c r="Z16" s="213"/>
      <x:c r="AA16" s="213"/>
      <x:c r="AB16" s="213"/>
      <x:c r="AC16" s="213"/>
      <x:c r="AD16" s="214"/>
      <x:c r="AE16" s="216"/>
      <x:c r="AF16" s="222"/>
      <x:c r="AG16" s="222"/>
      <x:c r="AH16" s="222"/>
      <x:c r="AI16" s="222"/>
    </x:row>
    <x:row r="17" ht="81.94999694824219" customHeight="1">
      <x:c r="A17" s="48" t="s">
        <x:v>24</x:v>
      </x:c>
      <x:c r="B17" s="49">
        <x:v>13</x:v>
      </x:c>
      <x:c r="C17" s="49">
        <x:v>1</x:v>
      </x:c>
      <x:c r="D17" s="49">
        <x:v>5</x:v>
      </x:c>
      <x:c r="E17" s="51" t="s">
        <x:v>96</x:v>
      </x:c>
      <x:c r="F17" s="51" t="s">
        <x:v>97</x:v>
      </x:c>
      <x:c r="G17" s="51" t="s">
        <x:v>98</x:v>
      </x:c>
      <x:c r="H17" s="49" t="s">
        <x:v>99</x:v>
      </x:c>
      <x:c r="I17" s="49">
        <x:v>3</x:v>
      </x:c>
      <x:c r="J17" s="51" t="s">
        <x:v>100</x:v>
      </x:c>
      <x:c r="K17" s="51" t="s">
        <x:v>101</x:v>
      </x:c>
      <x:c r="L17" s="49" t="s">
        <x:v>102</x:v>
      </x:c>
      <x:c r="M17" s="49" t="s">
        <x:v>103</x:v>
      </x:c>
      <x:c r="N17" s="52">
        <x:f t="shared" si="1"/>
        <x:v>9.0856481481481483E-3</x:v>
      </x:c>
      <x:c r="O17" s="53" t="s">
        <x:v>91</x:v>
      </x:c>
      <x:c r="P17" s="54" t="n">
        <x:f>P16+4</x:f>
        <x:v>58</x:v>
      </x:c>
      <x:c r="Q17" s="55">
        <x:v>4</x:v>
      </x:c>
      <x:c r="R17" s="56">
        <x:f t="shared" si="0"/>
        <x:v>109.62</x:v>
      </x:c>
      <x:c r="S17" s="53"/>
      <x:c r="T17" s="53"/>
      <x:c r="U17" s="53"/>
      <x:c r="V17" s="53"/>
      <x:c r="W17" s="178"/>
      <x:c r="X17" s="204"/>
      <x:c r="Y17" s="213"/>
      <x:c r="Z17" s="213"/>
      <x:c r="AA17" s="213"/>
      <x:c r="AB17" s="213"/>
      <x:c r="AC17" s="213"/>
      <x:c r="AD17" s="214"/>
      <x:c r="AE17" s="216"/>
      <x:c r="AF17" s="222"/>
      <x:c r="AG17" s="222"/>
      <x:c r="AH17" s="222"/>
      <x:c r="AI17" s="222"/>
    </x:row>
    <x:row r="18" ht="81.94999694824219" customHeight="1">
      <x:c r="A18" s="48" t="s">
        <x:v>24</x:v>
      </x:c>
      <x:c r="B18" s="49">
        <x:v>14</x:v>
      </x:c>
      <x:c r="C18" s="49">
        <x:v>2</x:v>
      </x:c>
      <x:c r="D18" s="49">
        <x:v>5</x:v>
      </x:c>
      <x:c r="E18" s="51" t="s">
        <x:v>104</x:v>
      </x:c>
      <x:c r="F18" s="51" t="s">
        <x:v>56</x:v>
      </x:c>
      <x:c r="G18" s="51" t="s">
        <x:v>105</x:v>
      </x:c>
      <x:c r="H18" s="49" t="s">
        <x:v>70</x:v>
      </x:c>
      <x:c r="I18" s="49">
        <x:v>1</x:v>
      </x:c>
      <x:c r="J18" s="51" t="s">
        <x:v>106</x:v>
      </x:c>
      <x:c r="K18" s="51" t="s">
        <x:v>30</x:v>
      </x:c>
      <x:c r="L18" s="49" t="s">
        <x:v>107</x:v>
      </x:c>
      <x:c r="M18" s="49" t="s">
        <x:v>61</x:v>
      </x:c>
      <x:c r="N18" s="52">
        <x:f t="shared" si="1"/>
        <x:v>1.0474537037037037E-2</x:v>
      </x:c>
      <x:c r="O18" s="53" t="s">
        <x:v>108</x:v>
      </x:c>
      <x:c r="P18" s="54" t="n">
        <x:f>P17+7</x:f>
        <x:v>65</x:v>
      </x:c>
      <x:c r="Q18" s="55">
        <x:v>7</x:v>
      </x:c>
      <x:c r="R18" s="56">
        <x:f t="shared" si="0"/>
        <x:v>136.5</x:v>
      </x:c>
      <x:c r="S18" s="53"/>
      <x:c r="T18" s="53"/>
      <x:c r="U18" s="53"/>
      <x:c r="V18" s="53"/>
      <x:c r="W18" s="178"/>
      <x:c r="X18" s="204"/>
      <x:c r="Y18" s="213"/>
      <x:c r="Z18" s="213"/>
      <x:c r="AA18" s="213"/>
      <x:c r="AB18" s="213"/>
      <x:c r="AC18" s="213"/>
      <x:c r="AD18" s="214"/>
      <x:c r="AE18" s="216"/>
      <x:c r="AF18" s="222"/>
      <x:c r="AG18" s="222"/>
      <x:c r="AH18" s="222"/>
      <x:c r="AI18" s="222"/>
    </x:row>
    <x:row r="19" ht="81.94999694824219" customHeight="1">
      <x:c r="A19" s="48" t="s">
        <x:v>24</x:v>
      </x:c>
      <x:c r="B19" s="49">
        <x:v>15</x:v>
      </x:c>
      <x:c r="C19" s="49">
        <x:v>2</x:v>
      </x:c>
      <x:c r="D19" s="49">
        <x:v>5</x:v>
      </x:c>
      <x:c r="E19" s="51" t="s">
        <x:v>109</x:v>
      </x:c>
      <x:c r="F19" s="51" t="s">
        <x:v>97</x:v>
      </x:c>
      <x:c r="G19" s="51" t="s">
        <x:v>98</x:v>
      </x:c>
      <x:c r="H19" s="49" t="s">
        <x:v>99</x:v>
      </x:c>
      <x:c r="I19" s="49">
        <x:v>3</x:v>
      </x:c>
      <x:c r="J19" s="51" t="s">
        <x:v>110</x:v>
      </x:c>
      <x:c r="K19" s="51" t="s">
        <x:v>101</x:v>
      </x:c>
      <x:c r="L19" s="49" t="s">
        <x:v>111</x:v>
      </x:c>
      <x:c r="M19" s="49" t="s">
        <x:v>103</x:v>
      </x:c>
      <x:c r="N19" s="52">
        <x:f t="shared" si="1"/>
        <x:v>1.1400462962962963E-2</x:v>
      </x:c>
      <x:c r="O19" s="53" t="s">
        <x:v>108</x:v>
      </x:c>
      <x:c r="P19" s="54" t="n">
        <x:f>P18+6</x:f>
        <x:v>71</x:v>
      </x:c>
      <x:c r="Q19" s="55">
        <x:v>6</x:v>
      </x:c>
      <x:c r="R19" s="56">
        <x:f t="shared" si="0"/>
        <x:v>161.88</x:v>
      </x:c>
      <x:c r="S19" s="53"/>
      <x:c r="T19" s="53"/>
      <x:c r="U19" s="53"/>
      <x:c r="V19" s="53"/>
      <x:c r="W19" s="178"/>
      <x:c r="X19" s="204">
        <x:f t="shared" ref="X19" si="2">W19*0.8</x:f>
      </x:c>
      <x:c r="Y19" s="213">
        <x:f t="shared" ref="Y19" si="3">W19*0.6</x:f>
      </x:c>
      <x:c r="Z19" s="213">
        <x:f t="shared" ref="Z19" si="4">W19*0.5</x:f>
      </x:c>
      <x:c r="AA19" s="213">
        <x:f t="shared" ref="AA19:AA76" si="5">(IFERROR(VALUE(LEFT(AC19,FIND("분",AC19)-1))*60,0)+IFERROR(VALUE(MID(AC19,IFERROR(FIND("분",AC19),0)+1,FIND("초",AC19)-IFERROR(FIND("분",AC19),0)-1)),0))/86400*2</x:f>
      </x:c>
      <x:c r="AB19" s="213">
        <x:f t="shared" ref="AB19:AB81" si="6">(IFERROR(VALUE(LEFT(AC19,FIND("분",AC19)-1))*60,0)+IFERROR(VALUE(MID(AC19,IFERROR(FIND("분",AC19),0)+1,FIND("초",AC19)-IFERROR(FIND("분",AC19),0)-1)),0))/86400*1.4</x:f>
      </x:c>
      <x:c r="AC19" s="213">
        <x:f t="shared" ref="AC19:AC76" si="7">L19</x:f>
      </x:c>
      <x:c r="AD19" s="214"/>
      <x:c r="AE19" s="216"/>
      <x:c r="AF19" s="222"/>
      <x:c r="AG19" s="222"/>
      <x:c r="AH19" s="222"/>
      <x:c r="AI19" s="222"/>
    </x:row>
    <x:row r="20" ht="81.94999694824219" customHeight="1">
      <x:c r="A20" s="48" t="s">
        <x:v>24</x:v>
      </x:c>
      <x:c r="B20" s="49">
        <x:v>16</x:v>
      </x:c>
      <x:c r="C20" s="49">
        <x:v>1</x:v>
      </x:c>
      <x:c r="D20" s="49">
        <x:v>7</x:v>
      </x:c>
      <x:c r="E20" s="51" t="s">
        <x:v>112</x:v>
      </x:c>
      <x:c r="F20" s="51" t="s">
        <x:v>113</x:v>
      </x:c>
      <x:c r="G20" s="51" t="s">
        <x:v>114</x:v>
      </x:c>
      <x:c r="H20" s="49" t="s">
        <x:v>115</x:v>
      </x:c>
      <x:c r="I20" s="49">
        <x:v>1</x:v>
      </x:c>
      <x:c r="J20" s="51" t="s">
        <x:v>116</x:v>
      </x:c>
      <x:c r="K20" s="51" t="s">
        <x:v>117</x:v>
      </x:c>
      <x:c r="L20" s="49" t="s">
        <x:v>118</x:v>
      </x:c>
      <x:c r="M20" s="49" t="s">
        <x:v>119</x:v>
      </x:c>
      <x:c r="N20" s="52">
        <x:f t="shared" si="1"/>
        <x:v>1.1689814814814814E-2</x:v>
      </x:c>
      <x:c r="O20" s="53" t="s">
        <x:v>108</x:v>
      </x:c>
      <x:c r="P20" s="54" t="n">
        <x:f>P19+4</x:f>
        <x:v>75</x:v>
      </x:c>
      <x:c r="Q20" s="55">
        <x:v>4</x:v>
      </x:c>
      <x:c r="R20" s="56">
        <x:f t="shared" si="0"/>
        <x:v>180</x:v>
      </x:c>
      <x:c r="S20" s="53"/>
      <x:c r="T20" s="53"/>
      <x:c r="U20" s="53"/>
      <x:c r="V20" s="53"/>
      <x:c r="W20" s="178"/>
      <x:c r="X20" s="204"/>
      <x:c r="Y20" s="213"/>
      <x:c r="Z20" s="213"/>
      <x:c r="AA20" s="213"/>
      <x:c r="AB20" s="213"/>
      <x:c r="AC20" s="213"/>
      <x:c r="AD20" s="214"/>
      <x:c r="AE20" s="216"/>
      <x:c r="AF20" s="222"/>
      <x:c r="AG20" s="222"/>
      <x:c r="AH20" s="222"/>
      <x:c r="AI20" s="222"/>
    </x:row>
    <x:row r="21" ht="81.94999694824219" customHeight="1">
      <x:c r="A21" s="48" t="s">
        <x:v>24</x:v>
      </x:c>
      <x:c r="B21" s="49">
        <x:v>17</x:v>
      </x:c>
      <x:c r="C21" s="49">
        <x:v>5</x:v>
      </x:c>
      <x:c r="D21" s="49">
        <x:v>8</x:v>
      </x:c>
      <x:c r="E21" s="51" t="s">
        <x:v>120</x:v>
      </x:c>
      <x:c r="F21" s="51" t="s">
        <x:v>121</x:v>
      </x:c>
      <x:c r="G21" s="51" t="s">
        <x:v>122</x:v>
      </x:c>
      <x:c r="H21" s="49" t="s">
        <x:v>123</x:v>
      </x:c>
      <x:c r="I21" s="49">
        <x:v>1</x:v>
      </x:c>
      <x:c r="J21" s="51" t="s">
        <x:v>124</x:v>
      </x:c>
      <x:c r="K21" s="51" t="s">
        <x:v>125</x:v>
      </x:c>
      <x:c r="L21" s="49" t="s">
        <x:v>107</x:v>
      </x:c>
      <x:c r="M21" s="49" t="s">
        <x:v>126</x:v>
      </x:c>
      <x:c r="N21" s="52">
        <x:f t="shared" si="1"/>
        <x:v>1.3078703703703703E-2</x:v>
      </x:c>
      <x:c r="O21" s="53" t="s">
        <x:v>127</x:v>
      </x:c>
      <x:c r="P21" s="54" t="n">
        <x:f>P20+9</x:f>
        <x:v>84</x:v>
      </x:c>
      <x:c r="Q21" s="55">
        <x:v>9</x:v>
      </x:c>
      <x:c r="R21" s="56">
        <x:f t="shared" si="0"/>
        <x:v>224.28</x:v>
      </x:c>
      <x:c r="S21" s="53"/>
      <x:c r="T21" s="53"/>
      <x:c r="U21" s="53"/>
      <x:c r="V21" s="53"/>
      <x:c r="W21" s="178" t="str">
        <x:v>추격 성공·거리 초과 횟수·재시도 횟수·클리어 시간</x:v>
      </x:c>
      <x:c r="X21" s="204" t="n">
        <x:v>40</x:v>
      </x:c>
      <x:c r="Y21" s="213" t="n">
        <x:f>$X21*1.2</x:f>
        <x:v>48</x:v>
      </x:c>
      <x:c r="Z21" s="213" t="n">
        <x:f>$X21*1.0</x:f>
        <x:v>40</x:v>
      </x:c>
      <x:c r="AA21" s="213" t="n">
        <x:f>$X21*0.85</x:f>
        <x:v>34</x:v>
      </x:c>
      <x:c r="AB21" s="213" t="n">
        <x:f>$X21*0.7</x:f>
        <x:v>28</x:v>
      </x:c>
      <x:c r="AC21" s="213" t="n">
        <x:f>$X21*0.55</x:f>
        <x:v>22</x:v>
      </x:c>
      <x:c r="AD21" s="214" t="n">
        <x:f>$X21*0.4</x:f>
        <x:v>16</x:v>
      </x:c>
      <x:c r="AE21" s="216" t="n">
        <x:f>$X21*0.0</x:f>
        <x:v>0</x:v>
      </x:c>
      <x:c r="AF21" s="222" t="n">
        <x:f>(IFERROR(VALUE(LEFT($L21,FIND("분",$L21)-1))*60,0)+IFERROR(VALUE(TRIM(MID($L21,IFERROR(FIND("분",$L21),0)+1,FIND("초",$L21)-IFERROR(FIND("분",$L21),0)-1))),0))/86400</x:f>
        <x:v>0.001388888888888889</x:v>
      </x:c>
      <x:c r="AG21" s="222" t="n">
        <x:f>(IFERROR(VALUE(LEFT($L21,FIND("분",$L21)-1))*60,0)+IFERROR(VALUE(TRIM(MID($L21,IFERROR(FIND("분",$L21),0)+1,FIND("초",$L21)-IFERROR(FIND("분",$L21),0)-1))),0))/86400*2.0</x:f>
        <x:v>0.002777777777777778</x:v>
      </x:c>
      <x:c r="AH21" s="222" t="n">
        <x:f>(IFERROR(VALUE(LEFT($L21,FIND("분",$L21)-1))*60,0)+IFERROR(VALUE(TRIM(MID($L21,IFERROR(FIND("분",$L21),0)+1,FIND("초",$L21)-IFERROR(FIND("분",$L21),0)-1))),0))/86400*1.4</x:f>
        <x:v>0.0019444444444444444</x:v>
      </x:c>
      <x:c r="AI21" s="222" t="n">
        <x:f>(IFERROR(VALUE(LEFT($L21,FIND("분",$L21)-1))*60,0)+IFERROR(VALUE(TRIM(MID($L21,IFERROR(FIND("분",$L21),0)+1,FIND("초",$L21)-IFERROR(FIND("분",$L21),0)-1))),0))/86400</x:f>
        <x:v>0.001388888888888889</x:v>
      </x:c>
    </x:row>
    <x:row r="22" ht="81.94999694824219" customHeight="1">
      <x:c r="A22" s="48" t="s">
        <x:v>24</x:v>
      </x:c>
      <x:c r="B22" s="49">
        <x:v>18</x:v>
      </x:c>
      <x:c r="C22" s="49">
        <x:v>4</x:v>
      </x:c>
      <x:c r="D22" s="49">
        <x:v>7</x:v>
      </x:c>
      <x:c r="E22" s="51" t="s">
        <x:v>128</x:v>
      </x:c>
      <x:c r="F22" s="51" t="s">
        <x:v>129</x:v>
      </x:c>
      <x:c r="G22" s="51" t="s">
        <x:v>130</x:v>
      </x:c>
      <x:c r="H22" s="49" t="s">
        <x:v>131</x:v>
      </x:c>
      <x:c r="I22" s="49">
        <x:v>4</x:v>
      </x:c>
      <x:c r="J22" s="51" t="s">
        <x:v>132</x:v>
      </x:c>
      <x:c r="K22" s="51" t="s">
        <x:v>133</x:v>
      </x:c>
      <x:c r="L22" s="49" t="s">
        <x:v>134</x:v>
      </x:c>
      <x:c r="M22" s="49" t="s">
        <x:v>135</x:v>
      </x:c>
      <x:c r="N22" s="52">
        <x:f t="shared" si="1"/>
        <x:v>1.4236111111111111E-2</x:v>
      </x:c>
      <x:c r="O22" s="53" t="s">
        <x:v>127</x:v>
      </x:c>
      <x:c r="P22" s="54" t="n">
        <x:f>P21+8</x:f>
        <x:v>92</x:v>
      </x:c>
      <x:c r="Q22" s="55">
        <x:v>8</x:v>
      </x:c>
      <x:c r="R22" s="56">
        <x:f t="shared" si="0"/>
        <x:v>267.71999999999997</x:v>
      </x:c>
      <x:c r="S22" s="53"/>
      <x:c r="T22" s="53"/>
      <x:c r="U22" s="53"/>
      <x:c r="V22" s="53"/>
      <x:c r="W22" s="178" t="str">
        <x:v>재고 확보 성공·충돌/경로 이탈·재시도 횟수·클리어 시간</x:v>
      </x:c>
      <x:c r="X22" s="204" t="n">
        <x:v>40</x:v>
      </x:c>
      <x:c r="Y22" s="213" t="n">
        <x:f>$X22*1.2</x:f>
        <x:v>48</x:v>
      </x:c>
      <x:c r="Z22" s="213" t="n">
        <x:f>$X22*1.0</x:f>
        <x:v>40</x:v>
      </x:c>
      <x:c r="AA22" s="213" t="n">
        <x:f>$X22*0.85</x:f>
        <x:v>34</x:v>
      </x:c>
      <x:c r="AB22" s="213" t="n">
        <x:f>$X22*0.7</x:f>
        <x:v>28</x:v>
      </x:c>
      <x:c r="AC22" s="213" t="n">
        <x:f>$X22*0.55</x:f>
        <x:v>22</x:v>
      </x:c>
      <x:c r="AD22" s="214" t="n">
        <x:f>$X22*0.4</x:f>
        <x:v>16</x:v>
      </x:c>
      <x:c r="AE22" s="216" t="n">
        <x:f>$X22*0.0</x:f>
        <x:v>0</x:v>
      </x:c>
      <x:c r="AF22" s="222" t="n">
        <x:f>(IFERROR(VALUE(LEFT($L22,FIND("분",$L22)-1))*60,0)+IFERROR(VALUE(TRIM(MID($L22,IFERROR(FIND("분",$L22),0)+1,FIND("초",$L22)-IFERROR(FIND("분",$L22),0)-1))),0))/86400</x:f>
        <x:v>0.0011574074074074073</x:v>
      </x:c>
      <x:c r="AG22" s="222" t="n">
        <x:f>(IFERROR(VALUE(LEFT($L22,FIND("분",$L22)-1))*60,0)+IFERROR(VALUE(TRIM(MID($L22,IFERROR(FIND("분",$L22),0)+1,FIND("초",$L22)-IFERROR(FIND("분",$L22),0)-1))),0))/86400*2.0</x:f>
        <x:v>0.0023148148148148147</x:v>
      </x:c>
      <x:c r="AH22" s="222" t="n">
        <x:f>(IFERROR(VALUE(LEFT($L22,FIND("분",$L22)-1))*60,0)+IFERROR(VALUE(TRIM(MID($L22,IFERROR(FIND("분",$L22),0)+1,FIND("초",$L22)-IFERROR(FIND("분",$L22),0)-1))),0))/86400*1.4</x:f>
        <x:v>0.00162037037037037</x:v>
      </x:c>
      <x:c r="AI22" s="222" t="n">
        <x:f>(IFERROR(VALUE(LEFT($L22,FIND("분",$L22)-1))*60,0)+IFERROR(VALUE(TRIM(MID($L22,IFERROR(FIND("분",$L22),0)+1,FIND("초",$L22)-IFERROR(FIND("분",$L22),0)-1))),0))/86400</x:f>
        <x:v>0.0011574074074074073</x:v>
      </x:c>
    </x:row>
    <x:row r="23" ht="81.94999694824219" customHeight="1">
      <x:c r="A23" s="48" t="s">
        <x:v>24</x:v>
      </x:c>
      <x:c r="B23" s="49">
        <x:v>19</x:v>
      </x:c>
      <x:c r="C23" s="49">
        <x:v>2</x:v>
      </x:c>
      <x:c r="D23" s="49">
        <x:v>5</x:v>
      </x:c>
      <x:c r="E23" s="51" t="s">
        <x:v>136</x:v>
      </x:c>
      <x:c r="F23" s="51" t="s">
        <x:v>97</x:v>
      </x:c>
      <x:c r="G23" s="51" t="s">
        <x:v>98</x:v>
      </x:c>
      <x:c r="H23" s="49" t="s">
        <x:v>137</x:v>
      </x:c>
      <x:c r="I23" s="49">
        <x:v>3</x:v>
      </x:c>
      <x:c r="J23" s="51" t="s">
        <x:v>138</x:v>
      </x:c>
      <x:c r="K23" s="51" t="s">
        <x:v>101</x:v>
      </x:c>
      <x:c r="L23" s="49" t="s">
        <x:v>139</x:v>
      </x:c>
      <x:c r="M23" s="49" t="s">
        <x:v>103</x:v>
      </x:c>
      <x:c r="N23" s="52">
        <x:f t="shared" si="1"/>
        <x:v>1.4872685185185185E-2</x:v>
      </x:c>
      <x:c r="O23" s="53" t="s">
        <x:v>127</x:v>
      </x:c>
      <x:c r="P23" s="54" t="n">
        <x:f>P22+5</x:f>
        <x:v>97</x:v>
      </x:c>
      <x:c r="Q23" s="55">
        <x:v>5</x:v>
      </x:c>
      <x:c r="R23" s="56">
        <x:f t="shared" si="0"/>
        <x:v>296.82</x:v>
      </x:c>
      <x:c r="S23" s="53"/>
      <x:c r="T23" s="53"/>
      <x:c r="U23" s="53"/>
      <x:c r="V23" s="53"/>
      <x:c r="W23" s="178"/>
      <x:c r="X23" s="204">
        <x:f t="shared" ref="X23:X81" si="8">W23*0.8</x:f>
      </x:c>
      <x:c r="Y23" s="213">
        <x:f t="shared" ref="Y23" si="9">W23*0.6</x:f>
      </x:c>
      <x:c r="Z23" s="213">
        <x:f t="shared" ref="Z23" si="10">W23*0.5</x:f>
      </x:c>
      <x:c r="AA23" s="213">
        <x:f t="shared" si="5"/>
      </x:c>
      <x:c r="AB23" s="213">
        <x:f t="shared" si="6"/>
      </x:c>
      <x:c r="AC23" s="213">
        <x:f t="shared" si="7"/>
      </x:c>
      <x:c r="AD23" s="214"/>
      <x:c r="AE23" s="216"/>
      <x:c r="AF23" s="222"/>
      <x:c r="AG23" s="222"/>
      <x:c r="AH23" s="222"/>
      <x:c r="AI23" s="222"/>
    </x:row>
    <x:row r="24" ht="81.94999694824219" customHeight="1">
      <x:c r="A24" s="48" t="s">
        <x:v>24</x:v>
      </x:c>
      <x:c r="B24" s="49">
        <x:v>20</x:v>
      </x:c>
      <x:c r="C24" s="49">
        <x:v>1</x:v>
      </x:c>
      <x:c r="D24" s="49">
        <x:v>5</x:v>
      </x:c>
      <x:c r="E24" s="51" t="s">
        <x:v>140</x:v>
      </x:c>
      <x:c r="F24" s="51" t="s">
        <x:v>42</x:v>
      </x:c>
      <x:c r="G24" s="51" t="s">
        <x:v>43</x:v>
      </x:c>
      <x:c r="H24" s="49" t="s">
        <x:v>141</x:v>
      </x:c>
      <x:c r="I24" s="49">
        <x:v>1</x:v>
      </x:c>
      <x:c r="J24" s="51" t="s">
        <x:v>142</x:v>
      </x:c>
      <x:c r="K24" s="51" t="s">
        <x:v>30</x:v>
      </x:c>
      <x:c r="L24" s="49" t="s">
        <x:v>143</x:v>
      </x:c>
      <x:c r="M24" s="49" t="s">
        <x:v>47</x:v>
      </x:c>
      <x:c r="N24" s="52">
        <x:f t="shared" si="1"/>
        <x:v>1.5682870370370371E-2</x:v>
      </x:c>
      <x:c r="O24" s="53" t="s">
        <x:v>127</x:v>
      </x:c>
      <x:c r="P24" s="54" t="n">
        <x:f>P23+5</x:f>
        <x:v>102</x:v>
      </x:c>
      <x:c r="Q24" s="55">
        <x:v>5</x:v>
      </x:c>
      <x:c r="R24" s="56">
        <x:f t="shared" si="0"/>
        <x:v>327.42</x:v>
      </x:c>
      <x:c r="S24" s="53"/>
      <x:c r="T24" s="53"/>
      <x:c r="U24" s="53"/>
      <x:c r="V24" s="53"/>
      <x:c r="W24" s="178"/>
      <x:c r="X24" s="204"/>
      <x:c r="Y24" s="213"/>
      <x:c r="Z24" s="213"/>
      <x:c r="AA24" s="213"/>
      <x:c r="AB24" s="213"/>
      <x:c r="AC24" s="213"/>
      <x:c r="AD24" s="214"/>
      <x:c r="AE24" s="216"/>
      <x:c r="AF24" s="222"/>
      <x:c r="AG24" s="222"/>
      <x:c r="AH24" s="222"/>
      <x:c r="AI24" s="222"/>
    </x:row>
    <x:row r="25" ht="81.94999694824219" customHeight="1">
      <x:c r="A25" s="48" t="s">
        <x:v>24</x:v>
      </x:c>
      <x:c r="B25" s="49">
        <x:v>21</x:v>
      </x:c>
      <x:c r="C25" s="49">
        <x:v>2</x:v>
      </x:c>
      <x:c r="D25" s="49">
        <x:v>5</x:v>
      </x:c>
      <x:c r="E25" s="51" t="s">
        <x:v>144</x:v>
      </x:c>
      <x:c r="F25" s="51" t="s">
        <x:v>56</x:v>
      </x:c>
      <x:c r="G25" s="51" t="s">
        <x:v>145</x:v>
      </x:c>
      <x:c r="H25" s="49" t="s">
        <x:v>146</x:v>
      </x:c>
      <x:c r="I25" s="49">
        <x:v>1</x:v>
      </x:c>
      <x:c r="J25" s="51" t="s">
        <x:v>147</x:v>
      </x:c>
      <x:c r="K25" s="51" t="s">
        <x:v>30</x:v>
      </x:c>
      <x:c r="L25" s="49" t="s">
        <x:v>148</x:v>
      </x:c>
      <x:c r="M25" s="49" t="s">
        <x:v>61</x:v>
      </x:c>
      <x:c r="N25" s="52">
        <x:f t="shared" si="1"/>
        <x:v>1.7418981481481483E-2</x:v>
      </x:c>
      <x:c r="O25" s="53" t="s">
        <x:v>149</x:v>
      </x:c>
      <x:c r="P25" s="54" t="n">
        <x:f>P24+7</x:f>
        <x:v>109</x:v>
      </x:c>
      <x:c r="Q25" s="55">
        <x:v>7</x:v>
      </x:c>
      <x:c r="R25" s="56">
        <x:f t="shared" si="0"/>
        <x:v>372.78000000000003</x:v>
      </x:c>
      <x:c r="S25" s="53"/>
      <x:c r="T25" s="53"/>
      <x:c r="U25" s="53"/>
      <x:c r="V25" s="53"/>
      <x:c r="W25" s="178"/>
      <x:c r="X25" s="204"/>
      <x:c r="Y25" s="213"/>
      <x:c r="Z25" s="213"/>
      <x:c r="AA25" s="213"/>
      <x:c r="AB25" s="213"/>
      <x:c r="AC25" s="213"/>
      <x:c r="AD25" s="214"/>
      <x:c r="AE25" s="216"/>
      <x:c r="AF25" s="222"/>
      <x:c r="AG25" s="222"/>
      <x:c r="AH25" s="222"/>
      <x:c r="AI25" s="222"/>
    </x:row>
    <x:row r="26" ht="81.94999694824219" customHeight="1">
      <x:c r="A26" s="48" t="s">
        <x:v>24</x:v>
      </x:c>
      <x:c r="B26" s="49">
        <x:v>22</x:v>
      </x:c>
      <x:c r="C26" s="49">
        <x:v>2</x:v>
      </x:c>
      <x:c r="D26" s="49">
        <x:v>7</x:v>
      </x:c>
      <x:c r="E26" s="51" t="s">
        <x:v>150</x:v>
      </x:c>
      <x:c r="F26" s="51" t="s">
        <x:v>151</x:v>
      </x:c>
      <x:c r="G26" s="51" t="s">
        <x:v>152</x:v>
      </x:c>
      <x:c r="H26" s="49" t="s">
        <x:v>153</x:v>
      </x:c>
      <x:c r="I26" s="49">
        <x:v>3</x:v>
      </x:c>
      <x:c r="J26" s="51" t="s">
        <x:v>154</x:v>
      </x:c>
      <x:c r="K26" s="51" t="s">
        <x:v>30</x:v>
      </x:c>
      <x:c r="L26" s="49" t="s">
        <x:v>31</x:v>
      </x:c>
      <x:c r="M26" s="49" t="s">
        <x:v>155</x:v>
      </x:c>
      <x:c r="N26" s="52">
        <x:f t="shared" si="1"/>
        <x:v>1.846064814814815E-2</x:v>
      </x:c>
      <x:c r="O26" s="53" t="s">
        <x:v>149</x:v>
      </x:c>
      <x:c r="P26" s="54" t="n">
        <x:f>P25+7</x:f>
        <x:v>116</x:v>
      </x:c>
      <x:c r="Q26" s="55">
        <x:v>7</x:v>
      </x:c>
      <x:c r="R26" s="56">
        <x:f t="shared" si="0"/>
        <x:v>421.08</x:v>
      </x:c>
      <x:c r="S26" s="53"/>
      <x:c r="T26" s="53"/>
      <x:c r="U26" s="53"/>
      <x:c r="V26" s="53"/>
      <x:c r="W26" s="178"/>
      <x:c r="X26" s="204"/>
      <x:c r="Y26" s="213"/>
      <x:c r="Z26" s="213"/>
      <x:c r="AA26" s="213"/>
      <x:c r="AB26" s="213"/>
      <x:c r="AC26" s="213"/>
      <x:c r="AD26" s="214"/>
      <x:c r="AE26" s="216"/>
      <x:c r="AF26" s="222"/>
      <x:c r="AG26" s="222"/>
      <x:c r="AH26" s="222"/>
      <x:c r="AI26" s="222"/>
    </x:row>
    <x:row r="27" ht="81.94999694824219" customHeight="1">
      <x:c r="A27" s="48" t="s">
        <x:v>24</x:v>
      </x:c>
      <x:c r="B27" s="49">
        <x:v>23</x:v>
      </x:c>
      <x:c r="C27" s="49">
        <x:v>3</x:v>
      </x:c>
      <x:c r="D27" s="49">
        <x:v>8</x:v>
      </x:c>
      <x:c r="E27" s="51" t="s">
        <x:v>156</x:v>
      </x:c>
      <x:c r="F27" s="51" t="s">
        <x:v>157</x:v>
      </x:c>
      <x:c r="G27" s="51" t="s">
        <x:v>158</x:v>
      </x:c>
      <x:c r="H27" s="49" t="s">
        <x:v>159</x:v>
      </x:c>
      <x:c r="I27" s="49">
        <x:v>4</x:v>
      </x:c>
      <x:c r="J27" s="51" t="s">
        <x:v>160</x:v>
      </x:c>
      <x:c r="K27" s="51" t="s">
        <x:v>161</x:v>
      </x:c>
      <x:c r="L27" s="49" t="s">
        <x:v>107</x:v>
      </x:c>
      <x:c r="M27" s="49" t="s">
        <x:v>162</x:v>
      </x:c>
      <x:c r="N27" s="52">
        <x:f t="shared" si="1"/>
        <x:v>1.9849537037037037E-2</x:v>
      </x:c>
      <x:c r="O27" s="53" t="s">
        <x:v>149</x:v>
      </x:c>
      <x:c r="P27" s="54" t="n">
        <x:f>P26+9</x:f>
        <x:v>125</x:v>
      </x:c>
      <x:c r="Q27" s="55">
        <x:v>9</x:v>
      </x:c>
      <x:c r="R27" s="56">
        <x:f t="shared" si="0"/>
        <x:v>487.5</x:v>
      </x:c>
      <x:c r="S27" s="53"/>
      <x:c r="T27" s="53"/>
      <x:c r="U27" s="53"/>
      <x:c r="V27" s="53"/>
      <x:c r="W27" s="178" t="str">
        <x:v>오답 후보 선택 횟수·단서 활용·클리어 시간</x:v>
      </x:c>
      <x:c r="X27" s="204" t="n">
        <x:v>20</x:v>
      </x:c>
      <x:c r="Y27" s="213" t="n">
        <x:f>$X27*1.2</x:f>
        <x:v>24</x:v>
      </x:c>
      <x:c r="Z27" s="213" t="n">
        <x:f>$X27*1.0</x:f>
        <x:v>20</x:v>
      </x:c>
      <x:c r="AA27" s="213" t="n">
        <x:f>$X27*0.85</x:f>
        <x:v>17</x:v>
      </x:c>
      <x:c r="AB27" s="213" t="n">
        <x:f>$X27*0.7</x:f>
        <x:v>14</x:v>
      </x:c>
      <x:c r="AC27" s="213" t="n">
        <x:f>$X27*0.55</x:f>
        <x:v>11</x:v>
      </x:c>
      <x:c r="AD27" s="214" t="n">
        <x:f>$X27*0.4</x:f>
        <x:v>8</x:v>
      </x:c>
      <x:c r="AE27" s="216" t="n">
        <x:f>$X27*0.0</x:f>
        <x:v>0</x:v>
      </x:c>
      <x:c r="AF27" s="222" t="n">
        <x:f>(IFERROR(VALUE(LEFT($L27,FIND("분",$L27)-1))*60,0)+IFERROR(VALUE(TRIM(MID($L27,IFERROR(FIND("분",$L27),0)+1,FIND("초",$L27)-IFERROR(FIND("분",$L27),0)-1))),0))/86400</x:f>
        <x:v>0.001388888888888889</x:v>
      </x:c>
      <x:c r="AG27" s="222" t="n">
        <x:f>(IFERROR(VALUE(LEFT($L27,FIND("분",$L27)-1))*60,0)+IFERROR(VALUE(TRIM(MID($L27,IFERROR(FIND("분",$L27),0)+1,FIND("초",$L27)-IFERROR(FIND("분",$L27),0)-1))),0))/86400*2.0</x:f>
        <x:v>0.002777777777777778</x:v>
      </x:c>
      <x:c r="AH27" s="222" t="n">
        <x:f>(IFERROR(VALUE(LEFT($L27,FIND("분",$L27)-1))*60,0)+IFERROR(VALUE(TRIM(MID($L27,IFERROR(FIND("분",$L27),0)+1,FIND("초",$L27)-IFERROR(FIND("분",$L27),0)-1))),0))/86400*1.4</x:f>
        <x:v>0.0019444444444444444</x:v>
      </x:c>
      <x:c r="AI27" s="222" t="n">
        <x:f>(IFERROR(VALUE(LEFT($L27,FIND("분",$L27)-1))*60,0)+IFERROR(VALUE(TRIM(MID($L27,IFERROR(FIND("분",$L27),0)+1,FIND("초",$L27)-IFERROR(FIND("분",$L27),0)-1))),0))/86400</x:f>
        <x:v>0.001388888888888889</x:v>
      </x:c>
    </x:row>
    <x:row r="28" ht="81.94999694824219" customHeight="1">
      <x:c r="A28" s="48" t="s">
        <x:v>24</x:v>
      </x:c>
      <x:c r="B28" s="49">
        <x:v>24</x:v>
      </x:c>
      <x:c r="C28" s="49">
        <x:v>1</x:v>
      </x:c>
      <x:c r="D28" s="49">
        <x:v>5</x:v>
      </x:c>
      <x:c r="E28" s="51" t="s">
        <x:v>163</x:v>
      </x:c>
      <x:c r="F28" s="51" t="s">
        <x:v>97</x:v>
      </x:c>
      <x:c r="G28" s="51" t="s">
        <x:v>98</x:v>
      </x:c>
      <x:c r="H28" s="49" t="s">
        <x:v>164</x:v>
      </x:c>
      <x:c r="I28" s="49">
        <x:v>3</x:v>
      </x:c>
      <x:c r="J28" s="51" t="s">
        <x:v>165</x:v>
      </x:c>
      <x:c r="K28" s="51" t="s">
        <x:v>101</x:v>
      </x:c>
      <x:c r="L28" s="49" t="s">
        <x:v>166</x:v>
      </x:c>
      <x:c r="M28" s="49" t="s">
        <x:v>103</x:v>
      </x:c>
      <x:c r="N28" s="52">
        <x:f t="shared" si="1"/>
        <x:v>2.060185185185185E-2</x:v>
      </x:c>
      <x:c r="O28" s="53" t="s">
        <x:v>149</x:v>
      </x:c>
      <x:c r="P28" s="54" t="n">
        <x:f>P27+5</x:f>
        <x:v>130</x:v>
      </x:c>
      <x:c r="Q28" s="55">
        <x:v>5</x:v>
      </x:c>
      <x:c r="R28" s="56">
        <x:f t="shared" si="0"/>
        <x:v>526.5</x:v>
      </x:c>
      <x:c r="S28" s="53"/>
      <x:c r="T28" s="53"/>
      <x:c r="U28" s="53"/>
      <x:c r="V28" s="53"/>
      <x:c r="W28" s="178"/>
      <x:c r="X28" s="204">
        <x:f t="shared" si="8"/>
      </x:c>
      <x:c r="Y28" s="213">
        <x:f t="shared" ref="Y28:Y34" si="11">W28*0.6</x:f>
      </x:c>
      <x:c r="Z28" s="213">
        <x:f t="shared" ref="Z28:Z34" si="12">W28*0.5</x:f>
      </x:c>
      <x:c r="AA28" s="213">
        <x:f t="shared" si="5"/>
      </x:c>
      <x:c r="AB28" s="213">
        <x:f t="shared" si="6"/>
      </x:c>
      <x:c r="AC28" s="213">
        <x:f t="shared" si="7"/>
      </x:c>
      <x:c r="AD28" s="214"/>
      <x:c r="AE28" s="216"/>
      <x:c r="AF28" s="222"/>
      <x:c r="AG28" s="222"/>
      <x:c r="AH28" s="222"/>
      <x:c r="AI28" s="222"/>
    </x:row>
    <x:row r="29" ht="81.94999694824219" customHeight="1">
      <x:c r="A29" s="48" t="s">
        <x:v>24</x:v>
      </x:c>
      <x:c r="B29" s="49">
        <x:v>25</x:v>
      </x:c>
      <x:c r="C29" s="49">
        <x:v>2</x:v>
      </x:c>
      <x:c r="D29" s="49">
        <x:v>5</x:v>
      </x:c>
      <x:c r="E29" s="51" t="s">
        <x:v>167</x:v>
      </x:c>
      <x:c r="F29" s="51" t="s">
        <x:v>56</x:v>
      </x:c>
      <x:c r="G29" s="51" t="s">
        <x:v>168</x:v>
      </x:c>
      <x:c r="H29" s="49" t="s">
        <x:v>146</x:v>
      </x:c>
      <x:c r="I29" s="49">
        <x:v>1</x:v>
      </x:c>
      <x:c r="J29" s="51" t="s">
        <x:v>169</x:v>
      </x:c>
      <x:c r="K29" s="51" t="s">
        <x:v>30</x:v>
      </x:c>
      <x:c r="L29" s="49" t="s">
        <x:v>95</x:v>
      </x:c>
      <x:c r="M29" s="49" t="s">
        <x:v>61</x:v>
      </x:c>
      <x:c r="N29" s="52">
        <x:f t="shared" si="1"/>
        <x:v>2.1874999999999999E-2</x:v>
      </x:c>
      <x:c r="O29" s="53" t="s">
        <x:v>170</x:v>
      </x:c>
      <x:c r="P29" s="54" t="n">
        <x:f>P28+6</x:f>
        <x:v>136</x:v>
      </x:c>
      <x:c r="Q29" s="55">
        <x:v>6</x:v>
      </x:c>
      <x:c r="R29" s="56">
        <x:f t="shared" si="0"/>
        <x:v>575.28</x:v>
      </x:c>
      <x:c r="S29" s="53"/>
      <x:c r="T29" s="53"/>
      <x:c r="U29" s="53"/>
      <x:c r="V29" s="53"/>
      <x:c r="W29" s="178"/>
      <x:c r="X29" s="204"/>
      <x:c r="Y29" s="213"/>
      <x:c r="Z29" s="213"/>
      <x:c r="AA29" s="213"/>
      <x:c r="AB29" s="213"/>
      <x:c r="AC29" s="213"/>
      <x:c r="AD29" s="214"/>
      <x:c r="AE29" s="216"/>
      <x:c r="AF29" s="222"/>
      <x:c r="AG29" s="222"/>
      <x:c r="AH29" s="222"/>
      <x:c r="AI29" s="222"/>
    </x:row>
    <x:row r="30" ht="81.94999694824219" customHeight="1">
      <x:c r="A30" s="58" t="s">
        <x:v>171</x:v>
      </x:c>
      <x:c r="B30" s="49">
        <x:v>26</x:v>
      </x:c>
      <x:c r="C30" s="49">
        <x:v>1</x:v>
      </x:c>
      <x:c r="D30" s="49">
        <x:v>5</x:v>
      </x:c>
      <x:c r="E30" s="50" t="s">
        <x:v>172</x:v>
      </x:c>
      <x:c r="F30" s="51" t="s">
        <x:v>151</x:v>
      </x:c>
      <x:c r="G30" s="51" t="s">
        <x:v>173</x:v>
      </x:c>
      <x:c r="H30" s="49" t="s">
        <x:v>174</x:v>
      </x:c>
      <x:c r="I30" s="49">
        <x:v>4</x:v>
      </x:c>
      <x:c r="J30" s="51" t="s">
        <x:v>154</x:v>
      </x:c>
      <x:c r="K30" s="51" t="s">
        <x:v>30</x:v>
      </x:c>
      <x:c r="L30" s="49" t="s">
        <x:v>72</x:v>
      </x:c>
      <x:c r="M30" s="49" t="s">
        <x:v>155</x:v>
      </x:c>
      <x:c r="N30" s="52">
        <x:f t="shared" si="1"/>
        <x:v>2.2743055555555555E-2</x:v>
      </x:c>
      <x:c r="O30" s="53" t="s">
        <x:v>175</x:v>
      </x:c>
      <x:c r="P30" s="54" t="n">
        <x:f>P29+5</x:f>
        <x:v>141</x:v>
      </x:c>
      <x:c r="Q30" s="55">
        <x:v>5</x:v>
      </x:c>
      <x:c r="R30" s="56">
        <x:f t="shared" si="0"/>
        <x:v>617.57999999999993</x:v>
      </x:c>
      <x:c r="S30" s="53"/>
      <x:c r="T30" s="53"/>
      <x:c r="U30" s="53"/>
      <x:c r="V30" s="53"/>
      <x:c r="W30" s="178"/>
      <x:c r="X30" s="204"/>
      <x:c r="Y30" s="213"/>
      <x:c r="Z30" s="213"/>
      <x:c r="AA30" s="213"/>
      <x:c r="AB30" s="213"/>
      <x:c r="AC30" s="213"/>
      <x:c r="AD30" s="214"/>
      <x:c r="AE30" s="216"/>
      <x:c r="AF30" s="222"/>
      <x:c r="AG30" s="222"/>
      <x:c r="AH30" s="222"/>
      <x:c r="AI30" s="222"/>
    </x:row>
    <x:row r="31" ht="81.94999694824219" customHeight="1">
      <x:c r="A31" s="58" t="s">
        <x:v>171</x:v>
      </x:c>
      <x:c r="B31" s="49">
        <x:v>27</x:v>
      </x:c>
      <x:c r="C31" s="49">
        <x:v>1</x:v>
      </x:c>
      <x:c r="D31" s="49">
        <x:v>6</x:v>
      </x:c>
      <x:c r="E31" s="51" t="s">
        <x:v>176</x:v>
      </x:c>
      <x:c r="F31" s="51" t="s">
        <x:v>177</x:v>
      </x:c>
      <x:c r="G31" s="51" t="s">
        <x:v>178</x:v>
      </x:c>
      <x:c r="H31" s="49" t="s">
        <x:v>179</x:v>
      </x:c>
      <x:c r="I31" s="49">
        <x:v>1</x:v>
      </x:c>
      <x:c r="J31" s="51" t="s">
        <x:v>180</x:v>
      </x:c>
      <x:c r="K31" s="51" t="s">
        <x:v>30</x:v>
      </x:c>
      <x:c r="L31" s="49" t="s">
        <x:v>84</x:v>
      </x:c>
      <x:c r="M31" s="49" t="s">
        <x:v>181</x:v>
      </x:c>
      <x:c r="N31" s="52">
        <x:f t="shared" si="1"/>
        <x:v>2.3148148148148147E-2</x:v>
      </x:c>
      <x:c r="O31" s="53" t="s">
        <x:v>175</x:v>
      </x:c>
      <x:c r="P31" s="54" t="n">
        <x:f>P30+4</x:f>
        <x:v>145</x:v>
      </x:c>
      <x:c r="Q31" s="55">
        <x:v>4</x:v>
      </x:c>
      <x:c r="R31" s="56">
        <x:f t="shared" si="0"/>
        <x:v>652.5</x:v>
      </x:c>
      <x:c r="S31" s="53"/>
      <x:c r="T31" s="53"/>
      <x:c r="U31" s="53"/>
      <x:c r="V31" s="53"/>
      <x:c r="W31" s="178"/>
      <x:c r="X31" s="204"/>
      <x:c r="Y31" s="213"/>
      <x:c r="Z31" s="213"/>
      <x:c r="AA31" s="213"/>
      <x:c r="AB31" s="213"/>
      <x:c r="AC31" s="213"/>
      <x:c r="AD31" s="214"/>
      <x:c r="AE31" s="216"/>
      <x:c r="AF31" s="222"/>
      <x:c r="AG31" s="222"/>
      <x:c r="AH31" s="222"/>
      <x:c r="AI31" s="222"/>
    </x:row>
    <x:row r="32" ht="81.94999694824219" customHeight="1">
      <x:c r="A32" s="58" t="s">
        <x:v>171</x:v>
      </x:c>
      <x:c r="B32" s="49">
        <x:v>28</x:v>
      </x:c>
      <x:c r="C32" s="49">
        <x:v>1</x:v>
      </x:c>
      <x:c r="D32" s="49">
        <x:v>5</x:v>
      </x:c>
      <x:c r="E32" s="51" t="s">
        <x:v>182</x:v>
      </x:c>
      <x:c r="F32" s="51" t="s">
        <x:v>183</x:v>
      </x:c>
      <x:c r="G32" s="51" t="s">
        <x:v>184</x:v>
      </x:c>
      <x:c r="H32" s="49" t="s">
        <x:v>185</x:v>
      </x:c>
      <x:c r="I32" s="49">
        <x:v>1</x:v>
      </x:c>
      <x:c r="J32" s="51" t="s">
        <x:v>186</x:v>
      </x:c>
      <x:c r="K32" s="51" t="s">
        <x:v>30</x:v>
      </x:c>
      <x:c r="L32" s="49" t="s">
        <x:v>187</x:v>
      </x:c>
      <x:c r="M32" s="49" t="s">
        <x:v>188</x:v>
      </x:c>
      <x:c r="N32" s="52">
        <x:f t="shared" si="1"/>
        <x:v>2.3668981481481482E-2</x:v>
      </x:c>
      <x:c r="O32" s="53" t="s">
        <x:v>175</x:v>
      </x:c>
      <x:c r="P32" s="54" t="n">
        <x:f>P31+4</x:f>
        <x:v>149</x:v>
      </x:c>
      <x:c r="Q32" s="55">
        <x:v>4</x:v>
      </x:c>
      <x:c r="R32" s="56">
        <x:f t="shared" si="0"/>
        <x:v>688.38</x:v>
      </x:c>
      <x:c r="S32" s="53"/>
      <x:c r="T32" s="53"/>
      <x:c r="U32" s="53"/>
      <x:c r="V32" s="53"/>
      <x:c r="W32" s="178"/>
      <x:c r="X32" s="204"/>
      <x:c r="Y32" s="213"/>
      <x:c r="Z32" s="213"/>
      <x:c r="AA32" s="213"/>
      <x:c r="AB32" s="213"/>
      <x:c r="AC32" s="213"/>
      <x:c r="AD32" s="214"/>
      <x:c r="AE32" s="216"/>
      <x:c r="AF32" s="222"/>
      <x:c r="AG32" s="222"/>
      <x:c r="AH32" s="222"/>
      <x:c r="AI32" s="222"/>
    </x:row>
    <x:row r="33" ht="81.94999694824219" customHeight="1">
      <x:c r="A33" s="58" t="s">
        <x:v>171</x:v>
      </x:c>
      <x:c r="B33" s="49">
        <x:v>29</x:v>
      </x:c>
      <x:c r="C33" s="49">
        <x:v>2</x:v>
      </x:c>
      <x:c r="D33" s="49">
        <x:v>5</x:v>
      </x:c>
      <x:c r="E33" s="51" t="s">
        <x:v>189</x:v>
      </x:c>
      <x:c r="F33" s="51" t="s">
        <x:v>75</x:v>
      </x:c>
      <x:c r="G33" s="51" t="s">
        <x:v>190</x:v>
      </x:c>
      <x:c r="H33" s="49" t="s">
        <x:v>191</x:v>
      </x:c>
      <x:c r="I33" s="49">
        <x:v>4</x:v>
      </x:c>
      <x:c r="J33" s="51" t="s">
        <x:v>192</x:v>
      </x:c>
      <x:c r="K33" s="51" t="s">
        <x:v>30</x:v>
      </x:c>
      <x:c r="L33" s="49" t="s">
        <x:v>193</x:v>
      </x:c>
      <x:c r="M33" s="49" t="s">
        <x:v>79</x:v>
      </x:c>
      <x:c r="N33" s="52">
        <x:f t="shared" si="1"/>
        <x:v>2.4652777777777777E-2</x:v>
      </x:c>
      <x:c r="O33" s="53" t="s">
        <x:v>175</x:v>
      </x:c>
      <x:c r="P33" s="54" t="n">
        <x:f>P32+6</x:f>
        <x:v>155</x:v>
      </x:c>
      <x:c r="Q33" s="55">
        <x:v>6</x:v>
      </x:c>
      <x:c r="R33" s="56">
        <x:f t="shared" si="0"/>
        <x:v>743.99999999999989</x:v>
      </x:c>
      <x:c r="S33" s="53"/>
      <x:c r="T33" s="53"/>
      <x:c r="U33" s="53"/>
      <x:c r="V33" s="53"/>
      <x:c r="W33" s="178"/>
      <x:c r="X33" s="204">
        <x:f t="shared" si="8"/>
      </x:c>
      <x:c r="Y33" s="213">
        <x:f t="shared" si="11"/>
      </x:c>
      <x:c r="Z33" s="213">
        <x:f t="shared" si="12"/>
      </x:c>
      <x:c r="AA33" s="213">
        <x:f t="shared" si="5"/>
      </x:c>
      <x:c r="AB33" s="213">
        <x:f t="shared" si="6"/>
      </x:c>
      <x:c r="AC33" s="213">
        <x:f t="shared" si="7"/>
      </x:c>
      <x:c r="AD33" s="214"/>
      <x:c r="AE33" s="216"/>
      <x:c r="AF33" s="222"/>
      <x:c r="AG33" s="222"/>
      <x:c r="AH33" s="222"/>
      <x:c r="AI33" s="222"/>
    </x:row>
    <x:row r="34" ht="81.94999694824219" customHeight="1">
      <x:c r="A34" s="58" t="s">
        <x:v>171</x:v>
      </x:c>
      <x:c r="B34" s="49">
        <x:v>30</x:v>
      </x:c>
      <x:c r="C34" s="49">
        <x:v>1</x:v>
      </x:c>
      <x:c r="D34" s="49">
        <x:v>5</x:v>
      </x:c>
      <x:c r="E34" s="51" t="s">
        <x:v>194</x:v>
      </x:c>
      <x:c r="F34" s="51" t="s">
        <x:v>195</x:v>
      </x:c>
      <x:c r="G34" s="51" t="s">
        <x:v>196</x:v>
      </x:c>
      <x:c r="H34" s="49" t="s">
        <x:v>197</x:v>
      </x:c>
      <x:c r="I34" s="49">
        <x:v>3</x:v>
      </x:c>
      <x:c r="J34" s="51" t="s">
        <x:v>198</x:v>
      </x:c>
      <x:c r="K34" s="51" t="s">
        <x:v>30</x:v>
      </x:c>
      <x:c r="L34" s="49" t="s">
        <x:v>139</x:v>
      </x:c>
      <x:c r="M34" s="49" t="s">
        <x:v>199</x:v>
      </x:c>
      <x:c r="N34" s="52">
        <x:f t="shared" si="1"/>
        <x:v>2.5289351851851851E-2</x:v>
      </x:c>
      <x:c r="O34" s="53" t="s">
        <x:v>175</x:v>
      </x:c>
      <x:c r="P34" s="54" t="n">
        <x:f>P33+4</x:f>
        <x:v>159</x:v>
      </x:c>
      <x:c r="Q34" s="55">
        <x:v>4</x:v>
      </x:c>
      <x:c r="R34" s="56">
        <x:f t="shared" si="0"/>
        <x:v>782.28</x:v>
      </x:c>
      <x:c r="S34" s="53"/>
      <x:c r="T34" s="53"/>
      <x:c r="U34" s="53"/>
      <x:c r="V34" s="53"/>
      <x:c r="W34" s="178"/>
      <x:c r="X34" s="204">
        <x:f t="shared" si="8"/>
      </x:c>
      <x:c r="Y34" s="213">
        <x:f t="shared" si="11"/>
      </x:c>
      <x:c r="Z34" s="213">
        <x:f t="shared" si="12"/>
      </x:c>
      <x:c r="AA34" s="213">
        <x:f t="shared" si="5"/>
      </x:c>
      <x:c r="AB34" s="213">
        <x:f t="shared" si="6"/>
      </x:c>
      <x:c r="AC34" s="213">
        <x:f t="shared" si="7"/>
      </x:c>
      <x:c r="AD34" s="214"/>
      <x:c r="AE34" s="216"/>
      <x:c r="AF34" s="222"/>
      <x:c r="AG34" s="222"/>
      <x:c r="AH34" s="222"/>
      <x:c r="AI34" s="222"/>
    </x:row>
    <x:row r="35" ht="81.94999694824219" customHeight="1">
      <x:c r="A35" s="58" t="s">
        <x:v>171</x:v>
      </x:c>
      <x:c r="B35" s="49">
        <x:v>31</x:v>
      </x:c>
      <x:c r="C35" s="49">
        <x:v>2</x:v>
      </x:c>
      <x:c r="D35" s="49">
        <x:v>6</x:v>
      </x:c>
      <x:c r="E35" s="51" t="s">
        <x:v>200</x:v>
      </x:c>
      <x:c r="F35" s="51" t="s">
        <x:v>201</x:v>
      </x:c>
      <x:c r="G35" s="51" t="s">
        <x:v>202</x:v>
      </x:c>
      <x:c r="H35" s="49" t="s">
        <x:v>203</x:v>
      </x:c>
      <x:c r="I35" s="49">
        <x:v>8</x:v>
      </x:c>
      <x:c r="J35" s="51" t="s">
        <x:v>204</x:v>
      </x:c>
      <x:c r="K35" s="51" t="s">
        <x:v>205</x:v>
      </x:c>
      <x:c r="L35" s="49" t="s">
        <x:v>206</x:v>
      </x:c>
      <x:c r="M35" s="49" t="s">
        <x:v>207</x:v>
      </x:c>
      <x:c r="N35" s="52">
        <x:f t="shared" si="1"/>
        <x:v>2.7372685185185184E-2</x:v>
      </x:c>
      <x:c r="O35" s="53" t="s">
        <x:v>175</x:v>
      </x:c>
      <x:c r="P35" s="54" t="n">
        <x:f>P34+9</x:f>
        <x:v>168</x:v>
      </x:c>
      <x:c r="Q35" s="55">
        <x:v>9</x:v>
      </x:c>
      <x:c r="R35" s="56">
        <x:f t="shared" si="0"/>
        <x:v>871.92000000000007</x:v>
      </x:c>
      <x:c r="S35" s="53"/>
      <x:c r="T35" s="53"/>
      <x:c r="U35" s="53"/>
      <x:c r="V35" s="53"/>
      <x:c r="W35" s="178" t="str">
        <x:v>수거 누락 수·이동 동선·재시도 여부·클리어 시간</x:v>
      </x:c>
      <x:c r="X35" s="204" t="n">
        <x:f t="shared" si="8"/>
        <x:v>20</x:v>
      </x:c>
      <x:c r="Y35" s="213" t="n">
        <x:f t="shared" ref="Y35" si="13">$X35*1.2</x:f>
        <x:v>24</x:v>
      </x:c>
      <x:c r="Z35" s="213" t="n">
        <x:f t="shared" ref="Z35" si="14">$X35*1.0</x:f>
        <x:v>20</x:v>
      </x:c>
      <x:c r="AA35" s="213" t="n">
        <x:f t="shared" si="5">$X35*0.85</x:f>
        <x:v>17</x:v>
      </x:c>
      <x:c r="AB35" s="213" t="n">
        <x:f t="shared" si="6">$X35*0.7</x:f>
        <x:v>14</x:v>
      </x:c>
      <x:c r="AC35" s="213" t="n">
        <x:f t="shared" si="7">$X35*0.55</x:f>
        <x:v>11</x:v>
      </x:c>
      <x:c r="AD35" s="214" t="n">
        <x:f>$X35*0.4</x:f>
        <x:v>8</x:v>
      </x:c>
      <x:c r="AE35" s="216" t="n">
        <x:f>$X35*0.0</x:f>
        <x:v>0</x:v>
      </x:c>
      <x:c r="AF35" s="222" t="n">
        <x:f>(IFERROR(VALUE(LEFT($L35,FIND("분",$L35)-1))*60,0)+IFERROR(VALUE(TRIM(MID($L35,IFERROR(FIND("분",$L35),0)+1,FIND("초",$L35)-IFERROR(FIND("분",$L35),0)-1))),0))/86400</x:f>
        <x:v>0.0020833333333333333</x:v>
      </x:c>
      <x:c r="AG35" s="222" t="n">
        <x:f>(IFERROR(VALUE(LEFT($L35,FIND("분",$L35)-1))*60,0)+IFERROR(VALUE(TRIM(MID($L35,IFERROR(FIND("분",$L35),0)+1,FIND("초",$L35)-IFERROR(FIND("분",$L35),0)-1))),0))/86400*2.0</x:f>
        <x:v>0.004166666666666667</x:v>
      </x:c>
      <x:c r="AH35" s="222" t="n">
        <x:f>(IFERROR(VALUE(LEFT($L35,FIND("분",$L35)-1))*60,0)+IFERROR(VALUE(TRIM(MID($L35,IFERROR(FIND("분",$L35),0)+1,FIND("초",$L35)-IFERROR(FIND("분",$L35),0)-1))),0))/86400*1.4</x:f>
        <x:v>0.0029166666666666664</x:v>
      </x:c>
      <x:c r="AI35" s="222" t="n">
        <x:f>(IFERROR(VALUE(LEFT($L35,FIND("분",$L35)-1))*60,0)+IFERROR(VALUE(TRIM(MID($L35,IFERROR(FIND("분",$L35),0)+1,FIND("초",$L35)-IFERROR(FIND("분",$L35),0)-1))),0))/86400</x:f>
        <x:v>0.0020833333333333333</x:v>
      </x:c>
    </x:row>
    <x:row r="36" ht="81.94999694824219" customHeight="1">
      <x:c r="A36" s="58" t="s">
        <x:v>171</x:v>
      </x:c>
      <x:c r="B36" s="49">
        <x:v>32</x:v>
      </x:c>
      <x:c r="C36" s="49">
        <x:v>2</x:v>
      </x:c>
      <x:c r="D36" s="49">
        <x:v>6</x:v>
      </x:c>
      <x:c r="E36" s="51" t="s">
        <x:v>208</x:v>
      </x:c>
      <x:c r="F36" s="51" t="s">
        <x:v>201</x:v>
      </x:c>
      <x:c r="G36" s="51" t="s">
        <x:v>209</x:v>
      </x:c>
      <x:c r="H36" s="49" t="s">
        <x:v>203</x:v>
      </x:c>
      <x:c r="I36" s="49">
        <x:v>7</x:v>
      </x:c>
      <x:c r="J36" s="51" t="s">
        <x:v>210</x:v>
      </x:c>
      <x:c r="K36" s="51" t="s">
        <x:v>205</x:v>
      </x:c>
      <x:c r="L36" s="49" t="s">
        <x:v>211</x:v>
      </x:c>
      <x:c r="M36" s="49" t="s">
        <x:v>207</x:v>
      </x:c>
      <x:c r="N36" s="52">
        <x:f t="shared" si="1"/>
        <x:v>2.9224537037037035E-2</x:v>
      </x:c>
      <x:c r="O36" s="53" t="s">
        <x:v>175</x:v>
      </x:c>
      <x:c r="P36" s="54" t="n">
        <x:f>P35+9</x:f>
        <x:v>177</x:v>
      </x:c>
      <x:c r="Q36" s="55">
        <x:v>9</x:v>
      </x:c>
      <x:c r="R36" s="56">
        <x:f t="shared" si="0"/>
        <x:v>966.41999999999985</x:v>
      </x:c>
      <x:c r="S36" s="53"/>
      <x:c r="T36" s="53"/>
      <x:c r="U36" s="53"/>
      <x:c r="V36" s="53"/>
      <x:c r="W36" s="178" t="str">
        <x:v>수거 누락 수·이동 동선·재시도 여부·클리어 시간</x:v>
      </x:c>
      <x:c r="X36" s="204" t="n">
        <x:f t="shared" si="8"/>
        <x:v>20</x:v>
      </x:c>
      <x:c r="Y36" s="213" t="n">
        <x:f t="shared" ref="Y36:Y43" si="15">$X36*1.2</x:f>
        <x:v>24</x:v>
      </x:c>
      <x:c r="Z36" s="213" t="n">
        <x:f t="shared" ref="Z36:Z43" si="16">$X36*1.0</x:f>
        <x:v>20</x:v>
      </x:c>
      <x:c r="AA36" s="213" t="n">
        <x:f t="shared" si="5">$X36*0.85</x:f>
        <x:v>17</x:v>
      </x:c>
      <x:c r="AB36" s="213" t="n">
        <x:f t="shared" si="6">$X36*0.7</x:f>
        <x:v>14</x:v>
      </x:c>
      <x:c r="AC36" s="213" t="n">
        <x:f t="shared" si="7">$X36*0.55</x:f>
        <x:v>11</x:v>
      </x:c>
      <x:c r="AD36" s="214" t="n">
        <x:f>$X36*0.4</x:f>
        <x:v>8</x:v>
      </x:c>
      <x:c r="AE36" s="216" t="n">
        <x:f>$X36*0.0</x:f>
        <x:v>0</x:v>
      </x:c>
      <x:c r="AF36" s="222" t="n">
        <x:f>(IFERROR(VALUE(LEFT($L36,FIND("분",$L36)-1))*60,0)+IFERROR(VALUE(TRIM(MID($L36,IFERROR(FIND("분",$L36),0)+1,FIND("초",$L36)-IFERROR(FIND("분",$L36),0)-1))),0))/86400</x:f>
        <x:v>0.001851851851851852</x:v>
      </x:c>
      <x:c r="AG36" s="222" t="n">
        <x:f>(IFERROR(VALUE(LEFT($L36,FIND("분",$L36)-1))*60,0)+IFERROR(VALUE(TRIM(MID($L36,IFERROR(FIND("분",$L36),0)+1,FIND("초",$L36)-IFERROR(FIND("분",$L36),0)-1))),0))/86400*2.0</x:f>
        <x:v>0.003703703703703704</x:v>
      </x:c>
      <x:c r="AH36" s="222" t="n">
        <x:f>(IFERROR(VALUE(LEFT($L36,FIND("분",$L36)-1))*60,0)+IFERROR(VALUE(TRIM(MID($L36,IFERROR(FIND("분",$L36),0)+1,FIND("초",$L36)-IFERROR(FIND("분",$L36),0)-1))),0))/86400*1.4</x:f>
        <x:v>0.0025925925925925925</x:v>
      </x:c>
      <x:c r="AI36" s="222" t="n">
        <x:f>(IFERROR(VALUE(LEFT($L36,FIND("분",$L36)-1))*60,0)+IFERROR(VALUE(TRIM(MID($L36,IFERROR(FIND("분",$L36),0)+1,FIND("초",$L36)-IFERROR(FIND("분",$L36),0)-1))),0))/86400</x:f>
        <x:v>0.001851851851851852</x:v>
      </x:c>
    </x:row>
    <x:row r="37" ht="81.94999694824219" customHeight="1">
      <x:c r="A37" s="58" t="s">
        <x:v>171</x:v>
      </x:c>
      <x:c r="B37" s="49">
        <x:v>33</x:v>
      </x:c>
      <x:c r="C37" s="49">
        <x:v>3</x:v>
      </x:c>
      <x:c r="D37" s="49">
        <x:v>6</x:v>
      </x:c>
      <x:c r="E37" s="51" t="s">
        <x:v>212</x:v>
      </x:c>
      <x:c r="F37" s="51" t="s">
        <x:v>201</x:v>
      </x:c>
      <x:c r="G37" s="51" t="s">
        <x:v>213</x:v>
      </x:c>
      <x:c r="H37" s="49" t="s">
        <x:v>214</x:v>
      </x:c>
      <x:c r="I37" s="49">
        <x:v>6</x:v>
      </x:c>
      <x:c r="J37" s="51" t="s">
        <x:v>215</x:v>
      </x:c>
      <x:c r="K37" s="51" t="s">
        <x:v>205</x:v>
      </x:c>
      <x:c r="L37" s="49" t="s">
        <x:v>148</x:v>
      </x:c>
      <x:c r="M37" s="49" t="s">
        <x:v>207</x:v>
      </x:c>
      <x:c r="N37" s="52">
        <x:f t="shared" si="1"/>
        <x:v>3.0960648148148147E-2</x:v>
      </x:c>
      <x:c r="O37" s="53" t="s">
        <x:v>175</x:v>
      </x:c>
      <x:c r="P37" s="54" t="n">
        <x:f>P36+9</x:f>
        <x:v>186</x:v>
      </x:c>
      <x:c r="Q37" s="55">
        <x:v>9</x:v>
      </x:c>
      <x:c r="R37" s="56">
        <x:f t="shared" si="0"/>
        <x:v>1065.7800000000002</x:v>
      </x:c>
      <x:c r="S37" s="53"/>
      <x:c r="T37" s="53"/>
      <x:c r="U37" s="53"/>
      <x:c r="V37" s="53"/>
      <x:c r="W37" s="178" t="str">
        <x:v>수거 누락 수·이동 동선·재시도 여부·클리어 시간</x:v>
      </x:c>
      <x:c r="X37" s="204" t="n">
        <x:f t="shared" si="8"/>
        <x:v>20</x:v>
      </x:c>
      <x:c r="Y37" s="213" t="n">
        <x:f t="shared" si="15">$X37*1.2</x:f>
        <x:v>24</x:v>
      </x:c>
      <x:c r="Z37" s="213" t="n">
        <x:f t="shared" si="16">$X37*1.0</x:f>
        <x:v>20</x:v>
      </x:c>
      <x:c r="AA37" s="213" t="n">
        <x:f t="shared" si="5">$X37*0.85</x:f>
        <x:v>17</x:v>
      </x:c>
      <x:c r="AB37" s="213" t="n">
        <x:f t="shared" si="6">$X37*0.7</x:f>
        <x:v>14</x:v>
      </x:c>
      <x:c r="AC37" s="213" t="n">
        <x:f t="shared" si="7">$X37*0.55</x:f>
        <x:v>11</x:v>
      </x:c>
      <x:c r="AD37" s="214" t="n">
        <x:f>$X37*0.4</x:f>
        <x:v>8</x:v>
      </x:c>
      <x:c r="AE37" s="216" t="n">
        <x:f>$X37*0.0</x:f>
        <x:v>0</x:v>
      </x:c>
      <x:c r="AF37" s="222" t="n">
        <x:f>(IFERROR(VALUE(LEFT($L37,FIND("분",$L37)-1))*60,0)+IFERROR(VALUE(TRIM(MID($L37,IFERROR(FIND("분",$L37),0)+1,FIND("초",$L37)-IFERROR(FIND("분",$L37),0)-1))),0))/86400</x:f>
        <x:v>0.001736111111111111</x:v>
      </x:c>
      <x:c r="AG37" s="222" t="n">
        <x:f>(IFERROR(VALUE(LEFT($L37,FIND("분",$L37)-1))*60,0)+IFERROR(VALUE(TRIM(MID($L37,IFERROR(FIND("분",$L37),0)+1,FIND("초",$L37)-IFERROR(FIND("분",$L37),0)-1))),0))/86400*2.0</x:f>
        <x:v>0.003472222222222222</x:v>
      </x:c>
      <x:c r="AH37" s="222" t="n">
        <x:f>(IFERROR(VALUE(LEFT($L37,FIND("분",$L37)-1))*60,0)+IFERROR(VALUE(TRIM(MID($L37,IFERROR(FIND("분",$L37),0)+1,FIND("초",$L37)-IFERROR(FIND("분",$L37),0)-1))),0))/86400*1.4</x:f>
        <x:v>0.002430555555555555</x:v>
      </x:c>
      <x:c r="AI37" s="222" t="n">
        <x:f>(IFERROR(VALUE(LEFT($L37,FIND("분",$L37)-1))*60,0)+IFERROR(VALUE(TRIM(MID($L37,IFERROR(FIND("분",$L37),0)+1,FIND("초",$L37)-IFERROR(FIND("분",$L37),0)-1))),0))/86400</x:f>
        <x:v>0.001736111111111111</x:v>
      </x:c>
    </x:row>
    <x:row r="38" ht="81.94999694824219" customHeight="1">
      <x:c r="A38" s="58" t="s">
        <x:v>171</x:v>
      </x:c>
      <x:c r="B38" s="49">
        <x:v>34</x:v>
      </x:c>
      <x:c r="C38" s="49">
        <x:v>1</x:v>
      </x:c>
      <x:c r="D38" s="49">
        <x:v>5</x:v>
      </x:c>
      <x:c r="E38" s="51" t="s">
        <x:v>216</x:v>
      </x:c>
      <x:c r="F38" s="51" t="s">
        <x:v>42</x:v>
      </x:c>
      <x:c r="G38" s="51" t="s">
        <x:v>43</x:v>
      </x:c>
      <x:c r="H38" s="49" t="s">
        <x:v>141</x:v>
      </x:c>
      <x:c r="I38" s="49">
        <x:v>1</x:v>
      </x:c>
      <x:c r="J38" s="51" t="s">
        <x:v>217</x:v>
      </x:c>
      <x:c r="K38" s="51" t="s">
        <x:v>30</x:v>
      </x:c>
      <x:c r="L38" s="49" t="s">
        <x:v>31</x:v>
      </x:c>
      <x:c r="M38" s="49" t="s">
        <x:v>47</x:v>
      </x:c>
      <x:c r="N38" s="52" t="n">
        <x:f t="shared" ref="N38:N69" si="17">N37+(IFERROR(VALUE(LEFT(L38,FIND("분",L38)-1))*60,0)+IFERROR(VALUE(TRIM(MID(L38,IFERROR(FIND("분",L38),0)+1,FIND("초",L38)-IFERROR(FIND("분",L38),0)-1))),0))/86400</x:f>
        <x:v>0.03200231481481482</x:v>
      </x:c>
      <x:c r="O38" s="53" t="s">
        <x:v>175</x:v>
      </x:c>
      <x:c r="P38" s="54" t="n">
        <x:f>P37+5</x:f>
        <x:v>191</x:v>
      </x:c>
      <x:c r="Q38" s="55">
        <x:v>5</x:v>
      </x:c>
      <x:c r="R38" s="56">
        <x:f t="shared" si="0"/>
        <x:v>1123.08</x:v>
      </x:c>
      <x:c r="S38" s="53"/>
      <x:c r="T38" s="53"/>
      <x:c r="U38" s="53"/>
      <x:c r="V38" s="53"/>
      <x:c r="W38" s="178"/>
      <x:c r="X38" s="204"/>
      <x:c r="Y38" s="213"/>
      <x:c r="Z38" s="213"/>
      <x:c r="AA38" s="213"/>
      <x:c r="AB38" s="213"/>
      <x:c r="AC38" s="213"/>
      <x:c r="AD38" s="214"/>
      <x:c r="AE38" s="216"/>
      <x:c r="AF38" s="222"/>
      <x:c r="AG38" s="222"/>
      <x:c r="AH38" s="222"/>
      <x:c r="AI38" s="222"/>
    </x:row>
    <x:row r="39" ht="81.94999694824219" customHeight="1">
      <x:c r="A39" s="58" t="s">
        <x:v>171</x:v>
      </x:c>
      <x:c r="B39" s="49">
        <x:v>35</x:v>
      </x:c>
      <x:c r="C39" s="49">
        <x:v>2</x:v>
      </x:c>
      <x:c r="D39" s="49">
        <x:v>5</x:v>
      </x:c>
      <x:c r="E39" s="51" t="s">
        <x:v>218</x:v>
      </x:c>
      <x:c r="F39" s="51" t="s">
        <x:v>219</x:v>
      </x:c>
      <x:c r="G39" s="51" t="s">
        <x:v>220</x:v>
      </x:c>
      <x:c r="H39" s="49" t="s">
        <x:v>221</x:v>
      </x:c>
      <x:c r="I39" s="49">
        <x:v>4</x:v>
      </x:c>
      <x:c r="J39" s="51" t="s">
        <x:v>222</x:v>
      </x:c>
      <x:c r="K39" s="51" t="s">
        <x:v>30</x:v>
      </x:c>
      <x:c r="L39" s="49" t="s">
        <x:v>223</x:v>
      </x:c>
      <x:c r="M39" s="49" t="s">
        <x:v>224</x:v>
      </x:c>
      <x:c r="N39" s="52">
        <x:f t="shared" si="17"/>
        <x:v>3.3622685185185186E-2</x:v>
      </x:c>
      <x:c r="O39" s="53" t="s">
        <x:v>175</x:v>
      </x:c>
      <x:c r="P39" s="54" t="n">
        <x:f>P38+8</x:f>
        <x:v>199</x:v>
      </x:c>
      <x:c r="Q39" s="55">
        <x:v>8</x:v>
      </x:c>
      <x:c r="R39" s="56">
        <x:f t="shared" si="0"/>
        <x:v>1217.8799999999999</x:v>
      </x:c>
      <x:c r="S39" s="53"/>
      <x:c r="T39" s="53"/>
      <x:c r="U39" s="53"/>
      <x:c r="V39" s="53"/>
      <x:c r="W39" s="178"/>
      <x:c r="X39" s="204"/>
      <x:c r="Y39" s="213"/>
      <x:c r="Z39" s="213"/>
      <x:c r="AA39" s="213"/>
      <x:c r="AB39" s="213"/>
      <x:c r="AC39" s="213"/>
      <x:c r="AD39" s="214"/>
      <x:c r="AE39" s="216"/>
      <x:c r="AF39" s="222"/>
      <x:c r="AG39" s="222"/>
      <x:c r="AH39" s="222"/>
      <x:c r="AI39" s="222"/>
    </x:row>
    <x:row r="40" ht="81.94999694824219" customHeight="1">
      <x:c r="A40" s="58" t="s">
        <x:v>171</x:v>
      </x:c>
      <x:c r="B40" s="49">
        <x:v>36</x:v>
      </x:c>
      <x:c r="C40" s="49">
        <x:v>2</x:v>
      </x:c>
      <x:c r="D40" s="49">
        <x:v>6</x:v>
      </x:c>
      <x:c r="E40" s="51" t="s">
        <x:v>225</x:v>
      </x:c>
      <x:c r="F40" s="51" t="s">
        <x:v>226</x:v>
      </x:c>
      <x:c r="G40" s="51" t="s">
        <x:v>227</x:v>
      </x:c>
      <x:c r="H40" s="49" t="s">
        <x:v>228</x:v>
      </x:c>
      <x:c r="I40" s="49">
        <x:v>3</x:v>
      </x:c>
      <x:c r="J40" s="51" t="s">
        <x:v>229</x:v>
      </x:c>
      <x:c r="K40" s="51" t="s">
        <x:v>230</x:v>
      </x:c>
      <x:c r="L40" s="49" t="s">
        <x:v>72</x:v>
      </x:c>
      <x:c r="M40" s="49" t="s">
        <x:v>231</x:v>
      </x:c>
      <x:c r="N40" s="52">
        <x:f t="shared" si="17"/>
        <x:v>3.4490740740740738E-2</x:v>
      </x:c>
      <x:c r="O40" s="53" t="s">
        <x:v>175</x:v>
      </x:c>
      <x:c r="P40" s="54" t="n">
        <x:f>P39+6</x:f>
        <x:v>205</x:v>
      </x:c>
      <x:c r="Q40" s="55">
        <x:v>6</x:v>
      </x:c>
      <x:c r="R40" s="56">
        <x:f t="shared" si="0"/>
        <x:v>1291.5</x:v>
      </x:c>
      <x:c r="S40" s="53"/>
      <x:c r="T40" s="53"/>
      <x:c r="U40" s="53"/>
      <x:c r="V40" s="53"/>
      <x:c r="W40" s="178"/>
      <x:c r="X40" s="204">
        <x:f t="shared" si="8"/>
      </x:c>
      <x:c r="Y40" s="213">
        <x:f t="shared" ref="Y40:Y41" si="18">W40*0.6</x:f>
      </x:c>
      <x:c r="Z40" s="213">
        <x:f t="shared" ref="Z40:Z41" si="19">W40*0.5</x:f>
      </x:c>
      <x:c r="AA40" s="213">
        <x:f t="shared" ref="AA40:AA41" si="20">(IFERROR(VALUE(LEFT(AC40,FIND("분",AC40)-1))*60,0)+IFERROR(VALUE(MID(AC40,IFERROR(FIND("분",AC40),0)+1,FIND("초",AC40)-IFERROR(FIND("분",AC40),0)-1)),0))/86400*2</x:f>
      </x:c>
      <x:c r="AB40" s="213">
        <x:f t="shared" si="6"/>
      </x:c>
      <x:c r="AC40" s="213">
        <x:f t="shared" ref="AC40:AC41" si="21">L40</x:f>
      </x:c>
      <x:c r="AD40" s="214"/>
      <x:c r="AE40" s="216"/>
      <x:c r="AF40" s="222"/>
      <x:c r="AG40" s="222"/>
      <x:c r="AH40" s="222"/>
      <x:c r="AI40" s="222"/>
    </x:row>
    <x:row r="41" ht="81.94999694824219" customHeight="1">
      <x:c r="A41" s="58" t="s">
        <x:v>171</x:v>
      </x:c>
      <x:c r="B41" s="49">
        <x:v>37</x:v>
      </x:c>
      <x:c r="C41" s="49">
        <x:v>3</x:v>
      </x:c>
      <x:c r="D41" s="49">
        <x:v>7</x:v>
      </x:c>
      <x:c r="E41" s="51" t="s">
        <x:v>232</x:v>
      </x:c>
      <x:c r="F41" s="51" t="s">
        <x:v>233</x:v>
      </x:c>
      <x:c r="G41" s="51" t="s">
        <x:v>234</x:v>
      </x:c>
      <x:c r="H41" s="49" t="s">
        <x:v>235</x:v>
      </x:c>
      <x:c r="I41" s="49">
        <x:v>5</x:v>
      </x:c>
      <x:c r="J41" s="51" t="s">
        <x:v>236</x:v>
      </x:c>
      <x:c r="K41" s="51" t="s">
        <x:v>30</x:v>
      </x:c>
      <x:c r="L41" s="49" t="s">
        <x:v>237</x:v>
      </x:c>
      <x:c r="M41" s="49" t="s">
        <x:v>238</x:v>
      </x:c>
      <x:c r="N41" s="52">
        <x:f t="shared" si="17"/>
        <x:v>3.6458333333333329E-2</x:v>
      </x:c>
      <x:c r="O41" s="53" t="s">
        <x:v>175</x:v>
      </x:c>
      <x:c r="P41" s="54" t="n">
        <x:f>P40+10</x:f>
        <x:v>215</x:v>
      </x:c>
      <x:c r="Q41" s="55">
        <x:v>10</x:v>
      </x:c>
      <x:c r="R41" s="56">
        <x:f t="shared" si="0"/>
        <x:v>1419</x:v>
      </x:c>
      <x:c r="S41" s="53"/>
      <x:c r="T41" s="53"/>
      <x:c r="U41" s="53"/>
      <x:c r="V41" s="53"/>
      <x:c r="W41" s="178" t="str">
        <x:v>단서 확인 수·잘못된 탐색 경로·힌트 사용·클리어 시간</x:v>
      </x:c>
      <x:c r="X41" s="204" t="n">
        <x:f t="shared" si="8"/>
        <x:v>20</x:v>
      </x:c>
      <x:c r="Y41" s="213" t="n">
        <x:f t="shared" si="18">$X41*1.2</x:f>
        <x:v>24</x:v>
      </x:c>
      <x:c r="Z41" s="213" t="n">
        <x:f t="shared" si="19">$X41*1.0</x:f>
        <x:v>20</x:v>
      </x:c>
      <x:c r="AA41" s="213" t="n">
        <x:f t="shared" si="20">$X41*0.85</x:f>
        <x:v>17</x:v>
      </x:c>
      <x:c r="AB41" s="213" t="n">
        <x:f t="shared" si="6">$X41*0.7</x:f>
        <x:v>14</x:v>
      </x:c>
      <x:c r="AC41" s="213" t="n">
        <x:f t="shared" si="21">$X41*0.55</x:f>
        <x:v>11</x:v>
      </x:c>
      <x:c r="AD41" s="214" t="n">
        <x:f>$X41*0.4</x:f>
        <x:v>8</x:v>
      </x:c>
      <x:c r="AE41" s="216" t="n">
        <x:f>$X41*0.0</x:f>
        <x:v>0</x:v>
      </x:c>
      <x:c r="AF41" s="222" t="n">
        <x:f>(IFERROR(VALUE(LEFT($L41,FIND("분",$L41)-1))*60,0)+IFERROR(VALUE(TRIM(MID($L41,IFERROR(FIND("분",$L41),0)+1,FIND("초",$L41)-IFERROR(FIND("분",$L41),0)-1))),0))/86400</x:f>
        <x:v>0.0019675925925925924</x:v>
      </x:c>
      <x:c r="AG41" s="222" t="n">
        <x:f>(IFERROR(VALUE(LEFT($L41,FIND("분",$L41)-1))*60,0)+IFERROR(VALUE(TRIM(MID($L41,IFERROR(FIND("분",$L41),0)+1,FIND("초",$L41)-IFERROR(FIND("분",$L41),0)-1))),0))/86400*2.0</x:f>
        <x:v>0.003935185185185185</x:v>
      </x:c>
      <x:c r="AH41" s="222" t="n">
        <x:f>(IFERROR(VALUE(LEFT($L41,FIND("분",$L41)-1))*60,0)+IFERROR(VALUE(TRIM(MID($L41,IFERROR(FIND("분",$L41),0)+1,FIND("초",$L41)-IFERROR(FIND("분",$L41),0)-1))),0))/86400*1.4</x:f>
        <x:v>0.002754629629629629</x:v>
      </x:c>
      <x:c r="AI41" s="222" t="n">
        <x:f>(IFERROR(VALUE(LEFT($L41,FIND("분",$L41)-1))*60,0)+IFERROR(VALUE(TRIM(MID($L41,IFERROR(FIND("분",$L41),0)+1,FIND("초",$L41)-IFERROR(FIND("분",$L41),0)-1))),0))/86400</x:f>
        <x:v>0.0019675925925925924</x:v>
      </x:c>
    </x:row>
    <x:row r="42" ht="81.94999694824219" customHeight="1">
      <x:c r="A42" s="58" t="s">
        <x:v>171</x:v>
      </x:c>
      <x:c r="B42" s="49">
        <x:v>38</x:v>
      </x:c>
      <x:c r="C42" s="49">
        <x:v>1</x:v>
      </x:c>
      <x:c r="D42" s="49">
        <x:v>8</x:v>
      </x:c>
      <x:c r="E42" s="51" t="s">
        <x:v>239</x:v>
      </x:c>
      <x:c r="F42" s="51" t="s">
        <x:v>240</x:v>
      </x:c>
      <x:c r="G42" s="51" t="s">
        <x:v>241</x:v>
      </x:c>
      <x:c r="H42" s="49" t="s">
        <x:v>242</x:v>
      </x:c>
      <x:c r="I42" s="49">
        <x:v>2</x:v>
      </x:c>
      <x:c r="J42" s="51" t="s">
        <x:v>243</x:v>
      </x:c>
      <x:c r="K42" s="51" t="s">
        <x:v>244</x:v>
      </x:c>
      <x:c r="L42" s="49" t="s">
        <x:v>143</x:v>
      </x:c>
      <x:c r="M42" s="49" t="s">
        <x:v>245</x:v>
      </x:c>
      <x:c r="N42" s="52">
        <x:f t="shared" si="17"/>
        <x:v>3.7268518518518513E-2</x:v>
      </x:c>
      <x:c r="O42" s="53" t="s">
        <x:v>175</x:v>
      </x:c>
      <x:c r="P42" s="54" t="n">
        <x:f>P41+6</x:f>
        <x:v>221</x:v>
      </x:c>
      <x:c r="Q42" s="55">
        <x:v>6</x:v>
      </x:c>
      <x:c r="R42" s="56">
        <x:f t="shared" si="0"/>
        <x:v>1498.38</x:v>
      </x:c>
      <x:c r="S42" s="53"/>
      <x:c r="T42" s="53"/>
      <x:c r="U42" s="53"/>
      <x:c r="V42" s="53"/>
      <x:c r="W42" s="178"/>
      <x:c r="X42" s="204">
        <x:f t="shared" si="8"/>
      </x:c>
      <x:c r="Y42" s="213">
        <x:f t="shared" si="15"/>
      </x:c>
      <x:c r="Z42" s="213">
        <x:f t="shared" si="16"/>
      </x:c>
      <x:c r="AA42" s="213">
        <x:f t="shared" si="5"/>
      </x:c>
      <x:c r="AB42" s="213">
        <x:f t="shared" si="6"/>
      </x:c>
      <x:c r="AC42" s="213">
        <x:f t="shared" si="7"/>
      </x:c>
      <x:c r="AD42" s="214"/>
      <x:c r="AE42" s="216"/>
      <x:c r="AF42" s="222"/>
      <x:c r="AG42" s="222"/>
      <x:c r="AH42" s="222"/>
      <x:c r="AI42" s="222"/>
    </x:row>
    <x:row r="43" ht="81.94999694824219" customHeight="1">
      <x:c r="A43" s="58" t="s">
        <x:v>171</x:v>
      </x:c>
      <x:c r="B43" s="49">
        <x:v>39</x:v>
      </x:c>
      <x:c r="C43" s="49">
        <x:v>1</x:v>
      </x:c>
      <x:c r="D43" s="49">
        <x:v>5</x:v>
      </x:c>
      <x:c r="E43" s="51" t="s">
        <x:v>246</x:v>
      </x:c>
      <x:c r="F43" s="51" t="s">
        <x:v>247</x:v>
      </x:c>
      <x:c r="G43" s="51" t="s">
        <x:v>248</x:v>
      </x:c>
      <x:c r="H43" s="49" t="s">
        <x:v>249</x:v>
      </x:c>
      <x:c r="I43" s="49">
        <x:v>4</x:v>
      </x:c>
      <x:c r="J43" s="51" t="s">
        <x:v>250</x:v>
      </x:c>
      <x:c r="K43" s="51" t="s">
        <x:v>251</x:v>
      </x:c>
      <x:c r="L43" s="49" t="s">
        <x:v>31</x:v>
      </x:c>
      <x:c r="M43" s="49" t="s">
        <x:v>252</x:v>
      </x:c>
      <x:c r="N43" s="52">
        <x:f t="shared" si="17"/>
        <x:v>3.8310185185185183E-2</x:v>
      </x:c>
      <x:c r="O43" s="53" t="s">
        <x:v>175</x:v>
      </x:c>
      <x:c r="P43" s="54" t="n">
        <x:f>P42+6</x:f>
        <x:v>227</x:v>
      </x:c>
      <x:c r="Q43" s="55">
        <x:v>6</x:v>
      </x:c>
      <x:c r="R43" s="56">
        <x:f t="shared" si="0"/>
        <x:v>1579.9199999999998</x:v>
      </x:c>
      <x:c r="S43" s="53"/>
      <x:c r="T43" s="53"/>
      <x:c r="U43" s="53"/>
      <x:c r="V43" s="53"/>
      <x:c r="W43" s="178"/>
      <x:c r="X43" s="204">
        <x:f t="shared" si="8"/>
      </x:c>
      <x:c r="Y43" s="213">
        <x:f t="shared" si="15"/>
      </x:c>
      <x:c r="Z43" s="213">
        <x:f t="shared" si="16"/>
      </x:c>
      <x:c r="AA43" s="213">
        <x:f t="shared" si="5"/>
      </x:c>
      <x:c r="AB43" s="213">
        <x:f t="shared" si="6"/>
      </x:c>
      <x:c r="AC43" s="213">
        <x:f t="shared" si="7"/>
      </x:c>
      <x:c r="AD43" s="214"/>
      <x:c r="AE43" s="216"/>
      <x:c r="AF43" s="222"/>
      <x:c r="AG43" s="222"/>
      <x:c r="AH43" s="222"/>
      <x:c r="AI43" s="222"/>
    </x:row>
    <x:row r="44" ht="81.94999694824219" customHeight="1">
      <x:c r="A44" s="58" t="s">
        <x:v>171</x:v>
      </x:c>
      <x:c r="B44" s="49">
        <x:v>40</x:v>
      </x:c>
      <x:c r="C44" s="49">
        <x:v>2</x:v>
      </x:c>
      <x:c r="D44" s="49">
        <x:v>6</x:v>
      </x:c>
      <x:c r="E44" s="51" t="s">
        <x:v>253</x:v>
      </x:c>
      <x:c r="F44" s="51" t="s">
        <x:v>56</x:v>
      </x:c>
      <x:c r="G44" s="51" t="s">
        <x:v>254</x:v>
      </x:c>
      <x:c r="H44" s="49" t="s">
        <x:v>146</x:v>
      </x:c>
      <x:c r="I44" s="49">
        <x:v>1</x:v>
      </x:c>
      <x:c r="J44" s="51" t="s">
        <x:v>255</x:v>
      </x:c>
      <x:c r="K44" s="51" t="s">
        <x:v>30</x:v>
      </x:c>
      <x:c r="L44" s="49" t="s">
        <x:v>72</x:v>
      </x:c>
      <x:c r="M44" s="49" t="s">
        <x:v>61</x:v>
      </x:c>
      <x:c r="N44" s="52">
        <x:f t="shared" si="17"/>
        <x:v>3.9178240740740736E-2</x:v>
      </x:c>
      <x:c r="O44" s="53" t="s">
        <x:v>256</x:v>
      </x:c>
      <x:c r="P44" s="54" t="n">
        <x:f>P43+6</x:f>
        <x:v>233</x:v>
      </x:c>
      <x:c r="Q44" s="55">
        <x:v>6</x:v>
      </x:c>
      <x:c r="R44" s="56">
        <x:f t="shared" si="0"/>
        <x:v>1663.62</x:v>
      </x:c>
      <x:c r="S44" s="53"/>
      <x:c r="T44" s="53"/>
      <x:c r="U44" s="53"/>
      <x:c r="V44" s="53"/>
      <x:c r="W44" s="178"/>
      <x:c r="X44" s="204"/>
      <x:c r="Y44" s="213"/>
      <x:c r="Z44" s="213"/>
      <x:c r="AA44" s="213"/>
      <x:c r="AB44" s="213"/>
      <x:c r="AC44" s="213"/>
      <x:c r="AD44" s="214"/>
      <x:c r="AE44" s="216"/>
      <x:c r="AF44" s="222"/>
      <x:c r="AG44" s="222"/>
      <x:c r="AH44" s="222"/>
      <x:c r="AI44" s="222"/>
    </x:row>
    <x:row r="45" ht="81.94999694824219" customHeight="1">
      <x:c r="A45" s="58" t="s">
        <x:v>171</x:v>
      </x:c>
      <x:c r="B45" s="49">
        <x:v>41</x:v>
      </x:c>
      <x:c r="C45" s="49">
        <x:v>2</x:v>
      </x:c>
      <x:c r="D45" s="49">
        <x:v>6</x:v>
      </x:c>
      <x:c r="E45" s="51" t="s">
        <x:v>257</x:v>
      </x:c>
      <x:c r="F45" s="51" t="s">
        <x:v>258</x:v>
      </x:c>
      <x:c r="G45" s="51" t="s">
        <x:v>259</x:v>
      </x:c>
      <x:c r="H45" s="49" t="s">
        <x:v>260</x:v>
      </x:c>
      <x:c r="I45" s="49">
        <x:v>8</x:v>
      </x:c>
      <x:c r="J45" s="51" t="s">
        <x:v>261</x:v>
      </x:c>
      <x:c r="K45" s="51" t="s">
        <x:v>262</x:v>
      </x:c>
      <x:c r="L45" s="49" t="s">
        <x:v>223</x:v>
      </x:c>
      <x:c r="M45" s="49" t="s">
        <x:v>263</x:v>
      </x:c>
      <x:c r="N45" s="52">
        <x:f t="shared" si="17"/>
        <x:v>4.0798611111111105E-2</x:v>
      </x:c>
      <x:c r="O45" s="53" t="s">
        <x:v>256</x:v>
      </x:c>
      <x:c r="P45" s="54" t="n">
        <x:f>P44+8</x:f>
        <x:v>241</x:v>
      </x:c>
      <x:c r="Q45" s="55">
        <x:v>8</x:v>
      </x:c>
      <x:c r="R45" s="56">
        <x:f t="shared" si="0"/>
        <x:v>1778.58</x:v>
      </x:c>
      <x:c r="S45" s="53"/>
      <x:c r="T45" s="53"/>
      <x:c r="U45" s="53"/>
      <x:c r="V45" s="53"/>
      <x:c r="W45" s="178" t="str">
        <x:v>분류 정확도·오분류 횟수·단계 재시작·클리어 시간</x:v>
      </x:c>
      <x:c r="X45" s="204" t="n">
        <x:f t="shared" si="8"/>
        <x:v>20</x:v>
      </x:c>
      <x:c r="Y45" s="213" t="n">
        <x:f t="shared" ref="Y45:Y46" si="22">$X45*1.2</x:f>
        <x:v>24</x:v>
      </x:c>
      <x:c r="Z45" s="213" t="n">
        <x:f t="shared" ref="Z45:Z46" si="23">$X45*1.0</x:f>
        <x:v>20</x:v>
      </x:c>
      <x:c r="AA45" s="213" t="n">
        <x:f t="shared" si="5">$X45*0.85</x:f>
        <x:v>17</x:v>
      </x:c>
      <x:c r="AB45" s="213" t="n">
        <x:f t="shared" si="6">$X45*0.7</x:f>
        <x:v>14</x:v>
      </x:c>
      <x:c r="AC45" s="213" t="n">
        <x:f t="shared" si="7">$X45*0.55</x:f>
        <x:v>11</x:v>
      </x:c>
      <x:c r="AD45" s="214" t="n">
        <x:f>$X45*0.4</x:f>
        <x:v>8</x:v>
      </x:c>
      <x:c r="AE45" s="216" t="n">
        <x:f>$X45*0.0</x:f>
        <x:v>0</x:v>
      </x:c>
      <x:c r="AF45" s="222" t="n">
        <x:f>(IFERROR(VALUE(LEFT($L45,FIND("분",$L45)-1))*60,0)+IFERROR(VALUE(TRIM(MID($L45,IFERROR(FIND("분",$L45),0)+1,FIND("초",$L45)-IFERROR(FIND("분",$L45),0)-1))),0))/86400</x:f>
        <x:v>0.0016203703703703703</x:v>
      </x:c>
      <x:c r="AG45" s="222" t="n">
        <x:f>(IFERROR(VALUE(LEFT($L45,FIND("분",$L45)-1))*60,0)+IFERROR(VALUE(TRIM(MID($L45,IFERROR(FIND("분",$L45),0)+1,FIND("초",$L45)-IFERROR(FIND("분",$L45),0)-1))),0))/86400*2.0</x:f>
        <x:v>0.0032407407407407406</x:v>
      </x:c>
      <x:c r="AH45" s="222" t="n">
        <x:f>(IFERROR(VALUE(LEFT($L45,FIND("분",$L45)-1))*60,0)+IFERROR(VALUE(TRIM(MID($L45,IFERROR(FIND("분",$L45),0)+1,FIND("초",$L45)-IFERROR(FIND("분",$L45),0)-1))),0))/86400*1.4</x:f>
        <x:v>0.0022685185185185182</x:v>
      </x:c>
      <x:c r="AI45" s="222" t="n">
        <x:f>(IFERROR(VALUE(LEFT($L45,FIND("분",$L45)-1))*60,0)+IFERROR(VALUE(TRIM(MID($L45,IFERROR(FIND("분",$L45),0)+1,FIND("초",$L45)-IFERROR(FIND("분",$L45),0)-1))),0))/86400</x:f>
        <x:v>0.0016203703703703703</x:v>
      </x:c>
    </x:row>
    <x:row r="46" ht="81.94999694824219" customHeight="1">
      <x:c r="A46" s="58" t="s">
        <x:v>171</x:v>
      </x:c>
      <x:c r="B46" s="49">
        <x:v>42</x:v>
      </x:c>
      <x:c r="C46" s="49">
        <x:v>3</x:v>
      </x:c>
      <x:c r="D46" s="49">
        <x:v>7</x:v>
      </x:c>
      <x:c r="E46" s="51" t="s">
        <x:v>264</x:v>
      </x:c>
      <x:c r="F46" s="51" t="s">
        <x:v>258</x:v>
      </x:c>
      <x:c r="G46" s="51" t="s">
        <x:v>265</x:v>
      </x:c>
      <x:c r="H46" s="49" t="s">
        <x:v>266</x:v>
      </x:c>
      <x:c r="I46" s="49">
        <x:v>10</x:v>
      </x:c>
      <x:c r="J46" s="51" t="s">
        <x:v>267</x:v>
      </x:c>
      <x:c r="K46" s="51" t="s">
        <x:v>262</x:v>
      </x:c>
      <x:c r="L46" s="49" t="s">
        <x:v>206</x:v>
      </x:c>
      <x:c r="M46" s="49" t="s">
        <x:v>263</x:v>
      </x:c>
      <x:c r="N46" s="52">
        <x:f t="shared" si="17"/>
        <x:v>4.2881944444444438E-2</x:v>
      </x:c>
      <x:c r="O46" s="53" t="s">
        <x:v>256</x:v>
      </x:c>
      <x:c r="P46" s="54" t="n">
        <x:f>P45+10</x:f>
        <x:v>251</x:v>
      </x:c>
      <x:c r="Q46" s="55">
        <x:v>10</x:v>
      </x:c>
      <x:c r="R46" s="56">
        <x:f t="shared" si="0"/>
        <x:v>1927.6799999999998</x:v>
      </x:c>
      <x:c r="S46" s="53"/>
      <x:c r="T46" s="53"/>
      <x:c r="U46" s="53"/>
      <x:c r="V46" s="53"/>
      <x:c r="W46" s="178" t="str">
        <x:v>분류 정확도·오분류 횟수·단계 재시작·클리어 시간</x:v>
      </x:c>
      <x:c r="X46" s="204" t="n">
        <x:f t="shared" si="8"/>
        <x:v>20</x:v>
      </x:c>
      <x:c r="Y46" s="213" t="n">
        <x:f t="shared" si="22">$X46*1.2</x:f>
        <x:v>24</x:v>
      </x:c>
      <x:c r="Z46" s="213" t="n">
        <x:f t="shared" si="23">$X46*1.0</x:f>
        <x:v>20</x:v>
      </x:c>
      <x:c r="AA46" s="213" t="n">
        <x:f t="shared" si="5">$X46*0.85</x:f>
        <x:v>17</x:v>
      </x:c>
      <x:c r="AB46" s="213" t="n">
        <x:f t="shared" si="6">$X46*0.7</x:f>
        <x:v>14</x:v>
      </x:c>
      <x:c r="AC46" s="213" t="n">
        <x:f t="shared" si="7">$X46*0.55</x:f>
        <x:v>11</x:v>
      </x:c>
      <x:c r="AD46" s="214" t="n">
        <x:f>$X46*0.4</x:f>
        <x:v>8</x:v>
      </x:c>
      <x:c r="AE46" s="216" t="n">
        <x:f>$X46*0.0</x:f>
        <x:v>0</x:v>
      </x:c>
      <x:c r="AF46" s="222" t="n">
        <x:f>(IFERROR(VALUE(LEFT($L46,FIND("분",$L46)-1))*60,0)+IFERROR(VALUE(TRIM(MID($L46,IFERROR(FIND("분",$L46),0)+1,FIND("초",$L46)-IFERROR(FIND("분",$L46),0)-1))),0))/86400</x:f>
        <x:v>0.0020833333333333333</x:v>
      </x:c>
      <x:c r="AG46" s="222" t="n">
        <x:f>(IFERROR(VALUE(LEFT($L46,FIND("분",$L46)-1))*60,0)+IFERROR(VALUE(TRIM(MID($L46,IFERROR(FIND("분",$L46),0)+1,FIND("초",$L46)-IFERROR(FIND("분",$L46),0)-1))),0))/86400*2.0</x:f>
        <x:v>0.004166666666666667</x:v>
      </x:c>
      <x:c r="AH46" s="222" t="n">
        <x:f>(IFERROR(VALUE(LEFT($L46,FIND("분",$L46)-1))*60,0)+IFERROR(VALUE(TRIM(MID($L46,IFERROR(FIND("분",$L46),0)+1,FIND("초",$L46)-IFERROR(FIND("분",$L46),0)-1))),0))/86400*1.4</x:f>
        <x:v>0.0029166666666666664</x:v>
      </x:c>
      <x:c r="AI46" s="222" t="n">
        <x:f>(IFERROR(VALUE(LEFT($L46,FIND("분",$L46)-1))*60,0)+IFERROR(VALUE(TRIM(MID($L46,IFERROR(FIND("분",$L46),0)+1,FIND("초",$L46)-IFERROR(FIND("분",$L46),0)-1))),0))/86400</x:f>
        <x:v>0.0020833333333333333</x:v>
      </x:c>
    </x:row>
    <x:row r="47" ht="81.94999694824219" customHeight="1">
      <x:c r="A47" s="58" t="s">
        <x:v>171</x:v>
      </x:c>
      <x:c r="B47" s="49">
        <x:v>43</x:v>
      </x:c>
      <x:c r="C47" s="49">
        <x:v>3</x:v>
      </x:c>
      <x:c r="D47" s="49">
        <x:v>7</x:v>
      </x:c>
      <x:c r="E47" s="51" t="s">
        <x:v>268</x:v>
      </x:c>
      <x:c r="F47" s="51" t="s">
        <x:v>258</x:v>
      </x:c>
      <x:c r="G47" s="51" t="s">
        <x:v>269</x:v>
      </x:c>
      <x:c r="H47" s="49" t="s">
        <x:v>270</x:v>
      </x:c>
      <x:c r="I47" s="49">
        <x:v>6</x:v>
      </x:c>
      <x:c r="J47" s="51" t="s">
        <x:v>271</x:v>
      </x:c>
      <x:c r="K47" s="51" t="s">
        <x:v>262</x:v>
      </x:c>
      <x:c r="L47" s="49" t="s">
        <x:v>211</x:v>
      </x:c>
      <x:c r="M47" s="49" t="s">
        <x:v>263</x:v>
      </x:c>
      <x:c r="N47" s="52">
        <x:f t="shared" si="17"/>
        <x:v>4.4733796296296292E-2</x:v>
      </x:c>
      <x:c r="O47" s="53" t="s">
        <x:v>256</x:v>
      </x:c>
      <x:c r="P47" s="54" t="n">
        <x:f>P46+10</x:f>
        <x:v>261</x:v>
      </x:c>
      <x:c r="Q47" s="55">
        <x:v>10</x:v>
      </x:c>
      <x:c r="R47" s="56">
        <x:f t="shared" si="0"/>
        <x:v>2082.7800000000002</x:v>
      </x:c>
      <x:c r="S47" s="53"/>
      <x:c r="T47" s="53"/>
      <x:c r="U47" s="53"/>
      <x:c r="V47" s="53"/>
      <x:c r="W47" s="178" t="str">
        <x:v>분류 정확도·오분류 횟수·단계 재시작·클리어 시간</x:v>
      </x:c>
      <x:c r="X47" s="204" t="n">
        <x:f t="shared" si="8"/>
        <x:v>20</x:v>
      </x:c>
      <x:c r="Y47" s="213" t="n">
        <x:f t="shared" ref="Y47" si="24">$X47*1.2</x:f>
        <x:v>24</x:v>
      </x:c>
      <x:c r="Z47" s="213" t="n">
        <x:f t="shared" ref="Z47" si="25">$X47*1.0</x:f>
        <x:v>20</x:v>
      </x:c>
      <x:c r="AA47" s="213" t="n">
        <x:f t="shared" si="5">$X47*0.85</x:f>
        <x:v>17</x:v>
      </x:c>
      <x:c r="AB47" s="213" t="n">
        <x:f t="shared" si="6">$X47*0.7</x:f>
        <x:v>14</x:v>
      </x:c>
      <x:c r="AC47" s="213" t="n">
        <x:f t="shared" si="7">$X47*0.55</x:f>
        <x:v>11</x:v>
      </x:c>
      <x:c r="AD47" s="214" t="n">
        <x:f>$X47*0.4</x:f>
        <x:v>8</x:v>
      </x:c>
      <x:c r="AE47" s="216" t="n">
        <x:f>$X47*0.0</x:f>
        <x:v>0</x:v>
      </x:c>
      <x:c r="AF47" s="222" t="n">
        <x:f>(IFERROR(VALUE(LEFT($L47,FIND("분",$L47)-1))*60,0)+IFERROR(VALUE(TRIM(MID($L47,IFERROR(FIND("분",$L47),0)+1,FIND("초",$L47)-IFERROR(FIND("분",$L47),0)-1))),0))/86400</x:f>
        <x:v>0.001851851851851852</x:v>
      </x:c>
      <x:c r="AG47" s="222" t="n">
        <x:f>(IFERROR(VALUE(LEFT($L47,FIND("분",$L47)-1))*60,0)+IFERROR(VALUE(TRIM(MID($L47,IFERROR(FIND("분",$L47),0)+1,FIND("초",$L47)-IFERROR(FIND("분",$L47),0)-1))),0))/86400*2.0</x:f>
        <x:v>0.003703703703703704</x:v>
      </x:c>
      <x:c r="AH47" s="222" t="n">
        <x:f>(IFERROR(VALUE(LEFT($L47,FIND("분",$L47)-1))*60,0)+IFERROR(VALUE(TRIM(MID($L47,IFERROR(FIND("분",$L47),0)+1,FIND("초",$L47)-IFERROR(FIND("분",$L47),0)-1))),0))/86400*1.4</x:f>
        <x:v>0.0025925925925925925</x:v>
      </x:c>
      <x:c r="AI47" s="222" t="n">
        <x:f>(IFERROR(VALUE(LEFT($L47,FIND("분",$L47)-1))*60,0)+IFERROR(VALUE(TRIM(MID($L47,IFERROR(FIND("분",$L47),0)+1,FIND("초",$L47)-IFERROR(FIND("분",$L47),0)-1))),0))/86400</x:f>
        <x:v>0.001851851851851852</x:v>
      </x:c>
    </x:row>
    <x:row r="48" ht="81.94999694824219" customHeight="1">
      <x:c r="A48" s="58" t="s">
        <x:v>171</x:v>
      </x:c>
      <x:c r="B48" s="49">
        <x:v>44</x:v>
      </x:c>
      <x:c r="C48" s="49">
        <x:v>2</x:v>
      </x:c>
      <x:c r="D48" s="49">
        <x:v>7</x:v>
      </x:c>
      <x:c r="E48" s="51" t="s">
        <x:v>272</x:v>
      </x:c>
      <x:c r="F48" s="51" t="s">
        <x:v>247</x:v>
      </x:c>
      <x:c r="G48" s="51" t="s">
        <x:v>273</x:v>
      </x:c>
      <x:c r="H48" s="49" t="s">
        <x:v>249</x:v>
      </x:c>
      <x:c r="I48" s="49">
        <x:v>3</x:v>
      </x:c>
      <x:c r="J48" s="51" t="s">
        <x:v>250</x:v>
      </x:c>
      <x:c r="K48" s="51" t="s">
        <x:v>251</x:v>
      </x:c>
      <x:c r="L48" s="49" t="s">
        <x:v>143</x:v>
      </x:c>
      <x:c r="M48" s="49" t="s">
        <x:v>252</x:v>
      </x:c>
      <x:c r="N48" s="52">
        <x:f t="shared" si="17"/>
        <x:v>4.5543981481481477E-2</x:v>
      </x:c>
      <x:c r="O48" s="53" t="s">
        <x:v>256</x:v>
      </x:c>
      <x:c r="P48" s="54" t="n">
        <x:f>P47+6</x:f>
        <x:v>267</x:v>
      </x:c>
      <x:c r="Q48" s="55">
        <x:v>6</x:v>
      </x:c>
      <x:c r="R48" s="56">
        <x:f t="shared" si="0"/>
        <x:v>2178.7200000000003</x:v>
      </x:c>
      <x:c r="S48" s="53"/>
      <x:c r="T48" s="53"/>
      <x:c r="U48" s="53"/>
      <x:c r="V48" s="53"/>
      <x:c r="W48" s="178"/>
      <x:c r="X48" s="204">
        <x:f t="shared" si="8"/>
      </x:c>
      <x:c r="Y48" s="213">
        <x:f t="shared" ref="Y48:Y55" si="26">W48*0.6</x:f>
      </x:c>
      <x:c r="Z48" s="213">
        <x:f t="shared" ref="Z48:Z55" si="27">W48*0.5</x:f>
      </x:c>
      <x:c r="AA48" s="213">
        <x:f t="shared" si="5"/>
      </x:c>
      <x:c r="AB48" s="213">
        <x:f t="shared" si="6"/>
      </x:c>
      <x:c r="AC48" s="213">
        <x:f t="shared" si="7"/>
      </x:c>
      <x:c r="AD48" s="214"/>
      <x:c r="AE48" s="216"/>
      <x:c r="AF48" s="222"/>
      <x:c r="AG48" s="222"/>
      <x:c r="AH48" s="222"/>
      <x:c r="AI48" s="222"/>
    </x:row>
    <x:row r="49" ht="81.94999694824219" customHeight="1">
      <x:c r="A49" s="58" t="s">
        <x:v>171</x:v>
      </x:c>
      <x:c r="B49" s="49">
        <x:v>45</x:v>
      </x:c>
      <x:c r="C49" s="49">
        <x:v>1</x:v>
      </x:c>
      <x:c r="D49" s="49">
        <x:v>9</x:v>
      </x:c>
      <x:c r="E49" s="51" t="s">
        <x:v>274</x:v>
      </x:c>
      <x:c r="F49" s="51" t="s">
        <x:v>177</x:v>
      </x:c>
      <x:c r="G49" s="51" t="s">
        <x:v>275</x:v>
      </x:c>
      <x:c r="H49" s="49" t="s">
        <x:v>179</x:v>
      </x:c>
      <x:c r="I49" s="49">
        <x:v>1</x:v>
      </x:c>
      <x:c r="J49" s="51" t="s">
        <x:v>180</x:v>
      </x:c>
      <x:c r="K49" s="51" t="s">
        <x:v>30</x:v>
      </x:c>
      <x:c r="L49" s="49" t="s">
        <x:v>102</x:v>
      </x:c>
      <x:c r="M49" s="49" t="s">
        <x:v>181</x:v>
      </x:c>
      <x:c r="N49" s="52">
        <x:f t="shared" si="17"/>
        <x:v>4.6122685185185183E-2</x:v>
      </x:c>
      <x:c r="O49" s="53" t="s">
        <x:v>276</x:v>
      </x:c>
      <x:c r="P49" s="54" t="n">
        <x:f>P48+6</x:f>
        <x:v>273</x:v>
      </x:c>
      <x:c r="Q49" s="55">
        <x:v>6</x:v>
      </x:c>
      <x:c r="R49" s="56">
        <x:f t="shared" si="0"/>
        <x:v>2276.8199999999997</x:v>
      </x:c>
      <x:c r="S49" s="53"/>
      <x:c r="T49" s="53"/>
      <x:c r="U49" s="53"/>
      <x:c r="V49" s="53"/>
      <x:c r="W49" s="178"/>
      <x:c r="X49" s="204"/>
      <x:c r="Y49" s="213"/>
      <x:c r="Z49" s="213"/>
      <x:c r="AA49" s="213"/>
      <x:c r="AB49" s="213"/>
      <x:c r="AC49" s="213"/>
      <x:c r="AD49" s="214"/>
      <x:c r="AE49" s="216"/>
      <x:c r="AF49" s="222"/>
      <x:c r="AG49" s="222"/>
      <x:c r="AH49" s="222"/>
      <x:c r="AI49" s="222"/>
    </x:row>
    <x:row r="50" ht="81.94999694824219" customHeight="1">
      <x:c r="A50" s="58" t="s">
        <x:v>171</x:v>
      </x:c>
      <x:c r="B50" s="49">
        <x:v>46</x:v>
      </x:c>
      <x:c r="C50" s="49">
        <x:v>2</x:v>
      </x:c>
      <x:c r="D50" s="49">
        <x:v>9</x:v>
      </x:c>
      <x:c r="E50" s="51" t="s">
        <x:v>277</x:v>
      </x:c>
      <x:c r="F50" s="51" t="s">
        <x:v>151</x:v>
      </x:c>
      <x:c r="G50" s="51" t="s">
        <x:v>278</x:v>
      </x:c>
      <x:c r="H50" s="49" t="s">
        <x:v>279</x:v>
      </x:c>
      <x:c r="I50" s="49">
        <x:v>3</x:v>
      </x:c>
      <x:c r="J50" s="51" t="s">
        <x:v>154</x:v>
      </x:c>
      <x:c r="K50" s="51" t="s">
        <x:v>30</x:v>
      </x:c>
      <x:c r="L50" s="49" t="s">
        <x:v>280</x:v>
      </x:c>
      <x:c r="M50" s="49" t="s">
        <x:v>155</x:v>
      </x:c>
      <x:c r="N50" s="52">
        <x:f t="shared" si="17"/>
        <x:v>4.7222222222222221E-2</x:v>
      </x:c>
      <x:c r="O50" s="53" t="s">
        <x:v>276</x:v>
      </x:c>
      <x:c r="P50" s="54" t="n">
        <x:f>P49+8</x:f>
        <x:v>281</x:v>
      </x:c>
      <x:c r="Q50" s="55">
        <x:v>8</x:v>
      </x:c>
      <x:c r="R50" s="56">
        <x:f t="shared" si="0"/>
        <x:v>2410.98</x:v>
      </x:c>
      <x:c r="S50" s="53"/>
      <x:c r="T50" s="53"/>
      <x:c r="U50" s="53"/>
      <x:c r="V50" s="53"/>
      <x:c r="W50" s="178"/>
      <x:c r="X50" s="204">
        <x:f t="shared" si="8"/>
      </x:c>
      <x:c r="Y50" s="213">
        <x:f t="shared" ref="Y50" si="28">W50*0.6</x:f>
      </x:c>
      <x:c r="Z50" s="213">
        <x:f t="shared" ref="Z50" si="29">W50*0.5</x:f>
      </x:c>
      <x:c r="AA50" s="213">
        <x:f t="shared" ref="AA50" si="30">(IFERROR(VALUE(LEFT(AC50,FIND("분",AC50)-1))*60,0)+IFERROR(VALUE(MID(AC50,IFERROR(FIND("분",AC50),0)+1,FIND("초",AC50)-IFERROR(FIND("분",AC50),0)-1)),0))/86400*2</x:f>
      </x:c>
      <x:c r="AB50" s="213">
        <x:f t="shared" si="6"/>
      </x:c>
      <x:c r="AC50" s="213">
        <x:f t="shared" ref="AC50" si="31">L50</x:f>
      </x:c>
      <x:c r="AD50" s="214"/>
      <x:c r="AE50" s="216"/>
      <x:c r="AF50" s="222"/>
      <x:c r="AG50" s="222"/>
      <x:c r="AH50" s="222"/>
      <x:c r="AI50" s="222"/>
    </x:row>
    <x:row r="51" ht="81.94999694824219" customHeight="1">
      <x:c r="A51" s="58" t="s">
        <x:v>171</x:v>
      </x:c>
      <x:c r="B51" s="49">
        <x:v>47</x:v>
      </x:c>
      <x:c r="C51" s="49">
        <x:v>2</x:v>
      </x:c>
      <x:c r="D51" s="49">
        <x:v>5</x:v>
      </x:c>
      <x:c r="E51" s="51" t="s">
        <x:v>281</x:v>
      </x:c>
      <x:c r="F51" s="51" t="s">
        <x:v>56</x:v>
      </x:c>
      <x:c r="G51" s="51" t="s">
        <x:v>282</x:v>
      </x:c>
      <x:c r="H51" s="49" t="s">
        <x:v>146</x:v>
      </x:c>
      <x:c r="I51" s="49">
        <x:v>1</x:v>
      </x:c>
      <x:c r="J51" s="51" t="s">
        <x:v>283</x:v>
      </x:c>
      <x:c r="K51" s="51" t="s">
        <x:v>30</x:v>
      </x:c>
      <x:c r="L51" s="49" t="s">
        <x:v>107</x:v>
      </x:c>
      <x:c r="M51" s="49" t="s">
        <x:v>61</x:v>
      </x:c>
      <x:c r="N51" s="52">
        <x:f t="shared" si="17"/>
        <x:v>4.8611111111111112E-2</x:v>
      </x:c>
      <x:c r="O51" s="53" t="s">
        <x:v>284</x:v>
      </x:c>
      <x:c r="P51" s="54" t="n">
        <x:f>P50+7</x:f>
        <x:v>288</x:v>
      </x:c>
      <x:c r="Q51" s="55">
        <x:v>7</x:v>
      </x:c>
      <x:c r="R51" s="56">
        <x:f t="shared" si="0"/>
        <x:v>2531.52</x:v>
      </x:c>
      <x:c r="S51" s="53"/>
      <x:c r="T51" s="53"/>
      <x:c r="U51" s="53"/>
      <x:c r="V51" s="53"/>
      <x:c r="W51" s="178"/>
      <x:c r="X51" s="204"/>
      <x:c r="Y51" s="213"/>
      <x:c r="Z51" s="213"/>
      <x:c r="AA51" s="213"/>
      <x:c r="AB51" s="213"/>
      <x:c r="AC51" s="213"/>
      <x:c r="AD51" s="214"/>
      <x:c r="AE51" s="216"/>
      <x:c r="AF51" s="222"/>
      <x:c r="AG51" s="222"/>
      <x:c r="AH51" s="222"/>
      <x:c r="AI51" s="222"/>
    </x:row>
    <x:row r="52" ht="81.94999694824219" customHeight="1">
      <x:c r="A52" s="58" t="s">
        <x:v>171</x:v>
      </x:c>
      <x:c r="B52" s="49">
        <x:v>48</x:v>
      </x:c>
      <x:c r="C52" s="49">
        <x:v>1</x:v>
      </x:c>
      <x:c r="D52" s="49">
        <x:v>5</x:v>
      </x:c>
      <x:c r="E52" s="51" t="s">
        <x:v>285</x:v>
      </x:c>
      <x:c r="F52" s="51" t="s">
        <x:v>286</x:v>
      </x:c>
      <x:c r="G52" s="51" t="s">
        <x:v>287</x:v>
      </x:c>
      <x:c r="H52" s="49" t="s">
        <x:v>288</x:v>
      </x:c>
      <x:c r="I52" s="49">
        <x:v>1</x:v>
      </x:c>
      <x:c r="J52" s="51" t="s">
        <x:v>289</x:v>
      </x:c>
      <x:c r="K52" s="51" t="s">
        <x:v>30</x:v>
      </x:c>
      <x:c r="L52" s="49" t="s">
        <x:v>84</x:v>
      </x:c>
      <x:c r="M52" s="49" t="s">
        <x:v>290</x:v>
      </x:c>
      <x:c r="N52" s="52">
        <x:f t="shared" si="17"/>
        <x:v>4.9016203703703708E-2</x:v>
      </x:c>
      <x:c r="O52" s="53" t="s">
        <x:v>284</x:v>
      </x:c>
      <x:c r="P52" s="54" t="n">
        <x:f>P51+4</x:f>
        <x:v>292</x:v>
      </x:c>
      <x:c r="Q52" s="55">
        <x:v>4</x:v>
      </x:c>
      <x:c r="R52" s="56">
        <x:f t="shared" si="0"/>
        <x:v>2601.7200000000003</x:v>
      </x:c>
      <x:c r="S52" s="53"/>
      <x:c r="T52" s="53"/>
      <x:c r="U52" s="53"/>
      <x:c r="V52" s="53"/>
      <x:c r="W52" s="178"/>
      <x:c r="X52" s="204">
        <x:f t="shared" si="8"/>
      </x:c>
      <x:c r="Y52" s="213">
        <x:f t="shared" si="26"/>
      </x:c>
      <x:c r="Z52" s="213">
        <x:f t="shared" si="27"/>
      </x:c>
      <x:c r="AA52" s="213">
        <x:f t="shared" si="5"/>
      </x:c>
      <x:c r="AB52" s="213">
        <x:f t="shared" si="6"/>
      </x:c>
      <x:c r="AC52" s="213">
        <x:f t="shared" si="7"/>
      </x:c>
      <x:c r="AD52" s="214"/>
      <x:c r="AE52" s="216"/>
      <x:c r="AF52" s="222"/>
      <x:c r="AG52" s="222"/>
      <x:c r="AH52" s="222"/>
      <x:c r="AI52" s="222"/>
    </x:row>
    <x:row r="53" ht="81.94999694824219" customHeight="1">
      <x:c r="A53" s="59" t="s">
        <x:v>291</x:v>
      </x:c>
      <x:c r="B53" s="49">
        <x:v>49</x:v>
      </x:c>
      <x:c r="C53" s="49">
        <x:v>1</x:v>
      </x:c>
      <x:c r="D53" s="49">
        <x:v>6</x:v>
      </x:c>
      <x:c r="E53" s="50" t="s">
        <x:v>292</x:v>
      </x:c>
      <x:c r="F53" s="51" t="s">
        <x:v>293</x:v>
      </x:c>
      <x:c r="G53" s="51" t="s">
        <x:v>294</x:v>
      </x:c>
      <x:c r="H53" s="49" t="s">
        <x:v>295</x:v>
      </x:c>
      <x:c r="I53" s="49">
        <x:v>2</x:v>
      </x:c>
      <x:c r="J53" s="51" t="s">
        <x:v>296</x:v>
      </x:c>
      <x:c r="K53" s="51" t="s">
        <x:v>30</x:v>
      </x:c>
      <x:c r="L53" s="49" t="s">
        <x:v>53</x:v>
      </x:c>
      <x:c r="M53" s="49" t="s">
        <x:v>297</x:v>
      </x:c>
      <x:c r="N53" s="52">
        <x:f t="shared" si="17"/>
        <x:v>4.9479166666666671E-2</x:v>
      </x:c>
      <x:c r="O53" s="53" t="s">
        <x:v>298</x:v>
      </x:c>
      <x:c r="P53" s="54" t="n">
        <x:f>P52+4</x:f>
        <x:v>296</x:v>
      </x:c>
      <x:c r="Q53" s="55">
        <x:v>4</x:v>
      </x:c>
      <x:c r="R53" s="56">
        <x:f t="shared" si="0"/>
        <x:v>2672.8799999999997</x:v>
      </x:c>
      <x:c r="S53" s="53"/>
      <x:c r="T53" s="53"/>
      <x:c r="U53" s="53"/>
      <x:c r="V53" s="53"/>
      <x:c r="W53" s="178"/>
      <x:c r="X53" s="204"/>
      <x:c r="Y53" s="213"/>
      <x:c r="Z53" s="213"/>
      <x:c r="AA53" s="213"/>
      <x:c r="AB53" s="213"/>
      <x:c r="AC53" s="213"/>
      <x:c r="AD53" s="214"/>
      <x:c r="AE53" s="216"/>
      <x:c r="AF53" s="222"/>
      <x:c r="AG53" s="222"/>
      <x:c r="AH53" s="222"/>
      <x:c r="AI53" s="222"/>
    </x:row>
    <x:row r="54" ht="81.94999694824219" customHeight="1">
      <x:c r="A54" s="59" t="s">
        <x:v>291</x:v>
      </x:c>
      <x:c r="B54" s="49">
        <x:v>50</x:v>
      </x:c>
      <x:c r="C54" s="49">
        <x:v>2</x:v>
      </x:c>
      <x:c r="D54" s="49">
        <x:v>8</x:v>
      </x:c>
      <x:c r="E54" s="51" t="s">
        <x:v>299</x:v>
      </x:c>
      <x:c r="F54" s="51" t="s">
        <x:v>42</x:v>
      </x:c>
      <x:c r="G54" s="51" t="s">
        <x:v>43</x:v>
      </x:c>
      <x:c r="H54" s="49" t="s">
        <x:v>300</x:v>
      </x:c>
      <x:c r="I54" s="49">
        <x:v>3</x:v>
      </x:c>
      <x:c r="J54" s="51" t="s">
        <x:v>301</x:v>
      </x:c>
      <x:c r="K54" s="51" t="s">
        <x:v>30</x:v>
      </x:c>
      <x:c r="L54" s="49" t="s">
        <x:v>143</x:v>
      </x:c>
      <x:c r="M54" s="49" t="s">
        <x:v>47</x:v>
      </x:c>
      <x:c r="N54" s="52">
        <x:f t="shared" si="17"/>
        <x:v>5.0289351851851856E-2</x:v>
      </x:c>
      <x:c r="O54" s="53" t="s">
        <x:v>298</x:v>
      </x:c>
      <x:c r="P54" s="54" t="n">
        <x:f>P53+7</x:f>
        <x:v>303</x:v>
      </x:c>
      <x:c r="Q54" s="55">
        <x:v>7</x:v>
      </x:c>
      <x:c r="R54" s="56">
        <x:f t="shared" si="0"/>
        <x:v>2799.72</x:v>
      </x:c>
      <x:c r="S54" s="53"/>
      <x:c r="T54" s="53"/>
      <x:c r="U54" s="53"/>
      <x:c r="V54" s="53"/>
      <x:c r="W54" s="178"/>
      <x:c r="X54" s="204">
        <x:f t="shared" si="8"/>
      </x:c>
      <x:c r="Y54" s="213">
        <x:f t="shared" si="26"/>
      </x:c>
      <x:c r="Z54" s="213">
        <x:f t="shared" si="27"/>
      </x:c>
      <x:c r="AA54" s="213">
        <x:f t="shared" si="5"/>
      </x:c>
      <x:c r="AB54" s="213">
        <x:f t="shared" si="6"/>
      </x:c>
      <x:c r="AC54" s="213">
        <x:f t="shared" si="7"/>
      </x:c>
      <x:c r="AD54" s="214"/>
      <x:c r="AE54" s="216"/>
      <x:c r="AF54" s="222"/>
      <x:c r="AG54" s="222"/>
      <x:c r="AH54" s="222"/>
      <x:c r="AI54" s="222"/>
    </x:row>
    <x:row r="55" ht="81.94999694824219" customHeight="1">
      <x:c r="A55" s="59" t="s">
        <x:v>291</x:v>
      </x:c>
      <x:c r="B55" s="49">
        <x:v>51</x:v>
      </x:c>
      <x:c r="C55" s="49">
        <x:v>3</x:v>
      </x:c>
      <x:c r="D55" s="49">
        <x:v>7</x:v>
      </x:c>
      <x:c r="E55" s="51" t="s">
        <x:v>302</x:v>
      </x:c>
      <x:c r="F55" s="51" t="s">
        <x:v>303</x:v>
      </x:c>
      <x:c r="G55" s="51" t="s">
        <x:v>304</x:v>
      </x:c>
      <x:c r="H55" s="49" t="s">
        <x:v>305</x:v>
      </x:c>
      <x:c r="I55" s="49">
        <x:v>5</x:v>
      </x:c>
      <x:c r="J55" s="51" t="s">
        <x:v>306</x:v>
      </x:c>
      <x:c r="K55" s="51" t="s">
        <x:v>307</x:v>
      </x:c>
      <x:c r="L55" s="49" t="s">
        <x:v>107</x:v>
      </x:c>
      <x:c r="M55" s="49" t="s">
        <x:v>308</x:v>
      </x:c>
      <x:c r="N55" s="52">
        <x:f t="shared" si="17"/>
        <x:v>5.1678240740740747E-2</x:v>
      </x:c>
      <x:c r="O55" s="53" t="s">
        <x:v>298</x:v>
      </x:c>
      <x:c r="P55" s="54" t="n">
        <x:f>P54+8</x:f>
        <x:v>311</x:v>
      </x:c>
      <x:c r="Q55" s="55">
        <x:v>8</x:v>
      </x:c>
      <x:c r="R55" s="56">
        <x:f t="shared" si="0"/>
        <x:v>2948.28</x:v>
      </x:c>
      <x:c r="S55" s="53"/>
      <x:c r="T55" s="53"/>
      <x:c r="U55" s="53"/>
      <x:c r="V55" s="53"/>
      <x:c r="W55" s="178"/>
      <x:c r="X55" s="204">
        <x:f t="shared" si="8"/>
      </x:c>
      <x:c r="Y55" s="213">
        <x:f t="shared" si="26"/>
      </x:c>
      <x:c r="Z55" s="213">
        <x:f t="shared" si="27"/>
      </x:c>
      <x:c r="AA55" s="213">
        <x:f t="shared" si="5"/>
      </x:c>
      <x:c r="AB55" s="213">
        <x:f t="shared" si="6"/>
      </x:c>
      <x:c r="AC55" s="213">
        <x:f t="shared" si="7"/>
      </x:c>
      <x:c r="AD55" s="214"/>
      <x:c r="AE55" s="216"/>
      <x:c r="AF55" s="222"/>
      <x:c r="AG55" s="222"/>
      <x:c r="AH55" s="222"/>
      <x:c r="AI55" s="222"/>
    </x:row>
    <x:row r="56" ht="81.94999694824219" customHeight="1">
      <x:c r="A56" s="59" t="s">
        <x:v>291</x:v>
      </x:c>
      <x:c r="B56" s="49">
        <x:v>52</x:v>
      </x:c>
      <x:c r="C56" s="49">
        <x:v>4</x:v>
      </x:c>
      <x:c r="D56" s="49">
        <x:v>9</x:v>
      </x:c>
      <x:c r="E56" s="51" t="s">
        <x:v>309</x:v>
      </x:c>
      <x:c r="F56" s="51" t="s">
        <x:v>310</x:v>
      </x:c>
      <x:c r="G56" s="51" t="s">
        <x:v>311</x:v>
      </x:c>
      <x:c r="H56" s="49" t="s">
        <x:v>312</x:v>
      </x:c>
      <x:c r="I56" s="49">
        <x:v>3</x:v>
      </x:c>
      <x:c r="J56" s="51" t="s">
        <x:v>313</x:v>
      </x:c>
      <x:c r="K56" s="51" t="s">
        <x:v>314</x:v>
      </x:c>
      <x:c r="L56" s="49" t="s">
        <x:v>211</x:v>
      </x:c>
      <x:c r="M56" s="49" t="s">
        <x:v>315</x:v>
      </x:c>
      <x:c r="N56" s="52">
        <x:f t="shared" si="17"/>
        <x:v>5.3530092592592601E-2</x:v>
      </x:c>
      <x:c r="O56" s="53" t="s">
        <x:v>298</x:v>
      </x:c>
      <x:c r="P56" s="54" t="n">
        <x:f>P55+10</x:f>
        <x:v>321</x:v>
      </x:c>
      <x:c r="Q56" s="55">
        <x:v>10</x:v>
      </x:c>
      <x:c r="R56" s="56">
        <x:f t="shared" si="0"/>
        <x:v>3139.3799999999997</x:v>
      </x:c>
      <x:c r="S56" s="53"/>
      <x:c r="T56" s="53"/>
      <x:c r="U56" s="53"/>
      <x:c r="V56" s="53"/>
      <x:c r="W56" s="178" t="str">
        <x:v>가족 고립 시간·위험 구역 진입·재시도 횟수·클리어 시간</x:v>
      </x:c>
      <x:c r="X56" s="204" t="n">
        <x:f t="shared" si="8"/>
        <x:v>40</x:v>
      </x:c>
      <x:c r="Y56" s="213" t="n">
        <x:f t="shared" ref="Y56" si="32">$X56*1.2</x:f>
        <x:v>48</x:v>
      </x:c>
      <x:c r="Z56" s="213" t="n">
        <x:f t="shared" ref="Z56" si="33">$X56*1.0</x:f>
        <x:v>40</x:v>
      </x:c>
      <x:c r="AA56" s="213" t="n">
        <x:f t="shared" si="5">$X56*0.85</x:f>
        <x:v>34</x:v>
      </x:c>
      <x:c r="AB56" s="213" t="n">
        <x:f t="shared" si="6">$X56*0.7</x:f>
        <x:v>28</x:v>
      </x:c>
      <x:c r="AC56" s="213" t="n">
        <x:f t="shared" si="7">$X56*0.55</x:f>
        <x:v>22</x:v>
      </x:c>
      <x:c r="AD56" s="214" t="n">
        <x:f>$X56*0.4</x:f>
        <x:v>16</x:v>
      </x:c>
      <x:c r="AE56" s="216" t="n">
        <x:f>$X56*0.0</x:f>
        <x:v>0</x:v>
      </x:c>
      <x:c r="AF56" s="222" t="n">
        <x:f>(IFERROR(VALUE(LEFT($L56,FIND("분",$L56)-1))*60,0)+IFERROR(VALUE(TRIM(MID($L56,IFERROR(FIND("분",$L56),0)+1,FIND("초",$L56)-IFERROR(FIND("분",$L56),0)-1))),0))/86400</x:f>
        <x:v>0.001851851851851852</x:v>
      </x:c>
      <x:c r="AG56" s="222" t="n">
        <x:f>(IFERROR(VALUE(LEFT($L56,FIND("분",$L56)-1))*60,0)+IFERROR(VALUE(TRIM(MID($L56,IFERROR(FIND("분",$L56),0)+1,FIND("초",$L56)-IFERROR(FIND("분",$L56),0)-1))),0))/86400*2.0</x:f>
        <x:v>0.003703703703703704</x:v>
      </x:c>
      <x:c r="AH56" s="222" t="n">
        <x:f>(IFERROR(VALUE(LEFT($L56,FIND("분",$L56)-1))*60,0)+IFERROR(VALUE(TRIM(MID($L56,IFERROR(FIND("분",$L56),0)+1,FIND("초",$L56)-IFERROR(FIND("분",$L56),0)-1))),0))/86400*1.4</x:f>
        <x:v>0.0025925925925925925</x:v>
      </x:c>
      <x:c r="AI56" s="222" t="n">
        <x:f>(IFERROR(VALUE(LEFT($L56,FIND("분",$L56)-1))*60,0)+IFERROR(VALUE(TRIM(MID($L56,IFERROR(FIND("분",$L56),0)+1,FIND("초",$L56)-IFERROR(FIND("분",$L56),0)-1))),0))/86400</x:f>
        <x:v>0.001851851851851852</x:v>
      </x:c>
    </x:row>
    <x:row r="57" ht="81.94999694824219" customHeight="1">
      <x:c r="A57" s="59" t="s">
        <x:v>291</x:v>
      </x:c>
      <x:c r="B57" s="49">
        <x:v>53</x:v>
      </x:c>
      <x:c r="C57" s="49">
        <x:v>4</x:v>
      </x:c>
      <x:c r="D57" s="49">
        <x:v>8</x:v>
      </x:c>
      <x:c r="E57" s="51" t="s">
        <x:v>316</x:v>
      </x:c>
      <x:c r="F57" s="51" t="s">
        <x:v>317</x:v>
      </x:c>
      <x:c r="G57" s="51" t="s">
        <x:v>318</x:v>
      </x:c>
      <x:c r="H57" s="49" t="s">
        <x:v>319</x:v>
      </x:c>
      <x:c r="I57" s="49">
        <x:v>1</x:v>
      </x:c>
      <x:c r="J57" s="51" t="s">
        <x:v>320</x:v>
      </x:c>
      <x:c r="K57" s="51" t="s">
        <x:v>321</x:v>
      </x:c>
      <x:c r="L57" s="49" t="s">
        <x:v>280</x:v>
      </x:c>
      <x:c r="M57" s="49" t="s">
        <x:v>322</x:v>
      </x:c>
      <x:c r="N57" s="52">
        <x:f t="shared" si="17"/>
        <x:v>5.4629629629629639E-2</x:v>
      </x:c>
      <x:c r="O57" s="53" t="s">
        <x:v>323</x:v>
      </x:c>
      <x:c r="P57" s="54" t="n">
        <x:f>P56+8</x:f>
        <x:v>329</x:v>
      </x:c>
      <x:c r="Q57" s="55">
        <x:v>8</x:v>
      </x:c>
      <x:c r="R57" s="56">
        <x:f t="shared" si="0"/>
        <x:v>3296.5799999999995</x:v>
      </x:c>
      <x:c r="S57" s="53"/>
      <x:c r="T57" s="53"/>
      <x:c r="U57" s="53"/>
      <x:c r="V57" s="53"/>
      <x:c r="W57" s="178" t="str">
        <x:v>장애물 피격·낙하·재시도 횟수·클리어 시간</x:v>
      </x:c>
      <x:c r="X57" s="204" t="n">
        <x:v>20</x:v>
      </x:c>
      <x:c r="Y57" s="213" t="n">
        <x:f>$X57*1.2</x:f>
        <x:v>24</x:v>
      </x:c>
      <x:c r="Z57" s="213" t="n">
        <x:f>$X57*1.0</x:f>
        <x:v>20</x:v>
      </x:c>
      <x:c r="AA57" s="213" t="n">
        <x:f>$X57*0.85</x:f>
        <x:v>17</x:v>
      </x:c>
      <x:c r="AB57" s="213" t="n">
        <x:f>$X57*0.7</x:f>
        <x:v>14</x:v>
      </x:c>
      <x:c r="AC57" s="213" t="n">
        <x:f>$X57*0.55</x:f>
        <x:v>11</x:v>
      </x:c>
      <x:c r="AD57" s="214" t="n">
        <x:f>$X57*0.4</x:f>
        <x:v>8</x:v>
      </x:c>
      <x:c r="AE57" s="216" t="n">
        <x:f>$X57*0.0</x:f>
        <x:v>0</x:v>
      </x:c>
      <x:c r="AF57" s="222" t="n">
        <x:f>(IFERROR(VALUE(LEFT($L57,FIND("분",$L57)-1))*60,0)+IFERROR(VALUE(TRIM(MID($L57,IFERROR(FIND("분",$L57),0)+1,FIND("초",$L57)-IFERROR(FIND("분",$L57),0)-1))),0))/86400</x:f>
        <x:v>0.001099537037037037</x:v>
      </x:c>
      <x:c r="AG57" s="222" t="n">
        <x:f>(IFERROR(VALUE(LEFT($L57,FIND("분",$L57)-1))*60,0)+IFERROR(VALUE(TRIM(MID($L57,IFERROR(FIND("분",$L57),0)+1,FIND("초",$L57)-IFERROR(FIND("분",$L57),0)-1))),0))/86400*2.0</x:f>
        <x:v>0.002199074074074074</x:v>
      </x:c>
      <x:c r="AH57" s="222" t="n">
        <x:f>(IFERROR(VALUE(LEFT($L57,FIND("분",$L57)-1))*60,0)+IFERROR(VALUE(TRIM(MID($L57,IFERROR(FIND("분",$L57),0)+1,FIND("초",$L57)-IFERROR(FIND("분",$L57),0)-1))),0))/86400*1.4</x:f>
        <x:v>0.0015393518518518519</x:v>
      </x:c>
      <x:c r="AI57" s="222" t="n">
        <x:f>(IFERROR(VALUE(LEFT($L57,FIND("분",$L57)-1))*60,0)+IFERROR(VALUE(TRIM(MID($L57,IFERROR(FIND("분",$L57),0)+1,FIND("초",$L57)-IFERROR(FIND("분",$L57),0)-1))),0))/86400</x:f>
        <x:v>0.001099537037037037</x:v>
      </x:c>
    </x:row>
    <x:row r="58" ht="81.94999694824219" customHeight="1">
      <x:c r="A58" s="59" t="s">
        <x:v>291</x:v>
      </x:c>
      <x:c r="B58" s="49">
        <x:v>54</x:v>
      </x:c>
      <x:c r="C58" s="49">
        <x:v>5</x:v>
      </x:c>
      <x:c r="D58" s="49">
        <x:v>9</x:v>
      </x:c>
      <x:c r="E58" s="51" t="s">
        <x:v>324</x:v>
      </x:c>
      <x:c r="F58" s="51" t="s">
        <x:v>325</x:v>
      </x:c>
      <x:c r="G58" s="51" t="s">
        <x:v>326</x:v>
      </x:c>
      <x:c r="H58" s="49" t="s">
        <x:v>327</x:v>
      </x:c>
      <x:c r="I58" s="49">
        <x:v>3</x:v>
      </x:c>
      <x:c r="J58" s="51" t="s">
        <x:v>328</x:v>
      </x:c>
      <x:c r="K58" s="51" t="s">
        <x:v>329</x:v>
      </x:c>
      <x:c r="L58" s="49" t="s">
        <x:v>206</x:v>
      </x:c>
      <x:c r="M58" s="49" t="s">
        <x:v>330</x:v>
      </x:c>
      <x:c r="N58" s="52">
        <x:f t="shared" si="17"/>
        <x:v>5.6712962962962972E-2</x:v>
      </x:c>
      <x:c r="O58" s="53" t="s">
        <x:v>323</x:v>
      </x:c>
      <x:c r="P58" s="54" t="n">
        <x:f>P57+11</x:f>
        <x:v>340</x:v>
      </x:c>
      <x:c r="Q58" s="55">
        <x:v>11</x:v>
      </x:c>
      <x:c r="R58" s="56">
        <x:f t="shared" si="0"/>
        <x:v>3518.9999999999995</x:v>
      </x:c>
      <x:c r="S58" s="53"/>
      <x:c r="T58" s="53"/>
      <x:c r="U58" s="53"/>
      <x:c r="V58" s="53"/>
      <x:c r="W58" s="178" t="str">
        <x:v>구조 대상 피해·구조 실패·재시도 횟수·클리어 시간</x:v>
      </x:c>
      <x:c r="X58" s="204" t="n">
        <x:f t="shared" si="8"/>
        <x:v>40</x:v>
      </x:c>
      <x:c r="Y58" s="213" t="n">
        <x:f t="shared" ref="Y58:Y63" si="34">$X58*1.2</x:f>
        <x:v>48</x:v>
      </x:c>
      <x:c r="Z58" s="213" t="n">
        <x:f t="shared" ref="Z58:Z63" si="35">$X58*1.0</x:f>
        <x:v>40</x:v>
      </x:c>
      <x:c r="AA58" s="213" t="n">
        <x:f t="shared" si="5">$X58*0.85</x:f>
        <x:v>34</x:v>
      </x:c>
      <x:c r="AB58" s="213" t="n">
        <x:f t="shared" si="6">$X58*0.7</x:f>
        <x:v>28</x:v>
      </x:c>
      <x:c r="AC58" s="213" t="n">
        <x:f t="shared" si="7">$X58*0.55</x:f>
        <x:v>22</x:v>
      </x:c>
      <x:c r="AD58" s="214" t="n">
        <x:f>$X58*0.4</x:f>
        <x:v>16</x:v>
      </x:c>
      <x:c r="AE58" s="216" t="n">
        <x:f>$X58*0.0</x:f>
        <x:v>0</x:v>
      </x:c>
      <x:c r="AF58" s="222" t="n">
        <x:f>(IFERROR(VALUE(LEFT($L58,FIND("분",$L58)-1))*60,0)+IFERROR(VALUE(TRIM(MID($L58,IFERROR(FIND("분",$L58),0)+1,FIND("초",$L58)-IFERROR(FIND("분",$L58),0)-1))),0))/86400</x:f>
        <x:v>0.0020833333333333333</x:v>
      </x:c>
      <x:c r="AG58" s="222" t="n">
        <x:f>(IFERROR(VALUE(LEFT($L58,FIND("분",$L58)-1))*60,0)+IFERROR(VALUE(TRIM(MID($L58,IFERROR(FIND("분",$L58),0)+1,FIND("초",$L58)-IFERROR(FIND("분",$L58),0)-1))),0))/86400*2.0</x:f>
        <x:v>0.004166666666666667</x:v>
      </x:c>
      <x:c r="AH58" s="222" t="n">
        <x:f>(IFERROR(VALUE(LEFT($L58,FIND("분",$L58)-1))*60,0)+IFERROR(VALUE(TRIM(MID($L58,IFERROR(FIND("분",$L58),0)+1,FIND("초",$L58)-IFERROR(FIND("분",$L58),0)-1))),0))/86400*1.4</x:f>
        <x:v>0.0029166666666666664</x:v>
      </x:c>
      <x:c r="AI58" s="222" t="n">
        <x:f>(IFERROR(VALUE(LEFT($L58,FIND("분",$L58)-1))*60,0)+IFERROR(VALUE(TRIM(MID($L58,IFERROR(FIND("분",$L58),0)+1,FIND("초",$L58)-IFERROR(FIND("분",$L58),0)-1))),0))/86400</x:f>
        <x:v>0.0020833333333333333</x:v>
      </x:c>
    </x:row>
    <x:row r="59" ht="81.94999694824219" customHeight="1">
      <x:c r="A59" s="59" t="s">
        <x:v>291</x:v>
      </x:c>
      <x:c r="B59" s="49">
        <x:v>55</x:v>
      </x:c>
      <x:c r="C59" s="49">
        <x:v>5</x:v>
      </x:c>
      <x:c r="D59" s="49">
        <x:v>9</x:v>
      </x:c>
      <x:c r="E59" s="51" t="s">
        <x:v>331</x:v>
      </x:c>
      <x:c r="F59" s="51" t="s">
        <x:v>332</x:v>
      </x:c>
      <x:c r="G59" s="51" t="s">
        <x:v>333</x:v>
      </x:c>
      <x:c r="H59" s="49" t="s">
        <x:v>334</x:v>
      </x:c>
      <x:c r="I59" s="49">
        <x:v>1</x:v>
      </x:c>
      <x:c r="J59" s="51" t="s">
        <x:v>335</x:v>
      </x:c>
      <x:c r="K59" s="51" t="s">
        <x:v>336</x:v>
      </x:c>
      <x:c r="L59" s="49" t="s">
        <x:v>223</x:v>
      </x:c>
      <x:c r="M59" s="49" t="s">
        <x:v>337</x:v>
      </x:c>
      <x:c r="N59" s="52">
        <x:f t="shared" si="17"/>
        <x:v>5.8333333333333341E-2</x:v>
      </x:c>
      <x:c r="O59" s="53" t="s">
        <x:v>323</x:v>
      </x:c>
      <x:c r="P59" s="54" t="n">
        <x:f>P58+10</x:f>
        <x:v>350</x:v>
      </x:c>
      <x:c r="Q59" s="55">
        <x:v>10</x:v>
      </x:c>
      <x:c r="R59" s="56">
        <x:f t="shared" si="0"/>
        <x:v>3727.5</x:v>
      </x:c>
      <x:c r="S59" s="53"/>
      <x:c r="T59" s="53"/>
      <x:c r="U59" s="53"/>
      <x:c r="V59" s="53"/>
      <x:c r="W59" s="178" t="str">
        <x:v>남은 시간·피격 횟수·재시도 횟수·클리어 시간</x:v>
      </x:c>
      <x:c r="X59" s="204" t="n">
        <x:v>40</x:v>
      </x:c>
      <x:c r="Y59" s="213" t="n">
        <x:f>$X59*1.2</x:f>
        <x:v>48</x:v>
      </x:c>
      <x:c r="Z59" s="213" t="n">
        <x:f>$X59*1.0</x:f>
        <x:v>40</x:v>
      </x:c>
      <x:c r="AA59" s="213" t="n">
        <x:f>$X59*0.85</x:f>
        <x:v>34</x:v>
      </x:c>
      <x:c r="AB59" s="213" t="n">
        <x:f>$X59*0.7</x:f>
        <x:v>28</x:v>
      </x:c>
      <x:c r="AC59" s="213" t="n">
        <x:f>$X59*0.55</x:f>
        <x:v>22</x:v>
      </x:c>
      <x:c r="AD59" s="214" t="n">
        <x:f>$X59*0.4</x:f>
        <x:v>16</x:v>
      </x:c>
      <x:c r="AE59" s="216" t="n">
        <x:f>$X59*0.0</x:f>
        <x:v>0</x:v>
      </x:c>
      <x:c r="AF59" s="222" t="n">
        <x:f>(IFERROR(VALUE(LEFT($L59,FIND("분",$L59)-1))*60,0)+IFERROR(VALUE(TRIM(MID($L59,IFERROR(FIND("분",$L59),0)+1,FIND("초",$L59)-IFERROR(FIND("분",$L59),0)-1))),0))/86400</x:f>
        <x:v>0.0016203703703703703</x:v>
      </x:c>
      <x:c r="AG59" s="222" t="n">
        <x:f>(IFERROR(VALUE(LEFT($L59,FIND("분",$L59)-1))*60,0)+IFERROR(VALUE(TRIM(MID($L59,IFERROR(FIND("분",$L59),0)+1,FIND("초",$L59)-IFERROR(FIND("분",$L59),0)-1))),0))/86400*2.0</x:f>
        <x:v>0.0032407407407407406</x:v>
      </x:c>
      <x:c r="AH59" s="222" t="n">
        <x:f>(IFERROR(VALUE(LEFT($L59,FIND("분",$L59)-1))*60,0)+IFERROR(VALUE(TRIM(MID($L59,IFERROR(FIND("분",$L59),0)+1,FIND("초",$L59)-IFERROR(FIND("분",$L59),0)-1))),0))/86400*1.4</x:f>
        <x:v>0.0022685185185185182</x:v>
      </x:c>
      <x:c r="AI59" s="222" t="n">
        <x:f>(IFERROR(VALUE(LEFT($L59,FIND("분",$L59)-1))*60,0)+IFERROR(VALUE(TRIM(MID($L59,IFERROR(FIND("분",$L59),0)+1,FIND("초",$L59)-IFERROR(FIND("분",$L59),0)-1))),0))/86400</x:f>
        <x:v>0.0016203703703703703</x:v>
      </x:c>
    </x:row>
    <x:row r="60" ht="81.94999694824219" customHeight="1">
      <x:c r="A60" s="59" t="s">
        <x:v>291</x:v>
      </x:c>
      <x:c r="B60" s="49">
        <x:v>56</x:v>
      </x:c>
      <x:c r="C60" s="49">
        <x:v>4</x:v>
      </x:c>
      <x:c r="D60" s="49">
        <x:v>8</x:v>
      </x:c>
      <x:c r="E60" s="51" t="s">
        <x:v>338</x:v>
      </x:c>
      <x:c r="F60" s="51" t="s">
        <x:v>56</x:v>
      </x:c>
      <x:c r="G60" s="51" t="s">
        <x:v>339</x:v>
      </x:c>
      <x:c r="H60" s="49" t="s">
        <x:v>340</x:v>
      </x:c>
      <x:c r="I60" s="49">
        <x:v>1</x:v>
      </x:c>
      <x:c r="J60" s="51" t="s">
        <x:v>341</x:v>
      </x:c>
      <x:c r="K60" s="51" t="s">
        <x:v>30</x:v>
      </x:c>
      <x:c r="L60" s="49" t="s">
        <x:v>148</x:v>
      </x:c>
      <x:c r="M60" s="49" t="s">
        <x:v>61</x:v>
      </x:c>
      <x:c r="N60" s="52">
        <x:f t="shared" si="17"/>
        <x:v>6.0069444444444453E-2</x:v>
      </x:c>
      <x:c r="O60" s="53" t="s">
        <x:v>323</x:v>
      </x:c>
      <x:c r="P60" s="54" t="n">
        <x:f>P59+9</x:f>
        <x:v>359</x:v>
      </x:c>
      <x:c r="Q60" s="55">
        <x:v>9</x:v>
      </x:c>
      <x:c r="R60" s="56">
        <x:f t="shared" si="0"/>
        <x:v>3920.2799999999997</x:v>
      </x:c>
      <x:c r="S60" s="53"/>
      <x:c r="T60" s="53"/>
      <x:c r="U60" s="53"/>
      <x:c r="V60" s="53"/>
      <x:c r="W60" s="178"/>
      <x:c r="X60" s="204"/>
      <x:c r="Y60" s="213"/>
      <x:c r="Z60" s="213"/>
      <x:c r="AA60" s="213"/>
      <x:c r="AB60" s="213"/>
      <x:c r="AC60" s="213"/>
      <x:c r="AD60" s="214"/>
      <x:c r="AE60" s="216"/>
      <x:c r="AF60" s="222"/>
      <x:c r="AG60" s="222"/>
      <x:c r="AH60" s="222"/>
      <x:c r="AI60" s="222"/>
    </x:row>
    <x:row r="61" ht="81.94999694824219" customHeight="1">
      <x:c r="A61" s="59" t="s">
        <x:v>291</x:v>
      </x:c>
      <x:c r="B61" s="49">
        <x:v>57</x:v>
      </x:c>
      <x:c r="C61" s="49">
        <x:v>6</x:v>
      </x:c>
      <x:c r="D61" s="49">
        <x:v>9</x:v>
      </x:c>
      <x:c r="E61" s="51" t="s">
        <x:v>342</x:v>
      </x:c>
      <x:c r="F61" s="51" t="s">
        <x:v>343</x:v>
      </x:c>
      <x:c r="G61" s="51" t="s">
        <x:v>344</x:v>
      </x:c>
      <x:c r="H61" s="49" t="s">
        <x:v>345</x:v>
      </x:c>
      <x:c r="I61" s="49">
        <x:v>4</x:v>
      </x:c>
      <x:c r="J61" s="51" t="s">
        <x:v>346</x:v>
      </x:c>
      <x:c r="K61" s="51" t="s">
        <x:v>347</x:v>
      </x:c>
      <x:c r="L61" s="49" t="s">
        <x:v>148</x:v>
      </x:c>
      <x:c r="M61" s="49" t="s">
        <x:v>348</x:v>
      </x:c>
      <x:c r="N61" s="52">
        <x:f t="shared" si="17"/>
        <x:v>6.1805555555555565E-2</x:v>
      </x:c>
      <x:c r="O61" s="53" t="s">
        <x:v>323</x:v>
      </x:c>
      <x:c r="P61" s="54" t="n">
        <x:f>P60+11</x:f>
        <x:v>370</x:v>
      </x:c>
      <x:c r="Q61" s="55">
        <x:v>11</x:v>
      </x:c>
      <x:c r="R61" s="56">
        <x:f t="shared" si="0"/>
        <x:v>4162.5</x:v>
      </x:c>
      <x:c r="S61" s="53" t="n">
        <x:f>R61/V61</x:f>
        <x:v>4162.5</x:v>
      </x:c>
      <x:c r="T61" s="53">
        <x:v>1</x:v>
      </x:c>
      <x:c r="U61" s="53" t="n">
        <x:f>T61*V61</x:f>
        <x:v>1</x:v>
      </x:c>
      <x:c r="V61" s="53">
        <x:v>1</x:v>
      </x:c>
      <x:c r="W61" s="178" t="str">
        <x:v>피격 횟수·연속 피격·회피 성공률·클리어 시간</x:v>
      </x:c>
      <x:c r="X61" s="204" t="n">
        <x:f t="shared" si="8"/>
        <x:v>40</x:v>
      </x:c>
      <x:c r="Y61" s="213" t="n">
        <x:f t="shared" si="34">$X61*1.2</x:f>
        <x:v>48</x:v>
      </x:c>
      <x:c r="Z61" s="213" t="n">
        <x:f t="shared" si="35">$X61*1.0</x:f>
        <x:v>40</x:v>
      </x:c>
      <x:c r="AA61" s="213" t="n">
        <x:f t="shared" si="5">$X61*0.85</x:f>
        <x:v>34</x:v>
      </x:c>
      <x:c r="AB61" s="213" t="n">
        <x:f t="shared" si="6">$X61*0.7</x:f>
        <x:v>28</x:v>
      </x:c>
      <x:c r="AC61" s="213" t="n">
        <x:f t="shared" si="7">$X61*0.55</x:f>
        <x:v>22</x:v>
      </x:c>
      <x:c r="AD61" s="214" t="n">
        <x:f>$X61*0.4</x:f>
        <x:v>16</x:v>
      </x:c>
      <x:c r="AE61" s="216" t="n">
        <x:f>$X61*0.0</x:f>
        <x:v>0</x:v>
      </x:c>
      <x:c r="AF61" s="222" t="n">
        <x:f>(IFERROR(VALUE(LEFT($L61,FIND("분",$L61)-1))*60,0)+IFERROR(VALUE(TRIM(MID($L61,IFERROR(FIND("분",$L61),0)+1,FIND("초",$L61)-IFERROR(FIND("분",$L61),0)-1))),0))/86400</x:f>
        <x:v>0.001736111111111111</x:v>
      </x:c>
      <x:c r="AG61" s="222" t="n">
        <x:f>(IFERROR(VALUE(LEFT($L61,FIND("분",$L61)-1))*60,0)+IFERROR(VALUE(TRIM(MID($L61,IFERROR(FIND("분",$L61),0)+1,FIND("초",$L61)-IFERROR(FIND("분",$L61),0)-1))),0))/86400*2.0</x:f>
        <x:v>0.003472222222222222</x:v>
      </x:c>
      <x:c r="AH61" s="222" t="n">
        <x:f>(IFERROR(VALUE(LEFT($L61,FIND("분",$L61)-1))*60,0)+IFERROR(VALUE(TRIM(MID($L61,IFERROR(FIND("분",$L61),0)+1,FIND("초",$L61)-IFERROR(FIND("분",$L61),0)-1))),0))/86400*1.4</x:f>
        <x:v>0.002430555555555555</x:v>
      </x:c>
      <x:c r="AI61" s="222" t="n">
        <x:f>(IFERROR(VALUE(LEFT($L61,FIND("분",$L61)-1))*60,0)+IFERROR(VALUE(TRIM(MID($L61,IFERROR(FIND("분",$L61),0)+1,FIND("초",$L61)-IFERROR(FIND("분",$L61),0)-1))),0))/86400</x:f>
        <x:v>0.001736111111111111</x:v>
      </x:c>
    </x:row>
    <x:row r="62" ht="81.94999694824219" customHeight="1">
      <x:c r="A62" s="59" t="s">
        <x:v>291</x:v>
      </x:c>
      <x:c r="B62" s="49">
        <x:v>58</x:v>
      </x:c>
      <x:c r="C62" s="49">
        <x:v>2</x:v>
      </x:c>
      <x:c r="D62" s="49">
        <x:v>8</x:v>
      </x:c>
      <x:c r="E62" s="51" t="s">
        <x:v>349</x:v>
      </x:c>
      <x:c r="F62" s="51" t="s">
        <x:v>42</x:v>
      </x:c>
      <x:c r="G62" s="51" t="s">
        <x:v>43</x:v>
      </x:c>
      <x:c r="H62" s="49" t="s">
        <x:v>300</x:v>
      </x:c>
      <x:c r="I62" s="49">
        <x:v>2</x:v>
      </x:c>
      <x:c r="J62" s="51" t="s">
        <x:v>350</x:v>
      </x:c>
      <x:c r="K62" s="51" t="s">
        <x:v>30</x:v>
      </x:c>
      <x:c r="L62" s="49" t="s">
        <x:v>111</x:v>
      </x:c>
      <x:c r="M62" s="49" t="s">
        <x:v>47</x:v>
      </x:c>
      <x:c r="N62" s="52">
        <x:f t="shared" si="17"/>
        <x:v>6.2731481481481485E-2</x:v>
      </x:c>
      <x:c r="O62" s="53" t="s">
        <x:v>323</x:v>
      </x:c>
      <x:c r="P62" s="54" t="n">
        <x:f>P61+7</x:f>
        <x:v>377</x:v>
      </x:c>
      <x:c r="Q62" s="55">
        <x:v>7</x:v>
      </x:c>
      <x:c r="R62" s="56">
        <x:f t="shared" si="0"/>
        <x:v>4320.42</x:v>
      </x:c>
      <x:c r="S62" s="53"/>
      <x:c r="T62" s="53"/>
      <x:c r="U62" s="53"/>
      <x:c r="V62" s="53"/>
      <x:c r="W62" s="178"/>
      <x:c r="X62" s="204">
        <x:f t="shared" si="8"/>
      </x:c>
      <x:c r="Y62" s="213">
        <x:f t="shared" si="34"/>
      </x:c>
      <x:c r="Z62" s="213">
        <x:f t="shared" si="35"/>
      </x:c>
      <x:c r="AA62" s="213">
        <x:f t="shared" si="5"/>
      </x:c>
      <x:c r="AB62" s="213">
        <x:f t="shared" si="6"/>
      </x:c>
      <x:c r="AC62" s="213">
        <x:f t="shared" si="7"/>
      </x:c>
      <x:c r="AD62" s="214"/>
      <x:c r="AE62" s="216"/>
      <x:c r="AF62" s="222"/>
      <x:c r="AG62" s="222"/>
      <x:c r="AH62" s="222"/>
      <x:c r="AI62" s="222"/>
    </x:row>
    <x:row r="63" ht="81.94999694824219" customHeight="1">
      <x:c r="A63" s="59" t="s">
        <x:v>291</x:v>
      </x:c>
      <x:c r="B63" s="49">
        <x:v>59</x:v>
      </x:c>
      <x:c r="C63" s="49">
        <x:v>3</x:v>
      </x:c>
      <x:c r="D63" s="49">
        <x:v>8</x:v>
      </x:c>
      <x:c r="E63" s="51" t="s">
        <x:v>351</x:v>
      </x:c>
      <x:c r="F63" s="51" t="s">
        <x:v>56</x:v>
      </x:c>
      <x:c r="G63" s="51" t="s">
        <x:v>352</x:v>
      </x:c>
      <x:c r="H63" s="49" t="s">
        <x:v>353</x:v>
      </x:c>
      <x:c r="I63" s="49">
        <x:v>1</x:v>
      </x:c>
      <x:c r="J63" s="51" t="s">
        <x:v>354</x:v>
      </x:c>
      <x:c r="K63" s="51" t="s">
        <x:v>30</x:v>
      </x:c>
      <x:c r="L63" s="49" t="s">
        <x:v>107</x:v>
      </x:c>
      <x:c r="M63" s="49" t="s">
        <x:v>61</x:v>
      </x:c>
      <x:c r="N63" s="52">
        <x:f t="shared" si="17"/>
        <x:v>6.4120370370370369E-2</x:v>
      </x:c>
      <x:c r="O63" s="53" t="s">
        <x:v>355</x:v>
      </x:c>
      <x:c r="P63" s="54" t="n">
        <x:f>P62+8</x:f>
        <x:v>385</x:v>
      </x:c>
      <x:c r="Q63" s="55">
        <x:v>8</x:v>
      </x:c>
      <x:c r="R63" s="56">
        <x:f t="shared" si="0"/>
        <x:v>4504.5</x:v>
      </x:c>
      <x:c r="S63" s="53"/>
      <x:c r="T63" s="53"/>
      <x:c r="U63" s="53"/>
      <x:c r="V63" s="53"/>
      <x:c r="W63" s="178"/>
      <x:c r="X63" s="204">
        <x:f t="shared" si="8"/>
      </x:c>
      <x:c r="Y63" s="213">
        <x:f t="shared" si="34"/>
      </x:c>
      <x:c r="Z63" s="213">
        <x:f t="shared" si="35"/>
      </x:c>
      <x:c r="AA63" s="213">
        <x:f t="shared" si="5"/>
      </x:c>
      <x:c r="AB63" s="213">
        <x:f t="shared" si="6"/>
      </x:c>
      <x:c r="AC63" s="213">
        <x:f t="shared" si="7"/>
      </x:c>
      <x:c r="AD63" s="214"/>
      <x:c r="AE63" s="216"/>
      <x:c r="AF63" s="222"/>
      <x:c r="AG63" s="222"/>
      <x:c r="AH63" s="222"/>
      <x:c r="AI63" s="222"/>
    </x:row>
    <x:row r="64" ht="81.94999694824219" customHeight="1">
      <x:c r="A64" s="59" t="s">
        <x:v>291</x:v>
      </x:c>
      <x:c r="B64" s="49">
        <x:v>60</x:v>
      </x:c>
      <x:c r="C64" s="49">
        <x:v>1</x:v>
      </x:c>
      <x:c r="D64" s="49">
        <x:v>8</x:v>
      </x:c>
      <x:c r="E64" s="51" t="s">
        <x:v>356</x:v>
      </x:c>
      <x:c r="F64" s="51" t="s">
        <x:v>42</x:v>
      </x:c>
      <x:c r="G64" s="51" t="s">
        <x:v>43</x:v>
      </x:c>
      <x:c r="H64" s="49" t="s">
        <x:v>141</x:v>
      </x:c>
      <x:c r="I64" s="49">
        <x:v>2</x:v>
      </x:c>
      <x:c r="J64" s="51" t="s">
        <x:v>357</x:v>
      </x:c>
      <x:c r="K64" s="51" t="s">
        <x:v>30</x:v>
      </x:c>
      <x:c r="L64" s="49" t="s">
        <x:v>95</x:v>
      </x:c>
      <x:c r="M64" s="49" t="s">
        <x:v>47</x:v>
      </x:c>
      <x:c r="N64" s="52">
        <x:f t="shared" si="17"/>
        <x:v>6.5393518518518517E-2</x:v>
      </x:c>
      <x:c r="O64" s="53" t="s">
        <x:v>355</x:v>
      </x:c>
      <x:c r="P64" s="54" t="n">
        <x:f>P63+7</x:f>
        <x:v>392</x:v>
      </x:c>
      <x:c r="Q64" s="55">
        <x:v>7</x:v>
      </x:c>
      <x:c r="R64" s="56">
        <x:f t="shared" si="0"/>
        <x:v>4668.72</x:v>
      </x:c>
      <x:c r="S64" s="53"/>
      <x:c r="T64" s="53"/>
      <x:c r="U64" s="53"/>
      <x:c r="V64" s="53"/>
      <x:c r="W64" s="178"/>
      <x:c r="X64" s="204"/>
      <x:c r="Y64" s="213"/>
      <x:c r="Z64" s="213"/>
      <x:c r="AA64" s="213"/>
      <x:c r="AB64" s="213"/>
      <x:c r="AC64" s="213"/>
      <x:c r="AD64" s="214"/>
      <x:c r="AE64" s="216"/>
      <x:c r="AF64" s="222"/>
      <x:c r="AG64" s="222"/>
      <x:c r="AH64" s="222"/>
      <x:c r="AI64" s="222"/>
    </x:row>
    <x:row r="65" ht="81.94999694824219" customHeight="1">
      <x:c r="A65" s="59" t="s">
        <x:v>291</x:v>
      </x:c>
      <x:c r="B65" s="49">
        <x:v>61</x:v>
      </x:c>
      <x:c r="C65" s="49">
        <x:v>2</x:v>
      </x:c>
      <x:c r="D65" s="49">
        <x:v>8</x:v>
      </x:c>
      <x:c r="E65" s="51" t="s">
        <x:v>358</x:v>
      </x:c>
      <x:c r="F65" s="51" t="s">
        <x:v>359</x:v>
      </x:c>
      <x:c r="G65" s="51" t="s">
        <x:v>360</x:v>
      </x:c>
      <x:c r="H65" s="49" t="s">
        <x:v>361</x:v>
      </x:c>
      <x:c r="I65" s="49">
        <x:v>3</x:v>
      </x:c>
      <x:c r="J65" s="51" t="s">
        <x:v>362</x:v>
      </x:c>
      <x:c r="K65" s="51" t="s">
        <x:v>363</x:v>
      </x:c>
      <x:c r="L65" s="49" t="s">
        <x:v>134</x:v>
      </x:c>
      <x:c r="M65" s="49" t="s">
        <x:v>364</x:v>
      </x:c>
      <x:c r="N65" s="52">
        <x:f t="shared" si="17"/>
        <x:v>6.655092592592593E-2</x:v>
      </x:c>
      <x:c r="O65" s="53" t="s">
        <x:v>355</x:v>
      </x:c>
      <x:c r="P65" s="54" t="n">
        <x:f>P64+7</x:f>
        <x:v>399</x:v>
      </x:c>
      <x:c r="Q65" s="55">
        <x:v>7</x:v>
      </x:c>
      <x:c r="R65" s="56">
        <x:f t="shared" si="0"/>
        <x:v>4835.88</x:v>
      </x:c>
      <x:c r="S65" s="53"/>
      <x:c r="T65" s="53"/>
      <x:c r="U65" s="53"/>
      <x:c r="V65" s="53"/>
      <x:c r="W65" s="178"/>
      <x:c r="X65" s="204"/>
      <x:c r="Y65" s="213"/>
      <x:c r="Z65" s="213"/>
      <x:c r="AA65" s="213"/>
      <x:c r="AB65" s="213"/>
      <x:c r="AC65" s="213"/>
      <x:c r="AD65" s="214"/>
      <x:c r="AE65" s="216"/>
      <x:c r="AF65" s="222"/>
      <x:c r="AG65" s="222"/>
      <x:c r="AH65" s="222"/>
      <x:c r="AI65" s="222"/>
    </x:row>
    <x:row r="66" ht="81.94999694824219" customHeight="1">
      <x:c r="A66" s="59" t="s">
        <x:v>291</x:v>
      </x:c>
      <x:c r="B66" s="49">
        <x:v>62</x:v>
      </x:c>
      <x:c r="C66" s="49">
        <x:v>2</x:v>
      </x:c>
      <x:c r="D66" s="49">
        <x:v>9</x:v>
      </x:c>
      <x:c r="E66" s="51" t="s">
        <x:v>365</x:v>
      </x:c>
      <x:c r="F66" s="51" t="s">
        <x:v>359</x:v>
      </x:c>
      <x:c r="G66" s="51" t="s">
        <x:v>366</x:v>
      </x:c>
      <x:c r="H66" s="49" t="s">
        <x:v>367</x:v>
      </x:c>
      <x:c r="I66" s="49">
        <x:v>4</x:v>
      </x:c>
      <x:c r="J66" s="51" t="s">
        <x:v>362</x:v>
      </x:c>
      <x:c r="K66" s="51" t="s">
        <x:v>363</x:v>
      </x:c>
      <x:c r="L66" s="49" t="s">
        <x:v>368</x:v>
      </x:c>
      <x:c r="M66" s="49" t="s">
        <x:v>364</x:v>
      </x:c>
      <x:c r="N66" s="52">
        <x:f t="shared" si="17"/>
        <x:v>6.8055555555555564E-2</x:v>
      </x:c>
      <x:c r="O66" s="53" t="s">
        <x:v>355</x:v>
      </x:c>
      <x:c r="P66" s="54" t="n">
        <x:f>P65+9</x:f>
        <x:v>408</x:v>
      </x:c>
      <x:c r="Q66" s="55">
        <x:v>9</x:v>
      </x:c>
      <x:c r="R66" s="56">
        <x:f t="shared" si="0"/>
        <x:v>5055.12</x:v>
      </x:c>
      <x:c r="S66" s="53"/>
      <x:c r="T66" s="53"/>
      <x:c r="U66" s="53"/>
      <x:c r="V66" s="53"/>
      <x:c r="W66" s="178"/>
      <x:c r="X66" s="204"/>
      <x:c r="Y66" s="213"/>
      <x:c r="Z66" s="213"/>
      <x:c r="AA66" s="213"/>
      <x:c r="AB66" s="213"/>
      <x:c r="AC66" s="213"/>
      <x:c r="AD66" s="214"/>
      <x:c r="AE66" s="216"/>
      <x:c r="AF66" s="222"/>
      <x:c r="AG66" s="222"/>
      <x:c r="AH66" s="222"/>
      <x:c r="AI66" s="222"/>
    </x:row>
    <x:row r="67" ht="81.94999694824219" customHeight="1">
      <x:c r="A67" s="59" t="s">
        <x:v>291</x:v>
      </x:c>
      <x:c r="B67" s="49">
        <x:v>63</x:v>
      </x:c>
      <x:c r="C67" s="49">
        <x:v>1</x:v>
      </x:c>
      <x:c r="D67" s="49">
        <x:v>9</x:v>
      </x:c>
      <x:c r="E67" s="51" t="s">
        <x:v>369</x:v>
      </x:c>
      <x:c r="F67" s="51" t="s">
        <x:v>370</x:v>
      </x:c>
      <x:c r="G67" s="51" t="s">
        <x:v>371</x:v>
      </x:c>
      <x:c r="H67" s="49" t="s">
        <x:v>372</x:v>
      </x:c>
      <x:c r="I67" s="49">
        <x:v>3</x:v>
      </x:c>
      <x:c r="J67" s="51" t="s">
        <x:v>373</x:v>
      </x:c>
      <x:c r="K67" s="51" t="s">
        <x:v>30</x:v>
      </x:c>
      <x:c r="L67" s="49" t="s">
        <x:v>107</x:v>
      </x:c>
      <x:c r="M67" s="49" t="s">
        <x:v>374</x:v>
      </x:c>
      <x:c r="N67" s="52">
        <x:f t="shared" si="17"/>
        <x:v>6.9444444444444448E-2</x:v>
      </x:c>
      <x:c r="O67" s="53" t="s">
        <x:v>355</x:v>
      </x:c>
      <x:c r="P67" s="54" t="n">
        <x:f>P66+8</x:f>
        <x:v>416</x:v>
      </x:c>
      <x:c r="Q67" s="55">
        <x:v>8</x:v>
      </x:c>
      <x:c r="R67" s="56">
        <x:f t="shared" si="0"/>
        <x:v>5254.08</x:v>
      </x:c>
      <x:c r="S67" s="53"/>
      <x:c r="T67" s="53"/>
      <x:c r="U67" s="53"/>
      <x:c r="V67" s="53"/>
      <x:c r="W67" s="178"/>
      <x:c r="X67" s="204"/>
      <x:c r="Y67" s="213"/>
      <x:c r="Z67" s="213"/>
      <x:c r="AA67" s="213"/>
      <x:c r="AB67" s="213"/>
      <x:c r="AC67" s="213"/>
      <x:c r="AD67" s="214"/>
      <x:c r="AE67" s="216"/>
      <x:c r="AF67" s="222"/>
      <x:c r="AG67" s="222"/>
      <x:c r="AH67" s="222"/>
      <x:c r="AI67" s="222"/>
    </x:row>
    <x:row r="68" ht="81.94999694824219" customHeight="1">
      <x:c r="A68" s="59" t="s">
        <x:v>291</x:v>
      </x:c>
      <x:c r="B68" s="49">
        <x:v>64</x:v>
      </x:c>
      <x:c r="C68" s="49">
        <x:v>1</x:v>
      </x:c>
      <x:c r="D68" s="49">
        <x:v>8</x:v>
      </x:c>
      <x:c r="E68" s="51" t="s">
        <x:v>375</x:v>
      </x:c>
      <x:c r="F68" s="51" t="s">
        <x:v>376</x:v>
      </x:c>
      <x:c r="G68" s="51" t="s">
        <x:v>377</x:v>
      </x:c>
      <x:c r="H68" s="49" t="s">
        <x:v>378</x:v>
      </x:c>
      <x:c r="I68" s="49">
        <x:v>2</x:v>
      </x:c>
      <x:c r="J68" s="51" t="s">
        <x:v>379</x:v>
      </x:c>
      <x:c r="K68" s="51" t="s">
        <x:v>30</x:v>
      </x:c>
      <x:c r="L68" s="49" t="s">
        <x:v>134</x:v>
      </x:c>
      <x:c r="M68" s="49" t="s">
        <x:v>380</x:v>
      </x:c>
      <x:c r="N68" s="52">
        <x:f t="shared" si="17"/>
        <x:v>7.060185185185186E-2</x:v>
      </x:c>
      <x:c r="O68" s="53" t="s">
        <x:v>355</x:v>
      </x:c>
      <x:c r="P68" s="54" t="n">
        <x:f>P67+7</x:f>
        <x:v>423</x:v>
      </x:c>
      <x:c r="Q68" s="55">
        <x:v>7</x:v>
      </x:c>
      <x:c r="R68" s="56">
        <x:f t="shared" si="0"/>
        <x:v>5431.32</x:v>
      </x:c>
      <x:c r="S68" s="53"/>
      <x:c r="T68" s="53"/>
      <x:c r="U68" s="53"/>
      <x:c r="V68" s="53"/>
      <x:c r="W68" s="178"/>
      <x:c r="X68" s="204"/>
      <x:c r="Y68" s="213"/>
      <x:c r="Z68" s="213"/>
      <x:c r="AA68" s="213"/>
      <x:c r="AB68" s="213"/>
      <x:c r="AC68" s="213"/>
      <x:c r="AD68" s="214"/>
      <x:c r="AE68" s="216"/>
      <x:c r="AF68" s="222"/>
      <x:c r="AG68" s="222"/>
      <x:c r="AH68" s="222"/>
      <x:c r="AI68" s="222"/>
    </x:row>
    <x:row r="69" ht="81.94999694824219" customHeight="1">
      <x:c r="A69" s="59" t="s">
        <x:v>291</x:v>
      </x:c>
      <x:c r="B69" s="49">
        <x:v>65</x:v>
      </x:c>
      <x:c r="C69" s="49">
        <x:v>1</x:v>
      </x:c>
      <x:c r="D69" s="49">
        <x:v>8</x:v>
      </x:c>
      <x:c r="E69" s="51" t="s">
        <x:v>381</x:v>
      </x:c>
      <x:c r="F69" s="51" t="s">
        <x:v>382</x:v>
      </x:c>
      <x:c r="G69" s="51" t="s">
        <x:v>383</x:v>
      </x:c>
      <x:c r="H69" s="49" t="s">
        <x:v>384</x:v>
      </x:c>
      <x:c r="I69" s="49">
        <x:v>2</x:v>
      </x:c>
      <x:c r="J69" s="51" t="s">
        <x:v>385</x:v>
      </x:c>
      <x:c r="K69" s="51" t="s">
        <x:v>30</x:v>
      </x:c>
      <x:c r="L69" s="49" t="s">
        <x:v>111</x:v>
      </x:c>
      <x:c r="M69" s="49" t="s">
        <x:v>386</x:v>
      </x:c>
      <x:c r="N69" s="52">
        <x:f t="shared" si="17"/>
        <x:v>7.1527777777777787E-2</x:v>
      </x:c>
      <x:c r="O69" s="53" t="s">
        <x:v>387</x:v>
      </x:c>
      <x:c r="P69" s="54" t="n">
        <x:f>P68+6</x:f>
        <x:v>429</x:v>
      </x:c>
      <x:c r="Q69" s="55">
        <x:v>6</x:v>
      </x:c>
      <x:c r="R69" s="56">
        <x:f t="shared" si="0"/>
        <x:v>5585.58</x:v>
      </x:c>
      <x:c r="S69" s="53"/>
      <x:c r="T69" s="53"/>
      <x:c r="U69" s="53"/>
      <x:c r="V69" s="53"/>
      <x:c r="W69" s="178"/>
      <x:c r="X69" s="204">
        <x:f t="shared" si="8"/>
      </x:c>
      <x:c r="Y69" s="213">
        <x:f t="shared" ref="Y69" si="36">W69*0.6</x:f>
      </x:c>
      <x:c r="Z69" s="213">
        <x:f t="shared" ref="Z69" si="37">W69*0.5</x:f>
      </x:c>
      <x:c r="AA69" s="213">
        <x:f t="shared" ref="AA69" si="38">(IFERROR(VALUE(LEFT(AC69,FIND("분",AC69)-1))*60,0)+IFERROR(VALUE(MID(AC69,IFERROR(FIND("분",AC69),0)+1,FIND("초",AC69)-IFERROR(FIND("분",AC69),0)-1)),0))/86400*2</x:f>
      </x:c>
      <x:c r="AB69" s="213">
        <x:f t="shared" si="6"/>
      </x:c>
      <x:c r="AC69" s="213">
        <x:f t="shared" ref="AC69" si="39">L69</x:f>
      </x:c>
      <x:c r="AD69" s="214"/>
      <x:c r="AE69" s="216"/>
      <x:c r="AF69" s="222"/>
      <x:c r="AG69" s="222"/>
      <x:c r="AH69" s="222"/>
      <x:c r="AI69" s="222"/>
    </x:row>
    <x:row r="70" ht="81.94999694824219" customHeight="1">
      <x:c r="A70" s="59" t="s">
        <x:v>291</x:v>
      </x:c>
      <x:c r="B70" s="49">
        <x:v>66</x:v>
      </x:c>
      <x:c r="C70" s="49">
        <x:v>4</x:v>
      </x:c>
      <x:c r="D70" s="49">
        <x:v>7</x:v>
      </x:c>
      <x:c r="E70" s="51" t="s">
        <x:v>388</x:v>
      </x:c>
      <x:c r="F70" s="51" t="s">
        <x:v>56</x:v>
      </x:c>
      <x:c r="G70" s="51" t="s">
        <x:v>389</x:v>
      </x:c>
      <x:c r="H70" s="49" t="s">
        <x:v>340</x:v>
      </x:c>
      <x:c r="I70" s="49">
        <x:v>1</x:v>
      </x:c>
      <x:c r="J70" s="51" t="s">
        <x:v>390</x:v>
      </x:c>
      <x:c r="K70" s="51" t="s">
        <x:v>30</x:v>
      </x:c>
      <x:c r="L70" s="49" t="s">
        <x:v>223</x:v>
      </x:c>
      <x:c r="M70" s="49" t="s">
        <x:v>61</x:v>
      </x:c>
      <x:c r="N70" s="52" t="n">
        <x:f t="shared" ref="N70:N101" si="40">N69+(IFERROR(VALUE(LEFT(L70,FIND("분",L70)-1))*60,0)+IFERROR(VALUE(TRIM(MID(L70,IFERROR(FIND("분",L70),0)+1,FIND("초",L70)-IFERROR(FIND("분",L70),0)-1))),0))/86400</x:f>
        <x:v>0.07314814814814816</x:v>
      </x:c>
      <x:c r="O70" s="53" t="s">
        <x:v>387</x:v>
      </x:c>
      <x:c r="P70" s="54" t="n">
        <x:f>P69+9</x:f>
        <x:v>438</x:v>
      </x:c>
      <x:c r="Q70" s="55">
        <x:v>9</x:v>
      </x:c>
      <x:c r="R70" s="56" t="n">
        <x:f t="shared" ref="R70:R123" si="41">$P$3*P70*P70+$Q$3*P70</x:f>
        <x:v>5821.0199999999995</x:v>
      </x:c>
      <x:c r="S70" s="53"/>
      <x:c r="T70" s="53"/>
      <x:c r="U70" s="53"/>
      <x:c r="V70" s="53"/>
      <x:c r="W70" s="178"/>
      <x:c r="X70" s="204"/>
      <x:c r="Y70" s="213"/>
      <x:c r="Z70" s="213"/>
      <x:c r="AA70" s="213"/>
      <x:c r="AB70" s="213"/>
      <x:c r="AC70" s="213"/>
      <x:c r="AD70" s="214"/>
      <x:c r="AE70" s="216"/>
      <x:c r="AF70" s="222"/>
      <x:c r="AG70" s="222"/>
      <x:c r="AH70" s="222"/>
      <x:c r="AI70" s="222"/>
    </x:row>
    <x:row r="71" ht="81.94999694824219" customHeight="1">
      <x:c r="A71" s="59" t="s">
        <x:v>291</x:v>
      </x:c>
      <x:c r="B71" s="49">
        <x:v>67</x:v>
      </x:c>
      <x:c r="C71" s="49">
        <x:v>4</x:v>
      </x:c>
      <x:c r="D71" s="49">
        <x:v>7</x:v>
      </x:c>
      <x:c r="E71" s="51" t="s">
        <x:v>391</x:v>
      </x:c>
      <x:c r="F71" s="51" t="s">
        <x:v>392</x:v>
      </x:c>
      <x:c r="G71" s="51" t="s">
        <x:v>393</x:v>
      </x:c>
      <x:c r="H71" s="49" t="s">
        <x:v>394</x:v>
      </x:c>
      <x:c r="I71" s="49">
        <x:v>4</x:v>
      </x:c>
      <x:c r="J71" s="51" t="s">
        <x:v>395</x:v>
      </x:c>
      <x:c r="K71" s="51" t="s">
        <x:v>396</x:v>
      </x:c>
      <x:c r="L71" s="49" t="s">
        <x:v>206</x:v>
      </x:c>
      <x:c r="M71" s="49" t="s">
        <x:v>397</x:v>
      </x:c>
      <x:c r="N71" s="52">
        <x:f t="shared" si="40"/>
        <x:v>7.5231481481481496E-2</x:v>
      </x:c>
      <x:c r="O71" s="53" t="s">
        <x:v>387</x:v>
      </x:c>
      <x:c r="P71" s="54" t="n">
        <x:f>P70+10</x:f>
        <x:v>448</x:v>
      </x:c>
      <x:c r="Q71" s="55">
        <x:v>10</x:v>
      </x:c>
      <x:c r="R71" s="56">
        <x:f t="shared" si="41"/>
        <x:v>6088.32</x:v>
      </x:c>
      <x:c r="S71" s="53"/>
      <x:c r="T71" s="53"/>
      <x:c r="U71" s="53"/>
      <x:c r="V71" s="53"/>
      <x:c r="W71" s="178" t="str">
        <x:v>탐색 동선·시민 발견 순서·힌트 사용·클리어 시간</x:v>
      </x:c>
      <x:c r="X71" s="204" t="n">
        <x:f t="shared" si="8"/>
        <x:v>20</x:v>
      </x:c>
      <x:c r="Y71" s="213" t="n">
        <x:f t="shared" ref="Y71" si="42">$X71*1.2</x:f>
        <x:v>24</x:v>
      </x:c>
      <x:c r="Z71" s="213" t="n">
        <x:f t="shared" ref="Z71" si="43">$X71*1.0</x:f>
        <x:v>20</x:v>
      </x:c>
      <x:c r="AA71" s="213" t="n">
        <x:f t="shared" si="5">$X71*0.85</x:f>
        <x:v>17</x:v>
      </x:c>
      <x:c r="AB71" s="213" t="n">
        <x:f t="shared" si="6">$X71*0.7</x:f>
        <x:v>14</x:v>
      </x:c>
      <x:c r="AC71" s="213" t="n">
        <x:f t="shared" si="7">$X71*0.55</x:f>
        <x:v>11</x:v>
      </x:c>
      <x:c r="AD71" s="214" t="n">
        <x:f>$X71*0.4</x:f>
        <x:v>8</x:v>
      </x:c>
      <x:c r="AE71" s="216" t="n">
        <x:f>$X71*0.0</x:f>
        <x:v>0</x:v>
      </x:c>
      <x:c r="AF71" s="222" t="n">
        <x:f>(IFERROR(VALUE(LEFT($L71,FIND("분",$L71)-1))*60,0)+IFERROR(VALUE(TRIM(MID($L71,IFERROR(FIND("분",$L71),0)+1,FIND("초",$L71)-IFERROR(FIND("분",$L71),0)-1))),0))/86400</x:f>
        <x:v>0.0020833333333333333</x:v>
      </x:c>
      <x:c r="AG71" s="222" t="n">
        <x:f>(IFERROR(VALUE(LEFT($L71,FIND("분",$L71)-1))*60,0)+IFERROR(VALUE(TRIM(MID($L71,IFERROR(FIND("분",$L71),0)+1,FIND("초",$L71)-IFERROR(FIND("분",$L71),0)-1))),0))/86400*2.0</x:f>
        <x:v>0.004166666666666667</x:v>
      </x:c>
      <x:c r="AH71" s="222" t="n">
        <x:f>(IFERROR(VALUE(LEFT($L71,FIND("분",$L71)-1))*60,0)+IFERROR(VALUE(TRIM(MID($L71,IFERROR(FIND("분",$L71),0)+1,FIND("초",$L71)-IFERROR(FIND("분",$L71),0)-1))),0))/86400*1.4</x:f>
        <x:v>0.0029166666666666664</x:v>
      </x:c>
      <x:c r="AI71" s="222" t="n">
        <x:f>(IFERROR(VALUE(LEFT($L71,FIND("분",$L71)-1))*60,0)+IFERROR(VALUE(TRIM(MID($L71,IFERROR(FIND("분",$L71),0)+1,FIND("초",$L71)-IFERROR(FIND("분",$L71),0)-1))),0))/86400</x:f>
        <x:v>0.0020833333333333333</x:v>
      </x:c>
    </x:row>
    <x:row r="72" ht="81.94999694824219" customHeight="1">
      <x:c r="A72" s="59" t="s">
        <x:v>291</x:v>
      </x:c>
      <x:c r="B72" s="49">
        <x:v>68</x:v>
      </x:c>
      <x:c r="C72" s="49">
        <x:v>5</x:v>
      </x:c>
      <x:c r="D72" s="49">
        <x:v>7</x:v>
      </x:c>
      <x:c r="E72" s="51" t="s">
        <x:v>398</x:v>
      </x:c>
      <x:c r="F72" s="51" t="s">
        <x:v>399</x:v>
      </x:c>
      <x:c r="G72" s="51" t="s">
        <x:v>400</x:v>
      </x:c>
      <x:c r="H72" s="49" t="s">
        <x:v>401</x:v>
      </x:c>
      <x:c r="I72" s="49">
        <x:v>6</x:v>
      </x:c>
      <x:c r="J72" s="51" t="s">
        <x:v>402</x:v>
      </x:c>
      <x:c r="K72" s="51" t="s">
        <x:v>403</x:v>
      </x:c>
      <x:c r="L72" s="49" t="s">
        <x:v>404</x:v>
      </x:c>
      <x:c r="M72" s="49" t="s">
        <x:v>405</x:v>
      </x:c>
      <x:c r="N72" s="52">
        <x:f t="shared" si="40"/>
        <x:v>7.7546296296296308E-2</x:v>
      </x:c>
      <x:c r="O72" s="53" t="s">
        <x:v>387</x:v>
      </x:c>
      <x:c r="P72" s="54" t="n">
        <x:f>P71+11</x:f>
        <x:v>459</x:v>
      </x:c>
      <x:c r="Q72" s="55">
        <x:v>11</x:v>
      </x:c>
      <x:c r="R72" s="56">
        <x:f t="shared" si="41"/>
        <x:v>6389.28</x:v>
      </x:c>
      <x:c r="S72" s="53"/>
      <x:c r="T72" s="53"/>
      <x:c r="U72" s="53"/>
      <x:c r="V72" s="53"/>
      <x:c r="W72" s="178" t="str">
        <x:v>잔해 제거 순서·불필요한 피해·재시도 횟수·클리어 시간</x:v>
      </x:c>
      <x:c r="X72" s="204" t="n">
        <x:f t="shared" si="8"/>
        <x:v>40</x:v>
      </x:c>
      <x:c r="Y72" s="213" t="n">
        <x:f t="shared" ref="Y72:Y76" si="44">$X72*1.2</x:f>
        <x:v>48</x:v>
      </x:c>
      <x:c r="Z72" s="213" t="n">
        <x:f t="shared" ref="Z72:Z76" si="45">$X72*1.0</x:f>
        <x:v>40</x:v>
      </x:c>
      <x:c r="AA72" s="213" t="n">
        <x:f t="shared" si="5">$X72*0.85</x:f>
        <x:v>34</x:v>
      </x:c>
      <x:c r="AB72" s="213" t="n">
        <x:f t="shared" si="6">$X72*0.7</x:f>
        <x:v>28</x:v>
      </x:c>
      <x:c r="AC72" s="213" t="n">
        <x:f t="shared" si="7">$X72*0.55</x:f>
        <x:v>22</x:v>
      </x:c>
      <x:c r="AD72" s="214" t="n">
        <x:f>$X72*0.4</x:f>
        <x:v>16</x:v>
      </x:c>
      <x:c r="AE72" s="216" t="n">
        <x:f>$X72*0.0</x:f>
        <x:v>0</x:v>
      </x:c>
      <x:c r="AF72" s="222" t="n">
        <x:f>(IFERROR(VALUE(LEFT($L72,FIND("분",$L72)-1))*60,0)+IFERROR(VALUE(TRIM(MID($L72,IFERROR(FIND("분",$L72),0)+1,FIND("초",$L72)-IFERROR(FIND("분",$L72),0)-1))),0))/86400</x:f>
        <x:v>0.0023148148148148147</x:v>
      </x:c>
      <x:c r="AG72" s="222" t="n">
        <x:f>(IFERROR(VALUE(LEFT($L72,FIND("분",$L72)-1))*60,0)+IFERROR(VALUE(TRIM(MID($L72,IFERROR(FIND("분",$L72),0)+1,FIND("초",$L72)-IFERROR(FIND("분",$L72),0)-1))),0))/86400*2.0</x:f>
        <x:v>0.004629629629629629</x:v>
      </x:c>
      <x:c r="AH72" s="222" t="n">
        <x:f>(IFERROR(VALUE(LEFT($L72,FIND("분",$L72)-1))*60,0)+IFERROR(VALUE(TRIM(MID($L72,IFERROR(FIND("분",$L72),0)+1,FIND("초",$L72)-IFERROR(FIND("분",$L72),0)-1))),0))/86400*1.4</x:f>
        <x:v>0.00324074074074074</x:v>
      </x:c>
      <x:c r="AI72" s="222" t="n">
        <x:f>(IFERROR(VALUE(LEFT($L72,FIND("분",$L72)-1))*60,0)+IFERROR(VALUE(TRIM(MID($L72,IFERROR(FIND("분",$L72),0)+1,FIND("초",$L72)-IFERROR(FIND("분",$L72),0)-1))),0))/86400</x:f>
        <x:v>0.0023148148148148147</x:v>
      </x:c>
    </x:row>
    <x:row r="73" ht="81.94999694824219" customHeight="1">
      <x:c r="A73" s="59" t="s">
        <x:v>291</x:v>
      </x:c>
      <x:c r="B73" s="49">
        <x:v>69</x:v>
      </x:c>
      <x:c r="C73" s="49">
        <x:v>6</x:v>
      </x:c>
      <x:c r="D73" s="49">
        <x:v>7</x:v>
      </x:c>
      <x:c r="E73" s="51" t="s">
        <x:v>406</x:v>
      </x:c>
      <x:c r="F73" s="51" t="s">
        <x:v>407</x:v>
      </x:c>
      <x:c r="G73" s="51" t="s">
        <x:v>408</x:v>
      </x:c>
      <x:c r="H73" s="49" t="s">
        <x:v>409</x:v>
      </x:c>
      <x:c r="I73" s="49">
        <x:v>5</x:v>
      </x:c>
      <x:c r="J73" s="51" t="s">
        <x:v>410</x:v>
      </x:c>
      <x:c r="K73" s="51" t="s">
        <x:v>411</x:v>
      </x:c>
      <x:c r="L73" s="49" t="s">
        <x:v>412</x:v>
      </x:c>
      <x:c r="M73" s="49" t="s">
        <x:v>413</x:v>
      </x:c>
      <x:c r="N73" s="52">
        <x:f t="shared" si="40"/>
        <x:v>7.9745370370370383E-2</x:v>
      </x:c>
      <x:c r="O73" s="53" t="s">
        <x:v>387</x:v>
      </x:c>
      <x:c r="P73" s="54" t="n">
        <x:f>P72+11</x:f>
        <x:v>470</x:v>
      </x:c>
      <x:c r="Q73" s="55">
        <x:v>11</x:v>
      </x:c>
      <x:c r="R73" s="56">
        <x:f t="shared" si="41"/>
        <x:v>6697.5</x:v>
      </x:c>
      <x:c r="S73" s="53"/>
      <x:c r="T73" s="53"/>
      <x:c r="U73" s="53"/>
      <x:c r="V73" s="53"/>
      <x:c r="W73" s="178" t="str">
        <x:v>시민 피해·이탈 횟수·대피 성공률·클리어 시간</x:v>
      </x:c>
      <x:c r="X73" s="204" t="n">
        <x:f t="shared" si="8"/>
        <x:v>40</x:v>
      </x:c>
      <x:c r="Y73" s="213" t="n">
        <x:f t="shared" si="44">$X73*1.2</x:f>
        <x:v>48</x:v>
      </x:c>
      <x:c r="Z73" s="213" t="n">
        <x:f t="shared" si="45">$X73*1.0</x:f>
        <x:v>40</x:v>
      </x:c>
      <x:c r="AA73" s="213" t="n">
        <x:f t="shared" si="5">$X73*0.85</x:f>
        <x:v>34</x:v>
      </x:c>
      <x:c r="AB73" s="213" t="n">
        <x:f t="shared" si="6">$X73*0.7</x:f>
        <x:v>28</x:v>
      </x:c>
      <x:c r="AC73" s="213" t="n">
        <x:f t="shared" si="7">$X73*0.55</x:f>
        <x:v>22</x:v>
      </x:c>
      <x:c r="AD73" s="214" t="n">
        <x:f>$X73*0.4</x:f>
        <x:v>16</x:v>
      </x:c>
      <x:c r="AE73" s="216" t="n">
        <x:f>$X73*0.0</x:f>
        <x:v>0</x:v>
      </x:c>
      <x:c r="AF73" s="222" t="n">
        <x:f>(IFERROR(VALUE(LEFT($L73,FIND("분",$L73)-1))*60,0)+IFERROR(VALUE(TRIM(MID($L73,IFERROR(FIND("분",$L73),0)+1,FIND("초",$L73)-IFERROR(FIND("분",$L73),0)-1))),0))/86400</x:f>
        <x:v>0.002199074074074074</x:v>
      </x:c>
      <x:c r="AG73" s="222" t="n">
        <x:f>(IFERROR(VALUE(LEFT($L73,FIND("분",$L73)-1))*60,0)+IFERROR(VALUE(TRIM(MID($L73,IFERROR(FIND("분",$L73),0)+1,FIND("초",$L73)-IFERROR(FIND("분",$L73),0)-1))),0))/86400*2.0</x:f>
        <x:v>0.004398148148148148</x:v>
      </x:c>
      <x:c r="AH73" s="222" t="n">
        <x:f>(IFERROR(VALUE(LEFT($L73,FIND("분",$L73)-1))*60,0)+IFERROR(VALUE(TRIM(MID($L73,IFERROR(FIND("분",$L73),0)+1,FIND("초",$L73)-IFERROR(FIND("분",$L73),0)-1))),0))/86400*1.4</x:f>
        <x:v>0.0030787037037037037</x:v>
      </x:c>
      <x:c r="AI73" s="222" t="n">
        <x:f>(IFERROR(VALUE(LEFT($L73,FIND("분",$L73)-1))*60,0)+IFERROR(VALUE(TRIM(MID($L73,IFERROR(FIND("분",$L73),0)+1,FIND("초",$L73)-IFERROR(FIND("분",$L73),0)-1))),0))/86400</x:f>
        <x:v>0.002199074074074074</x:v>
      </x:c>
    </x:row>
    <x:row r="74" ht="81.94999694824219" customHeight="1">
      <x:c r="A74" s="59" t="s">
        <x:v>291</x:v>
      </x:c>
      <x:c r="B74" s="49">
        <x:v>70</x:v>
      </x:c>
      <x:c r="C74" s="49">
        <x:v>7</x:v>
      </x:c>
      <x:c r="D74" s="49">
        <x:v>9</x:v>
      </x:c>
      <x:c r="E74" s="51" t="s">
        <x:v>414</x:v>
      </x:c>
      <x:c r="F74" s="51" t="s">
        <x:v>415</x:v>
      </x:c>
      <x:c r="G74" s="51" t="s">
        <x:v>416</x:v>
      </x:c>
      <x:c r="H74" s="49" t="s">
        <x:v>417</x:v>
      </x:c>
      <x:c r="I74" s="49">
        <x:v>5</x:v>
      </x:c>
      <x:c r="J74" s="51" t="s">
        <x:v>418</x:v>
      </x:c>
      <x:c r="K74" s="51" t="s">
        <x:v>419</x:v>
      </x:c>
      <x:c r="L74" s="49" t="s">
        <x:v>420</x:v>
      </x:c>
      <x:c r="M74" s="49" t="s">
        <x:v>421</x:v>
      </x:c>
      <x:c r="N74" s="52">
        <x:f t="shared" si="40"/>
        <x:v>8.229166666666668E-2</x:v>
      </x:c>
      <x:c r="O74" s="53" t="s">
        <x:v>387</x:v>
      </x:c>
      <x:c r="P74" s="54" t="n">
        <x:f>P73+13</x:f>
        <x:v>483</x:v>
      </x:c>
      <x:c r="Q74" s="55">
        <x:v>13</x:v>
      </x:c>
      <x:c r="R74" s="56">
        <x:f t="shared" si="41"/>
        <x:v>7071.12</x:v>
      </x:c>
      <x:c r="S74" s="53" t="n">
        <x:f t="shared" ref="S74:S112" si="46">R74/V74</x:f>
        <x:v>7071.12</x:v>
      </x:c>
      <x:c r="T74" s="53">
        <x:v>5</x:v>
      </x:c>
      <x:c r="U74" s="53" t="n">
        <x:f t="shared" ref="U74:U112" si="47">T74*V74</x:f>
        <x:v>5</x:v>
      </x:c>
      <x:c r="V74" s="53">
        <x:v>1</x:v>
      </x:c>
      <x:c r="W74" s="178" t="str">
        <x:v>피격 횟수·소모품 사용·전투 재시도·클리어 시간</x:v>
      </x:c>
      <x:c r="X74" s="204" t="n">
        <x:f t="shared" si="8"/>
        <x:v>60</x:v>
      </x:c>
      <x:c r="Y74" s="213" t="n">
        <x:f t="shared" si="44">$X74*1.2</x:f>
        <x:v>72</x:v>
      </x:c>
      <x:c r="Z74" s="213" t="n">
        <x:f t="shared" si="45">$X74*1.0</x:f>
        <x:v>60</x:v>
      </x:c>
      <x:c r="AA74" s="213" t="n">
        <x:f t="shared" si="5">$X74*0.85</x:f>
        <x:v>51</x:v>
      </x:c>
      <x:c r="AB74" s="213" t="n">
        <x:f t="shared" si="6">$X74*0.7</x:f>
        <x:v>42</x:v>
      </x:c>
      <x:c r="AC74" s="213" t="n">
        <x:f t="shared" si="7">$X74*0.55</x:f>
        <x:v>33</x:v>
      </x:c>
      <x:c r="AD74" s="214" t="n">
        <x:f>$X74*0.4</x:f>
        <x:v>24</x:v>
      </x:c>
      <x:c r="AE74" s="216" t="n">
        <x:f>$X74*0.0</x:f>
        <x:v>0</x:v>
      </x:c>
      <x:c r="AF74" s="222" t="n">
        <x:f>(IFERROR(VALUE(LEFT($L74,FIND("분",$L74)-1))*60,0)+IFERROR(VALUE(TRIM(MID($L74,IFERROR(FIND("분",$L74),0)+1,FIND("초",$L74)-IFERROR(FIND("분",$L74),0)-1))),0))/86400</x:f>
        <x:v>0.0025462962962962965</x:v>
      </x:c>
      <x:c r="AG74" s="222" t="n">
        <x:f>(IFERROR(VALUE(LEFT($L74,FIND("분",$L74)-1))*60,0)+IFERROR(VALUE(TRIM(MID($L74,IFERROR(FIND("분",$L74),0)+1,FIND("초",$L74)-IFERROR(FIND("분",$L74),0)-1))),0))/86400*2.0</x:f>
        <x:v>0.005092592592592593</x:v>
      </x:c>
      <x:c r="AH74" s="222" t="n">
        <x:f>(IFERROR(VALUE(LEFT($L74,FIND("분",$L74)-1))*60,0)+IFERROR(VALUE(TRIM(MID($L74,IFERROR(FIND("분",$L74),0)+1,FIND("초",$L74)-IFERROR(FIND("분",$L74),0)-1))),0))/86400*1.4</x:f>
        <x:v>0.003564814814814815</x:v>
      </x:c>
      <x:c r="AI74" s="222" t="n">
        <x:f>(IFERROR(VALUE(LEFT($L74,FIND("분",$L74)-1))*60,0)+IFERROR(VALUE(TRIM(MID($L74,IFERROR(FIND("분",$L74),0)+1,FIND("초",$L74)-IFERROR(FIND("분",$L74),0)-1))),0))/86400</x:f>
        <x:v>0.0025462962962962965</x:v>
      </x:c>
    </x:row>
    <x:row r="75" ht="81.94999694824219" customHeight="1">
      <x:c r="A75" s="59" t="s">
        <x:v>291</x:v>
      </x:c>
      <x:c r="B75" s="49">
        <x:v>71</x:v>
      </x:c>
      <x:c r="C75" s="49">
        <x:v>1</x:v>
      </x:c>
      <x:c r="D75" s="49">
        <x:v>7</x:v>
      </x:c>
      <x:c r="E75" s="51" t="s">
        <x:v>422</x:v>
      </x:c>
      <x:c r="F75" s="51" t="s">
        <x:v>423</x:v>
      </x:c>
      <x:c r="G75" s="51" t="s">
        <x:v>424</x:v>
      </x:c>
      <x:c r="H75" s="49" t="s">
        <x:v>425</x:v>
      </x:c>
      <x:c r="I75" s="49">
        <x:v>2</x:v>
      </x:c>
      <x:c r="J75" s="51" t="s">
        <x:v>426</x:v>
      </x:c>
      <x:c r="K75" s="51" t="s">
        <x:v>427</x:v>
      </x:c>
      <x:c r="L75" s="49" t="s">
        <x:v>111</x:v>
      </x:c>
      <x:c r="M75" s="49" t="s">
        <x:v>428</x:v>
      </x:c>
      <x:c r="N75" s="52">
        <x:f t="shared" si="40"/>
        <x:v>8.3217592592592607E-2</x:v>
      </x:c>
      <x:c r="O75" s="53" t="s">
        <x:v>387</x:v>
      </x:c>
      <x:c r="P75" s="54" t="n">
        <x:f>P74+6</x:f>
        <x:v>489</x:v>
      </x:c>
      <x:c r="Q75" s="55">
        <x:v>6</x:v>
      </x:c>
      <x:c r="R75" s="56">
        <x:f t="shared" si="41"/>
        <x:v>7246.9800000000005</x:v>
      </x:c>
      <x:c r="S75" s="53"/>
      <x:c r="T75" s="53"/>
      <x:c r="U75" s="53"/>
      <x:c r="V75" s="53"/>
      <x:c r="W75" s="178"/>
      <x:c r="X75" s="204">
        <x:f t="shared" si="8"/>
      </x:c>
      <x:c r="Y75" s="213">
        <x:f t="shared" si="44"/>
      </x:c>
      <x:c r="Z75" s="213">
        <x:f t="shared" si="45"/>
      </x:c>
      <x:c r="AA75" s="213">
        <x:f t="shared" si="5"/>
      </x:c>
      <x:c r="AB75" s="213">
        <x:f t="shared" si="6"/>
      </x:c>
      <x:c r="AC75" s="213">
        <x:f t="shared" si="7"/>
      </x:c>
      <x:c r="AD75" s="214"/>
      <x:c r="AE75" s="216"/>
      <x:c r="AF75" s="222"/>
      <x:c r="AG75" s="222"/>
      <x:c r="AH75" s="222"/>
      <x:c r="AI75" s="222"/>
    </x:row>
    <x:row r="76" ht="81.94999694824219" customHeight="1">
      <x:c r="A76" s="59" t="s">
        <x:v>291</x:v>
      </x:c>
      <x:c r="B76" s="49">
        <x:v>72</x:v>
      </x:c>
      <x:c r="C76" s="49">
        <x:v>4</x:v>
      </x:c>
      <x:c r="D76" s="49">
        <x:v>6</x:v>
      </x:c>
      <x:c r="E76" s="51" t="s">
        <x:v>429</x:v>
      </x:c>
      <x:c r="F76" s="51" t="s">
        <x:v>430</x:v>
      </x:c>
      <x:c r="G76" s="51" t="s">
        <x:v>431</x:v>
      </x:c>
      <x:c r="H76" s="49" t="s">
        <x:v>432</x:v>
      </x:c>
      <x:c r="I76" s="49">
        <x:v>7</x:v>
      </x:c>
      <x:c r="J76" s="51" t="s">
        <x:v>433</x:v>
      </x:c>
      <x:c r="K76" s="51" t="s">
        <x:v>434</x:v>
      </x:c>
      <x:c r="L76" s="49" t="s">
        <x:v>435</x:v>
      </x:c>
      <x:c r="M76" s="49" t="s">
        <x:v>436</x:v>
      </x:c>
      <x:c r="N76" s="52">
        <x:f t="shared" si="40"/>
        <x:v>8.5995370370370389E-2</x:v>
      </x:c>
      <x:c r="O76" s="53" t="s">
        <x:v>387</x:v>
      </x:c>
      <x:c r="P76" s="54" t="n">
        <x:f>P75+12</x:f>
        <x:v>501</x:v>
      </x:c>
      <x:c r="Q76" s="55">
        <x:v>12</x:v>
      </x:c>
      <x:c r="R76" s="56">
        <x:f t="shared" si="41"/>
        <x:v>7605.1799999999994</x:v>
      </x:c>
      <x:c r="S76" s="53"/>
      <x:c r="T76" s="53"/>
      <x:c r="U76" s="53"/>
      <x:c r="V76" s="53"/>
      <x:c r="W76" s="178" t="str">
        <x:v>완료한 부탁 수·포기한 부탁 수·동선 효율·클리어 시간</x:v>
      </x:c>
      <x:c r="X76" s="204" t="n">
        <x:f t="shared" si="8"/>
        <x:v>20</x:v>
      </x:c>
      <x:c r="Y76" s="213" t="n">
        <x:f t="shared" si="44">$X76*1.2</x:f>
        <x:v>24</x:v>
      </x:c>
      <x:c r="Z76" s="213" t="n">
        <x:f t="shared" si="45">$X76*1.0</x:f>
        <x:v>20</x:v>
      </x:c>
      <x:c r="AA76" s="213" t="n">
        <x:f t="shared" si="5">$X76*0.85</x:f>
        <x:v>17</x:v>
      </x:c>
      <x:c r="AB76" s="213" t="n">
        <x:f t="shared" si="6">$X76*0.7</x:f>
        <x:v>14</x:v>
      </x:c>
      <x:c r="AC76" s="213" t="n">
        <x:f t="shared" si="7">$X76*0.55</x:f>
        <x:v>11</x:v>
      </x:c>
      <x:c r="AD76" s="214" t="n">
        <x:f>$X76*0.4</x:f>
        <x:v>8</x:v>
      </x:c>
      <x:c r="AE76" s="216" t="n">
        <x:f>$X76*0.0</x:f>
        <x:v>0</x:v>
      </x:c>
      <x:c r="AF76" s="222" t="n">
        <x:f>(IFERROR(VALUE(LEFT($L76,FIND("분",$L76)-1))*60,0)+IFERROR(VALUE(TRIM(MID($L76,IFERROR(FIND("분",$L76),0)+1,FIND("초",$L76)-IFERROR(FIND("분",$L76),0)-1))),0))/86400</x:f>
        <x:v>0.002777777777777778</x:v>
      </x:c>
      <x:c r="AG76" s="222" t="n">
        <x:f>(IFERROR(VALUE(LEFT($L76,FIND("분",$L76)-1))*60,0)+IFERROR(VALUE(TRIM(MID($L76,IFERROR(FIND("분",$L76),0)+1,FIND("초",$L76)-IFERROR(FIND("분",$L76),0)-1))),0))/86400*2.0</x:f>
        <x:v>0.005555555555555556</x:v>
      </x:c>
      <x:c r="AH76" s="222" t="n">
        <x:f>(IFERROR(VALUE(LEFT($L76,FIND("분",$L76)-1))*60,0)+IFERROR(VALUE(TRIM(MID($L76,IFERROR(FIND("분",$L76),0)+1,FIND("초",$L76)-IFERROR(FIND("분",$L76),0)-1))),0))/86400*1.4</x:f>
        <x:v>0.0038888888888888888</x:v>
      </x:c>
      <x:c r="AI76" s="222" t="n">
        <x:f>(IFERROR(VALUE(LEFT($L76,FIND("분",$L76)-1))*60,0)+IFERROR(VALUE(TRIM(MID($L76,IFERROR(FIND("분",$L76),0)+1,FIND("초",$L76)-IFERROR(FIND("분",$L76),0)-1))),0))/86400</x:f>
        <x:v>0.002777777777777778</x:v>
      </x:c>
    </x:row>
    <x:row r="77" ht="81.94999694824219" customHeight="1">
      <x:c r="A77" s="59" t="s">
        <x:v>291</x:v>
      </x:c>
      <x:c r="B77" s="49">
        <x:v>73</x:v>
      </x:c>
      <x:c r="C77" s="49">
        <x:v>1</x:v>
      </x:c>
      <x:c r="D77" s="49">
        <x:v>7</x:v>
      </x:c>
      <x:c r="E77" s="51" t="s">
        <x:v>437</x:v>
      </x:c>
      <x:c r="F77" s="51" t="s">
        <x:v>438</x:v>
      </x:c>
      <x:c r="G77" s="51" t="s">
        <x:v>439</x:v>
      </x:c>
      <x:c r="H77" s="49" t="s">
        <x:v>440</x:v>
      </x:c>
      <x:c r="I77" s="49">
        <x:v>3</x:v>
      </x:c>
      <x:c r="J77" s="51" t="s">
        <x:v>441</x:v>
      </x:c>
      <x:c r="K77" s="51" t="s">
        <x:v>30</x:v>
      </x:c>
      <x:c r="L77" s="49" t="s">
        <x:v>111</x:v>
      </x:c>
      <x:c r="M77" s="49" t="s">
        <x:v>442</x:v>
      </x:c>
      <x:c r="N77" s="52">
        <x:f t="shared" si="40"/>
        <x:v>8.6921296296296316E-2</x:v>
      </x:c>
      <x:c r="O77" s="53" t="s">
        <x:v>387</x:v>
      </x:c>
      <x:c r="P77" s="54" t="n">
        <x:f>P76+6</x:f>
        <x:v>507</x:v>
      </x:c>
      <x:c r="Q77" s="55">
        <x:v>6</x:v>
      </x:c>
      <x:c r="R77" s="56">
        <x:f t="shared" si="41"/>
        <x:v>7787.5199999999995</x:v>
      </x:c>
      <x:c r="S77" s="53"/>
      <x:c r="T77" s="53"/>
      <x:c r="U77" s="53"/>
      <x:c r="V77" s="53"/>
      <x:c r="W77" s="178"/>
      <x:c r="X77" s="204"/>
      <x:c r="Y77" s="213"/>
      <x:c r="Z77" s="213"/>
      <x:c r="AA77" s="213"/>
      <x:c r="AB77" s="213"/>
      <x:c r="AC77" s="213"/>
      <x:c r="AD77" s="214"/>
      <x:c r="AE77" s="216"/>
      <x:c r="AF77" s="222"/>
      <x:c r="AG77" s="222"/>
      <x:c r="AH77" s="222"/>
      <x:c r="AI77" s="222"/>
    </x:row>
    <x:row r="78" ht="81.94999694824219" customHeight="1">
      <x:c r="A78" s="59" t="s">
        <x:v>291</x:v>
      </x:c>
      <x:c r="B78" s="49">
        <x:v>74</x:v>
      </x:c>
      <x:c r="C78" s="49">
        <x:v>3</x:v>
      </x:c>
      <x:c r="D78" s="49">
        <x:v>5</x:v>
      </x:c>
      <x:c r="E78" s="51" t="s">
        <x:v>443</x:v>
      </x:c>
      <x:c r="F78" s="51" t="s">
        <x:v>444</x:v>
      </x:c>
      <x:c r="G78" s="51" t="s">
        <x:v>445</x:v>
      </x:c>
      <x:c r="H78" s="49" t="s">
        <x:v>446</x:v>
      </x:c>
      <x:c r="I78" s="49">
        <x:v>5</x:v>
      </x:c>
      <x:c r="J78" s="51" t="s">
        <x:v>447</x:v>
      </x:c>
      <x:c r="K78" s="51" t="s">
        <x:v>448</x:v>
      </x:c>
      <x:c r="L78" s="49" t="s">
        <x:v>107</x:v>
      </x:c>
      <x:c r="M78" s="49" t="s">
        <x:v>449</x:v>
      </x:c>
      <x:c r="N78" s="52">
        <x:f t="shared" si="40"/>
        <x:v>8.83101851851852E-2</x:v>
      </x:c>
      <x:c r="O78" s="53" t="s">
        <x:v>387</x:v>
      </x:c>
      <x:c r="P78" s="54" t="n">
        <x:f>P77+7</x:f>
        <x:v>514</x:v>
      </x:c>
      <x:c r="Q78" s="55">
        <x:v>7</x:v>
      </x:c>
      <x:c r="R78" s="56">
        <x:f t="shared" si="41"/>
        <x:v>8002.9800000000005</x:v>
      </x:c>
      <x:c r="S78" s="53"/>
      <x:c r="T78" s="53"/>
      <x:c r="U78" s="53"/>
      <x:c r="V78" s="53"/>
      <x:c r="W78" s="178"/>
      <x:c r="X78" s="204"/>
      <x:c r="Y78" s="213"/>
      <x:c r="Z78" s="213"/>
      <x:c r="AA78" s="213"/>
      <x:c r="AB78" s="213"/>
      <x:c r="AC78" s="213"/>
      <x:c r="AD78" s="214"/>
      <x:c r="AE78" s="216"/>
      <x:c r="AF78" s="222"/>
      <x:c r="AG78" s="222"/>
      <x:c r="AH78" s="222"/>
      <x:c r="AI78" s="222"/>
    </x:row>
    <x:row r="79" ht="81.94999694824219" customHeight="1">
      <x:c r="A79" s="60" t="s">
        <x:v>450</x:v>
      </x:c>
      <x:c r="B79" s="49">
        <x:v>75</x:v>
      </x:c>
      <x:c r="C79" s="49">
        <x:v>1</x:v>
      </x:c>
      <x:c r="D79" s="49">
        <x:v>7</x:v>
      </x:c>
      <x:c r="E79" s="50" t="s">
        <x:v>451</x:v>
      </x:c>
      <x:c r="F79" s="51" t="s">
        <x:v>452</x:v>
      </x:c>
      <x:c r="G79" s="51" t="s">
        <x:v>453</x:v>
      </x:c>
      <x:c r="H79" s="49" t="s">
        <x:v>454</x:v>
      </x:c>
      <x:c r="I79" s="49">
        <x:v>2</x:v>
      </x:c>
      <x:c r="J79" s="51" t="s">
        <x:v>455</x:v>
      </x:c>
      <x:c r="K79" s="51" t="s">
        <x:v>30</x:v>
      </x:c>
      <x:c r="L79" s="49" t="s">
        <x:v>134</x:v>
      </x:c>
      <x:c r="M79" s="49" t="s">
        <x:v>456</x:v>
      </x:c>
      <x:c r="N79" s="52">
        <x:f t="shared" si="40"/>
        <x:v>8.9467592592592612E-2</x:v>
      </x:c>
      <x:c r="O79" s="53" t="s">
        <x:v>457</x:v>
      </x:c>
      <x:c r="P79" s="54" t="n">
        <x:f>P78+7</x:f>
        <x:v>521</x:v>
      </x:c>
      <x:c r="Q79" s="55">
        <x:v>7</x:v>
      </x:c>
      <x:c r="R79" s="56">
        <x:f t="shared" si="41"/>
        <x:v>8221.3799999999992</x:v>
      </x:c>
      <x:c r="S79" s="53"/>
      <x:c r="T79" s="53"/>
      <x:c r="U79" s="53"/>
      <x:c r="V79" s="53"/>
      <x:c r="W79" s="178"/>
      <x:c r="X79" s="204">
        <x:f t="shared" si="8"/>
      </x:c>
      <x:c r="Y79" s="213">
        <x:f t="shared" ref="Y79:Y80" si="48">W79*0.6</x:f>
      </x:c>
      <x:c r="Z79" s="213">
        <x:f t="shared" ref="Z79:Z80" si="49">W79*0.5</x:f>
      </x:c>
      <x:c r="AA79" s="213">
        <x:f t="shared" ref="AA79:AA80" si="50">(IFERROR(VALUE(LEFT(AC79,FIND("분",AC79)-1))*60,0)+IFERROR(VALUE(MID(AC79,IFERROR(FIND("분",AC79),0)+1,FIND("초",AC79)-IFERROR(FIND("분",AC79),0)-1)),0))/86400*2</x:f>
      </x:c>
      <x:c r="AB79" s="213">
        <x:f t="shared" si="6"/>
      </x:c>
      <x:c r="AC79" s="213">
        <x:f t="shared" ref="AC79:AC80" si="51">L79</x:f>
      </x:c>
      <x:c r="AD79" s="214"/>
      <x:c r="AE79" s="216"/>
      <x:c r="AF79" s="222"/>
      <x:c r="AG79" s="222"/>
      <x:c r="AH79" s="222"/>
      <x:c r="AI79" s="222"/>
    </x:row>
    <x:row r="80" ht="81.94999694824219" customHeight="1">
      <x:c r="A80" s="60" t="s">
        <x:v>450</x:v>
      </x:c>
      <x:c r="B80" s="49">
        <x:v>76</x:v>
      </x:c>
      <x:c r="C80" s="49">
        <x:v>2</x:v>
      </x:c>
      <x:c r="D80" s="49">
        <x:v>5</x:v>
      </x:c>
      <x:c r="E80" s="51" t="s">
        <x:v>458</x:v>
      </x:c>
      <x:c r="F80" s="51" t="s">
        <x:v>459</x:v>
      </x:c>
      <x:c r="G80" s="51" t="s">
        <x:v>460</x:v>
      </x:c>
      <x:c r="H80" s="49" t="s">
        <x:v>461</x:v>
      </x:c>
      <x:c r="I80" s="49">
        <x:v>5</x:v>
      </x:c>
      <x:c r="J80" s="51" t="s">
        <x:v>462</x:v>
      </x:c>
      <x:c r="K80" s="51" t="s">
        <x:v>463</x:v>
      </x:c>
      <x:c r="L80" s="49" t="s">
        <x:v>134</x:v>
      </x:c>
      <x:c r="M80" s="49" t="s">
        <x:v>464</x:v>
      </x:c>
      <x:c r="N80" s="52">
        <x:f t="shared" si="40"/>
        <x:v>9.0625000000000025E-2</x:v>
      </x:c>
      <x:c r="O80" s="53" t="s">
        <x:v>457</x:v>
      </x:c>
      <x:c r="P80" s="54" t="n">
        <x:f>P79+6</x:f>
        <x:v>527</x:v>
      </x:c>
      <x:c r="Q80" s="55">
        <x:v>6</x:v>
      </x:c>
      <x:c r="R80" s="56">
        <x:f t="shared" si="41"/>
        <x:v>8410.9199999999983</x:v>
      </x:c>
      <x:c r="S80" s="53"/>
      <x:c r="T80" s="53"/>
      <x:c r="U80" s="53"/>
      <x:c r="V80" s="53"/>
      <x:c r="W80" s="178"/>
      <x:c r="X80" s="204">
        <x:f t="shared" si="8"/>
      </x:c>
      <x:c r="Y80" s="213">
        <x:f t="shared" si="48"/>
      </x:c>
      <x:c r="Z80" s="213">
        <x:f t="shared" si="49"/>
      </x:c>
      <x:c r="AA80" s="213">
        <x:f t="shared" si="50"/>
      </x:c>
      <x:c r="AB80" s="213">
        <x:f t="shared" si="6"/>
      </x:c>
      <x:c r="AC80" s="213">
        <x:f t="shared" si="51"/>
      </x:c>
      <x:c r="AD80" s="214"/>
      <x:c r="AE80" s="216"/>
      <x:c r="AF80" s="222"/>
      <x:c r="AG80" s="222"/>
      <x:c r="AH80" s="222"/>
      <x:c r="AI80" s="222"/>
    </x:row>
    <x:row r="81" ht="81.94999694824219" customHeight="1">
      <x:c r="A81" s="60" t="s">
        <x:v>450</x:v>
      </x:c>
      <x:c r="B81" s="49">
        <x:v>77</x:v>
      </x:c>
      <x:c r="C81" s="49">
        <x:v>2</x:v>
      </x:c>
      <x:c r="D81" s="49">
        <x:v>5</x:v>
      </x:c>
      <x:c r="E81" s="51" t="s">
        <x:v>465</x:v>
      </x:c>
      <x:c r="F81" s="51" t="s">
        <x:v>466</x:v>
      </x:c>
      <x:c r="G81" s="51" t="s">
        <x:v>467</x:v>
      </x:c>
      <x:c r="H81" s="49" t="s">
        <x:v>468</x:v>
      </x:c>
      <x:c r="I81" s="49">
        <x:v>4</x:v>
      </x:c>
      <x:c r="J81" s="51" t="s">
        <x:v>469</x:v>
      </x:c>
      <x:c r="K81" s="51" t="s">
        <x:v>30</x:v>
      </x:c>
      <x:c r="L81" s="49" t="s">
        <x:v>107</x:v>
      </x:c>
      <x:c r="M81" s="49" t="s">
        <x:v>470</x:v>
      </x:c>
      <x:c r="N81" s="52">
        <x:f t="shared" si="40"/>
        <x:v>9.2013888888888909E-2</x:v>
      </x:c>
      <x:c r="O81" s="53" t="s">
        <x:v>457</x:v>
      </x:c>
      <x:c r="P81" s="54" t="n">
        <x:f>P80+7</x:f>
        <x:v>534</x:v>
      </x:c>
      <x:c r="Q81" s="55">
        <x:v>7</x:v>
      </x:c>
      <x:c r="R81" s="56">
        <x:f t="shared" si="41"/>
        <x:v>8634.7800000000007</x:v>
      </x:c>
      <x:c r="S81" s="53"/>
      <x:c r="T81" s="53"/>
      <x:c r="U81" s="53"/>
      <x:c r="V81" s="53"/>
      <x:c r="W81" s="178"/>
      <x:c r="X81" s="204">
        <x:f t="shared" si="8"/>
      </x:c>
      <x:c r="Y81" s="213">
        <x:f t="shared" ref="Y81:Y82" si="52">W81*0.6</x:f>
      </x:c>
      <x:c r="Z81" s="213">
        <x:f t="shared" ref="Z81:Z82" si="53">W81*0.5</x:f>
      </x:c>
      <x:c r="AA81" s="213">
        <x:f t="shared" ref="AA81:AA82" si="54">(IFERROR(VALUE(LEFT(AC81,FIND("분",AC81)-1))*60,0)+IFERROR(VALUE(MID(AC81,IFERROR(FIND("분",AC81),0)+1,FIND("초",AC81)-IFERROR(FIND("분",AC81),0)-1)),0))/86400*2</x:f>
      </x:c>
      <x:c r="AB81" s="213">
        <x:f t="shared" si="6"/>
      </x:c>
      <x:c r="AC81" s="213">
        <x:f t="shared" ref="AC81:AC82" si="55">L81</x:f>
      </x:c>
      <x:c r="AD81" s="214"/>
      <x:c r="AE81" s="216"/>
      <x:c r="AF81" s="222"/>
      <x:c r="AG81" s="222"/>
      <x:c r="AH81" s="222"/>
      <x:c r="AI81" s="222"/>
    </x:row>
    <x:row r="82" ht="81.94999694824219" customHeight="1">
      <x:c r="A82" s="60" t="s">
        <x:v>450</x:v>
      </x:c>
      <x:c r="B82" s="49">
        <x:v>78</x:v>
      </x:c>
      <x:c r="C82" s="49">
        <x:v>3</x:v>
      </x:c>
      <x:c r="D82" s="49">
        <x:v>6</x:v>
      </x:c>
      <x:c r="E82" s="51" t="s">
        <x:v>471</x:v>
      </x:c>
      <x:c r="F82" s="51" t="s">
        <x:v>472</x:v>
      </x:c>
      <x:c r="G82" s="51" t="s">
        <x:v>473</x:v>
      </x:c>
      <x:c r="H82" s="49" t="s">
        <x:v>474</x:v>
      </x:c>
      <x:c r="I82" s="49">
        <x:v>1</x:v>
      </x:c>
      <x:c r="J82" s="51" t="s">
        <x:v>475</x:v>
      </x:c>
      <x:c r="K82" s="51" t="s">
        <x:v>476</x:v>
      </x:c>
      <x:c r="L82" s="49" t="s">
        <x:v>368</x:v>
      </x:c>
      <x:c r="M82" s="49" t="s">
        <x:v>477</x:v>
      </x:c>
      <x:c r="N82" s="52">
        <x:f t="shared" si="40"/>
        <x:v>9.3518518518518542E-2</x:v>
      </x:c>
      <x:c r="O82" s="53" t="s">
        <x:v>478</x:v>
      </x:c>
      <x:c r="P82" s="54" t="n">
        <x:f>P81+8</x:f>
        <x:v>542</x:v>
      </x:c>
      <x:c r="Q82" s="55">
        <x:v>8</x:v>
      </x:c>
      <x:c r="R82" s="56">
        <x:f t="shared" si="41"/>
        <x:v>8894.2199999999975</x:v>
      </x:c>
      <x:c r="S82" s="53"/>
      <x:c r="T82" s="53"/>
      <x:c r="U82" s="53"/>
      <x:c r="V82" s="53"/>
      <x:c r="W82" s="178"/>
      <x:c r="X82" s="204">
        <x:f t="shared" ref="X82" si="56">W82*0.8</x:f>
      </x:c>
      <x:c r="Y82" s="213">
        <x:f t="shared" si="52"/>
      </x:c>
      <x:c r="Z82" s="213">
        <x:f t="shared" si="53"/>
      </x:c>
      <x:c r="AA82" s="213">
        <x:f t="shared" si="54"/>
      </x:c>
      <x:c r="AB82" s="213">
        <x:f t="shared" ref="AB82" si="57">(IFERROR(VALUE(LEFT(AC82,FIND("분",AC82)-1))*60,0)+IFERROR(VALUE(MID(AC82,IFERROR(FIND("분",AC82),0)+1,FIND("초",AC82)-IFERROR(FIND("분",AC82),0)-1)),0))/86400*1.4</x:f>
      </x:c>
      <x:c r="AC82" s="213">
        <x:f t="shared" si="55"/>
      </x:c>
      <x:c r="AD82" s="214"/>
      <x:c r="AE82" s="216"/>
      <x:c r="AF82" s="222"/>
      <x:c r="AG82" s="222"/>
      <x:c r="AH82" s="222"/>
      <x:c r="AI82" s="222"/>
    </x:row>
    <x:row r="83" ht="81.94999694824219" customHeight="1">
      <x:c r="A83" s="60" t="s">
        <x:v>450</x:v>
      </x:c>
      <x:c r="B83" s="49">
        <x:v>79</x:v>
      </x:c>
      <x:c r="C83" s="49">
        <x:v>3</x:v>
      </x:c>
      <x:c r="D83" s="49">
        <x:v>6</x:v>
      </x:c>
      <x:c r="E83" s="51" t="s">
        <x:v>479</x:v>
      </x:c>
      <x:c r="F83" s="51" t="s">
        <x:v>480</x:v>
      </x:c>
      <x:c r="G83" s="51" t="s">
        <x:v>481</x:v>
      </x:c>
      <x:c r="H83" s="49" t="s">
        <x:v>482</x:v>
      </x:c>
      <x:c r="I83" s="49">
        <x:v>4</x:v>
      </x:c>
      <x:c r="J83" s="51" t="s">
        <x:v>483</x:v>
      </x:c>
      <x:c r="K83" s="51" t="s">
        <x:v>484</x:v>
      </x:c>
      <x:c r="L83" s="49" t="s">
        <x:v>148</x:v>
      </x:c>
      <x:c r="M83" s="49" t="s">
        <x:v>485</x:v>
      </x:c>
      <x:c r="N83" s="52">
        <x:f t="shared" si="40"/>
        <x:v>9.5254629629629647E-2</x:v>
      </x:c>
      <x:c r="O83" s="53" t="s">
        <x:v>478</x:v>
      </x:c>
      <x:c r="P83" s="54" t="n">
        <x:f>P82+9</x:f>
        <x:v>551</x:v>
      </x:c>
      <x:c r="Q83" s="55">
        <x:v>9</x:v>
      </x:c>
      <x:c r="R83" s="56">
        <x:f t="shared" si="41"/>
        <x:v>9190.68</x:v>
      </x:c>
      <x:c r="S83" s="53"/>
      <x:c r="T83" s="53"/>
      <x:c r="U83" s="53"/>
      <x:c r="V83" s="53"/>
      <x:c r="W83" s="178" t="str">
        <x:v>오답 입력·장치 초기화·힌트 사용·클리어 시간</x:v>
      </x:c>
      <x:c r="X83" s="204" t="n">
        <x:f t="shared" ref="X83:X119" si="58">W83*0.8</x:f>
        <x:v>20</x:v>
      </x:c>
      <x:c r="Y83" s="213" t="n">
        <x:f t="shared" ref="Y83" si="59">$X83*1.2</x:f>
        <x:v>24</x:v>
      </x:c>
      <x:c r="Z83" s="213" t="n">
        <x:f t="shared" ref="Z83" si="60">$X83*1.0</x:f>
        <x:v>20</x:v>
      </x:c>
      <x:c r="AA83" s="213" t="n">
        <x:f t="shared" ref="AA83:AA119" si="61">$X83*0.85</x:f>
        <x:v>17</x:v>
      </x:c>
      <x:c r="AB83" s="213" t="n">
        <x:f t="shared" ref="AB83:AB122" si="62">$X83*0.7</x:f>
        <x:v>14</x:v>
      </x:c>
      <x:c r="AC83" s="213" t="n">
        <x:f t="shared" ref="AC83:AC119" si="63">$X83*0.55</x:f>
        <x:v>11</x:v>
      </x:c>
      <x:c r="AD83" s="214" t="n">
        <x:f>$X83*0.4</x:f>
        <x:v>8</x:v>
      </x:c>
      <x:c r="AE83" s="216" t="n">
        <x:f>$X83*0.0</x:f>
        <x:v>0</x:v>
      </x:c>
      <x:c r="AF83" s="222" t="n">
        <x:f>(IFERROR(VALUE(LEFT($L83,FIND("분",$L83)-1))*60,0)+IFERROR(VALUE(TRIM(MID($L83,IFERROR(FIND("분",$L83),0)+1,FIND("초",$L83)-IFERROR(FIND("분",$L83),0)-1))),0))/86400</x:f>
        <x:v>0.001736111111111111</x:v>
      </x:c>
      <x:c r="AG83" s="222" t="n">
        <x:f>(IFERROR(VALUE(LEFT($L83,FIND("분",$L83)-1))*60,0)+IFERROR(VALUE(TRIM(MID($L83,IFERROR(FIND("분",$L83),0)+1,FIND("초",$L83)-IFERROR(FIND("분",$L83),0)-1))),0))/86400*2.0</x:f>
        <x:v>0.003472222222222222</x:v>
      </x:c>
      <x:c r="AH83" s="222" t="n">
        <x:f>(IFERROR(VALUE(LEFT($L83,FIND("분",$L83)-1))*60,0)+IFERROR(VALUE(TRIM(MID($L83,IFERROR(FIND("분",$L83),0)+1,FIND("초",$L83)-IFERROR(FIND("분",$L83),0)-1))),0))/86400*1.4</x:f>
        <x:v>0.002430555555555555</x:v>
      </x:c>
      <x:c r="AI83" s="222" t="n">
        <x:f>(IFERROR(VALUE(LEFT($L83,FIND("분",$L83)-1))*60,0)+IFERROR(VALUE(TRIM(MID($L83,IFERROR(FIND("분",$L83),0)+1,FIND("초",$L83)-IFERROR(FIND("분",$L83),0)-1))),0))/86400</x:f>
        <x:v>0.001736111111111111</x:v>
      </x:c>
    </x:row>
    <x:row r="84" ht="81.94999694824219" customHeight="1">
      <x:c r="A84" s="60" t="s">
        <x:v>450</x:v>
      </x:c>
      <x:c r="B84" s="49">
        <x:v>80</x:v>
      </x:c>
      <x:c r="C84" s="49">
        <x:v>4</x:v>
      </x:c>
      <x:c r="D84" s="49">
        <x:v>7</x:v>
      </x:c>
      <x:c r="E84" s="51" t="s">
        <x:v>486</x:v>
      </x:c>
      <x:c r="F84" s="51" t="s">
        <x:v>487</x:v>
      </x:c>
      <x:c r="G84" s="51" t="s">
        <x:v>488</x:v>
      </x:c>
      <x:c r="H84" s="49" t="s">
        <x:v>489</x:v>
      </x:c>
      <x:c r="I84" s="49">
        <x:v>6</x:v>
      </x:c>
      <x:c r="J84" s="51" t="s">
        <x:v>490</x:v>
      </x:c>
      <x:c r="K84" s="51" t="s">
        <x:v>30</x:v>
      </x:c>
      <x:c r="L84" s="49" t="s">
        <x:v>491</x:v>
      </x:c>
      <x:c r="M84" s="49" t="s">
        <x:v>492</x:v>
      </x:c>
      <x:c r="N84" s="52">
        <x:f t="shared" si="40"/>
        <x:v>9.7685185185185208E-2</x:v>
      </x:c>
      <x:c r="O84" s="53" t="s">
        <x:v>493</x:v>
      </x:c>
      <x:c r="P84" s="54" t="n">
        <x:f>P83+11</x:f>
        <x:v>562</x:v>
      </x:c>
      <x:c r="Q84" s="55">
        <x:v>11</x:v>
      </x:c>
      <x:c r="R84" s="56">
        <x:f t="shared" si="41"/>
        <x:v>9559.619999999999</x:v>
      </x:c>
      <x:c r="S84" s="53"/>
      <x:c r="T84" s="53"/>
      <x:c r="U84" s="53"/>
      <x:c r="V84" s="53"/>
      <x:c r="W84" s="178"/>
      <x:c r="X84" s="204">
        <x:f t="shared" ref="X84" si="64">W84*0.8</x:f>
      </x:c>
      <x:c r="Y84" s="213">
        <x:f t="shared" ref="Y84:Y85" si="65">W84*0.6</x:f>
      </x:c>
      <x:c r="Z84" s="213">
        <x:f t="shared" ref="Z84:Z85" si="66">W84*0.5</x:f>
      </x:c>
      <x:c r="AA84" s="213">
        <x:f t="shared" si="61"/>
      </x:c>
      <x:c r="AB84" s="213">
        <x:f t="shared" si="62"/>
      </x:c>
      <x:c r="AC84" s="213">
        <x:f t="shared" si="63"/>
      </x:c>
      <x:c r="AD84" s="214"/>
      <x:c r="AE84" s="216"/>
      <x:c r="AF84" s="222"/>
      <x:c r="AG84" s="222"/>
      <x:c r="AH84" s="222"/>
      <x:c r="AI84" s="222"/>
    </x:row>
    <x:row r="85" ht="81.94999694824219" customHeight="1">
      <x:c r="A85" s="60" t="s">
        <x:v>450</x:v>
      </x:c>
      <x:c r="B85" s="49">
        <x:v>81</x:v>
      </x:c>
      <x:c r="C85" s="49">
        <x:v>6</x:v>
      </x:c>
      <x:c r="D85" s="49">
        <x:v>9</x:v>
      </x:c>
      <x:c r="E85" s="51" t="s">
        <x:v>494</x:v>
      </x:c>
      <x:c r="F85" s="51" t="s">
        <x:v>495</x:v>
      </x:c>
      <x:c r="G85" s="51" t="s">
        <x:v>496</x:v>
      </x:c>
      <x:c r="H85" s="49" t="s">
        <x:v>497</x:v>
      </x:c>
      <x:c r="I85" s="49">
        <x:v>5</x:v>
      </x:c>
      <x:c r="J85" s="51" t="s">
        <x:v>498</x:v>
      </x:c>
      <x:c r="K85" s="51" t="s">
        <x:v>499</x:v>
      </x:c>
      <x:c r="L85" s="49" t="s">
        <x:v>206</x:v>
      </x:c>
      <x:c r="M85" s="49" t="s">
        <x:v>500</x:v>
      </x:c>
      <x:c r="N85" s="52">
        <x:f t="shared" si="40"/>
        <x:v>9.9768518518518548E-2</x:v>
      </x:c>
      <x:c r="O85" s="53" t="s">
        <x:v>493</x:v>
      </x:c>
      <x:c r="P85" s="54" t="n">
        <x:f>P84+12</x:f>
        <x:v>574</x:v>
      </x:c>
      <x:c r="Q85" s="55">
        <x:v>12</x:v>
      </x:c>
      <x:c r="R85" s="56">
        <x:f t="shared" si="41"/>
        <x:v>9970.3799999999992</x:v>
      </x:c>
      <x:c r="S85" s="53"/>
      <x:c r="T85" s="53"/>
      <x:c r="U85" s="53"/>
      <x:c r="V85" s="53"/>
      <x:c r="W85" s="178" t="str">
        <x:v>발각 횟수·피격 횟수·재시도 횟수·클리어 시간</x:v>
      </x:c>
      <x:c r="X85" s="204" t="n">
        <x:f t="shared" ref="X85" si="67">W85*0.8</x:f>
        <x:v>40</x:v>
      </x:c>
      <x:c r="Y85" s="213" t="n">
        <x:f t="shared" si="65">$X85*1.2</x:f>
        <x:v>48</x:v>
      </x:c>
      <x:c r="Z85" s="213" t="n">
        <x:f t="shared" si="66">$X85*1.0</x:f>
        <x:v>40</x:v>
      </x:c>
      <x:c r="AA85" s="213" t="n">
        <x:f t="shared" si="61">$X85*0.85</x:f>
        <x:v>34</x:v>
      </x:c>
      <x:c r="AB85" s="213" t="n">
        <x:f t="shared" si="62">$X85*0.7</x:f>
        <x:v>28</x:v>
      </x:c>
      <x:c r="AC85" s="213" t="n">
        <x:f t="shared" si="63">$X85*0.55</x:f>
        <x:v>22</x:v>
      </x:c>
      <x:c r="AD85" s="214" t="n">
        <x:f>$X85*0.4</x:f>
        <x:v>16</x:v>
      </x:c>
      <x:c r="AE85" s="216" t="n">
        <x:f>$X85*0.0</x:f>
        <x:v>0</x:v>
      </x:c>
      <x:c r="AF85" s="222" t="n">
        <x:f>(IFERROR(VALUE(LEFT($L85,FIND("분",$L85)-1))*60,0)+IFERROR(VALUE(TRIM(MID($L85,IFERROR(FIND("분",$L85),0)+1,FIND("초",$L85)-IFERROR(FIND("분",$L85),0)-1))),0))/86400</x:f>
        <x:v>0.0020833333333333333</x:v>
      </x:c>
      <x:c r="AG85" s="222" t="n">
        <x:f>(IFERROR(VALUE(LEFT($L85,FIND("분",$L85)-1))*60,0)+IFERROR(VALUE(TRIM(MID($L85,IFERROR(FIND("분",$L85),0)+1,FIND("초",$L85)-IFERROR(FIND("분",$L85),0)-1))),0))/86400*2.0</x:f>
        <x:v>0.004166666666666667</x:v>
      </x:c>
      <x:c r="AH85" s="222" t="n">
        <x:f>(IFERROR(VALUE(LEFT($L85,FIND("분",$L85)-1))*60,0)+IFERROR(VALUE(TRIM(MID($L85,IFERROR(FIND("분",$L85),0)+1,FIND("초",$L85)-IFERROR(FIND("분",$L85),0)-1))),0))/86400*1.4</x:f>
        <x:v>0.0029166666666666664</x:v>
      </x:c>
      <x:c r="AI85" s="222" t="n">
        <x:f>(IFERROR(VALUE(LEFT($L85,FIND("분",$L85)-1))*60,0)+IFERROR(VALUE(TRIM(MID($L85,IFERROR(FIND("분",$L85),0)+1,FIND("초",$L85)-IFERROR(FIND("분",$L85),0)-1))),0))/86400</x:f>
        <x:v>0.0020833333333333333</x:v>
      </x:c>
    </x:row>
    <x:row r="86" ht="81.94999694824219" customHeight="1">
      <x:c r="A86" s="60" t="s">
        <x:v>450</x:v>
      </x:c>
      <x:c r="B86" s="49">
        <x:v>82</x:v>
      </x:c>
      <x:c r="C86" s="49">
        <x:v>3</x:v>
      </x:c>
      <x:c r="D86" s="49">
        <x:v>8</x:v>
      </x:c>
      <x:c r="E86" s="51" t="s">
        <x:v>501</x:v>
      </x:c>
      <x:c r="F86" s="51" t="s">
        <x:v>502</x:v>
      </x:c>
      <x:c r="G86" s="51" t="s">
        <x:v>503</x:v>
      </x:c>
      <x:c r="H86" s="49" t="s">
        <x:v>504</x:v>
      </x:c>
      <x:c r="I86" s="49">
        <x:v>5</x:v>
      </x:c>
      <x:c r="J86" s="51" t="s">
        <x:v>505</x:v>
      </x:c>
      <x:c r="K86" s="51" t="s">
        <x:v>506</x:v>
      </x:c>
      <x:c r="L86" s="49" t="s">
        <x:v>404</x:v>
      </x:c>
      <x:c r="M86" s="49" t="s">
        <x:v>507</x:v>
      </x:c>
      <x:c r="N86" s="52">
        <x:f t="shared" si="40"/>
        <x:v>0.10208333333333336</x:v>
      </x:c>
      <x:c r="O86" s="53" t="s">
        <x:v>493</x:v>
      </x:c>
      <x:c r="P86" s="54" t="n">
        <x:f>P85+11</x:f>
        <x:v>585</x:v>
      </x:c>
      <x:c r="Q86" s="55">
        <x:v>11</x:v>
      </x:c>
      <x:c r="R86" s="56">
        <x:f t="shared" si="41"/>
        <x:v>10354.5</x:v>
      </x:c>
      <x:c r="S86" s="53"/>
      <x:c r="T86" s="53"/>
      <x:c r="U86" s="53"/>
      <x:c r="V86" s="53"/>
      <x:c r="W86" s="178" t="str">
        <x:v>단서 누락·탐색 동선·힌트 사용·클리어 시간</x:v>
      </x:c>
      <x:c r="X86" s="204" t="n">
        <x:f t="shared" si="58"/>
        <x:v>20</x:v>
      </x:c>
      <x:c r="Y86" s="213" t="n">
        <x:f t="shared" ref="Y86" si="68">$X86*1.2</x:f>
        <x:v>24</x:v>
      </x:c>
      <x:c r="Z86" s="213" t="n">
        <x:f t="shared" ref="Z86" si="69">$X86*1.0</x:f>
        <x:v>20</x:v>
      </x:c>
      <x:c r="AA86" s="213" t="n">
        <x:f t="shared" si="61">$X86*0.85</x:f>
        <x:v>17</x:v>
      </x:c>
      <x:c r="AB86" s="213" t="n">
        <x:f t="shared" si="62">$X86*0.7</x:f>
        <x:v>14</x:v>
      </x:c>
      <x:c r="AC86" s="213" t="n">
        <x:f t="shared" si="63">$X86*0.55</x:f>
        <x:v>11</x:v>
      </x:c>
      <x:c r="AD86" s="214" t="n">
        <x:f>$X86*0.4</x:f>
        <x:v>8</x:v>
      </x:c>
      <x:c r="AE86" s="216" t="n">
        <x:f>$X86*0.0</x:f>
        <x:v>0</x:v>
      </x:c>
      <x:c r="AF86" s="222" t="n">
        <x:f>(IFERROR(VALUE(LEFT($L86,FIND("분",$L86)-1))*60,0)+IFERROR(VALUE(TRIM(MID($L86,IFERROR(FIND("분",$L86),0)+1,FIND("초",$L86)-IFERROR(FIND("분",$L86),0)-1))),0))/86400</x:f>
        <x:v>0.0023148148148148147</x:v>
      </x:c>
      <x:c r="AG86" s="222" t="n">
        <x:f>(IFERROR(VALUE(LEFT($L86,FIND("분",$L86)-1))*60,0)+IFERROR(VALUE(TRIM(MID($L86,IFERROR(FIND("분",$L86),0)+1,FIND("초",$L86)-IFERROR(FIND("분",$L86),0)-1))),0))/86400*2.0</x:f>
        <x:v>0.004629629629629629</x:v>
      </x:c>
      <x:c r="AH86" s="222" t="n">
        <x:f>(IFERROR(VALUE(LEFT($L86,FIND("분",$L86)-1))*60,0)+IFERROR(VALUE(TRIM(MID($L86,IFERROR(FIND("분",$L86),0)+1,FIND("초",$L86)-IFERROR(FIND("분",$L86),0)-1))),0))/86400*1.4</x:f>
        <x:v>0.00324074074074074</x:v>
      </x:c>
      <x:c r="AI86" s="222" t="n">
        <x:f>(IFERROR(VALUE(LEFT($L86,FIND("분",$L86)-1))*60,0)+IFERROR(VALUE(TRIM(MID($L86,IFERROR(FIND("분",$L86),0)+1,FIND("초",$L86)-IFERROR(FIND("분",$L86),0)-1))),0))/86400</x:f>
        <x:v>0.0023148148148148147</x:v>
      </x:c>
    </x:row>
    <x:row r="87" ht="81.94999694824219" customHeight="1">
      <x:c r="A87" s="60" t="s">
        <x:v>450</x:v>
      </x:c>
      <x:c r="B87" s="49">
        <x:v>83</x:v>
      </x:c>
      <x:c r="C87" s="49">
        <x:v>5</x:v>
      </x:c>
      <x:c r="D87" s="49">
        <x:v>7</x:v>
      </x:c>
      <x:c r="E87" s="51" t="s">
        <x:v>508</x:v>
      </x:c>
      <x:c r="F87" s="51" t="s">
        <x:v>509</x:v>
      </x:c>
      <x:c r="G87" s="51" t="s">
        <x:v>510</x:v>
      </x:c>
      <x:c r="H87" s="49" t="s">
        <x:v>511</x:v>
      </x:c>
      <x:c r="I87" s="49">
        <x:v>4</x:v>
      </x:c>
      <x:c r="J87" s="51" t="s">
        <x:v>512</x:v>
      </x:c>
      <x:c r="K87" s="51" t="s">
        <x:v>513</x:v>
      </x:c>
      <x:c r="L87" s="49" t="s">
        <x:v>404</x:v>
      </x:c>
      <x:c r="M87" s="49" t="s">
        <x:v>514</x:v>
      </x:c>
      <x:c r="N87" s="52">
        <x:f t="shared" si="40"/>
        <x:v>0.10439814814814817</x:v>
      </x:c>
      <x:c r="O87" s="53" t="s">
        <x:v>493</x:v>
      </x:c>
      <x:c r="P87" s="54" t="n">
        <x:f>P86+11</x:f>
        <x:v>596</x:v>
      </x:c>
      <x:c r="Q87" s="55">
        <x:v>11</x:v>
      </x:c>
      <x:c r="R87" s="56">
        <x:f t="shared" si="41"/>
        <x:v>10745.88</x:v>
      </x:c>
      <x:c r="S87" s="53"/>
      <x:c r="T87" s="53"/>
      <x:c r="U87" s="53"/>
      <x:c r="V87" s="53"/>
      <x:c r="W87" s="178" t="str">
        <x:v>오답 횟수·퍼즐 초기화·힌트 사용·클리어 시간</x:v>
      </x:c>
      <x:c r="X87" s="204" t="n">
        <x:f t="shared" si="58"/>
        <x:v>40</x:v>
      </x:c>
      <x:c r="Y87" s="213" t="n">
        <x:f t="shared" ref="Y87" si="70">$X87*1.2</x:f>
        <x:v>48</x:v>
      </x:c>
      <x:c r="Z87" s="213" t="n">
        <x:f t="shared" ref="Z87" si="71">$X87*1.0</x:f>
        <x:v>40</x:v>
      </x:c>
      <x:c r="AA87" s="213" t="n">
        <x:f t="shared" si="61">$X87*0.85</x:f>
        <x:v>34</x:v>
      </x:c>
      <x:c r="AB87" s="213" t="n">
        <x:f t="shared" si="62">$X87*0.7</x:f>
        <x:v>28</x:v>
      </x:c>
      <x:c r="AC87" s="213" t="n">
        <x:f t="shared" si="63">$X87*0.55</x:f>
        <x:v>22</x:v>
      </x:c>
      <x:c r="AD87" s="214" t="n">
        <x:f>$X87*0.4</x:f>
        <x:v>16</x:v>
      </x:c>
      <x:c r="AE87" s="216" t="n">
        <x:f>$X87*0.0</x:f>
        <x:v>0</x:v>
      </x:c>
      <x:c r="AF87" s="222" t="n">
        <x:f>(IFERROR(VALUE(LEFT($L87,FIND("분",$L87)-1))*60,0)+IFERROR(VALUE(TRIM(MID($L87,IFERROR(FIND("분",$L87),0)+1,FIND("초",$L87)-IFERROR(FIND("분",$L87),0)-1))),0))/86400</x:f>
        <x:v>0.0023148148148148147</x:v>
      </x:c>
      <x:c r="AG87" s="222" t="n">
        <x:f>(IFERROR(VALUE(LEFT($L87,FIND("분",$L87)-1))*60,0)+IFERROR(VALUE(TRIM(MID($L87,IFERROR(FIND("분",$L87),0)+1,FIND("초",$L87)-IFERROR(FIND("분",$L87),0)-1))),0))/86400*2.0</x:f>
        <x:v>0.004629629629629629</x:v>
      </x:c>
      <x:c r="AH87" s="222" t="n">
        <x:f>(IFERROR(VALUE(LEFT($L87,FIND("분",$L87)-1))*60,0)+IFERROR(VALUE(TRIM(MID($L87,IFERROR(FIND("분",$L87),0)+1,FIND("초",$L87)-IFERROR(FIND("분",$L87),0)-1))),0))/86400*1.4</x:f>
        <x:v>0.00324074074074074</x:v>
      </x:c>
      <x:c r="AI87" s="222" t="n">
        <x:f>(IFERROR(VALUE(LEFT($L87,FIND("분",$L87)-1))*60,0)+IFERROR(VALUE(TRIM(MID($L87,IFERROR(FIND("분",$L87),0)+1,FIND("초",$L87)-IFERROR(FIND("분",$L87),0)-1))),0))/86400</x:f>
        <x:v>0.0023148148148148147</x:v>
      </x:c>
    </x:row>
    <x:row r="88" ht="81.94999694824219" customHeight="1">
      <x:c r="A88" s="60" t="s">
        <x:v>450</x:v>
      </x:c>
      <x:c r="B88" s="49">
        <x:v>84</x:v>
      </x:c>
      <x:c r="C88" s="49">
        <x:v>4</x:v>
      </x:c>
      <x:c r="D88" s="49">
        <x:v>7</x:v>
      </x:c>
      <x:c r="E88" s="51" t="s">
        <x:v>515</x:v>
      </x:c>
      <x:c r="F88" s="51" t="s">
        <x:v>317</x:v>
      </x:c>
      <x:c r="G88" s="51" t="s">
        <x:v>516</x:v>
      </x:c>
      <x:c r="H88" s="49" t="s">
        <x:v>319</x:v>
      </x:c>
      <x:c r="I88" s="49">
        <x:v>1</x:v>
      </x:c>
      <x:c r="J88" s="51" t="s">
        <x:v>320</x:v>
      </x:c>
      <x:c r="K88" s="51" t="s">
        <x:v>321</x:v>
      </x:c>
      <x:c r="L88" s="49" t="s">
        <x:v>134</x:v>
      </x:c>
      <x:c r="M88" s="49" t="s">
        <x:v>322</x:v>
      </x:c>
      <x:c r="N88" s="52">
        <x:f t="shared" si="40"/>
        <x:v>0.10555555555555558</x:v>
      </x:c>
      <x:c r="O88" s="53" t="s">
        <x:v>517</x:v>
      </x:c>
      <x:c r="P88" s="54" t="n">
        <x:f>P87+7</x:f>
        <x:v>603</x:v>
      </x:c>
      <x:c r="Q88" s="55">
        <x:v>7</x:v>
      </x:c>
      <x:c r="R88" s="56">
        <x:f t="shared" si="41"/>
        <x:v>10998.720000000001</x:v>
      </x:c>
      <x:c r="S88" s="53"/>
      <x:c r="T88" s="53"/>
      <x:c r="U88" s="53"/>
      <x:c r="V88" s="53"/>
      <x:c r="W88" s="178"/>
      <x:c r="X88" s="204"/>
      <x:c r="Y88" s="213"/>
      <x:c r="Z88" s="213"/>
      <x:c r="AA88" s="213"/>
      <x:c r="AB88" s="213"/>
      <x:c r="AC88" s="213"/>
      <x:c r="AD88" s="214"/>
      <x:c r="AE88" s="216"/>
      <x:c r="AF88" s="222"/>
      <x:c r="AG88" s="222"/>
      <x:c r="AH88" s="222"/>
      <x:c r="AI88" s="222"/>
    </x:row>
    <x:row r="89" ht="81.94999694824219" customHeight="1">
      <x:c r="A89" s="60" t="s">
        <x:v>450</x:v>
      </x:c>
      <x:c r="B89" s="49">
        <x:v>85</x:v>
      </x:c>
      <x:c r="C89" s="49">
        <x:v>3</x:v>
      </x:c>
      <x:c r="D89" s="49">
        <x:v>8</x:v>
      </x:c>
      <x:c r="E89" s="51" t="s">
        <x:v>518</x:v>
      </x:c>
      <x:c r="F89" s="51" t="s">
        <x:v>151</x:v>
      </x:c>
      <x:c r="G89" s="51" t="s">
        <x:v>519</x:v>
      </x:c>
      <x:c r="H89" s="49" t="s">
        <x:v>520</x:v>
      </x:c>
      <x:c r="I89" s="49">
        <x:v>6</x:v>
      </x:c>
      <x:c r="J89" s="51" t="s">
        <x:v>154</x:v>
      </x:c>
      <x:c r="K89" s="51" t="s">
        <x:v>30</x:v>
      </x:c>
      <x:c r="L89" s="49" t="s">
        <x:v>412</x:v>
      </x:c>
      <x:c r="M89" s="49" t="s">
        <x:v>155</x:v>
      </x:c>
      <x:c r="N89" s="52">
        <x:f t="shared" si="40"/>
        <x:v>0.10775462962962966</x:v>
      </x:c>
      <x:c r="O89" s="53" t="s">
        <x:v>517</x:v>
      </x:c>
      <x:c r="P89" s="54" t="n">
        <x:f>P88+11</x:f>
        <x:v>614</x:v>
      </x:c>
      <x:c r="Q89" s="55">
        <x:v>11</x:v>
      </x:c>
      <x:c r="R89" s="56">
        <x:f t="shared" si="41"/>
        <x:v>11401.98</x:v>
      </x:c>
      <x:c r="S89" s="53"/>
      <x:c r="T89" s="53"/>
      <x:c r="U89" s="53"/>
      <x:c r="V89" s="53"/>
      <x:c r="W89" s="178"/>
      <x:c r="X89" s="204">
        <x:f t="shared" si="58"/>
      </x:c>
      <x:c r="Y89" s="213">
        <x:f t="shared" ref="Y89" si="72">W89*0.6</x:f>
      </x:c>
      <x:c r="Z89" s="213">
        <x:f t="shared" ref="Z89" si="73">W89*0.5</x:f>
      </x:c>
      <x:c r="AA89" s="213">
        <x:f t="shared" si="61"/>
      </x:c>
      <x:c r="AB89" s="213">
        <x:f t="shared" si="62"/>
      </x:c>
      <x:c r="AC89" s="213">
        <x:f t="shared" si="63"/>
      </x:c>
      <x:c r="AD89" s="214"/>
      <x:c r="AE89" s="216"/>
      <x:c r="AF89" s="222"/>
      <x:c r="AG89" s="222"/>
      <x:c r="AH89" s="222"/>
      <x:c r="AI89" s="222"/>
    </x:row>
    <x:row r="90" ht="81.94999694824219" customHeight="1">
      <x:c r="A90" s="60" t="s">
        <x:v>450</x:v>
      </x:c>
      <x:c r="B90" s="49">
        <x:v>86</x:v>
      </x:c>
      <x:c r="C90" s="49">
        <x:v>6</x:v>
      </x:c>
      <x:c r="D90" s="49">
        <x:v>7</x:v>
      </x:c>
      <x:c r="E90" s="51" t="s">
        <x:v>521</x:v>
      </x:c>
      <x:c r="F90" s="51" t="s">
        <x:v>509</x:v>
      </x:c>
      <x:c r="G90" s="51" t="s">
        <x:v>522</x:v>
      </x:c>
      <x:c r="H90" s="49" t="s">
        <x:v>523</x:v>
      </x:c>
      <x:c r="I90" s="49">
        <x:v>5</x:v>
      </x:c>
      <x:c r="J90" s="51" t="s">
        <x:v>512</x:v>
      </x:c>
      <x:c r="K90" s="51" t="s">
        <x:v>513</x:v>
      </x:c>
      <x:c r="L90" s="49" t="s">
        <x:v>435</x:v>
      </x:c>
      <x:c r="M90" s="49" t="s">
        <x:v>514</x:v>
      </x:c>
      <x:c r="N90" s="52">
        <x:f t="shared" si="40"/>
        <x:v>0.11053240740740744</x:v>
      </x:c>
      <x:c r="O90" s="53" t="s">
        <x:v>517</x:v>
      </x:c>
      <x:c r="P90" s="54" t="n">
        <x:f>P89+13</x:f>
        <x:v>627</x:v>
      </x:c>
      <x:c r="Q90" s="55">
        <x:v>13</x:v>
      </x:c>
      <x:c r="R90" s="56">
        <x:f t="shared" si="41"/>
        <x:v>11887.919999999998</x:v>
      </x:c>
      <x:c r="S90" s="53"/>
      <x:c r="T90" s="53"/>
      <x:c r="U90" s="53"/>
      <x:c r="V90" s="53"/>
      <x:c r="W90" s="178" t="str">
        <x:v>오답 횟수·분기 판단 정확도·힌트 사용·클리어 시간</x:v>
      </x:c>
      <x:c r="X90" s="204" t="n">
        <x:f t="shared" si="58"/>
        <x:v>40</x:v>
      </x:c>
      <x:c r="Y90" s="213" t="n">
        <x:f t="shared" ref="Y90:Y97" si="74">$X90*1.2</x:f>
        <x:v>48</x:v>
      </x:c>
      <x:c r="Z90" s="213" t="n">
        <x:f t="shared" ref="Z90:Z97" si="75">$X90*1.0</x:f>
        <x:v>40</x:v>
      </x:c>
      <x:c r="AA90" s="213" t="n">
        <x:f t="shared" si="61">$X90*0.85</x:f>
        <x:v>34</x:v>
      </x:c>
      <x:c r="AB90" s="213" t="n">
        <x:f t="shared" si="62">$X90*0.7</x:f>
        <x:v>28</x:v>
      </x:c>
      <x:c r="AC90" s="213" t="n">
        <x:f t="shared" si="63">$X90*0.55</x:f>
        <x:v>22</x:v>
      </x:c>
      <x:c r="AD90" s="214" t="n">
        <x:f>$X90*0.4</x:f>
        <x:v>16</x:v>
      </x:c>
      <x:c r="AE90" s="216" t="n">
        <x:f>$X90*0.0</x:f>
        <x:v>0</x:v>
      </x:c>
      <x:c r="AF90" s="222" t="n">
        <x:f>(IFERROR(VALUE(LEFT($L90,FIND("분",$L90)-1))*60,0)+IFERROR(VALUE(TRIM(MID($L90,IFERROR(FIND("분",$L90),0)+1,FIND("초",$L90)-IFERROR(FIND("분",$L90),0)-1))),0))/86400</x:f>
        <x:v>0.002777777777777778</x:v>
      </x:c>
      <x:c r="AG90" s="222" t="n">
        <x:f>(IFERROR(VALUE(LEFT($L90,FIND("분",$L90)-1))*60,0)+IFERROR(VALUE(TRIM(MID($L90,IFERROR(FIND("분",$L90),0)+1,FIND("초",$L90)-IFERROR(FIND("분",$L90),0)-1))),0))/86400*2.0</x:f>
        <x:v>0.005555555555555556</x:v>
      </x:c>
      <x:c r="AH90" s="222" t="n">
        <x:f>(IFERROR(VALUE(LEFT($L90,FIND("분",$L90)-1))*60,0)+IFERROR(VALUE(TRIM(MID($L90,IFERROR(FIND("분",$L90),0)+1,FIND("초",$L90)-IFERROR(FIND("분",$L90),0)-1))),0))/86400*1.4</x:f>
        <x:v>0.0038888888888888888</x:v>
      </x:c>
      <x:c r="AI90" s="222" t="n">
        <x:f>(IFERROR(VALUE(LEFT($L90,FIND("분",$L90)-1))*60,0)+IFERROR(VALUE(TRIM(MID($L90,IFERROR(FIND("분",$L90),0)+1,FIND("초",$L90)-IFERROR(FIND("분",$L90),0)-1))),0))/86400</x:f>
        <x:v>0.002777777777777778</x:v>
      </x:c>
    </x:row>
    <x:row r="91" ht="81.94999694824219" customHeight="1">
      <x:c r="A91" s="60" t="s">
        <x:v>450</x:v>
      </x:c>
      <x:c r="B91" s="49">
        <x:v>87</x:v>
      </x:c>
      <x:c r="C91" s="49">
        <x:v>4</x:v>
      </x:c>
      <x:c r="D91" s="49">
        <x:v>7</x:v>
      </x:c>
      <x:c r="E91" s="51" t="s">
        <x:v>524</x:v>
      </x:c>
      <x:c r="F91" s="51" t="s">
        <x:v>525</x:v>
      </x:c>
      <x:c r="G91" s="51" t="s">
        <x:v>526</x:v>
      </x:c>
      <x:c r="H91" s="49" t="s">
        <x:v>527</x:v>
      </x:c>
      <x:c r="I91" s="49">
        <x:v>5</x:v>
      </x:c>
      <x:c r="J91" s="51" t="s">
        <x:v>528</x:v>
      </x:c>
      <x:c r="K91" s="51" t="s">
        <x:v>529</x:v>
      </x:c>
      <x:c r="L91" s="49" t="s">
        <x:v>491</x:v>
      </x:c>
      <x:c r="M91" s="49" t="s">
        <x:v>530</x:v>
      </x:c>
      <x:c r="N91" s="52">
        <x:f t="shared" si="40"/>
        <x:v>0.112962962962963</x:v>
      </x:c>
      <x:c r="O91" s="53" t="s">
        <x:v>517</x:v>
      </x:c>
      <x:c r="P91" s="54" t="n">
        <x:f>P90+11</x:f>
        <x:v>638</x:v>
      </x:c>
      <x:c r="Q91" s="55">
        <x:v>11</x:v>
      </x:c>
      <x:c r="R91" s="56">
        <x:f t="shared" si="41"/>
        <x:v>12307.02</x:v>
      </x:c>
      <x:c r="S91" s="53">
        <x:f t="shared" si="46"/>
        <x:v>4102.34</x:v>
      </x:c>
      <x:c r="T91" s="53">
        <x:v>5</x:v>
      </x:c>
      <x:c r="U91" s="53">
        <x:f t="shared" si="47"/>
        <x:v>15</x:v>
      </x:c>
      <x:c r="V91" s="53">
        <x:v>3</x:v>
      </x:c>
      <x:c r="W91" s="178" t="str">
        <x:v>환영 오인 횟수·추가 전투 발생·피격 횟수·클리어 시간</x:v>
      </x:c>
      <x:c r="X91" s="204" t="n">
        <x:f t="shared" si="58"/>
        <x:v>40</x:v>
      </x:c>
      <x:c r="Y91" s="213" t="n">
        <x:f t="shared" si="74">$X91*1.2</x:f>
        <x:v>48</x:v>
      </x:c>
      <x:c r="Z91" s="213" t="n">
        <x:f t="shared" si="75">$X91*1.0</x:f>
        <x:v>40</x:v>
      </x:c>
      <x:c r="AA91" s="213" t="n">
        <x:f t="shared" si="61">$X91*0.85</x:f>
        <x:v>34</x:v>
      </x:c>
      <x:c r="AB91" s="213" t="n">
        <x:f t="shared" si="62">$X91*0.7</x:f>
        <x:v>28</x:v>
      </x:c>
      <x:c r="AC91" s="213" t="n">
        <x:f t="shared" si="63">$X91*0.55</x:f>
        <x:v>22</x:v>
      </x:c>
      <x:c r="AD91" s="214" t="n">
        <x:f>$X91*0.4</x:f>
        <x:v>16</x:v>
      </x:c>
      <x:c r="AE91" s="216" t="n">
        <x:f>$X91*0.0</x:f>
        <x:v>0</x:v>
      </x:c>
      <x:c r="AF91" s="222" t="n">
        <x:f>(IFERROR(VALUE(LEFT($L91,FIND("분",$L91)-1))*60,0)+IFERROR(VALUE(TRIM(MID($L91,IFERROR(FIND("분",$L91),0)+1,FIND("초",$L91)-IFERROR(FIND("분",$L91),0)-1))),0))/86400</x:f>
        <x:v>0.0024305555555555556</x:v>
      </x:c>
      <x:c r="AG91" s="222" t="n">
        <x:f>(IFERROR(VALUE(LEFT($L91,FIND("분",$L91)-1))*60,0)+IFERROR(VALUE(TRIM(MID($L91,IFERROR(FIND("분",$L91),0)+1,FIND("초",$L91)-IFERROR(FIND("분",$L91),0)-1))),0))/86400*2.0</x:f>
        <x:v>0.004861111111111111</x:v>
      </x:c>
      <x:c r="AH91" s="222" t="n">
        <x:f>(IFERROR(VALUE(LEFT($L91,FIND("분",$L91)-1))*60,0)+IFERROR(VALUE(TRIM(MID($L91,IFERROR(FIND("분",$L91),0)+1,FIND("초",$L91)-IFERROR(FIND("분",$L91),0)-1))),0))/86400*1.4</x:f>
        <x:v>0.0034027777777777776</x:v>
      </x:c>
      <x:c r="AI91" s="222" t="n">
        <x:f>(IFERROR(VALUE(LEFT($L91,FIND("분",$L91)-1))*60,0)+IFERROR(VALUE(TRIM(MID($L91,IFERROR(FIND("분",$L91),0)+1,FIND("초",$L91)-IFERROR(FIND("분",$L91),0)-1))),0))/86400</x:f>
        <x:v>0.0024305555555555556</x:v>
      </x:c>
    </x:row>
    <x:row r="92" ht="81.94999694824219" customHeight="1">
      <x:c r="A92" s="60" t="s">
        <x:v>450</x:v>
      </x:c>
      <x:c r="B92" s="49">
        <x:v>88</x:v>
      </x:c>
      <x:c r="C92" s="49">
        <x:v>4</x:v>
      </x:c>
      <x:c r="D92" s="49">
        <x:v>7</x:v>
      </x:c>
      <x:c r="E92" s="51" t="s">
        <x:v>531</x:v>
      </x:c>
      <x:c r="F92" s="51" t="s">
        <x:v>317</x:v>
      </x:c>
      <x:c r="G92" s="51" t="s">
        <x:v>532</x:v>
      </x:c>
      <x:c r="H92" s="49" t="s">
        <x:v>533</x:v>
      </x:c>
      <x:c r="I92" s="49">
        <x:v>1</x:v>
      </x:c>
      <x:c r="J92" s="51" t="s">
        <x:v>320</x:v>
      </x:c>
      <x:c r="K92" s="51" t="s">
        <x:v>321</x:v>
      </x:c>
      <x:c r="L92" s="49" t="s">
        <x:v>95</x:v>
      </x:c>
      <x:c r="M92" s="49" t="s">
        <x:v>322</x:v>
      </x:c>
      <x:c r="N92" s="52">
        <x:f t="shared" si="40"/>
        <x:v>0.11423611111111115</x:v>
      </x:c>
      <x:c r="O92" s="53" t="s">
        <x:v>534</x:v>
      </x:c>
      <x:c r="P92" s="54" t="n">
        <x:f>P91+8</x:f>
        <x:v>646</x:v>
      </x:c>
      <x:c r="Q92" s="55">
        <x:v>8</x:v>
      </x:c>
      <x:c r="R92" s="56">
        <x:f t="shared" si="41"/>
        <x:v>12616.38</x:v>
      </x:c>
      <x:c r="S92" s="53"/>
      <x:c r="T92" s="53"/>
      <x:c r="U92" s="53"/>
      <x:c r="V92" s="53"/>
      <x:c r="W92" s="178"/>
      <x:c r="X92" s="204"/>
      <x:c r="Y92" s="213"/>
      <x:c r="Z92" s="213"/>
      <x:c r="AA92" s="213"/>
      <x:c r="AB92" s="213"/>
      <x:c r="AC92" s="213"/>
      <x:c r="AD92" s="214"/>
      <x:c r="AE92" s="216"/>
      <x:c r="AF92" s="222"/>
      <x:c r="AG92" s="222"/>
      <x:c r="AH92" s="222"/>
      <x:c r="AI92" s="222"/>
    </x:row>
    <x:row r="93" ht="81.94999694824219" customHeight="1">
      <x:c r="A93" s="60" t="s">
        <x:v>450</x:v>
      </x:c>
      <x:c r="B93" s="49">
        <x:v>89</x:v>
      </x:c>
      <x:c r="C93" s="49">
        <x:v>5</x:v>
      </x:c>
      <x:c r="D93" s="49">
        <x:v>7</x:v>
      </x:c>
      <x:c r="E93" s="51" t="s">
        <x:v>535</x:v>
      </x:c>
      <x:c r="F93" s="51" t="s">
        <x:v>536</x:v>
      </x:c>
      <x:c r="G93" s="51" t="s">
        <x:v>537</x:v>
      </x:c>
      <x:c r="H93" s="49" t="s">
        <x:v>538</x:v>
      </x:c>
      <x:c r="I93" s="49">
        <x:v>4</x:v>
      </x:c>
      <x:c r="J93" s="51" t="s">
        <x:v>539</x:v>
      </x:c>
      <x:c r="K93" s="51" t="s">
        <x:v>540</x:v>
      </x:c>
      <x:c r="L93" s="49" t="s">
        <x:v>412</x:v>
      </x:c>
      <x:c r="M93" s="49" t="s">
        <x:v>541</x:v>
      </x:c>
      <x:c r="N93" s="52">
        <x:f t="shared" si="40"/>
        <x:v>0.11643518518518522</x:v>
      </x:c>
      <x:c r="O93" s="53" t="s">
        <x:v>534</x:v>
      </x:c>
      <x:c r="P93" s="54" t="n">
        <x:f>P92+11</x:f>
        <x:v>657</x:v>
      </x:c>
      <x:c r="Q93" s="55">
        <x:v>11</x:v>
      </x:c>
      <x:c r="R93" s="56">
        <x:f t="shared" si="41"/>
        <x:v>13048.02</x:v>
      </x:c>
      <x:c r="S93" s="53"/>
      <x:c r="T93" s="53"/>
      <x:c r="U93" s="53"/>
      <x:c r="V93" s="53"/>
      <x:c r="W93" s="178" t="str">
        <x:v>가짜 경로 진입·추가 전투 발생·추적 정확도·클리어 시간</x:v>
      </x:c>
      <x:c r="X93" s="204" t="n">
        <x:f t="shared" ref="X93" si="76">W93*0.8</x:f>
        <x:v>40</x:v>
      </x:c>
      <x:c r="Y93" s="213" t="n">
        <x:f t="shared" si="74">$X93*1.2</x:f>
        <x:v>48</x:v>
      </x:c>
      <x:c r="Z93" s="213" t="n">
        <x:f t="shared" si="75">$X93*1.0</x:f>
        <x:v>40</x:v>
      </x:c>
      <x:c r="AA93" s="213" t="n">
        <x:f t="shared" si="61">$X93*0.85</x:f>
        <x:v>34</x:v>
      </x:c>
      <x:c r="AB93" s="213" t="n">
        <x:f t="shared" si="62">$X93*0.7</x:f>
        <x:v>28</x:v>
      </x:c>
      <x:c r="AC93" s="213" t="n">
        <x:f t="shared" si="63">$X93*0.55</x:f>
        <x:v>22</x:v>
      </x:c>
      <x:c r="AD93" s="214" t="n">
        <x:f>$X93*0.4</x:f>
        <x:v>16</x:v>
      </x:c>
      <x:c r="AE93" s="216" t="n">
        <x:f>$X93*0.0</x:f>
        <x:v>0</x:v>
      </x:c>
      <x:c r="AF93" s="222" t="n">
        <x:f>(IFERROR(VALUE(LEFT($L93,FIND("분",$L93)-1))*60,0)+IFERROR(VALUE(TRIM(MID($L93,IFERROR(FIND("분",$L93),0)+1,FIND("초",$L93)-IFERROR(FIND("분",$L93),0)-1))),0))/86400</x:f>
        <x:v>0.002199074074074074</x:v>
      </x:c>
      <x:c r="AG93" s="222" t="n">
        <x:f>(IFERROR(VALUE(LEFT($L93,FIND("분",$L93)-1))*60,0)+IFERROR(VALUE(TRIM(MID($L93,IFERROR(FIND("분",$L93),0)+1,FIND("초",$L93)-IFERROR(FIND("분",$L93),0)-1))),0))/86400*2.0</x:f>
        <x:v>0.004398148148148148</x:v>
      </x:c>
      <x:c r="AH93" s="222" t="n">
        <x:f>(IFERROR(VALUE(LEFT($L93,FIND("분",$L93)-1))*60,0)+IFERROR(VALUE(TRIM(MID($L93,IFERROR(FIND("분",$L93),0)+1,FIND("초",$L93)-IFERROR(FIND("분",$L93),0)-1))),0))/86400*1.4</x:f>
        <x:v>0.0030787037037037037</x:v>
      </x:c>
      <x:c r="AI93" s="222" t="n">
        <x:f>(IFERROR(VALUE(LEFT($L93,FIND("분",$L93)-1))*60,0)+IFERROR(VALUE(TRIM(MID($L93,IFERROR(FIND("분",$L93),0)+1,FIND("초",$L93)-IFERROR(FIND("분",$L93),0)-1))),0))/86400</x:f>
        <x:v>0.002199074074074074</x:v>
      </x:c>
    </x:row>
    <x:row r="94" ht="81.94999694824219" customHeight="1">
      <x:c r="A94" s="60" t="s">
        <x:v>450</x:v>
      </x:c>
      <x:c r="B94" s="49">
        <x:v>90</x:v>
      </x:c>
      <x:c r="C94" s="49">
        <x:v>4</x:v>
      </x:c>
      <x:c r="D94" s="49">
        <x:v>7</x:v>
      </x:c>
      <x:c r="E94" s="51" t="s">
        <x:v>542</x:v>
      </x:c>
      <x:c r="F94" s="51" t="s">
        <x:v>75</x:v>
      </x:c>
      <x:c r="G94" s="51" t="s">
        <x:v>543</x:v>
      </x:c>
      <x:c r="H94" s="49" t="s">
        <x:v>544</x:v>
      </x:c>
      <x:c r="I94" s="49">
        <x:v>6</x:v>
      </x:c>
      <x:c r="J94" s="51" t="s">
        <x:v>545</x:v>
      </x:c>
      <x:c r="K94" s="51" t="s">
        <x:v>30</x:v>
      </x:c>
      <x:c r="L94" s="49" t="s">
        <x:v>491</x:v>
      </x:c>
      <x:c r="M94" s="49" t="s">
        <x:v>79</x:v>
      </x:c>
      <x:c r="N94" s="52">
        <x:f t="shared" si="40"/>
        <x:v>0.11886574074074079</x:v>
      </x:c>
      <x:c r="O94" s="53" t="s">
        <x:v>534</x:v>
      </x:c>
      <x:c r="P94" s="54" t="n">
        <x:f>P93+11</x:f>
        <x:v>668</x:v>
      </x:c>
      <x:c r="Q94" s="55">
        <x:v>11</x:v>
      </x:c>
      <x:c r="R94" s="56">
        <x:f t="shared" si="41"/>
        <x:v>13486.92</x:v>
      </x:c>
      <x:c r="S94" s="53">
        <x:f t="shared" si="46"/>
        <x:v>2697.384</x:v>
      </x:c>
      <x:c r="T94" s="53">
        <x:v>5</x:v>
      </x:c>
      <x:c r="U94" s="53">
        <x:f t="shared" si="47"/>
        <x:v>25</x:v>
      </x:c>
      <x:c r="V94" s="53">
        <x:v>5</x:v>
      </x:c>
      <x:c r="W94" s="178" t="str">
        <x:v>탐색 동선·불필요한 조사·힌트 사용·클리어 시간</x:v>
      </x:c>
      <x:c r="X94" s="204" t="n">
        <x:f t="shared" ref="X94" si="77">W94*0.8</x:f>
        <x:v>20</x:v>
      </x:c>
      <x:c r="Y94" s="213" t="n">
        <x:f t="shared" si="74">$X94*1.2</x:f>
        <x:v>24</x:v>
      </x:c>
      <x:c r="Z94" s="213" t="n">
        <x:f t="shared" si="75">$X94*1.0</x:f>
        <x:v>20</x:v>
      </x:c>
      <x:c r="AA94" s="213" t="n">
        <x:f t="shared" si="61">$X94*0.85</x:f>
        <x:v>17</x:v>
      </x:c>
      <x:c r="AB94" s="213" t="n">
        <x:f t="shared" si="62">$X94*0.7</x:f>
        <x:v>14</x:v>
      </x:c>
      <x:c r="AC94" s="213" t="n">
        <x:f t="shared" si="63">$X94*0.55</x:f>
        <x:v>11</x:v>
      </x:c>
      <x:c r="AD94" s="214" t="n">
        <x:f>$X94*0.4</x:f>
        <x:v>8</x:v>
      </x:c>
      <x:c r="AE94" s="216" t="n">
        <x:f>$X94*0.0</x:f>
        <x:v>0</x:v>
      </x:c>
      <x:c r="AF94" s="222" t="n">
        <x:f>(IFERROR(VALUE(LEFT($L94,FIND("분",$L94)-1))*60,0)+IFERROR(VALUE(TRIM(MID($L94,IFERROR(FIND("분",$L94),0)+1,FIND("초",$L94)-IFERROR(FIND("분",$L94),0)-1))),0))/86400</x:f>
        <x:v>0.0024305555555555556</x:v>
      </x:c>
      <x:c r="AG94" s="222" t="n">
        <x:f>(IFERROR(VALUE(LEFT($L94,FIND("분",$L94)-1))*60,0)+IFERROR(VALUE(TRIM(MID($L94,IFERROR(FIND("분",$L94),0)+1,FIND("초",$L94)-IFERROR(FIND("분",$L94),0)-1))),0))/86400*2.0</x:f>
        <x:v>0.004861111111111111</x:v>
      </x:c>
      <x:c r="AH94" s="222" t="n">
        <x:f>(IFERROR(VALUE(LEFT($L94,FIND("분",$L94)-1))*60,0)+IFERROR(VALUE(TRIM(MID($L94,IFERROR(FIND("분",$L94),0)+1,FIND("초",$L94)-IFERROR(FIND("분",$L94),0)-1))),0))/86400*1.4</x:f>
        <x:v>0.0034027777777777776</x:v>
      </x:c>
      <x:c r="AI94" s="222" t="n">
        <x:f>(IFERROR(VALUE(LEFT($L94,FIND("분",$L94)-1))*60,0)+IFERROR(VALUE(TRIM(MID($L94,IFERROR(FIND("분",$L94),0)+1,FIND("초",$L94)-IFERROR(FIND("분",$L94),0)-1))),0))/86400</x:f>
        <x:v>0.0024305555555555556</x:v>
      </x:c>
    </x:row>
    <x:row r="95" ht="81.94999694824219" customHeight="1">
      <x:c r="A95" s="60" t="s">
        <x:v>450</x:v>
      </x:c>
      <x:c r="B95" s="49">
        <x:v>91</x:v>
      </x:c>
      <x:c r="C95" s="49">
        <x:v>2</x:v>
      </x:c>
      <x:c r="D95" s="49">
        <x:v>8</x:v>
      </x:c>
      <x:c r="E95" s="51" t="s">
        <x:v>546</x:v>
      </x:c>
      <x:c r="F95" s="51" t="s">
        <x:v>480</x:v>
      </x:c>
      <x:c r="G95" s="51" t="s">
        <x:v>547</x:v>
      </x:c>
      <x:c r="H95" s="49" t="s">
        <x:v>548</x:v>
      </x:c>
      <x:c r="I95" s="49">
        <x:v>2</x:v>
      </x:c>
      <x:c r="J95" s="51" t="s">
        <x:v>483</x:v>
      </x:c>
      <x:c r="K95" s="51" t="s">
        <x:v>484</x:v>
      </x:c>
      <x:c r="L95" s="49" t="s">
        <x:v>111</x:v>
      </x:c>
      <x:c r="M95" s="49" t="s">
        <x:v>485</x:v>
      </x:c>
      <x:c r="N95" s="52">
        <x:f t="shared" si="40"/>
        <x:v>0.11979166666666671</x:v>
      </x:c>
      <x:c r="O95" s="53" t="s">
        <x:v>534</x:v>
      </x:c>
      <x:c r="P95" s="54" t="n">
        <x:f>P94+7</x:f>
        <x:v>675</x:v>
      </x:c>
      <x:c r="Q95" s="55">
        <x:v>7</x:v>
      </x:c>
      <x:c r="R95" s="56">
        <x:f t="shared" si="41"/>
        <x:v>13770</x:v>
      </x:c>
      <x:c r="S95" s="53"/>
      <x:c r="T95" s="53"/>
      <x:c r="U95" s="53"/>
      <x:c r="V95" s="53"/>
      <x:c r="W95" s="178"/>
      <x:c r="X95" s="204"/>
      <x:c r="Y95" s="213"/>
      <x:c r="Z95" s="213"/>
      <x:c r="AA95" s="213"/>
      <x:c r="AB95" s="213"/>
      <x:c r="AC95" s="213"/>
      <x:c r="AD95" s="214"/>
      <x:c r="AE95" s="216"/>
      <x:c r="AF95" s="222"/>
      <x:c r="AG95" s="222"/>
      <x:c r="AH95" s="222"/>
      <x:c r="AI95" s="222"/>
    </x:row>
    <x:row r="96" ht="81.94999694824219" customHeight="1">
      <x:c r="A96" s="60" t="s">
        <x:v>450</x:v>
      </x:c>
      <x:c r="B96" s="49">
        <x:v>92</x:v>
      </x:c>
      <x:c r="C96" s="49">
        <x:v>8</x:v>
      </x:c>
      <x:c r="D96" s="49">
        <x:v>10</x:v>
      </x:c>
      <x:c r="E96" s="51" t="s">
        <x:v>549</x:v>
      </x:c>
      <x:c r="F96" s="51" t="s">
        <x:v>550</x:v>
      </x:c>
      <x:c r="G96" s="51" t="s">
        <x:v>551</x:v>
      </x:c>
      <x:c r="H96" s="49" t="s">
        <x:v>552</x:v>
      </x:c>
      <x:c r="I96" s="49">
        <x:v>8</x:v>
      </x:c>
      <x:c r="J96" s="51" t="s">
        <x:v>553</x:v>
      </x:c>
      <x:c r="K96" s="51" t="s">
        <x:v>554</x:v>
      </x:c>
      <x:c r="L96" s="49" t="s">
        <x:v>555</x:v>
      </x:c>
      <x:c r="M96" s="49" t="s">
        <x:v>556</x:v>
      </x:c>
      <x:c r="N96" s="52">
        <x:f t="shared" si="40"/>
        <x:v>0.12326388888888894</x:v>
      </x:c>
      <x:c r="O96" s="53" t="s">
        <x:v>557</x:v>
      </x:c>
      <x:c r="P96" s="54" t="n">
        <x:f>P95+17</x:f>
        <x:v>692</x:v>
      </x:c>
      <x:c r="Q96" s="55">
        <x:v>17</x:v>
      </x:c>
      <x:c r="R96" s="56">
        <x:f t="shared" si="41"/>
        <x:v>14469.719999999998</x:v>
      </x:c>
      <x:c r="S96" s="53">
        <x:f t="shared" si="46"/>
        <x:v>14469.719999999998</x:v>
      </x:c>
      <x:c r="T96" s="53">
        <x:v>300</x:v>
      </x:c>
      <x:c r="U96" s="53">
        <x:f t="shared" si="47"/>
        <x:v>300</x:v>
      </x:c>
      <x:c r="V96" s="53">
        <x:v>1</x:v>
      </x:c>
      <x:c r="W96" s="178" t="str">
        <x:v>피격 횟수·동료 생존·패턴 대응 성공률·페이즈 클리어 시간</x:v>
      </x:c>
      <x:c r="X96" s="204" t="n">
        <x:f t="shared" ref="X96" si="78">W96*0.8</x:f>
        <x:v>80</x:v>
      </x:c>
      <x:c r="Y96" s="213" t="n">
        <x:f t="shared" si="74">$X96*1.2</x:f>
        <x:v>96</x:v>
      </x:c>
      <x:c r="Z96" s="213" t="n">
        <x:f t="shared" si="75">$X96*1.0</x:f>
        <x:v>80</x:v>
      </x:c>
      <x:c r="AA96" s="213" t="n">
        <x:f t="shared" si="61">$X96*0.85</x:f>
        <x:v>68</x:v>
      </x:c>
      <x:c r="AB96" s="213" t="n">
        <x:f t="shared" si="62">$X96*0.7</x:f>
        <x:v>56</x:v>
      </x:c>
      <x:c r="AC96" s="213" t="n">
        <x:f t="shared" si="63">$X96*0.55</x:f>
        <x:v>44</x:v>
      </x:c>
      <x:c r="AD96" s="214" t="n">
        <x:f>$X96*0.4</x:f>
        <x:v>32</x:v>
      </x:c>
      <x:c r="AE96" s="216" t="n">
        <x:f>$X96*0.0</x:f>
        <x:v>0</x:v>
      </x:c>
      <x:c r="AF96" s="222" t="n">
        <x:f>(IFERROR(VALUE(LEFT($L96,FIND("분",$L96)-1))*60,0)+IFERROR(VALUE(TRIM(MID($L96,IFERROR(FIND("분",$L96),0)+1,FIND("초",$L96)-IFERROR(FIND("분",$L96),0)-1))),0))/86400</x:f>
        <x:v>0.003472222222222222</x:v>
      </x:c>
      <x:c r="AG96" s="222" t="n">
        <x:f>(IFERROR(VALUE(LEFT($L96,FIND("분",$L96)-1))*60,0)+IFERROR(VALUE(TRIM(MID($L96,IFERROR(FIND("분",$L96),0)+1,FIND("초",$L96)-IFERROR(FIND("분",$L96),0)-1))),0))/86400*2.0</x:f>
        <x:v>0.006944444444444444</x:v>
      </x:c>
      <x:c r="AH96" s="222" t="n">
        <x:f>(IFERROR(VALUE(LEFT($L96,FIND("분",$L96)-1))*60,0)+IFERROR(VALUE(TRIM(MID($L96,IFERROR(FIND("분",$L96),0)+1,FIND("초",$L96)-IFERROR(FIND("분",$L96),0)-1))),0))/86400*1.4</x:f>
        <x:v>0.00486111111111111</x:v>
      </x:c>
      <x:c r="AI96" s="222" t="n">
        <x:f>(IFERROR(VALUE(LEFT($L96,FIND("분",$L96)-1))*60,0)+IFERROR(VALUE(TRIM(MID($L96,IFERROR(FIND("분",$L96),0)+1,FIND("초",$L96)-IFERROR(FIND("분",$L96),0)-1))),0))/86400</x:f>
        <x:v>0.003472222222222222</x:v>
      </x:c>
    </x:row>
    <x:row r="97" ht="81.94999694824219" customHeight="1">
      <x:c r="A97" s="60" t="s">
        <x:v>450</x:v>
      </x:c>
      <x:c r="B97" s="49">
        <x:v>93</x:v>
      </x:c>
      <x:c r="C97" s="49">
        <x:v>8</x:v>
      </x:c>
      <x:c r="D97" s="49">
        <x:v>10</x:v>
      </x:c>
      <x:c r="E97" s="51" t="s">
        <x:v>558</x:v>
      </x:c>
      <x:c r="F97" s="51" t="s">
        <x:v>559</x:v>
      </x:c>
      <x:c r="G97" s="51" t="s">
        <x:v>560</x:v>
      </x:c>
      <x:c r="H97" s="49" t="s">
        <x:v>561</x:v>
      </x:c>
      <x:c r="I97" s="49">
        <x:v>6</x:v>
      </x:c>
      <x:c r="J97" s="51" t="s">
        <x:v>562</x:v>
      </x:c>
      <x:c r="K97" s="51" t="s">
        <x:v>563</x:v>
      </x:c>
      <x:c r="L97" s="49" t="s">
        <x:v>564</x:v>
      </x:c>
      <x:c r="M97" s="49" t="s">
        <x:v>565</x:v>
      </x:c>
      <x:c r="N97" s="52">
        <x:f t="shared" si="40"/>
        <x:v>0.12627314814814819</x:v>
      </x:c>
      <x:c r="O97" s="53" t="s">
        <x:v>557</x:v>
      </x:c>
      <x:c r="P97" s="54" t="n">
        <x:f>P96+15</x:f>
        <x:v>707</x:v>
      </x:c>
      <x:c r="Q97" s="55">
        <x:v>15</x:v>
      </x:c>
      <x:c r="R97" s="56">
        <x:f t="shared" si="41"/>
        <x:v>15101.52</x:v>
      </x:c>
      <x:c r="S97" s="53">
        <x:f t="shared" si="46"/>
        <x:v>5033.84</x:v>
      </x:c>
      <x:c r="T97" s="53">
        <x:v>10</x:v>
      </x:c>
      <x:c r="U97" s="53">
        <x:f t="shared" si="47"/>
        <x:v>30</x:v>
      </x:c>
      <x:c r="V97" s="53">
        <x:v>3</x:v>
      </x:c>
      <x:c r="W97" s="178" t="str">
        <x:v>기억 선택 오답·죄책감 증가·패턴 대응 성공률·클리어 시간</x:v>
      </x:c>
      <x:c r="X97" s="204" t="n">
        <x:f t="shared" ref="X97" si="79">W97*0.8</x:f>
        <x:v>60</x:v>
      </x:c>
      <x:c r="Y97" s="213" t="n">
        <x:f t="shared" si="74">$X97*1.2</x:f>
        <x:v>72</x:v>
      </x:c>
      <x:c r="Z97" s="213" t="n">
        <x:f t="shared" si="75">$X97*1.0</x:f>
        <x:v>60</x:v>
      </x:c>
      <x:c r="AA97" s="213" t="n">
        <x:f t="shared" si="61">$X97*0.85</x:f>
        <x:v>51</x:v>
      </x:c>
      <x:c r="AB97" s="213" t="n">
        <x:f t="shared" si="62">$X97*0.7</x:f>
        <x:v>42</x:v>
      </x:c>
      <x:c r="AC97" s="213" t="n">
        <x:f t="shared" si="63">$X97*0.55</x:f>
        <x:v>33</x:v>
      </x:c>
      <x:c r="AD97" s="214" t="n">
        <x:f>$X97*0.4</x:f>
        <x:v>24</x:v>
      </x:c>
      <x:c r="AE97" s="216" t="n">
        <x:f>$X97*0.0</x:f>
        <x:v>0</x:v>
      </x:c>
      <x:c r="AF97" s="222" t="n">
        <x:f>(IFERROR(VALUE(LEFT($L97,FIND("분",$L97)-1))*60,0)+IFERROR(VALUE(TRIM(MID($L97,IFERROR(FIND("분",$L97),0)+1,FIND("초",$L97)-IFERROR(FIND("분",$L97),0)-1))),0))/86400</x:f>
        <x:v>0.0030092592592592593</x:v>
      </x:c>
      <x:c r="AG97" s="222" t="n">
        <x:f>(IFERROR(VALUE(LEFT($L97,FIND("분",$L97)-1))*60,0)+IFERROR(VALUE(TRIM(MID($L97,IFERROR(FIND("분",$L97),0)+1,FIND("초",$L97)-IFERROR(FIND("분",$L97),0)-1))),0))/86400*2.0</x:f>
        <x:v>0.0060185185185185185</x:v>
      </x:c>
      <x:c r="AH97" s="222" t="n">
        <x:f>(IFERROR(VALUE(LEFT($L97,FIND("분",$L97)-1))*60,0)+IFERROR(VALUE(TRIM(MID($L97,IFERROR(FIND("분",$L97),0)+1,FIND("초",$L97)-IFERROR(FIND("분",$L97),0)-1))),0))/86400*1.4</x:f>
        <x:v>0.004212962962962963</x:v>
      </x:c>
      <x:c r="AI97" s="222" t="n">
        <x:f>(IFERROR(VALUE(LEFT($L97,FIND("분",$L97)-1))*60,0)+IFERROR(VALUE(TRIM(MID($L97,IFERROR(FIND("분",$L97),0)+1,FIND("초",$L97)-IFERROR(FIND("분",$L97),0)-1))),0))/86400</x:f>
        <x:v>0.0030092592592592593</x:v>
      </x:c>
    </x:row>
    <x:row r="98" ht="81.94999694824219" customHeight="1">
      <x:c r="A98" s="60" t="s">
        <x:v>450</x:v>
      </x:c>
      <x:c r="B98" s="49">
        <x:v>94</x:v>
      </x:c>
      <x:c r="C98" s="49">
        <x:v>9</x:v>
      </x:c>
      <x:c r="D98" s="49">
        <x:v>10</x:v>
      </x:c>
      <x:c r="E98" s="51" t="s">
        <x:v>566</x:v>
      </x:c>
      <x:c r="F98" s="51" t="s">
        <x:v>567</x:v>
      </x:c>
      <x:c r="G98" s="51" t="s">
        <x:v>568</x:v>
      </x:c>
      <x:c r="H98" s="49" t="s">
        <x:v>569</x:v>
      </x:c>
      <x:c r="I98" s="49">
        <x:v>9</x:v>
      </x:c>
      <x:c r="J98" s="51" t="s">
        <x:v>570</x:v>
      </x:c>
      <x:c r="K98" s="51" t="s">
        <x:v>571</x:v>
      </x:c>
      <x:c r="L98" s="49" t="s">
        <x:v>572</x:v>
      </x:c>
      <x:c r="M98" s="49" t="s">
        <x:v>573</x:v>
      </x:c>
      <x:c r="N98" s="52">
        <x:f t="shared" si="40"/>
        <x:v>0.13020833333333337</x:v>
      </x:c>
      <x:c r="O98" s="53" t="s">
        <x:v>557</x:v>
      </x:c>
      <x:c r="P98" s="54" t="n">
        <x:f>P97+18</x:f>
        <x:v>725</x:v>
      </x:c>
      <x:c r="Q98" s="55">
        <x:v>18</x:v>
      </x:c>
      <x:c r="R98" s="56">
        <x:f t="shared" si="41"/>
        <x:v>15877.5</x:v>
      </x:c>
      <x:c r="S98" s="53">
        <x:f t="shared" si="46"/>
        <x:v>15877.5</x:v>
      </x:c>
      <x:c r="T98" s="53">
        <x:v>320</x:v>
      </x:c>
      <x:c r="U98" s="53">
        <x:f t="shared" si="47"/>
        <x:v>320</x:v>
      </x:c>
      <x:c r="V98" s="53">
        <x:v>1</x:v>
      </x:c>
      <x:c r="W98" s="178" t="str">
        <x:v>파티 피해·전멸/재시도·패턴 대응 성공률·페이즈 클리어 시간</x:v>
      </x:c>
      <x:c r="X98" s="204" t="n">
        <x:f t="shared" si="58"/>
        <x:v>100</x:v>
      </x:c>
      <x:c r="Y98" s="213" t="n">
        <x:f t="shared" ref="Y98" si="80">$X98*1.2</x:f>
        <x:v>120</x:v>
      </x:c>
      <x:c r="Z98" s="213" t="n">
        <x:f t="shared" ref="Z98" si="81">$X98*1.0</x:f>
        <x:v>100</x:v>
      </x:c>
      <x:c r="AA98" s="213" t="n">
        <x:f t="shared" si="61">$X98*0.85</x:f>
        <x:v>85</x:v>
      </x:c>
      <x:c r="AB98" s="213" t="n">
        <x:f t="shared" si="62">$X98*0.7</x:f>
        <x:v>70</x:v>
      </x:c>
      <x:c r="AC98" s="213" t="n">
        <x:f t="shared" si="63">$X98*0.55</x:f>
        <x:v>55.00000000000001</x:v>
      </x:c>
      <x:c r="AD98" s="214" t="n">
        <x:f>$X98*0.4</x:f>
        <x:v>40</x:v>
      </x:c>
      <x:c r="AE98" s="216" t="n">
        <x:f>$X98*0.0</x:f>
        <x:v>0</x:v>
      </x:c>
      <x:c r="AF98" s="222" t="n">
        <x:f>(IFERROR(VALUE(LEFT($L98,FIND("분",$L98)-1))*60,0)+IFERROR(VALUE(TRIM(MID($L98,IFERROR(FIND("분",$L98),0)+1,FIND("초",$L98)-IFERROR(FIND("분",$L98),0)-1))),0))/86400</x:f>
        <x:v>0.003935185185185185</x:v>
      </x:c>
      <x:c r="AG98" s="222" t="n">
        <x:f>(IFERROR(VALUE(LEFT($L98,FIND("분",$L98)-1))*60,0)+IFERROR(VALUE(TRIM(MID($L98,IFERROR(FIND("분",$L98),0)+1,FIND("초",$L98)-IFERROR(FIND("분",$L98),0)-1))),0))/86400*2.0</x:f>
        <x:v>0.00787037037037037</x:v>
      </x:c>
      <x:c r="AH98" s="222" t="n">
        <x:f>(IFERROR(VALUE(LEFT($L98,FIND("분",$L98)-1))*60,0)+IFERROR(VALUE(TRIM(MID($L98,IFERROR(FIND("분",$L98),0)+1,FIND("초",$L98)-IFERROR(FIND("분",$L98),0)-1))),0))/86400*1.4</x:f>
        <x:v>0.005509259259259258</x:v>
      </x:c>
      <x:c r="AI98" s="222" t="n">
        <x:f>(IFERROR(VALUE(LEFT($L98,FIND("분",$L98)-1))*60,0)+IFERROR(VALUE(TRIM(MID($L98,IFERROR(FIND("분",$L98),0)+1,FIND("초",$L98)-IFERROR(FIND("분",$L98),0)-1))),0))/86400</x:f>
        <x:v>0.003935185185185185</x:v>
      </x:c>
    </x:row>
    <x:row r="99" ht="81.94999694824219" customHeight="1">
      <x:c r="A99" s="60" t="s">
        <x:v>450</x:v>
      </x:c>
      <x:c r="B99" s="49">
        <x:v>95</x:v>
      </x:c>
      <x:c r="C99" s="49">
        <x:v>10</x:v>
      </x:c>
      <x:c r="D99" s="49">
        <x:v>10</x:v>
      </x:c>
      <x:c r="E99" s="51" t="s">
        <x:v>574</x:v>
      </x:c>
      <x:c r="F99" s="51" t="s">
        <x:v>575</x:v>
      </x:c>
      <x:c r="G99" s="51" t="s">
        <x:v>576</x:v>
      </x:c>
      <x:c r="H99" s="49" t="s">
        <x:v>577</x:v>
      </x:c>
      <x:c r="I99" s="49">
        <x:v>6</x:v>
      </x:c>
      <x:c r="J99" s="51" t="s">
        <x:v>578</x:v>
      </x:c>
      <x:c r="K99" s="51" t="s">
        <x:v>579</x:v>
      </x:c>
      <x:c r="L99" s="49" t="s">
        <x:v>580</x:v>
      </x:c>
      <x:c r="M99" s="49" t="s">
        <x:v>581</x:v>
      </x:c>
      <x:c r="N99" s="52">
        <x:f t="shared" si="40"/>
        <x:v>0.13287037037037042</x:v>
      </x:c>
      <x:c r="O99" s="53" t="s">
        <x:v>557</x:v>
      </x:c>
      <x:c r="P99" s="54" t="n">
        <x:f>P98+15</x:f>
        <x:v>740</x:v>
      </x:c>
      <x:c r="Q99" s="55">
        <x:v>15</x:v>
      </x:c>
      <x:c r="R99" s="56">
        <x:f t="shared" si="41"/>
        <x:v>16539</x:v>
      </x:c>
      <x:c r="S99" s="53">
        <x:f t="shared" si="46"/>
        <x:v>5513</x:v>
      </x:c>
      <x:c r="T99" s="53">
        <x:v>15</x:v>
      </x:c>
      <x:c r="U99" s="53">
        <x:f t="shared" si="47"/>
        <x:v>45</x:v>
      </x:c>
      <x:c r="V99" s="53">
        <x:v>3</x:v>
      </x:c>
      <x:c r="W99" s="178" t="str">
        <x:v>죄책감 누적량·피격 횟수·재시도 횟수·패턴 유지 시간</x:v>
      </x:c>
      <x:c r="X99" s="204" t="n">
        <x:f t="shared" ref="X99" si="82">W99*0.8</x:f>
        <x:v>80</x:v>
      </x:c>
      <x:c r="Y99" s="213" t="n">
        <x:f t="shared" ref="Y99:Y100" si="83">$X99*1.2</x:f>
        <x:v>96</x:v>
      </x:c>
      <x:c r="Z99" s="213" t="n">
        <x:f t="shared" ref="Z99:Z100" si="84">$X99*1.0</x:f>
        <x:v>80</x:v>
      </x:c>
      <x:c r="AA99" s="213" t="n">
        <x:f t="shared" si="61">$X99*0.85</x:f>
        <x:v>68</x:v>
      </x:c>
      <x:c r="AB99" s="213" t="n">
        <x:f t="shared" si="62">$X99*0.7</x:f>
        <x:v>56</x:v>
      </x:c>
      <x:c r="AC99" s="213" t="n">
        <x:f t="shared" si="63">$X99*0.55</x:f>
        <x:v>44</x:v>
      </x:c>
      <x:c r="AD99" s="214" t="n">
        <x:f>$X99*0.4</x:f>
        <x:v>32</x:v>
      </x:c>
      <x:c r="AE99" s="216" t="n">
        <x:f>$X99*0.0</x:f>
        <x:v>0</x:v>
      </x:c>
      <x:c r="AF99" s="222" t="n">
        <x:f>(IFERROR(VALUE(LEFT($L99,FIND("분",$L99)-1))*60,0)+IFERROR(VALUE(TRIM(MID($L99,IFERROR(FIND("분",$L99),0)+1,FIND("초",$L99)-IFERROR(FIND("분",$L99),0)-1))),0))/86400</x:f>
        <x:v>0.002662037037037037</x:v>
      </x:c>
      <x:c r="AG99" s="222" t="n">
        <x:f>(IFERROR(VALUE(LEFT($L99,FIND("분",$L99)-1))*60,0)+IFERROR(VALUE(TRIM(MID($L99,IFERROR(FIND("분",$L99),0)+1,FIND("초",$L99)-IFERROR(FIND("분",$L99),0)-1))),0))/86400*2.0</x:f>
        <x:v>0.005324074074074074</x:v>
      </x:c>
      <x:c r="AH99" s="222" t="n">
        <x:f>(IFERROR(VALUE(LEFT($L99,FIND("분",$L99)-1))*60,0)+IFERROR(VALUE(TRIM(MID($L99,IFERROR(FIND("분",$L99),0)+1,FIND("초",$L99)-IFERROR(FIND("분",$L99),0)-1))),0))/86400*1.4</x:f>
        <x:v>0.0037268518518518514</x:v>
      </x:c>
      <x:c r="AI99" s="222" t="n">
        <x:f>(IFERROR(VALUE(LEFT($L99,FIND("분",$L99)-1))*60,0)+IFERROR(VALUE(TRIM(MID($L99,IFERROR(FIND("분",$L99),0)+1,FIND("초",$L99)-IFERROR(FIND("분",$L99),0)-1))),0))/86400</x:f>
        <x:v>0.002662037037037037</x:v>
      </x:c>
    </x:row>
    <x:row r="100" ht="81.94999694824219" customHeight="1">
      <x:c r="A100" s="60" t="s">
        <x:v>450</x:v>
      </x:c>
      <x:c r="B100" s="49">
        <x:v>96</x:v>
      </x:c>
      <x:c r="C100" s="49">
        <x:v>7</x:v>
      </x:c>
      <x:c r="D100" s="49">
        <x:v>10</x:v>
      </x:c>
      <x:c r="E100" s="51" t="s">
        <x:v>582</x:v>
      </x:c>
      <x:c r="F100" s="51" t="s">
        <x:v>583</x:v>
      </x:c>
      <x:c r="G100" s="51" t="s">
        <x:v>584</x:v>
      </x:c>
      <x:c r="H100" s="49" t="s">
        <x:v>585</x:v>
      </x:c>
      <x:c r="I100" s="49">
        <x:v>5</x:v>
      </x:c>
      <x:c r="J100" s="51" t="s">
        <x:v>586</x:v>
      </x:c>
      <x:c r="K100" s="51" t="s">
        <x:v>587</x:v>
      </x:c>
      <x:c r="L100" s="49" t="s">
        <x:v>223</x:v>
      </x:c>
      <x:c r="M100" s="49" t="s">
        <x:v>588</x:v>
      </x:c>
      <x:c r="N100" s="52">
        <x:f t="shared" si="40"/>
        <x:v>0.1344907407407408</x:v>
      </x:c>
      <x:c r="O100" s="53" t="s">
        <x:v>557</x:v>
      </x:c>
      <x:c r="P100" s="54" t="n">
        <x:f>P99+11</x:f>
        <x:v>751</x:v>
      </x:c>
      <x:c r="Q100" s="55">
        <x:v>11</x:v>
      </x:c>
      <x:c r="R100" s="56">
        <x:f t="shared" si="41"/>
        <x:v>17032.68</x:v>
      </x:c>
      <x:c r="S100" s="53"/>
      <x:c r="T100" s="53"/>
      <x:c r="U100" s="53"/>
      <x:c r="V100" s="53"/>
      <x:c r="W100" s="178" t="str">
        <x:v>잔류 공격 피격·접근 경로·재시도 횟수·클리어 시간</x:v>
      </x:c>
      <x:c r="X100" s="204" t="n">
        <x:f t="shared" ref="X100" si="85">W100*0.8</x:f>
        <x:v>40</x:v>
      </x:c>
      <x:c r="Y100" s="213" t="n">
        <x:f t="shared" si="83">$X100*1.2</x:f>
        <x:v>48</x:v>
      </x:c>
      <x:c r="Z100" s="213" t="n">
        <x:f t="shared" si="84">$X100*1.0</x:f>
        <x:v>40</x:v>
      </x:c>
      <x:c r="AA100" s="213" t="n">
        <x:f t="shared" si="61">$X100*0.85</x:f>
        <x:v>34</x:v>
      </x:c>
      <x:c r="AB100" s="213" t="n">
        <x:f t="shared" si="62">$X100*0.7</x:f>
        <x:v>28</x:v>
      </x:c>
      <x:c r="AC100" s="213" t="n">
        <x:f t="shared" si="63">$X100*0.55</x:f>
        <x:v>22</x:v>
      </x:c>
      <x:c r="AD100" s="214" t="n">
        <x:f>$X100*0.4</x:f>
        <x:v>16</x:v>
      </x:c>
      <x:c r="AE100" s="216" t="n">
        <x:f>$X100*0.0</x:f>
        <x:v>0</x:v>
      </x:c>
      <x:c r="AF100" s="222" t="n">
        <x:f>(IFERROR(VALUE(LEFT($L100,FIND("분",$L100)-1))*60,0)+IFERROR(VALUE(TRIM(MID($L100,IFERROR(FIND("분",$L100),0)+1,FIND("초",$L100)-IFERROR(FIND("분",$L100),0)-1))),0))/86400</x:f>
        <x:v>0.0016203703703703703</x:v>
      </x:c>
      <x:c r="AG100" s="222" t="n">
        <x:f>(IFERROR(VALUE(LEFT($L100,FIND("분",$L100)-1))*60,0)+IFERROR(VALUE(TRIM(MID($L100,IFERROR(FIND("분",$L100),0)+1,FIND("초",$L100)-IFERROR(FIND("분",$L100),0)-1))),0))/86400*2.0</x:f>
        <x:v>0.0032407407407407406</x:v>
      </x:c>
      <x:c r="AH100" s="222" t="n">
        <x:f>(IFERROR(VALUE(LEFT($L100,FIND("분",$L100)-1))*60,0)+IFERROR(VALUE(TRIM(MID($L100,IFERROR(FIND("분",$L100),0)+1,FIND("초",$L100)-IFERROR(FIND("분",$L100),0)-1))),0))/86400*1.4</x:f>
        <x:v>0.0022685185185185182</x:v>
      </x:c>
      <x:c r="AI100" s="222" t="n">
        <x:f>(IFERROR(VALUE(LEFT($L100,FIND("분",$L100)-1))*60,0)+IFERROR(VALUE(TRIM(MID($L100,IFERROR(FIND("분",$L100),0)+1,FIND("초",$L100)-IFERROR(FIND("분",$L100),0)-1))),0))/86400</x:f>
        <x:v>0.0016203703703703703</x:v>
      </x:c>
    </x:row>
    <x:row r="101" ht="81.94999694824219" customHeight="1">
      <x:c r="A101" s="60" t="s">
        <x:v>450</x:v>
      </x:c>
      <x:c r="B101" s="49">
        <x:v>97</x:v>
      </x:c>
      <x:c r="C101" s="49">
        <x:v>1</x:v>
      </x:c>
      <x:c r="D101" s="49">
        <x:v>10</x:v>
      </x:c>
      <x:c r="E101" s="51" t="s">
        <x:v>589</x:v>
      </x:c>
      <x:c r="F101" s="51" t="s">
        <x:v>590</x:v>
      </x:c>
      <x:c r="G101" s="51" t="s">
        <x:v>591</x:v>
      </x:c>
      <x:c r="H101" s="49" t="s">
        <x:v>592</x:v>
      </x:c>
      <x:c r="I101" s="49">
        <x:v>1</x:v>
      </x:c>
      <x:c r="J101" s="51" t="s">
        <x:v>593</x:v>
      </x:c>
      <x:c r="K101" s="51" t="s">
        <x:v>594</x:v>
      </x:c>
      <x:c r="L101" s="49" t="s">
        <x:v>31</x:v>
      </x:c>
      <x:c r="M101" s="49" t="s">
        <x:v>595</x:v>
      </x:c>
      <x:c r="N101" s="52">
        <x:f t="shared" si="40"/>
        <x:v>0.13553240740740746</x:v>
      </x:c>
      <x:c r="O101" s="53" t="s">
        <x:v>557</x:v>
      </x:c>
      <x:c r="P101" s="54" t="n">
        <x:f>P100+7</x:f>
        <x:v>758</x:v>
      </x:c>
      <x:c r="Q101" s="55">
        <x:v>7</x:v>
      </x:c>
      <x:c r="R101" s="56">
        <x:f t="shared" si="41"/>
        <x:v>17350.62</x:v>
      </x:c>
      <x:c r="S101" s="53"/>
      <x:c r="T101" s="53"/>
      <x:c r="U101" s="53"/>
      <x:c r="V101" s="53"/>
      <x:c r="W101" s="178"/>
      <x:c r="X101" s="204">
        <x:f t="shared" si="58"/>
      </x:c>
      <x:c r="Y101" s="213">
        <x:f t="shared" ref="Y101" si="86">W101*0.6</x:f>
      </x:c>
      <x:c r="Z101" s="213">
        <x:f t="shared" ref="Z101" si="87">W101*0.5</x:f>
      </x:c>
      <x:c r="AA101" s="213">
        <x:f t="shared" si="61"/>
      </x:c>
      <x:c r="AB101" s="213">
        <x:f t="shared" si="62"/>
      </x:c>
      <x:c r="AC101" s="213">
        <x:f t="shared" si="63"/>
      </x:c>
      <x:c r="AD101" s="214"/>
      <x:c r="AE101" s="216"/>
      <x:c r="AF101" s="222"/>
      <x:c r="AG101" s="222"/>
      <x:c r="AH101" s="222"/>
      <x:c r="AI101" s="222"/>
    </x:row>
    <x:row r="102" ht="81.94999694824219" customHeight="1">
      <x:c r="A102" s="60" t="s">
        <x:v>450</x:v>
      </x:c>
      <x:c r="B102" s="49">
        <x:v>98</x:v>
      </x:c>
      <x:c r="C102" s="49">
        <x:v>2</x:v>
      </x:c>
      <x:c r="D102" s="49">
        <x:v>10</x:v>
      </x:c>
      <x:c r="E102" s="51" t="s">
        <x:v>596</x:v>
      </x:c>
      <x:c r="F102" s="51" t="s">
        <x:v>597</x:v>
      </x:c>
      <x:c r="G102" s="51" t="s">
        <x:v>598</x:v>
      </x:c>
      <x:c r="H102" s="49" t="s">
        <x:v>599</x:v>
      </x:c>
      <x:c r="I102" s="49">
        <x:v>3</x:v>
      </x:c>
      <x:c r="J102" s="51" t="s">
        <x:v>600</x:v>
      </x:c>
      <x:c r="K102" s="51" t="s">
        <x:v>601</x:v>
      </x:c>
      <x:c r="L102" s="49" t="s">
        <x:v>223</x:v>
      </x:c>
      <x:c r="M102" s="49" t="s">
        <x:v>602</x:v>
      </x:c>
      <x:c r="N102" s="52" t="n">
        <x:f t="shared" ref="N102:N123" si="88">N101+(IFERROR(VALUE(LEFT(L102,FIND("분",L102)-1))*60,0)+IFERROR(VALUE(TRIM(MID(L102,IFERROR(FIND("분",L102),0)+1,FIND("초",L102)-IFERROR(FIND("분",L102),0)-1))),0))/86400</x:f>
        <x:v>0.13715277777777785</x:v>
      </x:c>
      <x:c r="O102" s="53" t="s">
        <x:v>557</x:v>
      </x:c>
      <x:c r="P102" s="54" t="n">
        <x:f>P101+9</x:f>
        <x:v>767</x:v>
      </x:c>
      <x:c r="Q102" s="55">
        <x:v>9</x:v>
      </x:c>
      <x:c r="R102" s="56">
        <x:f t="shared" si="41"/>
        <x:v>17763.719999999998</x:v>
      </x:c>
      <x:c r="S102" s="53"/>
      <x:c r="T102" s="53"/>
      <x:c r="U102" s="53"/>
      <x:c r="V102" s="53"/>
      <x:c r="W102" s="178" t="str">
        <x:v>중단 게이지 증가·입력 실패·재시도 횟수·복원 완료 시간</x:v>
      </x:c>
      <x:c r="X102" s="204" t="n">
        <x:f t="shared" ref="X102" si="89">W102*0.8</x:f>
        <x:v>60</x:v>
      </x:c>
      <x:c r="Y102" s="213" t="n">
        <x:f t="shared" ref="Y102:Y103" si="90">$X102*1.2</x:f>
        <x:v>72</x:v>
      </x:c>
      <x:c r="Z102" s="213" t="n">
        <x:f t="shared" ref="Z102:Z103" si="91">$X102*1.0</x:f>
        <x:v>60</x:v>
      </x:c>
      <x:c r="AA102" s="213" t="n">
        <x:f t="shared" si="61">$X102*0.85</x:f>
        <x:v>51</x:v>
      </x:c>
      <x:c r="AB102" s="213" t="n">
        <x:f t="shared" si="62">$X102*0.7</x:f>
        <x:v>42</x:v>
      </x:c>
      <x:c r="AC102" s="213" t="n">
        <x:f t="shared" si="63">$X102*0.55</x:f>
        <x:v>33</x:v>
      </x:c>
      <x:c r="AD102" s="214" t="n">
        <x:f>$X102*0.4</x:f>
        <x:v>24</x:v>
      </x:c>
      <x:c r="AE102" s="216" t="n">
        <x:f>$X102*0.0</x:f>
        <x:v>0</x:v>
      </x:c>
      <x:c r="AF102" s="222" t="n">
        <x:f>(IFERROR(VALUE(LEFT($L102,FIND("분",$L102)-1))*60,0)+IFERROR(VALUE(TRIM(MID($L102,IFERROR(FIND("분",$L102),0)+1,FIND("초",$L102)-IFERROR(FIND("분",$L102),0)-1))),0))/86400</x:f>
        <x:v>0.0016203703703703703</x:v>
      </x:c>
      <x:c r="AG102" s="222" t="n">
        <x:f>(IFERROR(VALUE(LEFT($L102,FIND("분",$L102)-1))*60,0)+IFERROR(VALUE(TRIM(MID($L102,IFERROR(FIND("분",$L102),0)+1,FIND("초",$L102)-IFERROR(FIND("분",$L102),0)-1))),0))/86400*2.0</x:f>
        <x:v>0.0032407407407407406</x:v>
      </x:c>
      <x:c r="AH102" s="222" t="n">
        <x:f>(IFERROR(VALUE(LEFT($L102,FIND("분",$L102)-1))*60,0)+IFERROR(VALUE(TRIM(MID($L102,IFERROR(FIND("분",$L102),0)+1,FIND("초",$L102)-IFERROR(FIND("분",$L102),0)-1))),0))/86400*1.4</x:f>
        <x:v>0.0022685185185185182</x:v>
      </x:c>
      <x:c r="AI102" s="222" t="n">
        <x:f>(IFERROR(VALUE(LEFT($L102,FIND("분",$L102)-1))*60,0)+IFERROR(VALUE(TRIM(MID($L102,IFERROR(FIND("분",$L102),0)+1,FIND("초",$L102)-IFERROR(FIND("분",$L102),0)-1))),0))/86400</x:f>
        <x:v>0.0016203703703703703</x:v>
      </x:c>
    </x:row>
    <x:row r="103" ht="81.94999694824219" customHeight="1">
      <x:c r="A103" s="60" t="s">
        <x:v>450</x:v>
      </x:c>
      <x:c r="B103" s="49">
        <x:v>99</x:v>
      </x:c>
      <x:c r="C103" s="49">
        <x:v>6</x:v>
      </x:c>
      <x:c r="D103" s="49">
        <x:v>9</x:v>
      </x:c>
      <x:c r="E103" s="51" t="s">
        <x:v>603</x:v>
      </x:c>
      <x:c r="F103" s="51" t="s">
        <x:v>604</x:v>
      </x:c>
      <x:c r="G103" s="51" t="s">
        <x:v>605</x:v>
      </x:c>
      <x:c r="H103" s="49" t="s">
        <x:v>606</x:v>
      </x:c>
      <x:c r="I103" s="49">
        <x:v>1</x:v>
      </x:c>
      <x:c r="J103" s="51" t="s">
        <x:v>607</x:v>
      </x:c>
      <x:c r="K103" s="51" t="s">
        <x:v>608</x:v>
      </x:c>
      <x:c r="L103" s="49" t="s">
        <x:v>206</x:v>
      </x:c>
      <x:c r="M103" s="49" t="s">
        <x:v>609</x:v>
      </x:c>
      <x:c r="N103" s="52">
        <x:f t="shared" si="88"/>
        <x:v>0.13923611111111117</x:v>
      </x:c>
      <x:c r="O103" s="53" t="s">
        <x:v>610</x:v>
      </x:c>
      <x:c r="P103" s="54" t="n">
        <x:f>P102+11</x:f>
        <x:v>778</x:v>
      </x:c>
      <x:c r="Q103" s="55">
        <x:v>11</x:v>
      </x:c>
      <x:c r="R103" s="56">
        <x:f t="shared" si="41"/>
        <x:v>18275.22</x:v>
      </x:c>
      <x:c r="S103" s="53"/>
      <x:c r="T103" s="53"/>
      <x:c r="U103" s="53"/>
      <x:c r="V103" s="53"/>
      <x:c r="W103" s="178" t="str">
        <x:v>남은 시간·파티원 생존·피격/재시도·탈출 시간</x:v>
      </x:c>
      <x:c r="X103" s="204" t="n">
        <x:f t="shared" ref="X103" si="92">W103*0.8</x:f>
        <x:v>60</x:v>
      </x:c>
      <x:c r="Y103" s="213" t="n">
        <x:f t="shared" si="90">$X103*1.2</x:f>
        <x:v>72</x:v>
      </x:c>
      <x:c r="Z103" s="213" t="n">
        <x:f t="shared" si="91">$X103*1.0</x:f>
        <x:v>60</x:v>
      </x:c>
      <x:c r="AA103" s="213" t="n">
        <x:f t="shared" si="61">$X103*0.85</x:f>
        <x:v>51</x:v>
      </x:c>
      <x:c r="AB103" s="213" t="n">
        <x:f t="shared" si="62">$X103*0.7</x:f>
        <x:v>42</x:v>
      </x:c>
      <x:c r="AC103" s="213" t="n">
        <x:f t="shared" si="63">$X103*0.55</x:f>
        <x:v>33</x:v>
      </x:c>
      <x:c r="AD103" s="214" t="n">
        <x:f>$X103*0.4</x:f>
        <x:v>24</x:v>
      </x:c>
      <x:c r="AE103" s="216" t="n">
        <x:f>$X103*0.0</x:f>
        <x:v>0</x:v>
      </x:c>
      <x:c r="AF103" s="222" t="n">
        <x:f>(IFERROR(VALUE(LEFT($L103,FIND("분",$L103)-1))*60,0)+IFERROR(VALUE(TRIM(MID($L103,IFERROR(FIND("분",$L103),0)+1,FIND("초",$L103)-IFERROR(FIND("분",$L103),0)-1))),0))/86400</x:f>
        <x:v>0.0020833333333333333</x:v>
      </x:c>
      <x:c r="AG103" s="222" t="n">
        <x:f>(IFERROR(VALUE(LEFT($L103,FIND("분",$L103)-1))*60,0)+IFERROR(VALUE(TRIM(MID($L103,IFERROR(FIND("분",$L103),0)+1,FIND("초",$L103)-IFERROR(FIND("분",$L103),0)-1))),0))/86400*2.0</x:f>
        <x:v>0.004166666666666667</x:v>
      </x:c>
      <x:c r="AH103" s="222" t="n">
        <x:f>(IFERROR(VALUE(LEFT($L103,FIND("분",$L103)-1))*60,0)+IFERROR(VALUE(TRIM(MID($L103,IFERROR(FIND("분",$L103),0)+1,FIND("초",$L103)-IFERROR(FIND("분",$L103),0)-1))),0))/86400*1.4</x:f>
        <x:v>0.0029166666666666664</x:v>
      </x:c>
      <x:c r="AI103" s="222" t="n">
        <x:f>(IFERROR(VALUE(LEFT($L103,FIND("분",$L103)-1))*60,0)+IFERROR(VALUE(TRIM(MID($L103,IFERROR(FIND("분",$L103),0)+1,FIND("초",$L103)-IFERROR(FIND("분",$L103),0)-1))),0))/86400</x:f>
        <x:v>0.0020833333333333333</x:v>
      </x:c>
    </x:row>
    <x:row r="104" ht="81.94999694824219" customHeight="1">
      <x:c r="A104" s="60" t="s">
        <x:v>450</x:v>
      </x:c>
      <x:c r="B104" s="49">
        <x:v>100</x:v>
      </x:c>
      <x:c r="C104" s="49">
        <x:v>1</x:v>
      </x:c>
      <x:c r="D104" s="49">
        <x:v>8</x:v>
      </x:c>
      <x:c r="E104" s="51" t="s">
        <x:v>611</x:v>
      </x:c>
      <x:c r="F104" s="51" t="s">
        <x:v>423</x:v>
      </x:c>
      <x:c r="G104" s="51" t="s">
        <x:v>612</x:v>
      </x:c>
      <x:c r="H104" s="49" t="s">
        <x:v>613</x:v>
      </x:c>
      <x:c r="I104" s="49">
        <x:v>3</x:v>
      </x:c>
      <x:c r="J104" s="51" t="s">
        <x:v>426</x:v>
      </x:c>
      <x:c r="K104" s="51" t="s">
        <x:v>427</x:v>
      </x:c>
      <x:c r="L104" s="49" t="s">
        <x:v>95</x:v>
      </x:c>
      <x:c r="M104" s="49" t="s">
        <x:v>428</x:v>
      </x:c>
      <x:c r="N104" s="52">
        <x:f t="shared" si="88"/>
        <x:v>0.14050925925925933</x:v>
      </x:c>
      <x:c r="O104" s="53" t="s">
        <x:v>610</x:v>
      </x:c>
      <x:c r="P104" s="54" t="n">
        <x:f>P103+7</x:f>
        <x:v>785</x:v>
      </x:c>
      <x:c r="Q104" s="55">
        <x:v>7</x:v>
      </x:c>
      <x:c r="R104" s="56">
        <x:f t="shared" si="41"/>
        <x:v>18604.5</x:v>
      </x:c>
      <x:c r="S104" s="53"/>
      <x:c r="T104" s="53"/>
      <x:c r="U104" s="53"/>
      <x:c r="V104" s="53"/>
      <x:c r="W104" s="178"/>
      <x:c r="X104" s="204"/>
      <x:c r="Y104" s="213"/>
      <x:c r="Z104" s="213"/>
      <x:c r="AA104" s="213"/>
      <x:c r="AB104" s="213"/>
      <x:c r="AC104" s="213"/>
      <x:c r="AD104" s="214"/>
      <x:c r="AE104" s="216"/>
      <x:c r="AF104" s="222"/>
      <x:c r="AG104" s="222"/>
      <x:c r="AH104" s="222"/>
      <x:c r="AI104" s="222"/>
    </x:row>
    <x:row r="105" ht="81.94999694824219" customHeight="1">
      <x:c r="A105" s="61" t="s">
        <x:v>614</x:v>
      </x:c>
      <x:c r="B105" s="49">
        <x:v>101</x:v>
      </x:c>
      <x:c r="C105" s="49">
        <x:v>1</x:v>
      </x:c>
      <x:c r="D105" s="49">
        <x:v>8</x:v>
      </x:c>
      <x:c r="E105" s="51" t="s">
        <x:v>615</x:v>
      </x:c>
      <x:c r="F105" s="51" t="s">
        <x:v>616</x:v>
      </x:c>
      <x:c r="G105" s="51" t="s">
        <x:v>617</x:v>
      </x:c>
      <x:c r="H105" s="49" t="s">
        <x:v>618</x:v>
      </x:c>
      <x:c r="I105" s="49">
        <x:v>2</x:v>
      </x:c>
      <x:c r="J105" s="51" t="s">
        <x:v>619</x:v>
      </x:c>
      <x:c r="K105" s="51" t="s">
        <x:v>30</x:v>
      </x:c>
      <x:c r="L105" s="49" t="s">
        <x:v>134</x:v>
      </x:c>
      <x:c r="M105" s="49" t="s">
        <x:v>620</x:v>
      </x:c>
      <x:c r="N105" s="52">
        <x:f t="shared" si="88"/>
        <x:v>0.14166666666666675</x:v>
      </x:c>
      <x:c r="O105" s="53" t="s">
        <x:v>621</x:v>
      </x:c>
      <x:c r="P105" s="54" t="n">
        <x:f>P104+7</x:f>
        <x:v>792</x:v>
      </x:c>
      <x:c r="Q105" s="55">
        <x:v>7</x:v>
      </x:c>
      <x:c r="R105" s="56">
        <x:f t="shared" si="41"/>
        <x:v>18936.719999999998</x:v>
      </x:c>
      <x:c r="S105" s="53"/>
      <x:c r="T105" s="53"/>
      <x:c r="U105" s="53"/>
      <x:c r="V105" s="53"/>
      <x:c r="W105" s="178"/>
      <x:c r="X105" s="204"/>
      <x:c r="Y105" s="213"/>
      <x:c r="Z105" s="213"/>
      <x:c r="AA105" s="213"/>
      <x:c r="AB105" s="213"/>
      <x:c r="AC105" s="213"/>
      <x:c r="AD105" s="214"/>
      <x:c r="AE105" s="216"/>
      <x:c r="AF105" s="222"/>
      <x:c r="AG105" s="222"/>
      <x:c r="AH105" s="222"/>
      <x:c r="AI105" s="222"/>
    </x:row>
    <x:row r="106" ht="81.94999694824219" customHeight="1">
      <x:c r="A106" s="61" t="s">
        <x:v>614</x:v>
      </x:c>
      <x:c r="B106" s="49">
        <x:v>102</x:v>
      </x:c>
      <x:c r="C106" s="49">
        <x:v>1</x:v>
      </x:c>
      <x:c r="D106" s="49">
        <x:v>9</x:v>
      </x:c>
      <x:c r="E106" s="51" t="s">
        <x:v>622</x:v>
      </x:c>
      <x:c r="F106" s="51" t="s">
        <x:v>623</x:v>
      </x:c>
      <x:c r="G106" s="51" t="s">
        <x:v>624</x:v>
      </x:c>
      <x:c r="H106" s="49" t="s">
        <x:v>625</x:v>
      </x:c>
      <x:c r="I106" s="49">
        <x:v>4</x:v>
      </x:c>
      <x:c r="J106" s="51" t="s">
        <x:v>626</x:v>
      </x:c>
      <x:c r="K106" s="51" t="s">
        <x:v>30</x:v>
      </x:c>
      <x:c r="L106" s="49" t="s">
        <x:v>223</x:v>
      </x:c>
      <x:c r="M106" s="49" t="s">
        <x:v>627</x:v>
      </x:c>
      <x:c r="N106" s="52">
        <x:f t="shared" si="88"/>
        <x:v>0.14328703703703713</x:v>
      </x:c>
      <x:c r="O106" s="53" t="s">
        <x:v>621</x:v>
      </x:c>
      <x:c r="P106" s="54" t="n">
        <x:f>P105+9</x:f>
        <x:v>801</x:v>
      </x:c>
      <x:c r="Q106" s="55">
        <x:v>9</x:v>
      </x:c>
      <x:c r="R106" s="56">
        <x:f t="shared" si="41"/>
        <x:v>19368.18</x:v>
      </x:c>
      <x:c r="S106" s="53"/>
      <x:c r="T106" s="53"/>
      <x:c r="U106" s="53"/>
      <x:c r="V106" s="53"/>
      <x:c r="W106" s="178"/>
      <x:c r="X106" s="204"/>
      <x:c r="Y106" s="213"/>
      <x:c r="Z106" s="213"/>
      <x:c r="AA106" s="213"/>
      <x:c r="AB106" s="213"/>
      <x:c r="AC106" s="213"/>
      <x:c r="AD106" s="214"/>
      <x:c r="AE106" s="216"/>
      <x:c r="AF106" s="222"/>
      <x:c r="AG106" s="222"/>
      <x:c r="AH106" s="222"/>
      <x:c r="AI106" s="222"/>
    </x:row>
    <x:row r="107" ht="81.94999694824219" customHeight="1">
      <x:c r="A107" s="61" t="s">
        <x:v>614</x:v>
      </x:c>
      <x:c r="B107" s="49">
        <x:v>103</x:v>
      </x:c>
      <x:c r="C107" s="49">
        <x:v>5</x:v>
      </x:c>
      <x:c r="D107" s="49">
        <x:v>9</x:v>
      </x:c>
      <x:c r="E107" s="51" t="s">
        <x:v>628</x:v>
      </x:c>
      <x:c r="F107" s="51" t="s">
        <x:v>56</x:v>
      </x:c>
      <x:c r="G107" s="51" t="s">
        <x:v>629</x:v>
      </x:c>
      <x:c r="H107" s="49" t="s">
        <x:v>630</x:v>
      </x:c>
      <x:c r="I107" s="49">
        <x:v>1</x:v>
      </x:c>
      <x:c r="J107" s="51" t="s">
        <x:v>631</x:v>
      </x:c>
      <x:c r="K107" s="51" t="s">
        <x:v>30</x:v>
      </x:c>
      <x:c r="L107" s="49" t="s">
        <x:v>206</x:v>
      </x:c>
      <x:c r="M107" s="49" t="s">
        <x:v>61</x:v>
      </x:c>
      <x:c r="N107" s="52">
        <x:f t="shared" si="88"/>
        <x:v>0.14537037037037046</x:v>
      </x:c>
      <x:c r="O107" s="53" t="s">
        <x:v>621</x:v>
      </x:c>
      <x:c r="P107" s="54" t="n">
        <x:f>P106+11</x:f>
        <x:v>812</x:v>
      </x:c>
      <x:c r="Q107" s="55">
        <x:v>11</x:v>
      </x:c>
      <x:c r="R107" s="56">
        <x:f t="shared" si="41"/>
        <x:v>19902.12</x:v>
      </x:c>
      <x:c r="S107" s="53"/>
      <x:c r="T107" s="53"/>
      <x:c r="U107" s="53"/>
      <x:c r="V107" s="53"/>
      <x:c r="W107" s="178"/>
      <x:c r="X107" s="204">
        <x:f t="shared" ref="X107" si="93">W107*0.8</x:f>
      </x:c>
      <x:c r="Y107" s="213">
        <x:f t="shared" ref="Y107:Y108" si="94">W107*0.6</x:f>
      </x:c>
      <x:c r="Z107" s="213">
        <x:f t="shared" ref="Z107:Z108" si="95">W107*0.5</x:f>
      </x:c>
      <x:c r="AA107" s="213">
        <x:f t="shared" ref="AA107:AA108" si="96">(IFERROR(VALUE(LEFT(AC107,FIND("분",AC107)-1))*60,0)+IFERROR(VALUE(MID(AC107,IFERROR(FIND("분",AC107),0)+1,FIND("초",AC107)-IFERROR(FIND("분",AC107),0)-1)),0))/86400*2</x:f>
      </x:c>
      <x:c r="AB107" s="213">
        <x:f t="shared" si="62"/>
      </x:c>
      <x:c r="AC107" s="213">
        <x:f t="shared" ref="AC107:AC108" si="97">L107</x:f>
      </x:c>
      <x:c r="AD107" s="214"/>
      <x:c r="AE107" s="216"/>
      <x:c r="AF107" s="222"/>
      <x:c r="AG107" s="222"/>
      <x:c r="AH107" s="222"/>
      <x:c r="AI107" s="222"/>
    </x:row>
    <x:row r="108" ht="81.94999694824219" customHeight="1">
      <x:c r="A108" s="61" t="s">
        <x:v>614</x:v>
      </x:c>
      <x:c r="B108" s="49">
        <x:v>104</x:v>
      </x:c>
      <x:c r="C108" s="49">
        <x:v>6</x:v>
      </x:c>
      <x:c r="D108" s="49">
        <x:v>10</x:v>
      </x:c>
      <x:c r="E108" s="51" t="s">
        <x:v>632</x:v>
      </x:c>
      <x:c r="F108" s="51" t="s">
        <x:v>633</x:v>
      </x:c>
      <x:c r="G108" s="51" t="s">
        <x:v>634</x:v>
      </x:c>
      <x:c r="H108" s="49" t="s">
        <x:v>635</x:v>
      </x:c>
      <x:c r="I108" s="49">
        <x:v>3</x:v>
      </x:c>
      <x:c r="J108" s="51" t="s">
        <x:v>636</x:v>
      </x:c>
      <x:c r="K108" s="51" t="s">
        <x:v>637</x:v>
      </x:c>
      <x:c r="L108" s="49" t="s">
        <x:v>368</x:v>
      </x:c>
      <x:c r="M108" s="49" t="s">
        <x:v>638</x:v>
      </x:c>
      <x:c r="N108" s="52">
        <x:f t="shared" si="88"/>
        <x:v>0.14687500000000009</x:v>
      </x:c>
      <x:c r="O108" s="53" t="s">
        <x:v>639</x:v>
      </x:c>
      <x:c r="P108" s="54" t="n">
        <x:f>P107+10</x:f>
        <x:v>822</x:v>
      </x:c>
      <x:c r="Q108" s="55">
        <x:v>10</x:v>
      </x:c>
      <x:c r="R108" s="56">
        <x:f t="shared" si="41"/>
        <x:v>20393.82</x:v>
      </x:c>
      <x:c r="S108" s="53"/>
      <x:c r="T108" s="53"/>
      <x:c r="U108" s="53"/>
      <x:c r="V108" s="53"/>
      <x:c r="W108" s="178" t="str">
        <x:v>왜곡 구역 낙하·경로 이탈·재시도 횟수·진입 시간</x:v>
      </x:c>
      <x:c r="X108" s="204" t="n">
        <x:f t="shared" ref="X108" si="98">W108*0.8</x:f>
        <x:v>40</x:v>
      </x:c>
      <x:c r="Y108" s="213" t="n">
        <x:f t="shared" si="94">$X108*1.2</x:f>
        <x:v>48</x:v>
      </x:c>
      <x:c r="Z108" s="213" t="n">
        <x:f t="shared" si="95">$X108*1.0</x:f>
        <x:v>40</x:v>
      </x:c>
      <x:c r="AA108" s="213" t="n">
        <x:f t="shared" si="96">$X108*0.85</x:f>
        <x:v>34</x:v>
      </x:c>
      <x:c r="AB108" s="213" t="n">
        <x:f t="shared" si="62">$X108*0.7</x:f>
        <x:v>28</x:v>
      </x:c>
      <x:c r="AC108" s="213" t="n">
        <x:f t="shared" si="97">$X108*0.55</x:f>
        <x:v>22</x:v>
      </x:c>
      <x:c r="AD108" s="214" t="n">
        <x:f>$X108*0.4</x:f>
        <x:v>16</x:v>
      </x:c>
      <x:c r="AE108" s="216" t="n">
        <x:f>$X108*0.0</x:f>
        <x:v>0</x:v>
      </x:c>
      <x:c r="AF108" s="222" t="n">
        <x:f>(IFERROR(VALUE(LEFT($L108,FIND("분",$L108)-1))*60,0)+IFERROR(VALUE(TRIM(MID($L108,IFERROR(FIND("분",$L108),0)+1,FIND("초",$L108)-IFERROR(FIND("분",$L108),0)-1))),0))/86400</x:f>
        <x:v>0.0015046296296296296</x:v>
      </x:c>
      <x:c r="AG108" s="222" t="n">
        <x:f>(IFERROR(VALUE(LEFT($L108,FIND("분",$L108)-1))*60,0)+IFERROR(VALUE(TRIM(MID($L108,IFERROR(FIND("분",$L108),0)+1,FIND("초",$L108)-IFERROR(FIND("분",$L108),0)-1))),0))/86400*2.0</x:f>
        <x:v>0.0030092592592592593</x:v>
      </x:c>
      <x:c r="AH108" s="222" t="n">
        <x:f>(IFERROR(VALUE(LEFT($L108,FIND("분",$L108)-1))*60,0)+IFERROR(VALUE(TRIM(MID($L108,IFERROR(FIND("분",$L108),0)+1,FIND("초",$L108)-IFERROR(FIND("분",$L108),0)-1))),0))/86400*1.4</x:f>
        <x:v>0.0021064814814814813</x:v>
      </x:c>
      <x:c r="AI108" s="222" t="n">
        <x:f>(IFERROR(VALUE(LEFT($L108,FIND("분",$L108)-1))*60,0)+IFERROR(VALUE(TRIM(MID($L108,IFERROR(FIND("분",$L108),0)+1,FIND("초",$L108)-IFERROR(FIND("분",$L108),0)-1))),0))/86400</x:f>
        <x:v>0.0015046296296296296</x:v>
      </x:c>
    </x:row>
    <x:row r="109" ht="81.94999694824219" customHeight="1">
      <x:c r="A109" s="61" t="s">
        <x:v>614</x:v>
      </x:c>
      <x:c r="B109" s="49">
        <x:v>105</x:v>
      </x:c>
      <x:c r="C109" s="49">
        <x:v>5</x:v>
      </x:c>
      <x:c r="D109" s="49">
        <x:v>9</x:v>
      </x:c>
      <x:c r="E109" s="51" t="s">
        <x:v>640</x:v>
      </x:c>
      <x:c r="F109" s="51" t="s">
        <x:v>641</x:v>
      </x:c>
      <x:c r="G109" s="51" t="s">
        <x:v>642</x:v>
      </x:c>
      <x:c r="H109" s="49" t="s">
        <x:v>643</x:v>
      </x:c>
      <x:c r="I109" s="49">
        <x:v>8</x:v>
      </x:c>
      <x:c r="J109" s="51" t="s">
        <x:v>644</x:v>
      </x:c>
      <x:c r="K109" s="51" t="s">
        <x:v>645</x:v>
      </x:c>
      <x:c r="L109" s="49" t="s">
        <x:v>420</x:v>
      </x:c>
      <x:c r="M109" s="49" t="s">
        <x:v>646</x:v>
      </x:c>
      <x:c r="N109" s="52">
        <x:f t="shared" si="88"/>
        <x:v>0.14942129629629639</x:v>
      </x:c>
      <x:c r="O109" s="53" t="s">
        <x:v>639</x:v>
      </x:c>
      <x:c r="P109" s="54" t="n">
        <x:f>P108+13</x:f>
        <x:v>835</x:v>
      </x:c>
      <x:c r="Q109" s="55">
        <x:v>13</x:v>
      </x:c>
      <x:c r="R109" s="56">
        <x:f t="shared" si="41"/>
        <x:v>21042</x:v>
      </x:c>
      <x:c r="S109" s="53"/>
      <x:c r="T109" s="53"/>
      <x:c r="U109" s="53"/>
      <x:c r="V109" s="53"/>
      <x:c r="W109" s="178" t="str">
        <x:v>조각 누락·위험 구역 피격·동선 효율·클리어 시간</x:v>
      </x:c>
      <x:c r="X109" s="204" t="n">
        <x:f t="shared" si="58"/>
        <x:v>40</x:v>
      </x:c>
      <x:c r="Y109" s="213" t="n">
        <x:f>$X109*1.2</x:f>
        <x:v>48</x:v>
      </x:c>
      <x:c r="Z109" s="213" t="n">
        <x:f>$X109*1.0</x:f>
        <x:v>40</x:v>
      </x:c>
      <x:c r="AA109" s="213" t="n">
        <x:f t="shared" si="61">$X109*0.85</x:f>
        <x:v>34</x:v>
      </x:c>
      <x:c r="AB109" s="213" t="n">
        <x:f t="shared" si="62">$X109*0.7</x:f>
        <x:v>28</x:v>
      </x:c>
      <x:c r="AC109" s="213" t="n">
        <x:f t="shared" si="63">$X109*0.55</x:f>
        <x:v>22</x:v>
      </x:c>
      <x:c r="AD109" s="214" t="n">
        <x:f>$X109*0.4</x:f>
        <x:v>16</x:v>
      </x:c>
      <x:c r="AE109" s="216" t="n">
        <x:f>$X109*0.0</x:f>
        <x:v>0</x:v>
      </x:c>
      <x:c r="AF109" s="222" t="n">
        <x:f>(IFERROR(VALUE(LEFT($L109,FIND("분",$L109)-1))*60,0)+IFERROR(VALUE(TRIM(MID($L109,IFERROR(FIND("분",$L109),0)+1,FIND("초",$L109)-IFERROR(FIND("분",$L109),0)-1))),0))/86400</x:f>
        <x:v>0.0025462962962962965</x:v>
      </x:c>
      <x:c r="AG109" s="222" t="n">
        <x:f>(IFERROR(VALUE(LEFT($L109,FIND("분",$L109)-1))*60,0)+IFERROR(VALUE(TRIM(MID($L109,IFERROR(FIND("분",$L109),0)+1,FIND("초",$L109)-IFERROR(FIND("분",$L109),0)-1))),0))/86400*2.0</x:f>
        <x:v>0.005092592592592593</x:v>
      </x:c>
      <x:c r="AH109" s="222" t="n">
        <x:f>(IFERROR(VALUE(LEFT($L109,FIND("분",$L109)-1))*60,0)+IFERROR(VALUE(TRIM(MID($L109,IFERROR(FIND("분",$L109),0)+1,FIND("초",$L109)-IFERROR(FIND("분",$L109),0)-1))),0))/86400*1.4</x:f>
        <x:v>0.003564814814814815</x:v>
      </x:c>
      <x:c r="AI109" s="222" t="n">
        <x:f>(IFERROR(VALUE(LEFT($L109,FIND("분",$L109)-1))*60,0)+IFERROR(VALUE(TRIM(MID($L109,IFERROR(FIND("분",$L109),0)+1,FIND("초",$L109)-IFERROR(FIND("분",$L109),0)-1))),0))/86400</x:f>
        <x:v>0.0025462962962962965</x:v>
      </x:c>
    </x:row>
    <x:row r="110" ht="81.94999694824219" customHeight="1">
      <x:c r="A110" s="61" t="s">
        <x:v>614</x:v>
      </x:c>
      <x:c r="B110" s="49">
        <x:v>106</x:v>
      </x:c>
      <x:c r="C110" s="49">
        <x:v>2</x:v>
      </x:c>
      <x:c r="D110" s="49">
        <x:v>10</x:v>
      </x:c>
      <x:c r="E110" s="51" t="s">
        <x:v>647</x:v>
      </x:c>
      <x:c r="F110" s="51" t="s">
        <x:v>648</x:v>
      </x:c>
      <x:c r="G110" s="51" t="s">
        <x:v>649</x:v>
      </x:c>
      <x:c r="H110" s="49" t="s">
        <x:v>650</x:v>
      </x:c>
      <x:c r="I110" s="49">
        <x:v>5</x:v>
      </x:c>
      <x:c r="J110" s="51" t="s">
        <x:v>651</x:v>
      </x:c>
      <x:c r="K110" s="51" t="s">
        <x:v>30</x:v>
      </x:c>
      <x:c r="L110" s="49" t="s">
        <x:v>491</x:v>
      </x:c>
      <x:c r="M110" s="49" t="s">
        <x:v>652</x:v>
      </x:c>
      <x:c r="N110" s="52">
        <x:f t="shared" si="88"/>
        <x:v>0.15185185185185193</x:v>
      </x:c>
      <x:c r="O110" s="53" t="s">
        <x:v>639</x:v>
      </x:c>
      <x:c r="P110" s="54" t="n">
        <x:f>P109+12</x:f>
        <x:v>847</x:v>
      </x:c>
      <x:c r="Q110" s="55">
        <x:v>12</x:v>
      </x:c>
      <x:c r="R110" s="56">
        <x:f t="shared" si="41"/>
        <x:v>21649.32</x:v>
      </x:c>
      <x:c r="S110" s="53"/>
      <x:c r="T110" s="53"/>
      <x:c r="U110" s="53"/>
      <x:c r="V110" s="53"/>
      <x:c r="W110" s="178"/>
      <x:c r="X110" s="204">
        <x:f t="shared" si="58"/>
      </x:c>
      <x:c r="Y110" s="213">
        <x:f t="shared" ref="Y110" si="99">W110*0.6</x:f>
      </x:c>
      <x:c r="Z110" s="213">
        <x:f t="shared" ref="Z110" si="100">W110*0.5</x:f>
      </x:c>
      <x:c r="AA110" s="213">
        <x:f t="shared" si="61"/>
      </x:c>
      <x:c r="AB110" s="213">
        <x:f t="shared" si="62"/>
      </x:c>
      <x:c r="AC110" s="213">
        <x:f t="shared" si="63"/>
      </x:c>
      <x:c r="AD110" s="214"/>
      <x:c r="AE110" s="216"/>
      <x:c r="AF110" s="222"/>
      <x:c r="AG110" s="222"/>
      <x:c r="AH110" s="222"/>
      <x:c r="AI110" s="222"/>
    </x:row>
    <x:row r="111" ht="81.94999694824219" customHeight="1">
      <x:c r="A111" s="61" t="s">
        <x:v>614</x:v>
      </x:c>
      <x:c r="B111" s="49">
        <x:v>107</x:v>
      </x:c>
      <x:c r="C111" s="49">
        <x:v>7</x:v>
      </x:c>
      <x:c r="D111" s="49">
        <x:v>10</x:v>
      </x:c>
      <x:c r="E111" s="51" t="s">
        <x:v>653</x:v>
      </x:c>
      <x:c r="F111" s="51" t="s">
        <x:v>654</x:v>
      </x:c>
      <x:c r="G111" s="51" t="s">
        <x:v>655</x:v>
      </x:c>
      <x:c r="H111" s="49" t="s">
        <x:v>656</x:v>
      </x:c>
      <x:c r="I111" s="49">
        <x:v>6</x:v>
      </x:c>
      <x:c r="J111" s="51" t="s">
        <x:v>657</x:v>
      </x:c>
      <x:c r="K111" s="51" t="s">
        <x:v>658</x:v>
      </x:c>
      <x:c r="L111" s="49" t="s">
        <x:v>564</x:v>
      </x:c>
      <x:c r="M111" s="49" t="s">
        <x:v>659</x:v>
      </x:c>
      <x:c r="N111" s="52">
        <x:f t="shared" si="88"/>
        <x:v>0.1548611111111112</x:v>
      </x:c>
      <x:c r="O111" s="53" t="s">
        <x:v>639</x:v>
      </x:c>
      <x:c r="P111" s="54" t="n">
        <x:f>P110+15</x:f>
        <x:v>862</x:v>
      </x:c>
      <x:c r="Q111" s="55">
        <x:v>15</x:v>
      </x:c>
      <x:c r="R111" s="56">
        <x:f t="shared" si="41"/>
        <x:v>22420.62</x:v>
      </x:c>
      <x:c r="S111" s="53">
        <x:f t="shared" si="46"/>
        <x:v>7473.54</x:v>
      </x:c>
      <x:c r="T111" s="53">
        <x:v>20</x:v>
      </x:c>
      <x:c r="U111" s="53">
        <x:f t="shared" si="47"/>
        <x:v>60</x:v>
      </x:c>
      <x:c r="V111" s="53">
        <x:v>3</x:v>
      </x:c>
      <x:c r="W111" s="178" t="str">
        <x:v>잘못된 환영 선택·자아 마모도 증가·재시도·클리어 시간</x:v>
      </x:c>
      <x:c r="X111" s="204" t="n">
        <x:f t="shared" si="58"/>
        <x:v>60</x:v>
      </x:c>
      <x:c r="Y111" s="213" t="n">
        <x:f t="shared" ref="Y111:Y114" si="101">$X111*1.2</x:f>
        <x:v>72</x:v>
      </x:c>
      <x:c r="Z111" s="213" t="n">
        <x:f t="shared" ref="Z111:Z114" si="102">$X111*1.0</x:f>
        <x:v>60</x:v>
      </x:c>
      <x:c r="AA111" s="213" t="n">
        <x:f t="shared" si="61">$X111*0.85</x:f>
        <x:v>51</x:v>
      </x:c>
      <x:c r="AB111" s="213" t="n">
        <x:f t="shared" si="62">$X111*0.7</x:f>
        <x:v>42</x:v>
      </x:c>
      <x:c r="AC111" s="213" t="n">
        <x:f t="shared" si="63">$X111*0.55</x:f>
        <x:v>33</x:v>
      </x:c>
      <x:c r="AD111" s="214" t="n">
        <x:f>$X111*0.4</x:f>
        <x:v>24</x:v>
      </x:c>
      <x:c r="AE111" s="216" t="n">
        <x:f>$X111*0.0</x:f>
        <x:v>0</x:v>
      </x:c>
      <x:c r="AF111" s="222" t="n">
        <x:f>(IFERROR(VALUE(LEFT($L111,FIND("분",$L111)-1))*60,0)+IFERROR(VALUE(TRIM(MID($L111,IFERROR(FIND("분",$L111),0)+1,FIND("초",$L111)-IFERROR(FIND("분",$L111),0)-1))),0))/86400</x:f>
        <x:v>0.0030092592592592593</x:v>
      </x:c>
      <x:c r="AG111" s="222" t="n">
        <x:f>(IFERROR(VALUE(LEFT($L111,FIND("분",$L111)-1))*60,0)+IFERROR(VALUE(TRIM(MID($L111,IFERROR(FIND("분",$L111),0)+1,FIND("초",$L111)-IFERROR(FIND("분",$L111),0)-1))),0))/86400*2.0</x:f>
        <x:v>0.0060185185185185185</x:v>
      </x:c>
      <x:c r="AH111" s="222" t="n">
        <x:f>(IFERROR(VALUE(LEFT($L111,FIND("분",$L111)-1))*60,0)+IFERROR(VALUE(TRIM(MID($L111,IFERROR(FIND("분",$L111),0)+1,FIND("초",$L111)-IFERROR(FIND("분",$L111),0)-1))),0))/86400*1.4</x:f>
        <x:v>0.004212962962962963</x:v>
      </x:c>
      <x:c r="AI111" s="222" t="n">
        <x:f>(IFERROR(VALUE(LEFT($L111,FIND("분",$L111)-1))*60,0)+IFERROR(VALUE(TRIM(MID($L111,IFERROR(FIND("분",$L111),0)+1,FIND("초",$L111)-IFERROR(FIND("분",$L111),0)-1))),0))/86400</x:f>
        <x:v>0.0030092592592592593</x:v>
      </x:c>
    </x:row>
    <x:row r="112" ht="81.94999694824219" customHeight="1">
      <x:c r="A112" s="61" t="s">
        <x:v>614</x:v>
      </x:c>
      <x:c r="B112" s="49">
        <x:v>108</x:v>
      </x:c>
      <x:c r="C112" s="49">
        <x:v>9</x:v>
      </x:c>
      <x:c r="D112" s="49">
        <x:v>10</x:v>
      </x:c>
      <x:c r="E112" s="51" t="s">
        <x:v>660</x:v>
      </x:c>
      <x:c r="F112" s="51" t="s">
        <x:v>661</x:v>
      </x:c>
      <x:c r="G112" s="51" t="s">
        <x:v>662</x:v>
      </x:c>
      <x:c r="H112" s="49" t="s">
        <x:v>663</x:v>
      </x:c>
      <x:c r="I112" s="49">
        <x:v>10</x:v>
      </x:c>
      <x:c r="J112" s="51" t="s">
        <x:v>664</x:v>
      </x:c>
      <x:c r="K112" s="51" t="s">
        <x:v>665</x:v>
      </x:c>
      <x:c r="L112" s="49" t="s">
        <x:v>666</x:v>
      </x:c>
      <x:c r="M112" s="49" t="s">
        <x:v>667</x:v>
      </x:c>
      <x:c r="N112" s="52">
        <x:f t="shared" si="88"/>
        <x:v>0.15902777777777788</x:v>
      </x:c>
      <x:c r="O112" s="53" t="s">
        <x:v>639</x:v>
      </x:c>
      <x:c r="P112" s="54" t="n">
        <x:f>P111+19</x:f>
        <x:v>881</x:v>
      </x:c>
      <x:c r="Q112" s="55">
        <x:v>19</x:v>
      </x:c>
      <x:c r="R112" s="56">
        <x:f t="shared" si="41"/>
        <x:v>23416.98</x:v>
      </x:c>
      <x:c r="S112" s="53">
        <x:f t="shared" si="46"/>
        <x:v>2341.6979999999999</x:v>
      </x:c>
      <x:c r="T112" s="53">
        <x:v>10</x:v>
      </x:c>
      <x:c r="U112" s="53">
        <x:f t="shared" si="47"/>
        <x:v>100</x:v>
      </x:c>
      <x:c r="V112" s="53">
        <x:v>10</x:v>
      </x:c>
      <x:c r="W112" s="178" t="str">
        <x:v>피격 횟수·자아 마모도·전투 재시도·클리어 시간</x:v>
      </x:c>
      <x:c r="X112" s="204" t="n">
        <x:f t="shared" si="58"/>
        <x:v>100</x:v>
      </x:c>
      <x:c r="Y112" s="213" t="n">
        <x:f t="shared" si="101">$X112*1.2</x:f>
        <x:v>120</x:v>
      </x:c>
      <x:c r="Z112" s="213" t="n">
        <x:f t="shared" si="102">$X112*1.0</x:f>
        <x:v>100</x:v>
      </x:c>
      <x:c r="AA112" s="213" t="n">
        <x:f t="shared" si="61">$X112*0.85</x:f>
        <x:v>85</x:v>
      </x:c>
      <x:c r="AB112" s="213" t="n">
        <x:f t="shared" si="62">$X112*0.7</x:f>
        <x:v>70</x:v>
      </x:c>
      <x:c r="AC112" s="213" t="n">
        <x:f t="shared" si="63">$X112*0.55</x:f>
        <x:v>55.00000000000001</x:v>
      </x:c>
      <x:c r="AD112" s="214" t="n">
        <x:f>$X112*0.4</x:f>
        <x:v>40</x:v>
      </x:c>
      <x:c r="AE112" s="216" t="n">
        <x:f>$X112*0.0</x:f>
        <x:v>0</x:v>
      </x:c>
      <x:c r="AF112" s="222" t="n">
        <x:f>(IFERROR(VALUE(LEFT($L112,FIND("분",$L112)-1))*60,0)+IFERROR(VALUE(TRIM(MID($L112,IFERROR(FIND("분",$L112),0)+1,FIND("초",$L112)-IFERROR(FIND("분",$L112),0)-1))),0))/86400</x:f>
        <x:v>0.004166666666666667</x:v>
      </x:c>
      <x:c r="AG112" s="222" t="n">
        <x:f>(IFERROR(VALUE(LEFT($L112,FIND("분",$L112)-1))*60,0)+IFERROR(VALUE(TRIM(MID($L112,IFERROR(FIND("분",$L112),0)+1,FIND("초",$L112)-IFERROR(FIND("분",$L112),0)-1))),0))/86400*2.0</x:f>
        <x:v>0.008333333333333333</x:v>
      </x:c>
      <x:c r="AH112" s="222" t="n">
        <x:f>(IFERROR(VALUE(LEFT($L112,FIND("분",$L112)-1))*60,0)+IFERROR(VALUE(TRIM(MID($L112,IFERROR(FIND("분",$L112),0)+1,FIND("초",$L112)-IFERROR(FIND("분",$L112),0)-1))),0))/86400*1.4</x:f>
        <x:v>0.005833333333333333</x:v>
      </x:c>
      <x:c r="AI112" s="222" t="n">
        <x:f>(IFERROR(VALUE(LEFT($L112,FIND("분",$L112)-1))*60,0)+IFERROR(VALUE(TRIM(MID($L112,IFERROR(FIND("분",$L112),0)+1,FIND("초",$L112)-IFERROR(FIND("분",$L112),0)-1))),0))/86400</x:f>
        <x:v>0.004166666666666667</x:v>
      </x:c>
    </x:row>
    <x:row r="113" ht="81.94999694824219" customHeight="1">
      <x:c r="A113" s="61" t="s">
        <x:v>614</x:v>
      </x:c>
      <x:c r="B113" s="49">
        <x:v>109</x:v>
      </x:c>
      <x:c r="C113" s="49">
        <x:v>6</x:v>
      </x:c>
      <x:c r="D113" s="49">
        <x:v>10</x:v>
      </x:c>
      <x:c r="E113" s="51" t="s">
        <x:v>668</x:v>
      </x:c>
      <x:c r="F113" s="51" t="s">
        <x:v>669</x:v>
      </x:c>
      <x:c r="G113" s="51" t="s">
        <x:v>670</x:v>
      </x:c>
      <x:c r="H113" s="49" t="s">
        <x:v>671</x:v>
      </x:c>
      <x:c r="I113" s="49">
        <x:v>1</x:v>
      </x:c>
      <x:c r="J113" s="51" t="s">
        <x:v>672</x:v>
      </x:c>
      <x:c r="K113" s="51" t="s">
        <x:v>673</x:v>
      </x:c>
      <x:c r="L113" s="49" t="s">
        <x:v>148</x:v>
      </x:c>
      <x:c r="M113" s="49" t="s">
        <x:v>674</x:v>
      </x:c>
      <x:c r="N113" s="52">
        <x:f t="shared" si="88"/>
        <x:v>0.16076388888888898</x:v>
      </x:c>
      <x:c r="O113" s="53" t="s">
        <x:v>675</x:v>
      </x:c>
      <x:c r="P113" s="54" t="n">
        <x:f>P112+11</x:f>
        <x:v>892</x:v>
      </x:c>
      <x:c r="Q113" s="55">
        <x:v>11</x:v>
      </x:c>
      <x:c r="R113" s="56">
        <x:f t="shared" si="41"/>
        <x:v>24003.719999999998</x:v>
      </x:c>
      <x:c r="S113" s="53"/>
      <x:c r="T113" s="53"/>
      <x:c r="U113" s="53"/>
      <x:c r="V113" s="53"/>
      <x:c r="W113" s="178" t="str">
        <x:v>낙하·제한시간 초과·재시도 횟수·이동 시간</x:v>
      </x:c>
      <x:c r="X113" s="204" t="n">
        <x:f t="shared" si="58"/>
        <x:v>40</x:v>
      </x:c>
      <x:c r="Y113" s="213" t="n">
        <x:f t="shared" si="101">$X113*1.2</x:f>
        <x:v>48</x:v>
      </x:c>
      <x:c r="Z113" s="213" t="n">
        <x:f t="shared" si="102">$X113*1.0</x:f>
        <x:v>40</x:v>
      </x:c>
      <x:c r="AA113" s="213" t="n">
        <x:f t="shared" ref="AA113:AA114" si="103">$X113*0.85</x:f>
        <x:v>34</x:v>
      </x:c>
      <x:c r="AB113" s="213" t="n">
        <x:f t="shared" si="62">$X113*0.7</x:f>
        <x:v>28</x:v>
      </x:c>
      <x:c r="AC113" s="213" t="n">
        <x:f t="shared" ref="AC113:AC114" si="104">$X113*0.55</x:f>
        <x:v>22</x:v>
      </x:c>
      <x:c r="AD113" s="214" t="n">
        <x:f>$X113*0.4</x:f>
        <x:v>16</x:v>
      </x:c>
      <x:c r="AE113" s="216" t="n">
        <x:f>$X113*0.0</x:f>
        <x:v>0</x:v>
      </x:c>
      <x:c r="AF113" s="222" t="n">
        <x:f>(IFERROR(VALUE(LEFT($L113,FIND("분",$L113)-1))*60,0)+IFERROR(VALUE(TRIM(MID($L113,IFERROR(FIND("분",$L113),0)+1,FIND("초",$L113)-IFERROR(FIND("분",$L113),0)-1))),0))/86400</x:f>
        <x:v>0.001736111111111111</x:v>
      </x:c>
      <x:c r="AG113" s="222" t="n">
        <x:f>(IFERROR(VALUE(LEFT($L113,FIND("분",$L113)-1))*60,0)+IFERROR(VALUE(TRIM(MID($L113,IFERROR(FIND("분",$L113),0)+1,FIND("초",$L113)-IFERROR(FIND("분",$L113),0)-1))),0))/86400*2.0</x:f>
        <x:v>0.003472222222222222</x:v>
      </x:c>
      <x:c r="AH113" s="222" t="n">
        <x:f>(IFERROR(VALUE(LEFT($L113,FIND("분",$L113)-1))*60,0)+IFERROR(VALUE(TRIM(MID($L113,IFERROR(FIND("분",$L113),0)+1,FIND("초",$L113)-IFERROR(FIND("분",$L113),0)-1))),0))/86400*1.4</x:f>
        <x:v>0.002430555555555555</x:v>
      </x:c>
      <x:c r="AI113" s="222" t="n">
        <x:f>(IFERROR(VALUE(LEFT($L113,FIND("분",$L113)-1))*60,0)+IFERROR(VALUE(TRIM(MID($L113,IFERROR(FIND("분",$L113),0)+1,FIND("초",$L113)-IFERROR(FIND("분",$L113),0)-1))),0))/86400</x:f>
        <x:v>0.001736111111111111</x:v>
      </x:c>
    </x:row>
    <x:row r="114" ht="81.94999694824219" customHeight="1">
      <x:c r="A114" s="61" t="s">
        <x:v>614</x:v>
      </x:c>
      <x:c r="B114" s="49">
        <x:v>110</x:v>
      </x:c>
      <x:c r="C114" s="49">
        <x:v>1</x:v>
      </x:c>
      <x:c r="D114" s="49">
        <x:v>10</x:v>
      </x:c>
      <x:c r="E114" s="51" t="s">
        <x:v>676</x:v>
      </x:c>
      <x:c r="F114" s="51" t="s">
        <x:v>677</x:v>
      </x:c>
      <x:c r="G114" s="51" t="s">
        <x:v>678</x:v>
      </x:c>
      <x:c r="H114" s="49" t="s">
        <x:v>679</x:v>
      </x:c>
      <x:c r="I114" s="49">
        <x:v>4</x:v>
      </x:c>
      <x:c r="J114" s="51" t="s">
        <x:v>680</x:v>
      </x:c>
      <x:c r="K114" s="51" t="s">
        <x:v>30</x:v>
      </x:c>
      <x:c r="L114" s="49" t="s">
        <x:v>412</x:v>
      </x:c>
      <x:c r="M114" s="49" t="s">
        <x:v>681</x:v>
      </x:c>
      <x:c r="N114" s="52">
        <x:f t="shared" si="88"/>
        <x:v>0.16296296296296306</x:v>
      </x:c>
      <x:c r="O114" s="53" t="s">
        <x:v>675</x:v>
      </x:c>
      <x:c r="P114" s="54" t="n">
        <x:f>P113+11</x:f>
        <x:v>903</x:v>
      </x:c>
      <x:c r="Q114" s="55">
        <x:v>11</x:v>
      </x:c>
      <x:c r="R114" s="56">
        <x:f t="shared" si="41"/>
        <x:v>24597.72</x:v>
      </x:c>
      <x:c r="S114" s="53"/>
      <x:c r="T114" s="53"/>
      <x:c r="U114" s="53"/>
      <x:c r="V114" s="53"/>
      <x:c r="W114" s="178"/>
      <x:c r="X114" s="204">
        <x:f t="shared" si="58"/>
      </x:c>
      <x:c r="Y114" s="213">
        <x:f t="shared" si="101"/>
      </x:c>
      <x:c r="Z114" s="213">
        <x:f t="shared" si="102"/>
      </x:c>
      <x:c r="AA114" s="213">
        <x:f t="shared" si="103"/>
      </x:c>
      <x:c r="AB114" s="213">
        <x:f t="shared" si="62"/>
      </x:c>
      <x:c r="AC114" s="213">
        <x:f t="shared" si="104"/>
      </x:c>
      <x:c r="AD114" s="214"/>
      <x:c r="AE114" s="216"/>
      <x:c r="AF114" s="222"/>
      <x:c r="AG114" s="222"/>
      <x:c r="AH114" s="222"/>
      <x:c r="AI114" s="222"/>
    </x:row>
    <x:row r="115" ht="81.94999694824219" customHeight="1">
      <x:c r="A115" s="61" t="s">
        <x:v>614</x:v>
      </x:c>
      <x:c r="B115" s="49">
        <x:v>111</x:v>
      </x:c>
      <x:c r="C115" s="49">
        <x:v>1</x:v>
      </x:c>
      <x:c r="D115" s="49">
        <x:v>10</x:v>
      </x:c>
      <x:c r="E115" s="51" t="s">
        <x:v>682</x:v>
      </x:c>
      <x:c r="F115" s="51" t="s">
        <x:v>683</x:v>
      </x:c>
      <x:c r="G115" s="51" t="s">
        <x:v>684</x:v>
      </x:c>
      <x:c r="H115" s="49" t="s">
        <x:v>685</x:v>
      </x:c>
      <x:c r="I115" s="49">
        <x:v>3</x:v>
      </x:c>
      <x:c r="J115" s="51" t="s">
        <x:v>686</x:v>
      </x:c>
      <x:c r="K115" s="51" t="s">
        <x:v>30</x:v>
      </x:c>
      <x:c r="L115" s="49" t="s">
        <x:v>211</x:v>
      </x:c>
      <x:c r="M115" s="49" t="s">
        <x:v>687</x:v>
      </x:c>
      <x:c r="N115" s="52">
        <x:f t="shared" si="88"/>
        <x:v>0.16481481481481491</x:v>
      </x:c>
      <x:c r="O115" s="53" t="s">
        <x:v>675</x:v>
      </x:c>
      <x:c r="P115" s="54" t="n">
        <x:f>P114+10</x:f>
        <x:v>913</x:v>
      </x:c>
      <x:c r="Q115" s="55">
        <x:v>10</x:v>
      </x:c>
      <x:c r="R115" s="56">
        <x:f t="shared" si="41"/>
        <x:v>25144.02</x:v>
      </x:c>
      <x:c r="S115" s="53"/>
      <x:c r="T115" s="53"/>
      <x:c r="U115" s="53"/>
      <x:c r="V115" s="53"/>
      <x:c r="W115" s="178"/>
      <x:c r="X115" s="204"/>
      <x:c r="Y115" s="213"/>
      <x:c r="Z115" s="213"/>
      <x:c r="AA115" s="213"/>
      <x:c r="AB115" s="213"/>
      <x:c r="AC115" s="213"/>
      <x:c r="AD115" s="214"/>
      <x:c r="AE115" s="216"/>
      <x:c r="AF115" s="222"/>
      <x:c r="AG115" s="222"/>
      <x:c r="AH115" s="222"/>
      <x:c r="AI115" s="222"/>
    </x:row>
    <x:row r="116" ht="81.94999694824219" customHeight="1">
      <x:c r="A116" s="61" t="s">
        <x:v>614</x:v>
      </x:c>
      <x:c r="B116" s="49">
        <x:v>112</x:v>
      </x:c>
      <x:c r="C116" s="49">
        <x:v>1</x:v>
      </x:c>
      <x:c r="D116" s="49">
        <x:v>10</x:v>
      </x:c>
      <x:c r="E116" s="51" t="s">
        <x:v>688</x:v>
      </x:c>
      <x:c r="F116" s="51" t="s">
        <x:v>689</x:v>
      </x:c>
      <x:c r="G116" s="51" t="s">
        <x:v>690</x:v>
      </x:c>
      <x:c r="H116" s="49" t="s">
        <x:v>691</x:v>
      </x:c>
      <x:c r="I116" s="49">
        <x:v>3</x:v>
      </x:c>
      <x:c r="J116" s="51" t="s">
        <x:v>692</x:v>
      </x:c>
      <x:c r="K116" s="51" t="s">
        <x:v>30</x:v>
      </x:c>
      <x:c r="L116" s="49" t="s">
        <x:v>148</x:v>
      </x:c>
      <x:c r="M116" s="49" t="s">
        <x:v>693</x:v>
      </x:c>
      <x:c r="N116" s="52">
        <x:f t="shared" si="88"/>
        <x:v>0.16655092592592602</x:v>
      </x:c>
      <x:c r="O116" s="53" t="s">
        <x:v>675</x:v>
      </x:c>
      <x:c r="P116" s="54" t="n">
        <x:f>P115+9</x:f>
        <x:v>922</x:v>
      </x:c>
      <x:c r="Q116" s="55">
        <x:v>9</x:v>
      </x:c>
      <x:c r="R116" s="56">
        <x:f t="shared" si="41"/>
        <x:v>25640.82</x:v>
      </x:c>
      <x:c r="S116" s="53"/>
      <x:c r="T116" s="53"/>
      <x:c r="U116" s="53"/>
      <x:c r="V116" s="53"/>
      <x:c r="W116" s="178"/>
      <x:c r="X116" s="204"/>
      <x:c r="Y116" s="213"/>
      <x:c r="Z116" s="213"/>
      <x:c r="AA116" s="213"/>
      <x:c r="AB116" s="213"/>
      <x:c r="AC116" s="213"/>
      <x:c r="AD116" s="214"/>
      <x:c r="AE116" s="216"/>
      <x:c r="AF116" s="222"/>
      <x:c r="AG116" s="222"/>
      <x:c r="AH116" s="222"/>
      <x:c r="AI116" s="222"/>
    </x:row>
    <x:row r="117" ht="81.94999694824219" customHeight="1">
      <x:c r="A117" s="61" t="s">
        <x:v>614</x:v>
      </x:c>
      <x:c r="B117" s="49">
        <x:v>113</x:v>
      </x:c>
      <x:c r="C117" s="49">
        <x:v>4</x:v>
      </x:c>
      <x:c r="D117" s="49">
        <x:v>10</x:v>
      </x:c>
      <x:c r="E117" s="51" t="s">
        <x:v>694</x:v>
      </x:c>
      <x:c r="F117" s="51" t="s">
        <x:v>695</x:v>
      </x:c>
      <x:c r="G117" s="51" t="s">
        <x:v>696</x:v>
      </x:c>
      <x:c r="H117" s="49" t="s">
        <x:v>697</x:v>
      </x:c>
      <x:c r="I117" s="49">
        <x:v>5</x:v>
      </x:c>
      <x:c r="J117" s="51" t="s">
        <x:v>698</x:v>
      </x:c>
      <x:c r="K117" s="51" t="s">
        <x:v>699</x:v>
      </x:c>
      <x:c r="L117" s="49" t="s">
        <x:v>404</x:v>
      </x:c>
      <x:c r="M117" s="49" t="s">
        <x:v>700</x:v>
      </x:c>
      <x:c r="N117" s="52">
        <x:f t="shared" si="88"/>
        <x:v>0.16886574074074084</x:v>
      </x:c>
      <x:c r="O117" s="53" t="s">
        <x:v>675</x:v>
      </x:c>
      <x:c r="P117" s="54" t="n">
        <x:f>P116+12</x:f>
        <x:v>934</x:v>
      </x:c>
      <x:c r="Q117" s="55">
        <x:v>12</x:v>
      </x:c>
      <x:c r="R117" s="56">
        <x:f t="shared" si="41"/>
        <x:v>26310.78</x:v>
      </x:c>
      <x:c r="S117" s="53"/>
      <x:c r="T117" s="53"/>
      <x:c r="U117" s="53"/>
      <x:c r="V117" s="53"/>
      <x:c r="W117" s="178" t="str">
        <x:v>기억 누락·위험 구역 피격·동선 효율·클리어 시간</x:v>
      </x:c>
      <x:c r="X117" s="204" t="n">
        <x:v>40</x:v>
      </x:c>
      <x:c r="Y117" s="213" t="n">
        <x:f>$X117*1.2</x:f>
        <x:v>48</x:v>
      </x:c>
      <x:c r="Z117" s="213" t="n">
        <x:f>$X117*1.0</x:f>
        <x:v>40</x:v>
      </x:c>
      <x:c r="AA117" s="213" t="n">
        <x:f>$X117*0.85</x:f>
        <x:v>34</x:v>
      </x:c>
      <x:c r="AB117" s="213" t="n">
        <x:f>$X117*0.7</x:f>
        <x:v>28</x:v>
      </x:c>
      <x:c r="AC117" s="213" t="n">
        <x:f>$X117*0.55</x:f>
        <x:v>22</x:v>
      </x:c>
      <x:c r="AD117" s="214" t="n">
        <x:f>$X117*0.4</x:f>
        <x:v>16</x:v>
      </x:c>
      <x:c r="AE117" s="216" t="n">
        <x:f>$X117*0.0</x:f>
        <x:v>0</x:v>
      </x:c>
      <x:c r="AF117" s="222" t="n">
        <x:f>(IFERROR(VALUE(LEFT($L117,FIND("분",$L117)-1))*60,0)+IFERROR(VALUE(TRIM(MID($L117,IFERROR(FIND("분",$L117),0)+1,FIND("초",$L117)-IFERROR(FIND("분",$L117),0)-1))),0))/86400</x:f>
        <x:v>0.0023148148148148147</x:v>
      </x:c>
      <x:c r="AG117" s="222" t="n">
        <x:f>(IFERROR(VALUE(LEFT($L117,FIND("분",$L117)-1))*60,0)+IFERROR(VALUE(TRIM(MID($L117,IFERROR(FIND("분",$L117),0)+1,FIND("초",$L117)-IFERROR(FIND("분",$L117),0)-1))),0))/86400*2.0</x:f>
        <x:v>0.004629629629629629</x:v>
      </x:c>
      <x:c r="AH117" s="222" t="n">
        <x:f>(IFERROR(VALUE(LEFT($L117,FIND("분",$L117)-1))*60,0)+IFERROR(VALUE(TRIM(MID($L117,IFERROR(FIND("분",$L117),0)+1,FIND("초",$L117)-IFERROR(FIND("분",$L117),0)-1))),0))/86400*1.4</x:f>
        <x:v>0.00324074074074074</x:v>
      </x:c>
      <x:c r="AI117" s="222" t="n">
        <x:f>(IFERROR(VALUE(LEFT($L117,FIND("분",$L117)-1))*60,0)+IFERROR(VALUE(TRIM(MID($L117,IFERROR(FIND("분",$L117),0)+1,FIND("초",$L117)-IFERROR(FIND("분",$L117),0)-1))),0))/86400</x:f>
        <x:v>0.0023148148148148147</x:v>
      </x:c>
    </x:row>
    <x:row r="118" ht="81.94999694824219" customHeight="1">
      <x:c r="A118" s="61" t="s">
        <x:v>614</x:v>
      </x:c>
      <x:c r="B118" s="49">
        <x:v>114</x:v>
      </x:c>
      <x:c r="C118" s="49">
        <x:v>7</x:v>
      </x:c>
      <x:c r="D118" s="49">
        <x:v>10</x:v>
      </x:c>
      <x:c r="E118" s="51" t="s">
        <x:v>701</x:v>
      </x:c>
      <x:c r="F118" s="51" t="s">
        <x:v>702</x:v>
      </x:c>
      <x:c r="G118" s="51" t="s">
        <x:v>703</x:v>
      </x:c>
      <x:c r="H118" s="49" t="s">
        <x:v>704</x:v>
      </x:c>
      <x:c r="I118" s="49">
        <x:v>4</x:v>
      </x:c>
      <x:c r="J118" s="51" t="s">
        <x:v>705</x:v>
      </x:c>
      <x:c r="K118" s="51" t="s">
        <x:v>706</x:v>
      </x:c>
      <x:c r="L118" s="49" t="s">
        <x:v>206</x:v>
      </x:c>
      <x:c r="M118" s="49" t="s">
        <x:v>707</x:v>
      </x:c>
      <x:c r="N118" s="52">
        <x:f t="shared" si="88"/>
        <x:v>0.17094907407407417</x:v>
      </x:c>
      <x:c r="O118" s="53" t="s">
        <x:v>675</x:v>
      </x:c>
      <x:c r="P118" s="54" t="n">
        <x:f>P117+12</x:f>
        <x:v>946</x:v>
      </x:c>
      <x:c r="Q118" s="55">
        <x:v>12</x:v>
      </x:c>
      <x:c r="R118" s="56">
        <x:f t="shared" si="41"/>
        <x:v>26989.38</x:v>
      </x:c>
      <x:c r="S118" s="53"/>
      <x:c r="T118" s="53"/>
      <x:c r="U118" s="53"/>
      <x:c r="V118" s="53"/>
      <x:c r="W118" s="178" t="str">
        <x:v>충격파 피격·접근 실패·재시도 횟수·접근 시간</x:v>
      </x:c>
      <x:c r="X118" s="204" t="n">
        <x:f t="shared" si="58"/>
        <x:v>60</x:v>
      </x:c>
      <x:c r="Y118" s="213" t="n">
        <x:f>$X118*1.2</x:f>
        <x:v>72</x:v>
      </x:c>
      <x:c r="Z118" s="213" t="n">
        <x:f>$X118*1.0</x:f>
        <x:v>60</x:v>
      </x:c>
      <x:c r="AA118" s="213" t="n">
        <x:f t="shared" si="61">$X118*0.85</x:f>
        <x:v>51</x:v>
      </x:c>
      <x:c r="AB118" s="213" t="n">
        <x:f t="shared" si="62">$X118*0.7</x:f>
        <x:v>42</x:v>
      </x:c>
      <x:c r="AC118" s="213" t="n">
        <x:f t="shared" si="63">$X118*0.55</x:f>
        <x:v>33</x:v>
      </x:c>
      <x:c r="AD118" s="214" t="n">
        <x:f>$X118*0.4</x:f>
        <x:v>24</x:v>
      </x:c>
      <x:c r="AE118" s="216" t="n">
        <x:f>$X118*0.0</x:f>
        <x:v>0</x:v>
      </x:c>
      <x:c r="AF118" s="222" t="n">
        <x:f>(IFERROR(VALUE(LEFT($L118,FIND("분",$L118)-1))*60,0)+IFERROR(VALUE(TRIM(MID($L118,IFERROR(FIND("분",$L118),0)+1,FIND("초",$L118)-IFERROR(FIND("분",$L118),0)-1))),0))/86400</x:f>
        <x:v>0.0020833333333333333</x:v>
      </x:c>
      <x:c r="AG118" s="222" t="n">
        <x:f>(IFERROR(VALUE(LEFT($L118,FIND("분",$L118)-1))*60,0)+IFERROR(VALUE(TRIM(MID($L118,IFERROR(FIND("분",$L118),0)+1,FIND("초",$L118)-IFERROR(FIND("분",$L118),0)-1))),0))/86400*2.0</x:f>
        <x:v>0.004166666666666667</x:v>
      </x:c>
      <x:c r="AH118" s="222" t="n">
        <x:f>(IFERROR(VALUE(LEFT($L118,FIND("분",$L118)-1))*60,0)+IFERROR(VALUE(TRIM(MID($L118,IFERROR(FIND("분",$L118),0)+1,FIND("초",$L118)-IFERROR(FIND("분",$L118),0)-1))),0))/86400*1.4</x:f>
        <x:v>0.0029166666666666664</x:v>
      </x:c>
      <x:c r="AI118" s="222" t="n">
        <x:f>(IFERROR(VALUE(LEFT($L118,FIND("분",$L118)-1))*60,0)+IFERROR(VALUE(TRIM(MID($L118,IFERROR(FIND("분",$L118),0)+1,FIND("초",$L118)-IFERROR(FIND("분",$L118),0)-1))),0))/86400</x:f>
        <x:v>0.0020833333333333333</x:v>
      </x:c>
    </x:row>
    <x:row r="119" ht="81.94999694824219" customHeight="1">
      <x:c r="A119" s="61" t="s">
        <x:v>614</x:v>
      </x:c>
      <x:c r="B119" s="49">
        <x:v>115</x:v>
      </x:c>
      <x:c r="C119" s="49">
        <x:v>6</x:v>
      </x:c>
      <x:c r="D119" s="49">
        <x:v>10</x:v>
      </x:c>
      <x:c r="E119" s="51" t="s">
        <x:v>708</x:v>
      </x:c>
      <x:c r="F119" s="51" t="s">
        <x:v>709</x:v>
      </x:c>
      <x:c r="G119" s="51" t="s">
        <x:v>710</x:v>
      </x:c>
      <x:c r="H119" s="49" t="s">
        <x:v>711</x:v>
      </x:c>
      <x:c r="I119" s="49">
        <x:v>6</x:v>
      </x:c>
      <x:c r="J119" s="51" t="s">
        <x:v>712</x:v>
      </x:c>
      <x:c r="K119" s="51" t="s">
        <x:v>713</x:v>
      </x:c>
      <x:c r="L119" s="49" t="s">
        <x:v>420</x:v>
      </x:c>
      <x:c r="M119" s="49" t="s">
        <x:v>714</x:v>
      </x:c>
      <x:c r="N119" s="52">
        <x:f t="shared" si="88"/>
        <x:v>0.17349537037037047</x:v>
      </x:c>
      <x:c r="O119" s="53" t="s">
        <x:v>675</x:v>
      </x:c>
      <x:c r="P119" s="54" t="n">
        <x:f>P118+14</x:f>
        <x:v>960</x:v>
      </x:c>
      <x:c r="Q119" s="55">
        <x:v>14</x:v>
      </x:c>
      <x:c r="R119" s="56">
        <x:f t="shared" si="41"/>
        <x:v>27791.999999999996</x:v>
      </x:c>
      <x:c r="S119" s="53"/>
      <x:c r="T119" s="53"/>
      <x:c r="U119" s="53"/>
      <x:c r="V119" s="53"/>
      <x:c r="W119" s="178" t="str">
        <x:v>게이지 이탈 횟수·동기화 초기화·재시도·완료 시간</x:v>
      </x:c>
      <x:c r="X119" s="204" t="n">
        <x:f t="shared" si="58"/>
        <x:v>100</x:v>
      </x:c>
      <x:c r="Y119" s="213" t="n">
        <x:f t="shared" ref="Y119" si="105">$X119*1.2</x:f>
        <x:v>120</x:v>
      </x:c>
      <x:c r="Z119" s="213" t="n">
        <x:f t="shared" ref="Z119" si="106">$X119*1.0</x:f>
        <x:v>100</x:v>
      </x:c>
      <x:c r="AA119" s="213" t="n">
        <x:f t="shared" si="61">$X119*0.85</x:f>
        <x:v>85</x:v>
      </x:c>
      <x:c r="AB119" s="213" t="n">
        <x:f t="shared" si="62">$X119*0.7</x:f>
        <x:v>70</x:v>
      </x:c>
      <x:c r="AC119" s="213" t="n">
        <x:f t="shared" si="63">$X119*0.55</x:f>
        <x:v>55.00000000000001</x:v>
      </x:c>
      <x:c r="AD119" s="214" t="n">
        <x:f>$X119*0.4</x:f>
        <x:v>40</x:v>
      </x:c>
      <x:c r="AE119" s="216" t="n">
        <x:f>$X119*0.0</x:f>
        <x:v>0</x:v>
      </x:c>
      <x:c r="AF119" s="222" t="n">
        <x:f>(IFERROR(VALUE(LEFT($L119,FIND("분",$L119)-1))*60,0)+IFERROR(VALUE(TRIM(MID($L119,IFERROR(FIND("분",$L119),0)+1,FIND("초",$L119)-IFERROR(FIND("분",$L119),0)-1))),0))/86400</x:f>
        <x:v>0.0025462962962962965</x:v>
      </x:c>
      <x:c r="AG119" s="222" t="n">
        <x:f>(IFERROR(VALUE(LEFT($L119,FIND("분",$L119)-1))*60,0)+IFERROR(VALUE(TRIM(MID($L119,IFERROR(FIND("분",$L119),0)+1,FIND("초",$L119)-IFERROR(FIND("분",$L119),0)-1))),0))/86400*2.0</x:f>
        <x:v>0.005092592592592593</x:v>
      </x:c>
      <x:c r="AH119" s="222" t="n">
        <x:f>(IFERROR(VALUE(LEFT($L119,FIND("분",$L119)-1))*60,0)+IFERROR(VALUE(TRIM(MID($L119,IFERROR(FIND("분",$L119),0)+1,FIND("초",$L119)-IFERROR(FIND("분",$L119),0)-1))),0))/86400*1.4</x:f>
        <x:v>0.003564814814814815</x:v>
      </x:c>
      <x:c r="AI119" s="222" t="n">
        <x:f>(IFERROR(VALUE(LEFT($L119,FIND("분",$L119)-1))*60,0)+IFERROR(VALUE(TRIM(MID($L119,IFERROR(FIND("분",$L119),0)+1,FIND("초",$L119)-IFERROR(FIND("분",$L119),0)-1))),0))/86400</x:f>
        <x:v>0.0025462962962962965</x:v>
      </x:c>
    </x:row>
    <x:row r="120" ht="81.94999694824219" customHeight="1">
      <x:c r="A120" s="61" t="s">
        <x:v>614</x:v>
      </x:c>
      <x:c r="B120" s="49">
        <x:v>116</x:v>
      </x:c>
      <x:c r="C120" s="49">
        <x:v>1</x:v>
      </x:c>
      <x:c r="D120" s="49">
        <x:v>10</x:v>
      </x:c>
      <x:c r="E120" s="51" t="s">
        <x:v>715</x:v>
      </x:c>
      <x:c r="F120" s="51" t="s">
        <x:v>716</x:v>
      </x:c>
      <x:c r="G120" s="51" t="s">
        <x:v>717</x:v>
      </x:c>
      <x:c r="H120" s="49" t="s">
        <x:v>718</x:v>
      </x:c>
      <x:c r="I120" s="49">
        <x:v>1</x:v>
      </x:c>
      <x:c r="J120" s="51" t="s">
        <x:v>719</x:v>
      </x:c>
      <x:c r="K120" s="51" t="s">
        <x:v>30</x:v>
      </x:c>
      <x:c r="L120" s="49" t="s">
        <x:v>107</x:v>
      </x:c>
      <x:c r="M120" s="49" t="s">
        <x:v>720</x:v>
      </x:c>
      <x:c r="N120" s="52">
        <x:f t="shared" si="88"/>
        <x:v>0.17488425925925935</x:v>
      </x:c>
      <x:c r="O120" s="53" t="s">
        <x:v>721</x:v>
      </x:c>
      <x:c r="P120" s="54" t="n">
        <x:f>P119+8</x:f>
        <x:v>968</x:v>
      </x:c>
      <x:c r="Q120" s="55">
        <x:v>8</x:v>
      </x:c>
      <x:c r="R120" s="56">
        <x:f t="shared" si="41"/>
        <x:v>28255.919999999998</x:v>
      </x:c>
      <x:c r="S120" s="53"/>
      <x:c r="T120" s="53"/>
      <x:c r="U120" s="53"/>
      <x:c r="V120" s="53"/>
      <x:c r="W120" s="178"/>
      <x:c r="X120" s="204"/>
      <x:c r="Y120" s="213"/>
      <x:c r="Z120" s="213"/>
      <x:c r="AA120" s="213"/>
      <x:c r="AB120" s="213"/>
      <x:c r="AC120" s="213"/>
      <x:c r="AD120" s="214"/>
      <x:c r="AE120" s="216"/>
      <x:c r="AF120" s="222"/>
      <x:c r="AG120" s="222"/>
      <x:c r="AH120" s="222"/>
      <x:c r="AI120" s="222"/>
    </x:row>
    <x:row r="121" ht="81.94999694824219" customHeight="1">
      <x:c r="A121" s="61" t="s">
        <x:v>614</x:v>
      </x:c>
      <x:c r="B121" s="49">
        <x:v>117</x:v>
      </x:c>
      <x:c r="C121" s="49">
        <x:v>1</x:v>
      </x:c>
      <x:c r="D121" s="49">
        <x:v>10</x:v>
      </x:c>
      <x:c r="E121" s="51" t="s">
        <x:v>722</x:v>
      </x:c>
      <x:c r="F121" s="51" t="s">
        <x:v>723</x:v>
      </x:c>
      <x:c r="G121" s="51" t="s">
        <x:v>724</x:v>
      </x:c>
      <x:c r="H121" s="49" t="s">
        <x:v>725</x:v>
      </x:c>
      <x:c r="I121" s="49">
        <x:v>4</x:v>
      </x:c>
      <x:c r="J121" s="51" t="s">
        <x:v>726</x:v>
      </x:c>
      <x:c r="K121" s="51" t="s">
        <x:v>30</x:v>
      </x:c>
      <x:c r="L121" s="49" t="s">
        <x:v>148</x:v>
      </x:c>
      <x:c r="M121" s="49" t="s">
        <x:v>727</x:v>
      </x:c>
      <x:c r="N121" s="52">
        <x:f t="shared" si="88"/>
        <x:v>0.17662037037037046</x:v>
      </x:c>
      <x:c r="O121" s="53" t="s">
        <x:v>721</x:v>
      </x:c>
      <x:c r="P121" s="54" t="n">
        <x:f>P120+10</x:f>
        <x:v>978</x:v>
      </x:c>
      <x:c r="Q121" s="55">
        <x:v>10</x:v>
      </x:c>
      <x:c r="R121" s="56">
        <x:f t="shared" si="41"/>
        <x:v>28841.22</x:v>
      </x:c>
      <x:c r="S121" s="53"/>
      <x:c r="T121" s="53"/>
      <x:c r="U121" s="53"/>
      <x:c r="V121" s="53"/>
      <x:c r="W121" s="178"/>
      <x:c r="X121" s="204"/>
      <x:c r="Y121" s="213"/>
      <x:c r="Z121" s="213"/>
      <x:c r="AA121" s="213"/>
      <x:c r="AB121" s="213"/>
      <x:c r="AC121" s="213"/>
      <x:c r="AD121" s="214"/>
      <x:c r="AE121" s="216"/>
      <x:c r="AF121" s="222"/>
      <x:c r="AG121" s="222"/>
      <x:c r="AH121" s="222"/>
      <x:c r="AI121" s="222"/>
    </x:row>
    <x:row r="122" ht="81.94999694824219" customHeight="1">
      <x:c r="A122" s="61" t="s">
        <x:v>614</x:v>
      </x:c>
      <x:c r="B122" s="49">
        <x:v>118</x:v>
      </x:c>
      <x:c r="C122" s="49">
        <x:v>1</x:v>
      </x:c>
      <x:c r="D122" s="49">
        <x:v>9</x:v>
      </x:c>
      <x:c r="E122" s="51" t="s">
        <x:v>728</x:v>
      </x:c>
      <x:c r="F122" s="51" t="s">
        <x:v>723</x:v>
      </x:c>
      <x:c r="G122" s="51" t="s">
        <x:v>729</x:v>
      </x:c>
      <x:c r="H122" s="49" t="s">
        <x:v>730</x:v>
      </x:c>
      <x:c r="I122" s="49">
        <x:v>5</x:v>
      </x:c>
      <x:c r="J122" s="51" t="s">
        <x:v>726</x:v>
      </x:c>
      <x:c r="K122" s="51" t="s">
        <x:v>30</x:v>
      </x:c>
      <x:c r="L122" s="49" t="s">
        <x:v>435</x:v>
      </x:c>
      <x:c r="M122" s="49" t="s">
        <x:v>727</x:v>
      </x:c>
      <x:c r="N122" s="52">
        <x:f t="shared" si="88"/>
        <x:v>0.17939814814814822</x:v>
      </x:c>
      <x:c r="O122" s="53" t="s">
        <x:v>721</x:v>
      </x:c>
      <x:c r="P122" s="54" t="n">
        <x:f>P121+12</x:f>
        <x:v>990</x:v>
      </x:c>
      <x:c r="Q122" s="55">
        <x:v>12</x:v>
      </x:c>
      <x:c r="R122" s="56">
        <x:f t="shared" si="41"/>
        <x:v>29551.5</x:v>
      </x:c>
      <x:c r="S122" s="53"/>
      <x:c r="T122" s="53"/>
      <x:c r="U122" s="53"/>
      <x:c r="V122" s="53"/>
      <x:c r="W122" s="178"/>
      <x:c r="X122" s="204">
        <x:f t="shared" ref="X122" si="107">W122*0.8</x:f>
      </x:c>
      <x:c r="Y122" s="213">
        <x:f t="shared" ref="Y122" si="108">W122*0.6</x:f>
      </x:c>
      <x:c r="Z122" s="213">
        <x:f t="shared" ref="Z122" si="109">W122*0.5</x:f>
      </x:c>
      <x:c r="AA122" s="213">
        <x:f t="shared" ref="AA122" si="110">(IFERROR(VALUE(LEFT(AC122,FIND("분",AC122)-1))*60,0)+IFERROR(VALUE(MID(AC122,IFERROR(FIND("분",AC122),0)+1,FIND("초",AC122)-IFERROR(FIND("분",AC122),0)-1)),0))/86400*2</x:f>
      </x:c>
      <x:c r="AB122" s="213">
        <x:f t="shared" si="62"/>
      </x:c>
      <x:c r="AC122" s="213">
        <x:f t="shared" ref="AC122" si="111">L122</x:f>
      </x:c>
      <x:c r="AD122" s="214"/>
      <x:c r="AE122" s="216"/>
      <x:c r="AF122" s="222"/>
      <x:c r="AG122" s="222"/>
      <x:c r="AH122" s="222"/>
      <x:c r="AI122" s="222"/>
    </x:row>
    <x:row r="123" ht="81.94999694824219" customHeight="1">
      <x:c r="A123" s="62" t="s">
        <x:v>614</x:v>
      </x:c>
      <x:c r="B123" s="63">
        <x:v>119</x:v>
      </x:c>
      <x:c r="C123" s="63">
        <x:v>1</x:v>
      </x:c>
      <x:c r="D123" s="63">
        <x:v>9</x:v>
      </x:c>
      <x:c r="E123" s="64" t="s">
        <x:v>731</x:v>
      </x:c>
      <x:c r="F123" s="64" t="s">
        <x:v>732</x:v>
      </x:c>
      <x:c r="G123" s="64" t="s">
        <x:v>733</x:v>
      </x:c>
      <x:c r="H123" s="63" t="s">
        <x:v>734</x:v>
      </x:c>
      <x:c r="I123" s="63">
        <x:v>1</x:v>
      </x:c>
      <x:c r="J123" s="64" t="s">
        <x:v>735</x:v>
      </x:c>
      <x:c r="K123" s="64" t="s">
        <x:v>30</x:v>
      </x:c>
      <x:c r="L123" s="63" t="s">
        <x:v>206</x:v>
      </x:c>
      <x:c r="M123" s="63" t="s">
        <x:v>736</x:v>
      </x:c>
      <x:c r="N123" s="65">
        <x:f t="shared" si="88"/>
        <x:v>0.18148148148148155</x:v>
      </x:c>
      <x:c r="O123" s="66" t="s">
        <x:v>721</x:v>
      </x:c>
      <x:c r="P123" s="67" t="n">
        <x:f>P122+10</x:f>
        <x:v>1000</x:v>
      </x:c>
      <x:c r="Q123" s="55">
        <x:v>10</x:v>
      </x:c>
      <x:c r="R123" s="68">
        <x:f t="shared" si="41"/>
        <x:v>30150</x:v>
      </x:c>
      <x:c r="S123" s="66"/>
      <x:c r="T123" s="66"/>
      <x:c r="U123" s="69"/>
      <x:c r="V123" s="66"/>
      <x:c r="W123" s="178"/>
      <x:c r="X123" s="204"/>
      <x:c r="Y123" s="213"/>
      <x:c r="Z123" s="213"/>
      <x:c r="AA123" s="213"/>
      <x:c r="AB123" s="213"/>
      <x:c r="AC123" s="213"/>
      <x:c r="AD123" s="214"/>
      <x:c r="AE123" s="216"/>
      <x:c r="AF123" s="222"/>
      <x:c r="AG123" s="222"/>
      <x:c r="AH123" s="222"/>
      <x:c r="AI123" s="222"/>
    </x:row>
    <x:row r="124">
      <x:c r="A124" s="73"/>
      <x:c r="B124" s="73"/>
      <x:c r="C124" s="73"/>
      <x:c r="D124" s="73"/>
      <x:c r="E124" s="73"/>
      <x:c r="F124" s="73"/>
      <x:c r="G124" s="73"/>
      <x:c r="H124" s="73"/>
      <x:c r="I124" s="73"/>
      <x:c r="J124" s="73"/>
      <x:c r="K124" s="73"/>
      <x:c r="L124" s="73"/>
      <x:c r="M124" s="73"/>
    </x:row>
    <x:row r="125">
      <x:c r="A125" s="73"/>
      <x:c r="B125" s="73"/>
      <x:c r="C125" s="73"/>
      <x:c r="D125" s="73"/>
      <x:c r="E125" s="73"/>
      <x:c r="F125" s="73"/>
      <x:c r="G125" s="73"/>
      <x:c r="H125" s="73"/>
      <x:c r="I125" s="73"/>
      <x:c r="J125" s="73"/>
      <x:c r="K125" s="73"/>
      <x:c r="L125" s="73"/>
      <x:c r="M125" s="73"/>
    </x:row>
    <x:row r="126">
      <x:c r="I126" s="74"/>
      <x:c r="J126" s="39"/>
    </x:row>
    <x:row r="127">
      <x:c r="I127" s="74"/>
    </x:row>
  </x:sheetData>
  <x:conditionalFormatting sqref="A4:A123">
    <x:cfRule type="colorScale" priority="15">
      <x:colorScale>
        <x:cfvo type="min"/>
        <x:cfvo type="max"/>
        <x:color rgb="FF9BCFD9"/>
        <x:color rgb="FFC6A5CB"/>
      </x:colorScale>
    </x:cfRule>
    <x:cfRule type="colorScale" priority="16">
      <x:colorScale>
        <x:cfvo type="min"/>
        <x:cfvo type="max"/>
        <x:color rgb="FF63BE7B"/>
        <x:color rgb="FFFCFCFF"/>
      </x:colorScale>
    </x:cfRule>
    <x:cfRule type="colorScale" priority="17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B124:B1048575">
    <x:cfRule type="colorScale" priority="12">
      <x:colorScale>
        <x:cfvo type="min"/>
        <x:cfvo type="max"/>
        <x:color rgb="FF9BCFD9"/>
        <x:color rgb="FFC6A5CB"/>
      </x:colorScale>
    </x:cfRule>
    <x:cfRule type="colorScale" priority="13">
      <x:colorScale>
        <x:cfvo type="min"/>
        <x:cfvo type="max"/>
        <x:color rgb="FF63BE7B"/>
        <x:color rgb="FFFCFCFF"/>
      </x:colorScale>
    </x:cfRule>
    <x:cfRule type="colorScale" priority="14">
      <x:colorScale>
        <x:cfvo type="min"/>
        <x:cfvo type="percentile" val="50"/>
        <x:cfvo type="max"/>
        <x:color rgb="FF63BE7B"/>
        <x:color rgb="FFFFEB84"/>
        <x:color rgb="FFF8696B"/>
      </x:colorScale>
    </x:cfRule>
  </x:conditionalFormatting>
  <x:conditionalFormatting sqref="I5:I123">
    <x:cfRule type="dataBar" priority="10">
      <x:dataBar minLength="0" maxLength="100">
        <x:cfvo type="min"/>
        <x:cfvo type="max"/>
        <x:color rgb="FF315F97"/>
      </x:dataBar>
      <x:extLst>
        <x:ext xmlns:x14="http://schemas.microsoft.com/office/spreadsheetml/2009/9/main" uri="{B025F937-C7B1-47D3-B67F-A62EFF666E3E}">
          <x14:id>{E25A4EDB-5382-442C-9FAF-2D10AB718179}</x14:id>
        </x:ext>
      </x:extLst>
    </x:cfRule>
  </x:conditionalFormatting>
  <x:conditionalFormatting sqref="D1:D1048575">
    <x:cfRule type="iconSet" priority="4">
      <x:iconSet iconSet="4TrafficLights">
        <x:cfvo type="percent" val="0"/>
        <x:cfvo type="percent" val="25"/>
        <x:cfvo type="percent" val="50"/>
        <x:cfvo type="percent" val="75"/>
      </x:iconSet>
    </x:cfRule>
    <x:cfRule type="iconSet" priority="9">
      <x:iconSet iconSet="3Signs">
        <x:cfvo type="percent" val="0"/>
        <x:cfvo type="percent" val="33"/>
        <x:cfvo type="percent" val="67"/>
      </x:iconSet>
    </x:cfRule>
  </x:conditionalFormatting>
  <x:conditionalFormatting sqref="C1:C1048575">
    <x:cfRule type="iconSet" priority="6">
      <x:iconSet iconSet="4TrafficLights">
        <x:cfvo type="percent" val="0"/>
        <x:cfvo type="percent" val="25"/>
        <x:cfvo type="percent" val="50"/>
        <x:cfvo type="percent" val="75"/>
      </x:iconSet>
    </x:cfRule>
  </x:conditionalFormatting>
  <x:conditionalFormatting sqref="Y5:Y123">
    <x:cfRule type="expression" dxfId="14" priority="18">
      <x:formula>Y5&lt;&gt;""</x:formula>
    </x:cfRule>
  </x:conditionalFormatting>
  <x:conditionalFormatting sqref="Z5:Z123">
    <x:cfRule type="expression" dxfId="15" priority="19">
      <x:formula>Z5&lt;&gt;""</x:formula>
    </x:cfRule>
  </x:conditionalFormatting>
  <x:conditionalFormatting sqref="AA5:AA123">
    <x:cfRule type="expression" dxfId="16" priority="20">
      <x:formula>AA5&lt;&gt;""</x:formula>
    </x:cfRule>
  </x:conditionalFormatting>
  <x:conditionalFormatting sqref="AB5:AB123">
    <x:cfRule type="expression" dxfId="17" priority="21">
      <x:formula>AB5&lt;&gt;""</x:formula>
    </x:cfRule>
  </x:conditionalFormatting>
  <x:conditionalFormatting sqref="AC5:AC123">
    <x:cfRule type="expression" dxfId="18" priority="22">
      <x:formula>AC5&lt;&gt;""</x:formula>
    </x:cfRule>
  </x:conditionalFormatting>
  <x:conditionalFormatting sqref="AD5:AD123">
    <x:cfRule type="expression" dxfId="19" priority="23">
      <x:formula>AD5&lt;&gt;""</x:formula>
    </x:cfRule>
  </x:conditionalFormatting>
  <x:conditionalFormatting sqref="AE5:AE123">
    <x:cfRule type="expression" dxfId="20" priority="24">
      <x:formula>AE5&lt;&gt;""</x:formula>
    </x:cfRule>
  </x:conditionalFormatting>
  <x:pageMargins left="0.7" right="0.7" top="0.75" bottom="0.75" header="0.3" footer="0.3"/>
  <x:drawing xmlns:r="http://schemas.openxmlformats.org/officeDocument/2006/relationships" r:id="R5ceef71249224bbb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0" id="{E25A4EDB-5382-442C-9FAF-2D10AB718179}">
            <x14:dataBar minLength="0" maxLength="100" gradient="0">
              <x14:cfvo type="autoMin"/>
              <x14:cfvo type="autoMax"/>
              <x14:fillColor rgb="FF315F97"/>
              <x14:negativeFillColor rgb="FFFF0000"/>
              <x14:axisColor rgb="FFFFFFFF"/>
            </x14:dataBar>
          </x14:cfRule>
          <xm:sqref>I5:I123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52" width="4.25" style="30" customWidth="1"/>
    <x:col min="53" max="16384" width="9" style="30" customWidth="0"/>
  </x:cols>
  <x:sheetData>
    <x:row r="1" ht="18" customHeight="1">
      <x:c r="A1" s="29"/>
    </x:row>
    <x:row r="2" ht="18" customHeight="1">
      <x:c r="A2" s="31"/>
      <x:c r="B2" s="33" t="s">
        <x:v>737</x:v>
      </x:c>
      <x:c r="C2" s="34"/>
      <x:c r="D2" s="34"/>
      <x:c r="E2" s="34"/>
      <x:c r="F2" s="34"/>
      <x:c r="G2" s="34"/>
      <x:c r="H2" s="34"/>
      <x:c r="I2" s="34"/>
      <x:c r="J2" s="34"/>
      <x:c r="K2" s="34"/>
      <x:c r="L2" s="34"/>
      <x:c r="M2" s="34"/>
      <x:c r="N2" s="34"/>
      <x:c r="O2" s="34"/>
      <x:c r="P2" s="34"/>
      <x:c r="Q2" s="34"/>
      <x:c r="R2" s="34"/>
      <x:c r="S2" s="34"/>
      <x:c r="T2" s="34"/>
      <x:c r="U2" s="34"/>
      <x:c r="V2" s="34"/>
    </x:row>
    <x:row r="3" ht="18" customHeight="1"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  <x:c r="Q3" s="34"/>
      <x:c r="R3" s="34"/>
      <x:c r="S3" s="34"/>
      <x:c r="T3" s="34"/>
      <x:c r="U3" s="34"/>
      <x:c r="V3" s="34"/>
    </x:row>
    <x:row r="4" ht="18" customHeight="1">
      <x:c r="B4" s="35" t="s">
        <x:v>738</x:v>
      </x:c>
      <x:c r="C4" s="34"/>
      <x:c r="D4" s="34"/>
      <x:c r="E4" s="34"/>
      <x:c r="F4" s="34"/>
      <x:c r="G4" s="34"/>
      <x:c r="H4" s="34"/>
      <x:c r="I4" s="34"/>
      <x:c r="J4" s="34"/>
      <x:c r="K4" s="34"/>
      <x:c r="L4" s="34"/>
      <x:c r="M4" s="34"/>
      <x:c r="N4" s="34"/>
      <x:c r="O4" s="34"/>
      <x:c r="P4" s="34"/>
      <x:c r="Q4" s="34"/>
      <x:c r="R4" s="34"/>
      <x:c r="S4" s="34"/>
      <x:c r="T4" s="34"/>
      <x:c r="U4" s="34"/>
      <x:c r="V4" s="34"/>
    </x:row>
    <x:row r="5" ht="18" customHeight="1">
      <x:c r="B5" s="34"/>
      <x:c r="C5" s="34"/>
      <x:c r="D5" s="34"/>
      <x:c r="E5" s="34"/>
      <x:c r="F5" s="34"/>
      <x:c r="G5" s="34"/>
      <x:c r="H5" s="34"/>
      <x:c r="I5" s="34"/>
      <x:c r="J5" s="34"/>
      <x:c r="K5" s="34"/>
      <x:c r="L5" s="34"/>
      <x:c r="M5" s="34"/>
      <x:c r="N5" s="34"/>
      <x:c r="O5" s="34"/>
      <x:c r="P5" s="34"/>
      <x:c r="Q5" s="34"/>
      <x:c r="R5" s="34"/>
      <x:c r="S5" s="34"/>
      <x:c r="T5" s="34"/>
      <x:c r="U5" s="34"/>
      <x:c r="V5" s="34"/>
    </x:row>
    <x:row r="6" ht="18" customHeight="1"/>
    <x:row r="7" ht="18" customHeight="1"/>
    <x:row r="8" ht="18" customHeight="1"/>
    <x:row r="9" ht="18" customHeight="1"/>
    <x:row r="10" ht="18" customHeight="1"/>
    <x:row r="11" ht="18" customHeight="1"/>
    <x:row r="12" ht="18" customHeight="1"/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>
      <x:c r="A56" s="32"/>
    </x:row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>
      <x:c r="B70" s="36" t="s">
        <x:v>739</x:v>
      </x:c>
      <x:c r="C70" s="34"/>
      <x:c r="D70" s="34"/>
      <x:c r="E70" s="34"/>
      <x:c r="F70" s="34"/>
      <x:c r="G70" s="34"/>
      <x:c r="H70" s="34"/>
      <x:c r="I70" s="34"/>
      <x:c r="J70" s="34"/>
      <x:c r="K70" s="34"/>
      <x:c r="L70" s="34"/>
      <x:c r="M70" s="34"/>
      <x:c r="N70" s="34"/>
      <x:c r="O70" s="34"/>
      <x:c r="P70" s="34"/>
      <x:c r="Q70" s="34"/>
      <x:c r="R70" s="34"/>
      <x:c r="S70" s="34"/>
      <x:c r="T70" s="34"/>
      <x:c r="U70" s="34"/>
      <x:c r="V70" s="34"/>
      <x:c r="W70" s="34"/>
      <x:c r="X70" s="34"/>
      <x:c r="Y70" s="34"/>
      <x:c r="Z70" s="34"/>
    </x:row>
    <x:row r="71" ht="18" customHeight="1">
      <x:c r="B71" s="34"/>
      <x:c r="C71" s="34"/>
      <x:c r="D71" s="34"/>
      <x:c r="E71" s="34"/>
      <x:c r="F71" s="34"/>
      <x:c r="G71" s="34"/>
      <x:c r="H71" s="34"/>
      <x:c r="I71" s="34"/>
      <x:c r="J71" s="34"/>
      <x:c r="K71" s="34"/>
      <x:c r="L71" s="34"/>
      <x:c r="M71" s="34"/>
      <x:c r="N71" s="34"/>
      <x:c r="O71" s="34"/>
      <x:c r="P71" s="34"/>
      <x:c r="Q71" s="34"/>
      <x:c r="R71" s="34"/>
      <x:c r="S71" s="34"/>
      <x:c r="T71" s="34"/>
      <x:c r="U71" s="34"/>
      <x:c r="V71" s="34"/>
      <x:c r="W71" s="34"/>
      <x:c r="X71" s="34"/>
      <x:c r="Y71" s="34"/>
      <x:c r="Z71" s="34"/>
    </x:row>
    <x:row r="72" ht="18" customHeight="1">
      <x:c r="B72" s="34"/>
      <x:c r="C72" s="34"/>
      <x:c r="D72" s="34"/>
      <x:c r="E72" s="34"/>
      <x:c r="F72" s="34"/>
      <x:c r="G72" s="34"/>
      <x:c r="H72" s="34"/>
      <x:c r="I72" s="34"/>
      <x:c r="J72" s="34"/>
      <x:c r="K72" s="34"/>
      <x:c r="L72" s="34"/>
      <x:c r="M72" s="34"/>
      <x:c r="N72" s="34"/>
      <x:c r="O72" s="34"/>
      <x:c r="P72" s="34"/>
      <x:c r="Q72" s="34"/>
      <x:c r="R72" s="34"/>
      <x:c r="S72" s="34"/>
      <x:c r="T72" s="34"/>
      <x:c r="U72" s="34"/>
      <x:c r="V72" s="34"/>
      <x:c r="W72" s="34"/>
      <x:c r="X72" s="34"/>
      <x:c r="Y72" s="34"/>
      <x:c r="Z72" s="34"/>
    </x:row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</x:sheetData>
  <x:mergeCells>
    <x:mergeCell ref="B2:V3"/>
    <x:mergeCell ref="B4:V5"/>
    <x:mergeCell ref="B70:Z72"/>
  </x:mergeCells>
  <x:pageMargins left="0.7" right="0.7" top="0.75" bottom="0.75" header="0.3" footer="0.3"/>
  <x:drawing xmlns:r="http://schemas.openxmlformats.org/officeDocument/2006/relationships" r:id="R3a7545d038ec4432"/>
</x:worksheet>
</file>

<file path=xl/worksheets/sheet3.xml><?xml version="1.0" encoding="utf-8"?>
<x:worksheet xmlns:x="http://schemas.openxmlformats.org/spreadsheetml/2006/main">
  <x:sheetFormatPr defaultColWidth="8.875" defaultRowHeight="14.25"/>
  <x:cols>
    <x:col min="1" max="1" width="20" customWidth="1"/>
    <x:col min="2" max="2" width="42" customWidth="1"/>
    <x:col min="3" max="3" width="22" customWidth="1"/>
    <x:col min="4" max="4" width="50" customWidth="1"/>
  </x:cols>
  <x:sheetData>
    <x:row r="1" ht="19.5">
      <x:c r="A1" s="37" t="s">
        <x:v>740</x:v>
      </x:c>
      <x:c r="B1" s="37"/>
      <x:c r="C1" s="37"/>
      <x:c r="D1" s="37"/>
    </x:row>
    <x:row r="3">
      <x:c r="A3" s="1" t="s">
        <x:v>741</x:v>
      </x:c>
      <x:c r="B3" s="2" t="s">
        <x:v>742</x:v>
      </x:c>
      <x:c r="C3" s="2" t="s">
        <x:v>743</x:v>
      </x:c>
      <x:c r="D3" s="3" t="s">
        <x:v>744</x:v>
      </x:c>
    </x:row>
    <x:row r="4" ht="57.95000076293945" customHeight="1">
      <x:c r="A4" s="5" t="s">
        <x:v>745</x:v>
      </x:c>
      <x:c r="B4" s="6" t="s">
        <x:v>746</x:v>
      </x:c>
      <x:c r="C4" s="6" t="s">
        <x:v>747</x:v>
      </x:c>
      <x:c r="D4" s="7" t="s">
        <x:v>748</x:v>
      </x:c>
    </x:row>
    <x:row r="5" ht="57.95000076293945" customHeight="1">
      <x:c r="A5" s="8" t="s">
        <x:v>749</x:v>
      </x:c>
      <x:c r="B5" s="4" t="s">
        <x:v>750</x:v>
      </x:c>
      <x:c r="C5" s="4" t="s">
        <x:v>747</x:v>
      </x:c>
      <x:c r="D5" s="9" t="s">
        <x:v>751</x:v>
      </x:c>
    </x:row>
    <x:row r="6" ht="57.95000076293945" customHeight="1">
      <x:c r="A6" s="8" t="s">
        <x:v>752</x:v>
      </x:c>
      <x:c r="B6" s="4" t="s">
        <x:v>753</x:v>
      </x:c>
      <x:c r="C6" s="4" t="s">
        <x:v>754</x:v>
      </x:c>
      <x:c r="D6" s="9" t="s">
        <x:v>755</x:v>
      </x:c>
    </x:row>
    <x:row r="7" ht="57.95000076293945" customHeight="1">
      <x:c r="A7" s="8" t="s">
        <x:v>756</x:v>
      </x:c>
      <x:c r="B7" s="4" t="s">
        <x:v>757</x:v>
      </x:c>
      <x:c r="C7" s="4" t="s">
        <x:v>758</x:v>
      </x:c>
      <x:c r="D7" s="9" t="s">
        <x:v>759</x:v>
      </x:c>
    </x:row>
    <x:row r="8" ht="57.95000076293945" customHeight="1">
      <x:c r="A8" s="8" t="s">
        <x:v>760</x:v>
      </x:c>
      <x:c r="B8" s="4" t="s">
        <x:v>761</x:v>
      </x:c>
      <x:c r="C8" s="4" t="s">
        <x:v>762</x:v>
      </x:c>
      <x:c r="D8" s="9" t="s">
        <x:v>763</x:v>
      </x:c>
    </x:row>
    <x:row r="9" ht="57.95000076293945" customHeight="1">
      <x:c r="A9" s="8" t="s">
        <x:v>764</x:v>
      </x:c>
      <x:c r="B9" s="4" t="s">
        <x:v>765</x:v>
      </x:c>
      <x:c r="C9" s="4" t="s">
        <x:v>766</x:v>
      </x:c>
      <x:c r="D9" s="9" t="s">
        <x:v>767</x:v>
      </x:c>
    </x:row>
    <x:row r="10" ht="57.95000076293945" customHeight="1">
      <x:c r="A10" s="8" t="s">
        <x:v>768</x:v>
      </x:c>
      <x:c r="B10" s="4" t="s">
        <x:v>769</x:v>
      </x:c>
      <x:c r="C10" s="4" t="s">
        <x:v>770</x:v>
      </x:c>
      <x:c r="D10" s="9" t="s">
        <x:v>771</x:v>
      </x:c>
    </x:row>
    <x:row r="11" ht="57.95000076293945" customHeight="1">
      <x:c r="A11" s="8" t="s">
        <x:v>772</x:v>
      </x:c>
      <x:c r="B11" s="4" t="s">
        <x:v>773</x:v>
      </x:c>
      <x:c r="C11" s="4" t="s">
        <x:v>774</x:v>
      </x:c>
      <x:c r="D11" s="9" t="s">
        <x:v>775</x:v>
      </x:c>
    </x:row>
    <x:row r="12" ht="57.95000076293945" customHeight="1">
      <x:c r="A12" s="8" t="s">
        <x:v>776</x:v>
      </x:c>
      <x:c r="B12" s="4" t="s">
        <x:v>777</x:v>
      </x:c>
      <x:c r="C12" s="4" t="s">
        <x:v>778</x:v>
      </x:c>
      <x:c r="D12" s="9" t="s">
        <x:v>779</x:v>
      </x:c>
    </x:row>
    <x:row r="13" ht="57.95000076293945" customHeight="1">
      <x:c r="A13" s="8" t="s">
        <x:v>780</x:v>
      </x:c>
      <x:c r="B13" s="4" t="s">
        <x:v>781</x:v>
      </x:c>
      <x:c r="C13" s="4" t="s">
        <x:v>782</x:v>
      </x:c>
      <x:c r="D13" s="9" t="s">
        <x:v>783</x:v>
      </x:c>
    </x:row>
    <x:row r="14" ht="57.95000076293945" customHeight="1">
      <x:c r="A14" s="8" t="s">
        <x:v>784</x:v>
      </x:c>
      <x:c r="B14" s="4" t="s">
        <x:v>785</x:v>
      </x:c>
      <x:c r="C14" s="4" t="s">
        <x:v>786</x:v>
      </x:c>
      <x:c r="D14" s="9" t="s">
        <x:v>787</x:v>
      </x:c>
    </x:row>
    <x:row r="15" ht="57.95000076293945" customHeight="1">
      <x:c r="A15" s="8" t="s">
        <x:v>788</x:v>
      </x:c>
      <x:c r="B15" s="4" t="s">
        <x:v>789</x:v>
      </x:c>
      <x:c r="C15" s="4" t="s">
        <x:v>790</x:v>
      </x:c>
      <x:c r="D15" s="9" t="s">
        <x:v>791</x:v>
      </x:c>
    </x:row>
    <x:row r="16" ht="57.95000076293945" customHeight="1">
      <x:c r="A16" s="8" t="s">
        <x:v>792</x:v>
      </x:c>
      <x:c r="B16" s="4" t="s">
        <x:v>793</x:v>
      </x:c>
      <x:c r="C16" s="4" t="s">
        <x:v>794</x:v>
      </x:c>
      <x:c r="D16" s="9" t="s">
        <x:v>795</x:v>
      </x:c>
    </x:row>
    <x:row r="17" ht="57.95000076293945" customHeight="1">
      <x:c r="A17" s="8" t="s">
        <x:v>796</x:v>
      </x:c>
      <x:c r="B17" s="4" t="s">
        <x:v>797</x:v>
      </x:c>
      <x:c r="C17" s="4" t="s">
        <x:v>794</x:v>
      </x:c>
      <x:c r="D17" s="9" t="s">
        <x:v>798</x:v>
      </x:c>
    </x:row>
    <x:row r="18" ht="57.95000076293945" customHeight="1">
      <x:c r="A18" s="10" t="s">
        <x:v>799</x:v>
      </x:c>
      <x:c r="B18" s="11" t="s">
        <x:v>800</x:v>
      </x:c>
      <x:c r="C18" s="11" t="s">
        <x:v>801</x:v>
      </x:c>
      <x:c r="D18" s="12" t="s">
        <x:v>802</x:v>
      </x:c>
    </x:row>
    <x:row r="19">
      <x:c r="A19" s="297" t="str">
        <x:v>스테이지 점수 산정 기준</x:v>
      </x:c>
      <x:c r="B19" s="245" t="str">
        <x:v>플레이 결과에 차이가 생기는 전투·회피·추격·구조·수거·분류·퍼즐·조작 이벤트에만 적용</x:v>
      </x:c>
      <x:c r="C19" s="245" t="str">
        <x:v>구체적 평가 요소</x:v>
      </x:c>
      <x:c r="D19" s="303" t="str">
        <x:v>대화·연출·단순 이동·단순 구매·도덕적 선택은 점수 제외</x:v>
      </x:c>
    </x:row>
    <x:row r="20">
      <x:c r="A20" s="298" t="str">
        <x:v>기준 결산 점수</x:v>
      </x:c>
      <x:c r="B20" s="246" t="str">
        <x:v>콘텐츠 중요도와 난이도에 따라 해당 스테이지가 제공하는 기준 점수</x:v>
      </x:c>
      <x:c r="C20" s="246" t="str">
        <x:v>20·40·60·80·100점</x:v>
      </x:c>
      <x:c r="D20" s="304" t="str">
        <x:v>소형·표준·고난도·주요·보스/최종 단계로 구분</x:v>
      </x:c>
    </x:row>
    <x:row r="21">
      <x:c r="A21" s="298" t="str">
        <x:v>스테이지 등급</x:v>
      </x:c>
      <x:c r="B21" s="246" t="str">
        <x:v>결산 점수 비율에 따라 SS~F 등급으로 환산</x:v>
      </x:c>
      <x:c r="C21" s="246" t="str">
        <x:v>SS 120%, S 100%, A 85%, B 70%, C 55%, D 40%, F 0%</x:v>
      </x:c>
      <x:c r="D21" s="304" t="str">
        <x:v>F는 실패 조건 충족 또는 미완료</x:v>
      </x:c>
    </x:row>
    <x:row r="22">
      <x:c r="A22" s="298" t="str">
        <x:v>스테이지 기준 시간</x:v>
      </x:c>
      <x:c r="B22" s="246" t="str">
        <x:v>기존 예상 소요 시간을 숫자형 시간으로 변환한 기준값</x:v>
      </x:c>
      <x:c r="C22" s="246" t="str">
        <x:v>분·초</x:v>
      </x:c>
      <x:c r="D22" s="304" t="str">
        <x:v>유저 유형별 시간 계산의 원본</x:v>
      </x:c>
    </x:row>
    <x:row r="23">
      <x:c r="A23" s="298" t="str">
        <x:v>유저 유형별 클리어 시간</x:v>
      </x:c>
      <x:c r="B23" s="246" t="str">
        <x:v>기준 시간을 숙련도별 배율로 환산</x:v>
      </x:c>
      <x:c r="C23" s="246" t="str">
        <x:v>라이트 ×2.0, 미들 ×1.4, 헤비 ×1.0</x:v>
      </x:c>
      <x:c r="D23" s="304" t="str">
        <x:v>현재 문서의 사용자 유형별 시간 산정 방식</x:v>
      </x:c>
    </x:row>
    <x:row r="24">
      <x:c r="A24" s="299" t="str">
        <x:v>세부 판정 기준</x:v>
      </x:c>
      <x:c r="B24" s="305" t="str">
        <x:v>등급별 판정과 적용 예시는 별도 시트에서 관리</x:v>
      </x:c>
      <x:c r="C24" s="305" t="str">
        <x:v>‘스테이지 점수 기준’ 시트 참조</x:v>
      </x:c>
      <x:c r="D24" s="306" t="str">
        <x:v>선택의 선악이 아니라 수행 결과를 평가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75" defaultRowHeight="14.25"/>
  <x:cols>
    <x:col min="1" max="1" width="25" customWidth="1"/>
    <x:col min="2" max="2" width="14" customWidth="1"/>
    <x:col min="3" max="3" width="18" customWidth="1"/>
    <x:col min="4" max="4" width="14" customWidth="1"/>
    <x:col min="5" max="5" width="20" customWidth="1"/>
    <x:col min="6" max="10" width="12" customWidth="1"/>
  </x:cols>
  <x:sheetData>
    <x:row r="1" ht="19.5">
      <x:c r="A1" s="37" t="s">
        <x:v>803</x:v>
      </x:c>
      <x:c r="B1" s="37"/>
      <x:c r="C1" s="37"/>
      <x:c r="D1" s="37"/>
      <x:c r="E1" s="37"/>
      <x:c r="F1" s="37"/>
      <x:c r="G1" s="37"/>
      <x:c r="H1" s="37"/>
      <x:c r="I1" s="37"/>
      <x:c r="J1" s="37"/>
    </x:row>
    <x:row r="3" ht="32.099998474121094" customHeight="1">
      <x:c r="A3" s="13" t="s">
        <x:v>804</x:v>
      </x:c>
      <x:c r="B3" s="14">
        <x:v>119</x:v>
      </x:c>
      <x:c r="C3" s="14" t="s">
        <x:v>805</x:v>
      </x:c>
      <x:c r="D3" s="16" t="n">
        <x:f>AVERAGE('밸런스 문서'!C5:C123)</x:f>
        <x:v>2.907563025210084</x:v>
      </x:c>
      <x:c r="E3" s="16" t="s">
        <x:v>806</x:v>
      </x:c>
      <x:c r="F3" s="16" t="n">
        <x:f>AVERAGE('밸런스 문서'!D5:D123)</x:f>
        <x:v>7.285714285714286</x:v>
      </x:c>
      <x:c r="G3" s="14" t="s">
        <x:v>807</x:v>
      </x:c>
      <x:c r="H3" s="14" t="n">
        <x:f>MAX('밸런스 문서'!C5:C123)</x:f>
        <x:v>10</x:v>
      </x:c>
      <x:c r="I3" s="14" t="s">
        <x:v>808</x:v>
      </x:c>
      <x:c r="J3" s="15" t="n">
        <x:f>MAX('밸런스 문서'!D5:D123)</x:f>
        <x:v>10</x:v>
      </x:c>
    </x:row>
    <x:row r="5">
      <x:c r="A5" s="1" t="s">
        <x:v>809</x:v>
      </x:c>
      <x:c r="B5" s="2" t="s">
        <x:v>810</x:v>
      </x:c>
      <x:c r="C5" s="2" t="s">
        <x:v>805</x:v>
      </x:c>
      <x:c r="D5" s="2" t="s">
        <x:v>806</x:v>
      </x:c>
      <x:c r="E5" s="3" t="s">
        <x:v>811</x:v>
      </x:c>
    </x:row>
    <x:row r="6" ht="24.950000762939453" customHeight="1">
      <x:c r="A6" s="17" t="s">
        <x:v>812</x:v>
      </x:c>
      <x:c r="B6" s="18">
        <x:v>25</x:v>
      </x:c>
      <x:c r="C6" s="26" t="n">
        <x:f>AVERAGE('밸런스 문서'!C5:C29)</x:f>
        <x:v>1.76</x:v>
      </x:c>
      <x:c r="D6" s="26" t="n">
        <x:f>AVERAGE('밸런스 문서'!D5:D29)</x:f>
        <x:v>5.48</x:v>
      </x:c>
      <x:c r="E6" s="19">
        <x:v>6</x:v>
      </x:c>
    </x:row>
    <x:row r="7" ht="24.950000762939453" customHeight="1">
      <x:c r="A7" s="20" t="s">
        <x:v>813</x:v>
      </x:c>
      <x:c r="B7" s="21">
        <x:v>23</x:v>
      </x:c>
      <x:c r="C7" s="27" t="n">
        <x:f>AVERAGE('밸런스 문서'!C30:C52)</x:f>
        <x:v>1.7826086956521738</x:v>
      </x:c>
      <x:c r="D7" s="27" t="n">
        <x:f>AVERAGE('밸런스 문서'!D30:D52)</x:f>
        <x:v>6.130434782608695</x:v>
      </x:c>
      <x:c r="E7" s="22">
        <x:v>7</x:v>
      </x:c>
    </x:row>
    <x:row r="8" ht="24.950000762939453" customHeight="1">
      <x:c r="A8" s="20" t="s">
        <x:v>814</x:v>
      </x:c>
      <x:c r="B8" s="21">
        <x:v>26</x:v>
      </x:c>
      <x:c r="C8" s="27" t="n">
        <x:f>AVERAGE('밸런스 문서'!C53:C78)</x:f>
        <x:v>3.1538461538461537</x:v>
      </x:c>
      <x:c r="D8" s="27" t="n">
        <x:f>AVERAGE('밸런스 문서'!D53:D78)</x:f>
        <x:v>7.730769230769231</x:v>
      </x:c>
      <x:c r="E8" s="22">
        <x:v>7</x:v>
      </x:c>
    </x:row>
    <x:row r="9" ht="24.950000762939453" customHeight="1">
      <x:c r="A9" s="20" t="s">
        <x:v>815</x:v>
      </x:c>
      <x:c r="B9" s="21">
        <x:v>26</x:v>
      </x:c>
      <x:c r="C9" s="27" t="n">
        <x:f>AVERAGE('밸런스 문서'!C79:C104)</x:f>
        <x:v>4.346153846153846</x:v>
      </x:c>
      <x:c r="D9" s="27" t="n">
        <x:f>AVERAGE('밸런스 문서'!D79:D104)</x:f>
        <x:v>7.884615384615385</x:v>
      </x:c>
      <x:c r="E9" s="22">
        <x:v>10</x:v>
      </x:c>
    </x:row>
    <x:row r="10" ht="24.950000762939453" customHeight="1">
      <x:c r="A10" s="23" t="s">
        <x:v>816</x:v>
      </x:c>
      <x:c r="B10" s="24">
        <x:v>19</x:v>
      </x:c>
      <x:c r="C10" s="28" t="n">
        <x:f>AVERAGE('밸런스 문서'!C105:C123)</x:f>
        <x:v>3.473684210526316</x:v>
      </x:c>
      <x:c r="D10" s="28" t="n">
        <x:f>AVERAGE('밸런스 문서'!D105:D123)</x:f>
        <x:v>9.631578947368421</x:v>
      </x:c>
      <x:c r="E10" s="25">
        <x:v>10</x:v>
      </x:c>
    </x:row>
    <x:row r="14">
      <x:c r="A14" s="1" t="s">
        <x:v>752</x:v>
      </x:c>
      <x:c r="B14" s="2" t="s">
        <x:v>745</x:v>
      </x:c>
      <x:c r="C14" s="3" t="s">
        <x:v>749</x:v>
      </x:c>
    </x:row>
    <x:row r="15">
      <x:c r="A15">
        <x:v>1</x:v>
      </x:c>
      <x:c r="B15">
        <x:v>1</x:v>
      </x:c>
      <x:c r="C15">
        <x:v>7</x:v>
      </x:c>
    </x:row>
    <x:row r="16">
      <x:c r="A16">
        <x:v>2</x:v>
      </x:c>
      <x:c r="B16">
        <x:v>1</x:v>
      </x:c>
      <x:c r="C16">
        <x:v>4</x:v>
      </x:c>
    </x:row>
    <x:row r="17">
      <x:c r="A17">
        <x:v>3</x:v>
      </x:c>
      <x:c r="B17">
        <x:v>1</x:v>
      </x:c>
      <x:c r="C17">
        <x:v>5</x:v>
      </x:c>
    </x:row>
    <x:row r="18">
      <x:c r="A18">
        <x:v>4</x:v>
      </x:c>
      <x:c r="B18">
        <x:v>1</x:v>
      </x:c>
      <x:c r="C18">
        <x:v>4</x:v>
      </x:c>
    </x:row>
    <x:row r="19">
      <x:c r="A19">
        <x:v>5</x:v>
      </x:c>
      <x:c r="B19">
        <x:v>1</x:v>
      </x:c>
      <x:c r="C19">
        <x:v>4</x:v>
      </x:c>
    </x:row>
    <x:row r="20">
      <x:c r="A20">
        <x:v>6</x:v>
      </x:c>
      <x:c r="B20">
        <x:v>1</x:v>
      </x:c>
      <x:c r="C20">
        <x:v>5</x:v>
      </x:c>
    </x:row>
    <x:row r="21">
      <x:c r="A21">
        <x:v>7</x:v>
      </x:c>
      <x:c r="B21">
        <x:v>2</x:v>
      </x:c>
      <x:c r="C21">
        <x:v>5</x:v>
      </x:c>
    </x:row>
    <x:row r="22">
      <x:c r="A22">
        <x:v>8</x:v>
      </x:c>
      <x:c r="B22">
        <x:v>2</x:v>
      </x:c>
      <x:c r="C22">
        <x:v>6</x:v>
      </x:c>
    </x:row>
    <x:row r="23">
      <x:c r="A23">
        <x:v>9</x:v>
      </x:c>
      <x:c r="B23">
        <x:v>1</x:v>
      </x:c>
      <x:c r="C23">
        <x:v>5</x:v>
      </x:c>
    </x:row>
    <x:row r="24">
      <x:c r="A24">
        <x:v>10</x:v>
      </x:c>
      <x:c r="B24">
        <x:v>1</x:v>
      </x:c>
      <x:c r="C24">
        <x:v>6</x:v>
      </x:c>
    </x:row>
    <x:row r="25">
      <x:c r="A25">
        <x:v>11</x:v>
      </x:c>
      <x:c r="B25">
        <x:v>2</x:v>
      </x:c>
      <x:c r="C25">
        <x:v>5</x:v>
      </x:c>
    </x:row>
    <x:row r="26">
      <x:c r="A26">
        <x:v>12</x:v>
      </x:c>
      <x:c r="B26">
        <x:v>2</x:v>
      </x:c>
      <x:c r="C26">
        <x:v>6</x:v>
      </x:c>
    </x:row>
    <x:row r="27">
      <x:c r="A27">
        <x:v>13</x:v>
      </x:c>
      <x:c r="B27">
        <x:v>1</x:v>
      </x:c>
      <x:c r="C27">
        <x:v>5</x:v>
      </x:c>
    </x:row>
    <x:row r="28">
      <x:c r="A28">
        <x:v>14</x:v>
      </x:c>
      <x:c r="B28">
        <x:v>2</x:v>
      </x:c>
      <x:c r="C28">
        <x:v>5</x:v>
      </x:c>
    </x:row>
    <x:row r="29">
      <x:c r="A29">
        <x:v>15</x:v>
      </x:c>
      <x:c r="B29">
        <x:v>2</x:v>
      </x:c>
      <x:c r="C29">
        <x:v>6</x:v>
      </x:c>
    </x:row>
    <x:row r="30">
      <x:c r="A30">
        <x:v>16</x:v>
      </x:c>
      <x:c r="B30">
        <x:v>1</x:v>
      </x:c>
      <x:c r="C30">
        <x:v>7</x:v>
      </x:c>
    </x:row>
    <x:row r="31">
      <x:c r="A31">
        <x:v>17</x:v>
      </x:c>
      <x:c r="B31">
        <x:v>5</x:v>
      </x:c>
      <x:c r="C31">
        <x:v>8</x:v>
      </x:c>
    </x:row>
    <x:row r="32">
      <x:c r="A32">
        <x:v>18</x:v>
      </x:c>
      <x:c r="B32">
        <x:v>4</x:v>
      </x:c>
      <x:c r="C32">
        <x:v>8</x:v>
      </x:c>
    </x:row>
    <x:row r="33">
      <x:c r="A33">
        <x:v>19</x:v>
      </x:c>
      <x:c r="B33">
        <x:v>2</x:v>
      </x:c>
      <x:c r="C33">
        <x:v>8</x:v>
      </x:c>
    </x:row>
    <x:row r="34">
      <x:c r="A34">
        <x:v>20</x:v>
      </x:c>
      <x:c r="B34">
        <x:v>1</x:v>
      </x:c>
      <x:c r="C34">
        <x:v>6</x:v>
      </x:c>
    </x:row>
    <x:row r="35">
      <x:c r="A35">
        <x:v>21</x:v>
      </x:c>
      <x:c r="B35">
        <x:v>2</x:v>
      </x:c>
      <x:c r="C35">
        <x:v>5</x:v>
      </x:c>
    </x:row>
    <x:row r="36">
      <x:c r="A36">
        <x:v>22</x:v>
      </x:c>
      <x:c r="B36">
        <x:v>2</x:v>
      </x:c>
      <x:c r="C36">
        <x:v>7</x:v>
      </x:c>
    </x:row>
    <x:row r="37">
      <x:c r="A37">
        <x:v>23</x:v>
      </x:c>
      <x:c r="B37">
        <x:v>3</x:v>
      </x:c>
      <x:c r="C37">
        <x:v>8</x:v>
      </x:c>
    </x:row>
    <x:row r="38">
      <x:c r="A38">
        <x:v>24</x:v>
      </x:c>
      <x:c r="B38">
        <x:v>1</x:v>
      </x:c>
      <x:c r="C38">
        <x:v>6</x:v>
      </x:c>
    </x:row>
    <x:row r="39">
      <x:c r="A39">
        <x:v>25</x:v>
      </x:c>
      <x:c r="B39">
        <x:v>2</x:v>
      </x:c>
      <x:c r="C39">
        <x:v>6</x:v>
      </x:c>
    </x:row>
    <x:row r="40">
      <x:c r="A40">
        <x:v>26</x:v>
      </x:c>
      <x:c r="B40">
        <x:v>1</x:v>
      </x:c>
      <x:c r="C40">
        <x:v>7</x:v>
      </x:c>
    </x:row>
    <x:row r="41">
      <x:c r="A41">
        <x:v>27</x:v>
      </x:c>
      <x:c r="B41">
        <x:v>1</x:v>
      </x:c>
      <x:c r="C41">
        <x:v>8</x:v>
      </x:c>
    </x:row>
    <x:row r="42">
      <x:c r="A42">
        <x:v>28</x:v>
      </x:c>
      <x:c r="B42">
        <x:v>1</x:v>
      </x:c>
      <x:c r="C42">
        <x:v>8</x:v>
      </x:c>
    </x:row>
    <x:row r="43">
      <x:c r="A43">
        <x:v>29</x:v>
      </x:c>
      <x:c r="B43">
        <x:v>2</x:v>
      </x:c>
      <x:c r="C43">
        <x:v>6</x:v>
      </x:c>
    </x:row>
    <x:row r="44">
      <x:c r="A44">
        <x:v>30</x:v>
      </x:c>
      <x:c r="B44">
        <x:v>1</x:v>
      </x:c>
      <x:c r="C44">
        <x:v>6</x:v>
      </x:c>
    </x:row>
    <x:row r="45">
      <x:c r="A45">
        <x:v>31</x:v>
      </x:c>
      <x:c r="B45">
        <x:v>2</x:v>
      </x:c>
      <x:c r="C45">
        <x:v>7</x:v>
      </x:c>
    </x:row>
    <x:row r="46">
      <x:c r="A46">
        <x:v>32</x:v>
      </x:c>
      <x:c r="B46">
        <x:v>2</x:v>
      </x:c>
      <x:c r="C46">
        <x:v>7</x:v>
      </x:c>
    </x:row>
    <x:row r="47">
      <x:c r="A47">
        <x:v>33</x:v>
      </x:c>
      <x:c r="B47">
        <x:v>3</x:v>
      </x:c>
      <x:c r="C47">
        <x:v>7</x:v>
      </x:c>
    </x:row>
    <x:row r="48">
      <x:c r="A48">
        <x:v>34</x:v>
      </x:c>
      <x:c r="B48">
        <x:v>1</x:v>
      </x:c>
      <x:c r="C48">
        <x:v>8</x:v>
      </x:c>
    </x:row>
    <x:row r="49">
      <x:c r="A49">
        <x:v>35</x:v>
      </x:c>
      <x:c r="B49">
        <x:v>2</x:v>
      </x:c>
      <x:c r="C49">
        <x:v>8</x:v>
      </x:c>
    </x:row>
    <x:row r="50">
      <x:c r="A50">
        <x:v>36</x:v>
      </x:c>
      <x:c r="B50">
        <x:v>2</x:v>
      </x:c>
      <x:c r="C50">
        <x:v>7</x:v>
      </x:c>
    </x:row>
    <x:row r="51">
      <x:c r="A51">
        <x:v>37</x:v>
      </x:c>
      <x:c r="B51">
        <x:v>3</x:v>
      </x:c>
      <x:c r="C51">
        <x:v>8</x:v>
      </x:c>
    </x:row>
    <x:row r="52">
      <x:c r="A52">
        <x:v>38</x:v>
      </x:c>
      <x:c r="B52">
        <x:v>1</x:v>
      </x:c>
      <x:c r="C52">
        <x:v>8</x:v>
      </x:c>
    </x:row>
    <x:row r="53">
      <x:c r="A53">
        <x:v>39</x:v>
      </x:c>
      <x:c r="B53">
        <x:v>2</x:v>
      </x:c>
      <x:c r="C53">
        <x:v>6</x:v>
      </x:c>
    </x:row>
    <x:row r="54">
      <x:c r="A54">
        <x:v>40</x:v>
      </x:c>
      <x:c r="B54">
        <x:v>2</x:v>
      </x:c>
      <x:c r="C54">
        <x:v>6</x:v>
      </x:c>
    </x:row>
    <x:row r="55">
      <x:c r="A55">
        <x:v>41</x:v>
      </x:c>
      <x:c r="B55">
        <x:v>2</x:v>
      </x:c>
      <x:c r="C55">
        <x:v>7</x:v>
      </x:c>
    </x:row>
    <x:row r="56">
      <x:c r="A56">
        <x:v>42</x:v>
      </x:c>
      <x:c r="B56">
        <x:v>3</x:v>
      </x:c>
      <x:c r="C56">
        <x:v>8</x:v>
      </x:c>
    </x:row>
    <x:row r="57">
      <x:c r="A57">
        <x:v>43</x:v>
      </x:c>
      <x:c r="B57">
        <x:v>3</x:v>
      </x:c>
      <x:c r="C57">
        <x:v>8</x:v>
      </x:c>
    </x:row>
    <x:row r="58">
      <x:c r="A58">
        <x:v>44</x:v>
      </x:c>
      <x:c r="B58">
        <x:v>2</x:v>
      </x:c>
      <x:c r="C58">
        <x:v>8</x:v>
      </x:c>
    </x:row>
    <x:row r="59">
      <x:c r="A59">
        <x:v>45</x:v>
      </x:c>
      <x:c r="B59">
        <x:v>1</x:v>
      </x:c>
      <x:c r="C59">
        <x:v>9</x:v>
      </x:c>
    </x:row>
    <x:row r="60">
      <x:c r="A60">
        <x:v>46</x:v>
      </x:c>
      <x:c r="B60">
        <x:v>2</x:v>
      </x:c>
      <x:c r="C60">
        <x:v>9</x:v>
      </x:c>
    </x:row>
    <x:row r="61">
      <x:c r="A61">
        <x:v>47</x:v>
      </x:c>
      <x:c r="B61">
        <x:v>2</x:v>
      </x:c>
      <x:c r="C61">
        <x:v>6</x:v>
      </x:c>
    </x:row>
    <x:row r="62">
      <x:c r="A62">
        <x:v>48</x:v>
      </x:c>
      <x:c r="B62">
        <x:v>1</x:v>
      </x:c>
      <x:c r="C62">
        <x:v>6</x:v>
      </x:c>
    </x:row>
    <x:row r="63">
      <x:c r="A63">
        <x:v>49</x:v>
      </x:c>
      <x:c r="B63">
        <x:v>1</x:v>
      </x:c>
      <x:c r="C63">
        <x:v>8</x:v>
      </x:c>
    </x:row>
    <x:row r="64">
      <x:c r="A64">
        <x:v>50</x:v>
      </x:c>
      <x:c r="B64">
        <x:v>2</x:v>
      </x:c>
      <x:c r="C64">
        <x:v>7</x:v>
      </x:c>
    </x:row>
    <x:row r="65">
      <x:c r="A65">
        <x:v>51</x:v>
      </x:c>
      <x:c r="B65">
        <x:v>3</x:v>
      </x:c>
      <x:c r="C65">
        <x:v>7</x:v>
      </x:c>
    </x:row>
    <x:row r="66">
      <x:c r="A66">
        <x:v>52</x:v>
      </x:c>
      <x:c r="B66">
        <x:v>4</x:v>
      </x:c>
      <x:c r="C66">
        <x:v>9</x:v>
      </x:c>
    </x:row>
    <x:row r="67">
      <x:c r="A67">
        <x:v>53</x:v>
      </x:c>
      <x:c r="B67">
        <x:v>4</x:v>
      </x:c>
      <x:c r="C67">
        <x:v>8</x:v>
      </x:c>
    </x:row>
    <x:row r="68">
      <x:c r="A68">
        <x:v>54</x:v>
      </x:c>
      <x:c r="B68">
        <x:v>5</x:v>
      </x:c>
      <x:c r="C68">
        <x:v>9</x:v>
      </x:c>
    </x:row>
    <x:row r="69">
      <x:c r="A69">
        <x:v>55</x:v>
      </x:c>
      <x:c r="B69">
        <x:v>5</x:v>
      </x:c>
      <x:c r="C69">
        <x:v>9</x:v>
      </x:c>
    </x:row>
    <x:row r="70">
      <x:c r="A70">
        <x:v>56</x:v>
      </x:c>
      <x:c r="B70">
        <x:v>4</x:v>
      </x:c>
      <x:c r="C70">
        <x:v>8</x:v>
      </x:c>
    </x:row>
    <x:row r="71">
      <x:c r="A71">
        <x:v>57</x:v>
      </x:c>
      <x:c r="B71">
        <x:v>6</x:v>
      </x:c>
      <x:c r="C71">
        <x:v>9</x:v>
      </x:c>
    </x:row>
    <x:row r="72">
      <x:c r="A72">
        <x:v>58</x:v>
      </x:c>
      <x:c r="B72">
        <x:v>2</x:v>
      </x:c>
      <x:c r="C72">
        <x:v>8</x:v>
      </x:c>
    </x:row>
    <x:row r="73">
      <x:c r="A73">
        <x:v>59</x:v>
      </x:c>
      <x:c r="B73">
        <x:v>3</x:v>
      </x:c>
      <x:c r="C73">
        <x:v>8</x:v>
      </x:c>
    </x:row>
    <x:row r="74">
      <x:c r="A74">
        <x:v>60</x:v>
      </x:c>
      <x:c r="B74">
        <x:v>1</x:v>
      </x:c>
      <x:c r="C74">
        <x:v>7</x:v>
      </x:c>
    </x:row>
    <x:row r="75">
      <x:c r="A75">
        <x:v>61</x:v>
      </x:c>
      <x:c r="B75">
        <x:v>2</x:v>
      </x:c>
      <x:c r="C75">
        <x:v>8</x:v>
      </x:c>
    </x:row>
    <x:row r="76">
      <x:c r="A76">
        <x:v>62</x:v>
      </x:c>
      <x:c r="B76">
        <x:v>2</x:v>
      </x:c>
      <x:c r="C76">
        <x:v>9</x:v>
      </x:c>
    </x:row>
    <x:row r="77">
      <x:c r="A77">
        <x:v>63</x:v>
      </x:c>
      <x:c r="B77">
        <x:v>1</x:v>
      </x:c>
      <x:c r="C77">
        <x:v>9</x:v>
      </x:c>
    </x:row>
    <x:row r="78">
      <x:c r="A78">
        <x:v>64</x:v>
      </x:c>
      <x:c r="B78">
        <x:v>1</x:v>
      </x:c>
      <x:c r="C78">
        <x:v>8</x:v>
      </x:c>
    </x:row>
    <x:row r="79">
      <x:c r="A79">
        <x:v>65</x:v>
      </x:c>
      <x:c r="B79">
        <x:v>1</x:v>
      </x:c>
      <x:c r="C79">
        <x:v>8</x:v>
      </x:c>
    </x:row>
    <x:row r="80">
      <x:c r="A80">
        <x:v>66</x:v>
      </x:c>
      <x:c r="B80">
        <x:v>4</x:v>
      </x:c>
      <x:c r="C80">
        <x:v>8</x:v>
      </x:c>
    </x:row>
    <x:row r="81">
      <x:c r="A81">
        <x:v>67</x:v>
      </x:c>
      <x:c r="B81">
        <x:v>4</x:v>
      </x:c>
      <x:c r="C81">
        <x:v>8</x:v>
      </x:c>
    </x:row>
    <x:row r="82">
      <x:c r="A82">
        <x:v>68</x:v>
      </x:c>
      <x:c r="B82">
        <x:v>6</x:v>
      </x:c>
      <x:c r="C82">
        <x:v>8</x:v>
      </x:c>
    </x:row>
    <x:row r="83">
      <x:c r="A83">
        <x:v>69</x:v>
      </x:c>
      <x:c r="B83">
        <x:v>5</x:v>
      </x:c>
      <x:c r="C83">
        <x:v>9</x:v>
      </x:c>
    </x:row>
    <x:row r="84">
      <x:c r="A84">
        <x:v>70</x:v>
      </x:c>
      <x:c r="B84">
        <x:v>6</x:v>
      </x:c>
      <x:c r="C84">
        <x:v>9</x:v>
      </x:c>
    </x:row>
    <x:row r="85">
      <x:c r="A85">
        <x:v>71</x:v>
      </x:c>
      <x:c r="B85">
        <x:v>1</x:v>
      </x:c>
      <x:c r="C85">
        <x:v>7</x:v>
      </x:c>
    </x:row>
    <x:row r="86">
      <x:c r="A86">
        <x:v>72</x:v>
      </x:c>
      <x:c r="B86">
        <x:v>4</x:v>
      </x:c>
      <x:c r="C86">
        <x:v>7</x:v>
      </x:c>
    </x:row>
    <x:row r="87">
      <x:c r="A87">
        <x:v>73</x:v>
      </x:c>
      <x:c r="B87">
        <x:v>1</x:v>
      </x:c>
      <x:c r="C87">
        <x:v>8</x:v>
      </x:c>
    </x:row>
    <x:row r="88">
      <x:c r="A88">
        <x:v>74</x:v>
      </x:c>
      <x:c r="B88">
        <x:v>3</x:v>
      </x:c>
      <x:c r="C88">
        <x:v>8</x:v>
      </x:c>
    </x:row>
    <x:row r="89">
      <x:c r="A89">
        <x:v>75</x:v>
      </x:c>
      <x:c r="B89">
        <x:v>1</x:v>
      </x:c>
      <x:c r="C89">
        <x:v>8</x:v>
      </x:c>
    </x:row>
    <x:row r="90">
      <x:c r="A90">
        <x:v>76</x:v>
      </x:c>
      <x:c r="B90">
        <x:v>2</x:v>
      </x:c>
      <x:c r="C90">
        <x:v>7</x:v>
      </x:c>
    </x:row>
    <x:row r="91">
      <x:c r="A91">
        <x:v>77</x:v>
      </x:c>
      <x:c r="B91">
        <x:v>2</x:v>
      </x:c>
      <x:c r="C91">
        <x:v>8</x:v>
      </x:c>
    </x:row>
    <x:row r="92">
      <x:c r="A92">
        <x:v>78</x:v>
      </x:c>
      <x:c r="B92">
        <x:v>3</x:v>
      </x:c>
      <x:c r="C92">
        <x:v>8</x:v>
      </x:c>
    </x:row>
    <x:row r="93">
      <x:c r="A93">
        <x:v>79</x:v>
      </x:c>
      <x:c r="B93">
        <x:v>4</x:v>
      </x:c>
      <x:c r="C93">
        <x:v>8</x:v>
      </x:c>
    </x:row>
    <x:row r="94">
      <x:c r="A94">
        <x:v>80</x:v>
      </x:c>
      <x:c r="B94">
        <x:v>4</x:v>
      </x:c>
      <x:c r="C94">
        <x:v>8</x:v>
      </x:c>
    </x:row>
    <x:row r="95">
      <x:c r="A95">
        <x:v>81</x:v>
      </x:c>
      <x:c r="B95">
        <x:v>6</x:v>
      </x:c>
      <x:c r="C95">
        <x:v>9</x:v>
      </x:c>
    </x:row>
    <x:row r="96">
      <x:c r="A96">
        <x:v>82</x:v>
      </x:c>
      <x:c r="B96">
        <x:v>3</x:v>
      </x:c>
      <x:c r="C96">
        <x:v>9</x:v>
      </x:c>
    </x:row>
    <x:row r="97">
      <x:c r="A97">
        <x:v>83</x:v>
      </x:c>
      <x:c r="B97">
        <x:v>5</x:v>
      </x:c>
      <x:c r="C97">
        <x:v>8</x:v>
      </x:c>
    </x:row>
    <x:row r="98">
      <x:c r="A98">
        <x:v>84</x:v>
      </x:c>
      <x:c r="B98">
        <x:v>4</x:v>
      </x:c>
      <x:c r="C98">
        <x:v>8</x:v>
      </x:c>
    </x:row>
    <x:row r="99">
      <x:c r="A99">
        <x:v>85</x:v>
      </x:c>
      <x:c r="B99">
        <x:v>3</x:v>
      </x:c>
      <x:c r="C99">
        <x:v>9</x:v>
      </x:c>
    </x:row>
    <x:row r="100">
      <x:c r="A100">
        <x:v>86</x:v>
      </x:c>
      <x:c r="B100">
        <x:v>6</x:v>
      </x:c>
      <x:c r="C100">
        <x:v>9</x:v>
      </x:c>
    </x:row>
    <x:row r="101">
      <x:c r="A101">
        <x:v>87</x:v>
      </x:c>
      <x:c r="B101">
        <x:v>5</x:v>
      </x:c>
      <x:c r="C101">
        <x:v>9</x:v>
      </x:c>
    </x:row>
    <x:row r="102">
      <x:c r="A102">
        <x:v>88</x:v>
      </x:c>
      <x:c r="B102">
        <x:v>5</x:v>
      </x:c>
      <x:c r="C102">
        <x:v>9</x:v>
      </x:c>
    </x:row>
    <x:row r="103">
      <x:c r="A103">
        <x:v>89</x:v>
      </x:c>
      <x:c r="B103">
        <x:v>5</x:v>
      </x:c>
      <x:c r="C103">
        <x:v>9</x:v>
      </x:c>
    </x:row>
    <x:row r="104">
      <x:c r="A104">
        <x:v>90</x:v>
      </x:c>
      <x:c r="B104">
        <x:v>5</x:v>
      </x:c>
      <x:c r="C104">
        <x:v>9</x:v>
      </x:c>
    </x:row>
    <x:row r="105">
      <x:c r="A105">
        <x:v>91</x:v>
      </x:c>
      <x:c r="B105">
        <x:v>3</x:v>
      </x:c>
      <x:c r="C105">
        <x:v>9</x:v>
      </x:c>
    </x:row>
    <x:row r="106">
      <x:c r="A106">
        <x:v>92</x:v>
      </x:c>
      <x:c r="B106">
        <x:v>8</x:v>
      </x:c>
      <x:c r="C106">
        <x:v>10</x:v>
      </x:c>
    </x:row>
    <x:row r="107">
      <x:c r="A107">
        <x:v>93</x:v>
      </x:c>
      <x:c r="B107">
        <x:v>8</x:v>
      </x:c>
      <x:c r="C107">
        <x:v>10</x:v>
      </x:c>
    </x:row>
    <x:row r="108">
      <x:c r="A108">
        <x:v>94</x:v>
      </x:c>
      <x:c r="B108">
        <x:v>9</x:v>
      </x:c>
      <x:c r="C108">
        <x:v>10</x:v>
      </x:c>
    </x:row>
    <x:row r="109">
      <x:c r="A109">
        <x:v>95</x:v>
      </x:c>
      <x:c r="B109">
        <x:v>8</x:v>
      </x:c>
      <x:c r="C109">
        <x:v>10</x:v>
      </x:c>
    </x:row>
    <x:row r="110">
      <x:c r="A110">
        <x:v>96</x:v>
      </x:c>
      <x:c r="B110">
        <x:v>7</x:v>
      </x:c>
      <x:c r="C110">
        <x:v>10</x:v>
      </x:c>
    </x:row>
    <x:row r="111">
      <x:c r="A111">
        <x:v>97</x:v>
      </x:c>
      <x:c r="B111">
        <x:v>1</x:v>
      </x:c>
      <x:c r="C111">
        <x:v>10</x:v>
      </x:c>
    </x:row>
    <x:row r="112">
      <x:c r="A112">
        <x:v>98</x:v>
      </x:c>
      <x:c r="B112">
        <x:v>2</x:v>
      </x:c>
      <x:c r="C112">
        <x:v>10</x:v>
      </x:c>
    </x:row>
    <x:row r="113">
      <x:c r="A113">
        <x:v>99</x:v>
      </x:c>
      <x:c r="B113">
        <x:v>6</x:v>
      </x:c>
      <x:c r="C113">
        <x:v>9</x:v>
      </x:c>
    </x:row>
    <x:row r="114">
      <x:c r="A114">
        <x:v>100</x:v>
      </x:c>
      <x:c r="B114">
        <x:v>1</x:v>
      </x:c>
      <x:c r="C114">
        <x:v>8</x:v>
      </x:c>
    </x:row>
    <x:row r="115">
      <x:c r="A115">
        <x:v>101</x:v>
      </x:c>
      <x:c r="B115">
        <x:v>1</x:v>
      </x:c>
      <x:c r="C115">
        <x:v>8</x:v>
      </x:c>
    </x:row>
    <x:row r="116">
      <x:c r="A116">
        <x:v>102</x:v>
      </x:c>
      <x:c r="B116">
        <x:v>1</x:v>
      </x:c>
      <x:c r="C116">
        <x:v>9</x:v>
      </x:c>
    </x:row>
    <x:row r="117">
      <x:c r="A117">
        <x:v>103</x:v>
      </x:c>
      <x:c r="B117">
        <x:v>5</x:v>
      </x:c>
      <x:c r="C117">
        <x:v>9</x:v>
      </x:c>
    </x:row>
    <x:row r="118">
      <x:c r="A118">
        <x:v>104</x:v>
      </x:c>
      <x:c r="B118">
        <x:v>6</x:v>
      </x:c>
      <x:c r="C118">
        <x:v>10</x:v>
      </x:c>
    </x:row>
    <x:row r="119">
      <x:c r="A119">
        <x:v>105</x:v>
      </x:c>
      <x:c r="B119">
        <x:v>5</x:v>
      </x:c>
      <x:c r="C119">
        <x:v>9</x:v>
      </x:c>
    </x:row>
    <x:row r="120">
      <x:c r="A120">
        <x:v>106</x:v>
      </x:c>
      <x:c r="B120">
        <x:v>2</x:v>
      </x:c>
      <x:c r="C120">
        <x:v>10</x:v>
      </x:c>
    </x:row>
    <x:row r="121">
      <x:c r="A121">
        <x:v>107</x:v>
      </x:c>
      <x:c r="B121">
        <x:v>7</x:v>
      </x:c>
      <x:c r="C121">
        <x:v>10</x:v>
      </x:c>
    </x:row>
    <x:row r="122">
      <x:c r="A122">
        <x:v>108</x:v>
      </x:c>
      <x:c r="B122">
        <x:v>9</x:v>
      </x:c>
      <x:c r="C122">
        <x:v>10</x:v>
      </x:c>
    </x:row>
    <x:row r="123">
      <x:c r="A123">
        <x:v>109</x:v>
      </x:c>
      <x:c r="B123">
        <x:v>6</x:v>
      </x:c>
      <x:c r="C123">
        <x:v>10</x:v>
      </x:c>
    </x:row>
    <x:row r="124">
      <x:c r="A124">
        <x:v>110</x:v>
      </x:c>
      <x:c r="B124">
        <x:v>1</x:v>
      </x:c>
      <x:c r="C124">
        <x:v>10</x:v>
      </x:c>
    </x:row>
    <x:row r="125">
      <x:c r="A125">
        <x:v>111</x:v>
      </x:c>
      <x:c r="B125">
        <x:v>1</x:v>
      </x:c>
      <x:c r="C125">
        <x:v>10</x:v>
      </x:c>
    </x:row>
    <x:row r="126">
      <x:c r="A126">
        <x:v>112</x:v>
      </x:c>
      <x:c r="B126">
        <x:v>1</x:v>
      </x:c>
      <x:c r="C126">
        <x:v>10</x:v>
      </x:c>
    </x:row>
    <x:row r="127">
      <x:c r="A127">
        <x:v>113</x:v>
      </x:c>
      <x:c r="B127">
        <x:v>4</x:v>
      </x:c>
      <x:c r="C127">
        <x:v>10</x:v>
      </x:c>
    </x:row>
    <x:row r="128">
      <x:c r="A128">
        <x:v>114</x:v>
      </x:c>
      <x:c r="B128">
        <x:v>7</x:v>
      </x:c>
      <x:c r="C128">
        <x:v>10</x:v>
      </x:c>
    </x:row>
    <x:row r="129">
      <x:c r="A129">
        <x:v>115</x:v>
      </x:c>
      <x:c r="B129">
        <x:v>6</x:v>
      </x:c>
      <x:c r="C129">
        <x:v>10</x:v>
      </x:c>
    </x:row>
    <x:row r="130">
      <x:c r="A130">
        <x:v>116</x:v>
      </x:c>
      <x:c r="B130">
        <x:v>1</x:v>
      </x:c>
      <x:c r="C130">
        <x:v>10</x:v>
      </x:c>
    </x:row>
    <x:row r="131">
      <x:c r="A131">
        <x:v>117</x:v>
      </x:c>
      <x:c r="B131">
        <x:v>1</x:v>
      </x:c>
      <x:c r="C131">
        <x:v>10</x:v>
      </x:c>
    </x:row>
    <x:row r="132">
      <x:c r="A132">
        <x:v>118</x:v>
      </x:c>
      <x:c r="B132">
        <x:v>1</x:v>
      </x:c>
      <x:c r="C132">
        <x:v>9</x:v>
      </x:c>
    </x:row>
    <x:row r="133">
      <x:c r="A133">
        <x:v>119</x:v>
      </x:c>
      <x:c r="B133">
        <x:v>1</x:v>
      </x:c>
      <x:c r="C133">
        <x:v>9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874a9191969246c4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58" hidden="0" customWidth="1"/>
    <x:col min="3" max="3" width="38" hidden="0" customWidth="1"/>
    <x:col min="4" max="4" width="48" hidden="0" customWidth="1"/>
  </x:cols>
  <x:sheetData>
    <x:row r="1" ht="30" customHeight="1">
      <x:c r="A1" s="232" t="str">
        <x:v>스테이지 점수 및 등급 산정 기준</x:v>
      </x:c>
      <x:c r="B1" s="161"/>
      <x:c r="C1" s="161"/>
      <x:c r="D1" s="161"/>
      <x:c r="E1" s="161"/>
      <x:c r="F1" s="162"/>
    </x:row>
    <x:row r="3">
      <x:c r="A3" s="232" t="str">
        <x:v>구분</x:v>
      </x:c>
      <x:c r="B3" s="162" t="str">
        <x:v>적용 기준</x:v>
      </x:c>
    </x:row>
    <x:row r="4">
      <x:c r="A4" s="241" t="str">
        <x:v>점수 적용 대상</x:v>
      </x:c>
      <x:c r="B4" s="245" t="str">
        <x:v>전투·회피·추격·구조/호위·수거/분류·퍼즐/탐색·조작 이벤트처럼 플레이 결과에 차이가 생기는 콘텐츠</x:v>
      </x:c>
    </x:row>
    <x:row r="5">
      <x:c r="A5" s="242" t="str">
        <x:v>점수 제외 대상</x:v>
      </x:c>
      <x:c r="B5" s="246" t="str">
        <x:v>대화·연출 감상·단순 이동·단순 구매·도덕적 선택처럼 숙련도보다 서사 진행이 중심인 콘텐츠</x:v>
      </x:c>
    </x:row>
    <x:row r="6">
      <x:c r="A6" s="242" t="str">
        <x:v>공통 평가 요소</x:v>
      </x:c>
      <x:c r="B6" s="246" t="str">
        <x:v>핵심 목표 달성, 정확도/피격, 재시도·힌트 사용, 기준 시간 대비 클리어 시간</x:v>
      </x:c>
    </x:row>
    <x:row r="7">
      <x:c r="A7" s="242" t="str">
        <x:v>결산 점수 단계</x:v>
      </x:c>
      <x:c r="B7" s="246" t="str">
        <x:v>20점(소형)·40점(표준)·60점(고난도)·80점(주요)·100점(보스/최종)</x:v>
      </x:c>
    </x:row>
    <x:row r="8">
      <x:c r="A8" s="242" t="str">
        <x:v>서사 적용 원칙</x:v>
      </x:c>
      <x:c r="B8" s="246" t="str">
        <x:v>선택의 선악이나 ‘착함’을 점수화하지 않고, 동일한 선택 안에서의 수행 결과만 평가</x:v>
      </x:c>
    </x:row>
    <x:row r="10">
      <x:c r="A10" s="232" t="str">
        <x:v>등급</x:v>
      </x:c>
      <x:c r="B10" s="161" t="str">
        <x:v>결산 점수 비율</x:v>
      </x:c>
      <x:c r="C10" s="161" t="str">
        <x:v>권장 판정 기준</x:v>
      </x:c>
      <x:c r="D10" s="162" t="str">
        <x:v>우리 게임 적용 예시</x:v>
      </x:c>
    </x:row>
    <x:row r="11">
      <x:c r="A11" s="205" t="str">
        <x:v>SS</x:v>
      </x:c>
      <x:c r="B11" s="205" t="str">
        <x:v>120%</x:v>
      </x:c>
      <x:c r="C11" s="245" t="str">
        <x:v>추가 목표 달성 + 무실패 + 기준 시간의 80% 이내</x:v>
      </x:c>
      <x:c r="D11" s="245" t="str">
        <x:v>무피격 보스전, 수거/분류 100% 정확도, 구조 대상 무피해</x:v>
      </x:c>
    </x:row>
    <x:row r="12">
      <x:c r="A12" s="206" t="str">
        <x:v>S</x:v>
      </x:c>
      <x:c r="B12" s="206" t="str">
        <x:v>100%</x:v>
      </x:c>
      <x:c r="C12" s="246" t="str">
        <x:v>필수 목표 완전 달성 + 무실패 + 기준 시간 이내</x:v>
      </x:c>
      <x:c r="D12" s="246" t="str">
        <x:v>재시도 없이 안정적으로 클리어</x:v>
      </x:c>
    </x:row>
    <x:row r="13">
      <x:c r="A13" s="206" t="str">
        <x:v>A</x:v>
      </x:c>
      <x:c r="B13" s="206" t="str">
        <x:v>85%</x:v>
      </x:c>
      <x:c r="C13" s="246" t="str">
        <x:v>경미한 실수 1~2회 또는 기준 시간의 120% 이내</x:v>
      </x:c>
      <x:c r="D13" s="246" t="str">
        <x:v>소수 피격·오답이 있으나 보정 없이 클리어</x:v>
      </x:c>
    </x:row>
    <x:row r="14">
      <x:c r="A14" s="206" t="str">
        <x:v>B</x:v>
      </x:c>
      <x:c r="B14" s="206" t="str">
        <x:v>70%</x:v>
      </x:c>
      <x:c r="C14" s="246" t="str">
        <x:v>실수·재시도 3회 이내 또는 기준 시간의 150% 이내</x:v>
      </x:c>
      <x:c r="D14" s="246" t="str">
        <x:v>피격·오분류가 반복되지만 목표는 안정적으로 달성</x:v>
      </x:c>
    </x:row>
    <x:row r="15">
      <x:c r="A15" s="206" t="str">
        <x:v>C</x:v>
      </x:c>
      <x:c r="B15" s="206" t="str">
        <x:v>55%</x:v>
      </x:c>
      <x:c r="C15" s="246" t="str">
        <x:v>다수 실수·힌트 사용이 있으나 최종 목표 달성</x:v>
      </x:c>
      <x:c r="D15" s="246" t="str">
        <x:v>체크포인트 재시작 후 클리어</x:v>
      </x:c>
    </x:row>
    <x:row r="16">
      <x:c r="A16" s="206" t="str">
        <x:v>D</x:v>
      </x:c>
      <x:c r="B16" s="206" t="str">
        <x:v>40%</x:v>
      </x:c>
      <x:c r="C16" s="246" t="str">
        <x:v>반복 재시도·강한 보정 사용 후 목표 달성</x:v>
      </x:c>
      <x:c r="D16" s="246" t="str">
        <x:v>자동 힌트·속도 완화·체크포인트 보정으로 클리어</x:v>
      </x:c>
    </x:row>
    <x:row r="17">
      <x:c r="A17" s="206" t="str">
        <x:v>F</x:v>
      </x:c>
      <x:c r="B17" s="206" t="str">
        <x:v>0%</x:v>
      </x:c>
      <x:c r="C17" s="246" t="str">
        <x:v>실패 조건 충족 또는 스테이지 미완료</x:v>
      </x:c>
      <x:c r="D17" s="246" t="str">
        <x:v>체력 0, 구조 대상 사망, 제한시간 종료, 필수 목표 미달</x:v>
      </x:c>
    </x:row>
    <x:row r="19">
      <x:c r="A19" s="232" t="str">
        <x:v>유저 유형</x:v>
      </x:c>
      <x:c r="B19" s="162" t="str">
        <x:v>클리어 시간 산정 방식</x:v>
      </x:c>
    </x:row>
    <x:row r="20">
      <x:c r="A20" s="241" t="str">
        <x:v>기준 시간</x:v>
      </x:c>
      <x:c r="B20" s="245" t="str">
        <x:v>기존 ‘예상 소요 시간’을 숫자형 시간으로 변환한 값</x:v>
      </x:c>
    </x:row>
    <x:row r="21">
      <x:c r="A21" s="242" t="str">
        <x:v>라이트 유저</x:v>
      </x:c>
      <x:c r="B21" s="246" t="str">
        <x:v>기준 시간 × 2.0</x:v>
      </x:c>
    </x:row>
    <x:row r="22">
      <x:c r="A22" s="242" t="str">
        <x:v>미들 유저</x:v>
      </x:c>
      <x:c r="B22" s="246" t="str">
        <x:v>기준 시간 × 1.4</x:v>
      </x:c>
    </x:row>
    <x:row r="23">
      <x:c r="A23" s="242" t="str">
        <x:v>헤비 유저</x:v>
      </x:c>
      <x:c r="B23" s="246" t="str">
        <x:v>기준 시간 × 1.0</x:v>
      </x:c>
    </x:row>
  </x:sheetData>
  <x:mergeCells>
    <x:mergeCell ref="A1:F1"/>
  </x:mergeCells>
  <x:pageMargins left="0.7" right="0.7" top="0.75" bottom="0.75" header="0.3" footer="0.3"/>
</x:worksheet>
</file>
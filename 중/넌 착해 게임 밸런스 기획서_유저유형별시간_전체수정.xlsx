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e2009a978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밸런스 문서" sheetId="1" r:id="Rc401434d0c294fe4"/>
    <x:sheet xmlns:r="http://schemas.openxmlformats.org/officeDocument/2006/relationships" name="밸런스 팩터" sheetId="2" r:id="R31fa91aadb6e4b81"/>
    <x:sheet xmlns:r="http://schemas.openxmlformats.org/officeDocument/2006/relationships" name="작성 기준" sheetId="3" r:id="R002d7d947d8b4b8c"/>
    <x:sheet xmlns:r="http://schemas.openxmlformats.org/officeDocument/2006/relationships" name="밸런스 곡선" sheetId="4" r:id="Rf6ed73e2e1894aa5"/>
    <x:sheet xmlns:r="http://schemas.openxmlformats.org/officeDocument/2006/relationships" name="보스 설계 요약" sheetId="5" r:id="Rf9d992c1d3e4446e"/>
  </x:sheets>
</x:workbook>
</file>

<file path=xl/sharedStrings.xml><?xml version="1.0" encoding="utf-8"?>
<x:sst xmlns:x="http://schemas.openxmlformats.org/spreadsheetml/2006/main">
  <x:si>
    <x:t xml:space="preserve">a</x:t>
  </x:si>
  <x:si>
    <x:t xml:space="preserve">b</x:t>
  </x:si>
  <x:si>
    <x:t xml:space="preserve">경험치 그래프</x:t>
  </x:si>
  <x:si>
    <x:t xml:space="preserve">챕터</x:t>
  </x:si>
  <x:si>
    <x:t xml:space="preserve">콘텐츠 진행 순서</x:t>
  </x:si>
  <x:si>
    <x:t xml:space="preserve">플레이 난이도</x:t>
  </x:si>
  <x:si>
    <x:t xml:space="preserve">플레이 흥미도</x:t>
  </x:si>
  <x:si>
    <x:t xml:space="preserve">플레이 목표</x:t>
  </x:si>
  <x:si>
    <x:t xml:space="preserve">플레이 난관</x:t>
  </x:si>
  <x:si>
    <x:t xml:space="preserve">공략 방법</x:t>
  </x:si>
  <x:si>
    <x:t xml:space="preserve">체감 난이도</x:t>
  </x:si>
  <x:si>
    <x:t xml:space="preserve">수행 과제 수</x:t>
  </x:si>
  <x:si>
    <x:t xml:space="preserve">목표 달성 조건</x:t>
  </x:si>
  <x:si>
    <x:t xml:space="preserve">실패 결과</x:t>
  </x:si>
  <x:si>
    <x:t xml:space="preserve">예상 소요 시간</x:t>
  </x:si>
  <x:si>
    <x:t xml:space="preserve">난이도 조절 요소</x:t>
  </x:si>
  <x:si>
    <x:t xml:space="preserve">누적 플레이 시간</x:t>
  </x:si>
  <x:si>
    <x:t xml:space="preserve">스테이지</x:t>
  </x:si>
  <x:si>
    <x:t xml:space="preserve">콘텐츠 진행 포인트 누적</x:t>
  </x:si>
  <x:si>
    <x:t xml:space="preserve">X
콘텐츠 진행 포인트</x:t>
  </x:si>
  <x:si>
    <x:t xml:space="preserve">Y
진행 요구 숙련도</x:t>
  </x:si>
  <x:si>
    <x:t xml:space="preserve">전투 콘텐츠
분류</x:t>
  </x:si>
  <x:si>
    <x:t xml:space="preserve">권장 전투
숙련도</x:t>
  </x:si>
  <x:si>
    <x:t xml:space="preserve">전투 예상 시간
(초)</x:t>
  </x:si>
  <x:si>
    <x:t xml:space="preserve">핵심 전투
기믹</x:t>
  </x:si>
  <x:si>
    <x:t xml:space="preserve">라이트 유저
(예상 시간 기준)</x:t>
  </x:si>
  <x:si>
    <x:t xml:space="preserve">미들 유저</x:t>
  </x:si>
  <x:si>
    <x:t xml:space="preserve">헤비 유저</x:t>
  </x:si>
  <x:si>
    <x:t xml:space="preserve">보스가 주는 경험치</x:t>
  </x:si>
  <x:si>
    <x:t xml:space="preserve">해당 레벨의
보스 분포 수</x:t>
  </x:si>
  <x:si>
    <x:t xml:space="preserve">보스 잡는 데 걸리는 시간(초)
보스타입 (근거리)</x:t>
  </x:si>
  <x:si>
    <x:t xml:space="preserve">보스 잡는 데 걸리는 시간(초)
보스타입 (원거리)</x:t>
  </x:si>
  <x:si>
    <x:t xml:space="preserve">1 | 동생 심부름</x:t>
  </x:si>
  <x:si>
    <x:t xml:space="preserve">차한해의 과거 오프닝 감상</x:t>
  </x:si>
  <x:si>
    <x:t xml:space="preserve">입양 이후 가족 안에서 희생을 요구받아 온 과거를 보여주는 연출이 길게 이어져 플레이어가 핵심 정보를 놓칠 수 있음</x:t>
  </x:si>
  <x:si>
    <x:t xml:space="preserve">핵심 장면의 시선 유도와 짧은 자막을 통해 관계와 감정 변화를 이해함</x:t>
  </x:si>
  <x:si>
    <x:t xml:space="preserve">1/10 – 연출 길이와 정보량이 난이도를 결정함</x:t>
  </x:si>
  <x:si>
    <x:t xml:space="preserve">오프닝 재생이 끝나면 자동 완료</x:t>
  </x:si>
  <x:si>
    <x:t xml:space="preserve">-</x:t>
  </x:si>
  <x:si>
    <x:t xml:space="preserve">1분 30초</x:t>
  </x:si>
  <x:si>
    <x:t xml:space="preserve">스킵·다시 보기 기능 제공</x:t>
  </x:si>
  <x:si>
    <x:t xml:space="preserve">1-A | 집·튜토리얼</x:t>
  </x:si>
  <x:si>
    <x:t xml:space="preserve">비전투</x:t>
  </x:si>
  <x:si>
    <x:t xml:space="preserve">—</x:t>
  </x:si>
  <x:si>
    <x:t xml:space="preserve">빨래 개기</x:t>
  </x:si>
  <x:si>
    <x:t xml:space="preserve">조사 가능한 가구가 많아 조작 가능한 대상을 바로 알아보기 어려움</x:t>
  </x:si>
  <x:si>
    <x:t xml:space="preserve">주인공 주변의 상호작용 표시를 확인하고 조사 키를 누름</x:t>
  </x:si>
  <x:si>
    <x:t xml:space="preserve">1/10 – 상호작용 표시의 가시성과 조사 범위가 난이도를 결정함</x:t>
  </x:si>
  <x:si>
    <x:t xml:space="preserve">소파 옆 주인공에서 조사 입력 1회 완료</x:t>
  </x:si>
  <x:si>
    <x:t xml:space="preserve">20초</x:t>
  </x:si>
  <x:si>
    <x:t xml:space="preserve">첫 상호작용 대상에 반짝임 표시</x:t>
  </x:si>
  <x:si>
    <x:t xml:space="preserve">동생에게 심부름 지시 받기</x:t>
  </x:si>
  <x:si>
    <x:t xml:space="preserve">대화 속에 다음 목적지와 필요한 물품 정보가 섞여 있음</x:t>
  </x:si>
  <x:si>
    <x:t xml:space="preserve">강조되는 핵심 단어와 NPC의 요구를 확인하며 대화를 끝까지 진행함</x:t>
  </x:si>
  <x:si>
    <x:t xml:space="preserve">1/10 – 대사 길이·핵심 정보의 명확성·선택지 수가 난이도를 결정함</x:t>
  </x:si>
  <x:si>
    <x:t xml:space="preserve">신상 과자·헤어롤·팝콘 심부름에 관한 대화를 마지막 문장까지 진행</x:t>
  </x:si>
  <x:si>
    <x:t xml:space="preserve">1분</x:t>
  </x:si>
  <x:si>
    <x:t xml:space="preserve">대화 종료 후 핵심 내용을 화면 한쪽에 요약 표시</x:t>
  </x:si>
  <x:si>
    <x:t xml:space="preserve">이동 조작 안내 확인</x:t>
  </x:si>
  <x:si>
    <x:t xml:space="preserve">여러 조작을 한 번에 제시하면 입력 방법을 혼동할 수 있음</x:t>
  </x:si>
  <x:si>
    <x:t xml:space="preserve">화면에 표시되는 키를 순서대로 입력하고 각 동작의 결과를 확인함</x:t>
  </x:si>
  <x:si>
    <x:t xml:space="preserve">1/10 – 동시에 제시되는 조작 수와 입력 허용 시간이 난이도를 결정함</x:t>
  </x:si>
  <x:si>
    <x:t xml:space="preserve">상하좌우 이동과 조사 키를 안내 순서대로 모두 수행</x:t>
  </x:si>
  <x:si>
    <x:t xml:space="preserve">40초</x:t>
  </x:si>
  <x:si>
    <x:t xml:space="preserve">입력하지 않은 키 안내를 계속 유지</x:t>
  </x:si>
  <x:si>
    <x:t xml:space="preserve">현관으로 이동하기</x:t>
  </x:si>
  <x:si>
    <x:t xml:space="preserve">갈림길과 주변 상호작용 오브젝트 때문에 목적지 방향을 놓칠 수 있음</x:t>
  </x:si>
  <x:si>
    <x:t xml:space="preserve">표지판·미니맵·NPC 이동 방향을 확인하며 거실에서 현관문까지 이동함</x:t>
  </x:si>
  <x:si>
    <x:t xml:space="preserve">1/10 – 맵 크기·갈림길 수·목적지 표식의 가시성이 난이도를 결정함</x:t>
  </x:si>
  <x:si>
    <x:t xml:space="preserve">거실에서 현관문의 도착 트리거에 진입</x:t>
  </x:si>
  <x:si>
    <x:t xml:space="preserve">30초</x:t>
  </x:si>
  <x:si>
    <x:t xml:space="preserve">일정 시간 정체 시 목적지 방향 화살표 표시</x:t>
  </x:si>
  <x:si>
    <x:t xml:space="preserve">집 밖으로 나가기</x:t>
  </x:si>
  <x:si>
    <x:t xml:space="preserve">조사 대상이 배경 오브젝트와 비슷해 상호작용 가능 여부를 놓칠 수 있음</x:t>
  </x:si>
  <x:si>
    <x:t xml:space="preserve">현관문 가까이 이동한 뒤 상호작용 아이콘이 나타날 때 조사함</x:t>
  </x:si>
  <x:si>
    <x:t xml:space="preserve">1/10 – 조사 대상의 크기·배경과의 대비·상호작용 범위가 난이도를 결정함</x:t>
  </x:si>
  <x:si>
    <x:t xml:space="preserve">현관문 조사 완료</x:t>
  </x:si>
  <x:si>
    <x:t xml:space="preserve">상호작용 가능 범위를 넓히고 아이콘 표시</x:t>
  </x:si>
  <x:si>
    <x:t xml:space="preserve">편의점으로 이동하기</x:t>
  </x:si>
  <x:si>
    <x:t xml:space="preserve">표지판·미니맵·NPC 이동 방향을 확인하며 아파트에서 편의점까지 이동함</x:t>
  </x:si>
  <x:si>
    <x:t xml:space="preserve">2/10 – 맵 크기·갈림길 수·목적지 표식의 가시성이 난이도를 결정함</x:t>
  </x:si>
  <x:si>
    <x:t xml:space="preserve">아파트에서 편의점의 도착 트리거에 진입</x:t>
  </x:si>
  <x:si>
    <x:t xml:space="preserve">1분 15초</x:t>
  </x:si>
  <x:si>
    <x:t xml:space="preserve">1-B | 편의점</x:t>
  </x:si>
  <x:si>
    <x:t xml:space="preserve">신상 과자 진열대 찾기</x:t>
  </x:si>
  <x:si>
    <x:t xml:space="preserve">비슷한 오브젝트와 진열대가 많아 목표 대상을 한 번에 찾기 어려움</x:t>
  </x:si>
  <x:si>
    <x:t xml:space="preserve">구역별 표지와 상품 외형을 비교하며 편의점 안 신상 과자 진열대를 조사함</x:t>
  </x:si>
  <x:si>
    <x:t xml:space="preserve">3/10 – 후보 오브젝트 수·외형 유사도·탐색 범위가 난이도를 결정함</x:t>
  </x:si>
  <x:si>
    <x:t xml:space="preserve">편의점 안 신상 과자 진열대 발견 및 조사 완료</x:t>
  </x:si>
  <x:si>
    <x:t xml:space="preserve">30초 이상 미발견 시 목표 구역에 약한 반짝임 표시</x:t>
  </x:si>
  <x:si>
    <x:t xml:space="preserve">품절 안내 조사하기</x:t>
  </x:si>
  <x:si>
    <x:t xml:space="preserve">비어 있는 진열칸과 손글씨 품절 안내 가까이 이동한 뒤 상호작용 아이콘이 나타날 때 조사함</x:t>
  </x:si>
  <x:si>
    <x:t xml:space="preserve">2/10 – 조사 대상의 크기·배경과의 대비·상호작용 범위가 난이도를 결정함</x:t>
  </x:si>
  <x:si>
    <x:t xml:space="preserve">비어 있는 진열칸과 손글씨 품절 안내 조사 완료</x:t>
  </x:si>
  <x:si>
    <x:t xml:space="preserve">35초</x:t>
  </x:si>
  <x:si>
    <x:t xml:space="preserve">알바생 NPC와 대화하기</x:t>
  </x:si>
  <x:si>
    <x:t xml:space="preserve">2/10 – 대사 길이·핵심 정보의 명확성·선택지 수가 난이도를 결정함</x:t>
  </x:si>
  <x:si>
    <x:t xml:space="preserve">재입고 시간과 물류 트럭 정보에 관한 대화를 마지막 문장까지 진행</x:t>
  </x:si>
  <x:si>
    <x:t xml:space="preserve">다이소로 이동하기</x:t>
  </x:si>
  <x:si>
    <x:t xml:space="preserve">표지판·미니맵·NPC 이동 방향을 확인하며 편의점에서 다이소까지 이동함</x:t>
  </x:si>
  <x:si>
    <x:t xml:space="preserve">편의점에서 다이소의 도착 트리거에 진입</x:t>
  </x:si>
  <x:si>
    <x:t xml:space="preserve">1-C | 다이소</x:t>
  </x:si>
  <x:si>
    <x:t xml:space="preserve">헤어롤 진열대 찾기</x:t>
  </x:si>
  <x:si>
    <x:t xml:space="preserve">구역별 표지와 상품 외형을 비교하며 생활용품 코너의 헤어롤을 조사함</x:t>
  </x:si>
  <x:si>
    <x:t xml:space="preserve">생활용품 코너의 헤어롤 발견 및 조사 완료</x:t>
  </x:si>
  <x:si>
    <x:t xml:space="preserve">1분 50초</x:t>
  </x:si>
  <x:si>
    <x:t xml:space="preserve">헤어롤 구매하기</x:t>
  </x:si>
  <x:si>
    <x:t xml:space="preserve">구매 대상·수량·결제 순서를 잘못 선택할 수 있음</x:t>
  </x:si>
  <x:si>
    <x:t xml:space="preserve">요청받은 품목을 확인하고 상품 선택→계산대 상호작용→결제를 순서대로 진행함</x:t>
  </x:si>
  <x:si>
    <x:t xml:space="preserve">2/10 – 상품 후보 수·품목 유사도·구매 단계 수가 난이도를 결정함</x:t>
  </x:si>
  <x:si>
    <x:t xml:space="preserve">헤어롤 1개 구매 후 인벤토리에 등록</x:t>
  </x:si>
  <x:si>
    <x:t xml:space="preserve">잘못된 품목 구매 시 다시 선택해야 함</x:t>
  </x:si>
  <x:si>
    <x:t xml:space="preserve">50초</x:t>
  </x:si>
  <x:si>
    <x:t xml:space="preserve">요청 품목에 작은 임무 아이콘 표시</x:t>
  </x:si>
  <x:si>
    <x:t xml:space="preserve">영화관으로 이동하기</x:t>
  </x:si>
  <x:si>
    <x:t xml:space="preserve">표지판·미니맵·NPC 이동 방향을 확인하며 다이소에서 영화관까지 이동함</x:t>
  </x:si>
  <x:si>
    <x:t xml:space="preserve">다이소에서 영화관의 도착 트리거에 진입</x:t>
  </x:si>
  <x:si>
    <x:t xml:space="preserve">2분</x:t>
  </x:si>
  <x:si>
    <x:t xml:space="preserve">1-D | 영화관</x:t>
  </x:si>
  <x:si>
    <x:t xml:space="preserve">팝콘 구매하기</x:t>
  </x:si>
  <x:si>
    <x:t xml:space="preserve">동생이 지정한 팝콘 구매 후 인벤토리에 등록</x:t>
  </x:si>
  <x:si>
    <x:t xml:space="preserve">1분 20초</x:t>
  </x:si>
  <x:si>
    <x:t xml:space="preserve">편의점 물류 트럭 발견하기</x:t>
  </x:si>
  <x:si>
    <x:t xml:space="preserve">짧은 시간 동안 화면을 지나가는 대상이라 시선을 다른 곳에 두면 놓칠 수 있음</x:t>
  </x:si>
  <x:si>
    <x:t xml:space="preserve">카메라 이동과 NPC 시선을 따라 영화관 출구 앞을 지나가는 편의점 물류 트럭을 확인함</x:t>
  </x:si>
  <x:si>
    <x:t xml:space="preserve">2/10 – 대상 노출 시간·화면 내 이동속도·시선 유도 강도가 난이도를 결정함</x:t>
  </x:si>
  <x:si>
    <x:t xml:space="preserve">영화관 출구 앞을 지나가는 편의점 물류 트럭을 화면 안에서 확인</x:t>
  </x:si>
  <x:si>
    <x:t xml:space="preserve">대상을 놓치면 짧은 연출이 다시 재생됨</x:t>
  </x:si>
  <x:si>
    <x:t xml:space="preserve">25초</x:t>
  </x:si>
  <x:si>
    <x:t xml:space="preserve">대상 등장 직전 효과음과 화면 가장자리 표시</x:t>
  </x:si>
  <x:si>
    <x:t xml:space="preserve">배송 상자의 재입고 표식 기억하기</x:t>
  </x:si>
  <x:si>
    <x:t xml:space="preserve">움직이는 트럭의 적재함이 잠깐 열리며 비슷한 상자 표식이 동시에 노출됨</x:t>
  </x:si>
  <x:si>
    <x:t xml:space="preserve">상자의 줄무늬·색 띠·배송 코드를 순서대로 기억해 편의점 재입고 상자를 판별함</x:t>
  </x:si>
  <x:si>
    <x:t xml:space="preserve">3/10 – 표식 노출 시간·유사 표식 수·기억해야 할 순서가 난이도를 결정함</x:t>
  </x:si>
  <x:si>
    <x:t xml:space="preserve">재입고 상자 표식 3개를 순서대로 선택</x:t>
  </x:si>
  <x:si>
    <x:t xml:space="preserve">오답 3회 시 트럭 등장 연출부터 다시 확인</x:t>
  </x:si>
  <x:si>
    <x:t xml:space="preserve">1분 10초</x:t>
  </x:si>
  <x:si>
    <x:t xml:space="preserve">첫 시도에는 표식을 순차적으로 확대하고 오답 후 다른 표식 하나를 제거</x:t>
  </x:si>
  <x:si>
    <x:t xml:space="preserve">1-E | 편의점 재입고</x:t>
  </x:si>
  <x:si>
    <x:t xml:space="preserve">편의점 물류 트럭 따라가기</x:t>
  </x:si>
  <x:si>
    <x:t xml:space="preserve">대상이 빠르게 이동하고 시민과 건물이 시야를 가려 추적이 끊길 수 있음</x:t>
  </x:si>
  <x:si>
    <x:t xml:space="preserve">목표 아이콘과 도로 방향을 보며 허용 거리 안에서 물류 트럭을 따라감</x:t>
  </x:si>
  <x:si>
    <x:t xml:space="preserve">6/10 – 플레이어와 대상의 속도 차이·허용 거리·시야 차단물이 난이도를 결정함</x:t>
  </x:si>
  <x:si>
    <x:t xml:space="preserve">허용 거리 안에서 추적 종료 지점 도착</x:t>
  </x:si>
  <x:si>
    <x:t xml:space="preserve">대상과 6초 이상 거리 초과 시 추격 구간 재시작</x:t>
  </x:si>
  <x:si>
    <x:t xml:space="preserve">실패 2회 후 대상 속도 감소 및 경로 화살표 표시</x:t>
  </x:si>
  <x:si>
    <x:t xml:space="preserve">골목 지름길의 장애물 돌파하기</x:t>
  </x:si>
  <x:si>
    <x:t xml:space="preserve">보행자·자전거·배송 상자가 골목을 막고 트럭과의 거리가 계속 벌어짐</x:t>
  </x:si>
  <x:si>
    <x:t xml:space="preserve">장애물의 이동 방향을 예측해 짧은 지름길을 선택하고 넘기·비켜가기 조작을 연결함</x:t>
  </x:si>
  <x:si>
    <x:t xml:space="preserve">5/10 – 장애물 밀도·트럭과의 거리·지름길 선택 시간이 난이도를 결정함</x:t>
  </x:si>
  <x:si>
    <x:t xml:space="preserve">트럭과의 추적 거리 게이지를 유지한 채 편의점 후문 도착</x:t>
  </x:si>
  <x:si>
    <x:t xml:space="preserve">거리 게이지가 0이 되면 골목 입구 체크포인트에서 재시작</x:t>
  </x:si>
  <x:si>
    <x:t xml:space="preserve">재시도마다 트럭 속도를 소폭 낮추고 안전한 지름길 입구를 강조</x:t>
  </x:si>
  <x:si>
    <x:t xml:space="preserve">신상 과자 오픈런 참가하기</x:t>
  </x:si>
  <x:si>
    <x:t xml:space="preserve">여러 NPC가 동시에 진열대로 이동해 접근 경로와 상호작용 위치가 막힘</x:t>
  </x:si>
  <x:si>
    <x:t xml:space="preserve">군중의 이동 방향을 예측하고 빈 공간으로 우회해 편의점 진열대 앞 군중에 접근함</x:t>
  </x:si>
  <x:si>
    <x:t xml:space="preserve">6/10 – 경쟁 NPC 수·충돌 범위·재고 수량·접근 가능 시간이 난이도를 결정함</x:t>
  </x:si>
  <x:si>
    <x:t xml:space="preserve">재고가 남아 있을 때 목표 상품 상호작용 성공</x:t>
  </x:si>
  <x:si>
    <x:t xml:space="preserve">재고가 모두 소진되면 직전 체크포인트에서 재시도</x:t>
  </x:si>
  <x:si>
    <x:t xml:space="preserve">1분 40초</x:t>
  </x:si>
  <x:si>
    <x:t xml:space="preserve">재시도 시 경쟁 NPC 수 1명 감소</x:t>
  </x:si>
  <x:si>
    <x:t xml:space="preserve">신상 과자 구매하기</x:t>
  </x:si>
  <x:si>
    <x:t xml:space="preserve">3/10 – 상품 후보 수·품목 유사도·구매 단계 수가 난이도를 결정함</x:t>
  </x:si>
  <x:si>
    <x:t xml:space="preserve">신상 과자 1봉 구매 후 인벤토리에 등록</x:t>
  </x:si>
  <x:si>
    <x:t xml:space="preserve">55초</x:t>
  </x:si>
  <x:si>
    <x:t xml:space="preserve">동생 연락 받기</x:t>
  </x:si>
  <x:si>
    <x:t xml:space="preserve">중고 거래 물품 수령 요청에 관한 대화를 마지막 문장까지 진행</x:t>
  </x:si>
  <x:si>
    <x:t xml:space="preserve">지하철역으로 이동하기</x:t>
  </x:si>
  <x:si>
    <x:t xml:space="preserve">표지판·미니맵·NPC 이동 방향을 확인하며 편의점에서 지하철역 개찰구까지 이동함</x:t>
  </x:si>
  <x:si>
    <x:t xml:space="preserve">편의점에서 지하철역 개찰구의 도착 트리거에 진입</x:t>
  </x:si>
  <x:si>
    <x:t xml:space="preserve">2분 30초</x:t>
  </x:si>
  <x:si>
    <x:t xml:space="preserve">1-F | 지하철역</x:t>
  </x:si>
  <x:si>
    <x:t xml:space="preserve">거래자 후보 3명 관찰하기</x:t>
  </x:si>
  <x:si>
    <x:t xml:space="preserve">중요한 단서가 여러 인물과 배경 오브젝트 사이에 분산되어 있음</x:t>
  </x:si>
  <x:si>
    <x:t xml:space="preserve">시선·행동·복장·주변 오브젝트를 순서대로 확인해 회색 후드 특징이 겹치는 세 명의 후보의 특징을 파악함</x:t>
  </x:si>
  <x:si>
    <x:t xml:space="preserve">5/10 – 관찰 대상 수·단서의 명확성·외형 유사도가 난이도를 결정함</x:t>
  </x:si>
  <x:si>
    <x:t xml:space="preserve">필수 관찰 대상 모두 조사</x:t>
  </x:si>
  <x:si>
    <x:t xml:space="preserve">필수 대상 위에 짧은 시선 유도 아이콘 표시</x:t>
  </x:si>
  <x:si>
    <x:t xml:space="preserve">중고 거래자 찾기</x:t>
  </x:si>
  <x:si>
    <x:t xml:space="preserve">후보들이 공통 특징을 가지고 있어 한 가지 단서만으로는 구별할 수 없음</x:t>
  </x:si>
  <x:si>
    <x:t xml:space="preserve">복장·소지품·대화 반응을 함께 비교해 대화 단서와 복장 단서가 일치하는 거래자를 선택함</x:t>
  </x:si>
  <x:si>
    <x:t xml:space="preserve">6/10 – 후보 수·공통 특징 수·추가 단서의 명확성이 난이도를 결정함</x:t>
  </x:si>
  <x:si>
    <x:t xml:space="preserve">올바른 거래자와 대화 시작</x:t>
  </x:si>
  <x:si>
    <x:t xml:space="preserve">오답 후보 선택 시 경계 대사가 출력되고 다시 선택</x:t>
  </x:si>
  <x:si>
    <x:t xml:space="preserve">오답 2회 후 확인하지 않은 단서 목록 표시</x:t>
  </x:si>
  <x:si>
    <x:t xml:space="preserve">중고 거래 완료하기</x:t>
  </x:si>
  <x:si>
    <x:t xml:space="preserve">동생이 부탁한 중고 물품 구매 후 인벤토리에 등록</x:t>
  </x:si>
  <x:si>
    <x:t xml:space="preserve">1분 5초</x:t>
  </x:si>
  <x:si>
    <x:t xml:space="preserve">집으로 돌아가는 길에 공원 진입하기</x:t>
  </x:si>
  <x:si>
    <x:t xml:space="preserve">표지판·미니맵·NPC 이동 방향을 확인하며 지하철역에서 축제 종료 공원까지 이동함</x:t>
  </x:si>
  <x:si>
    <x:t xml:space="preserve">지하철역에서 축제 종료 공원의 도착 트리거에 진입</x:t>
  </x:si>
  <x:si>
    <x:t xml:space="preserve">1-G | 공원 진입</x:t>
  </x:si>
  <x:si>
    <x:t xml:space="preserve">2 | 공원 청소</x:t>
  </x:si>
  <x:si>
    <x:t xml:space="preserve">축제 종료 현장 관찰하기</x:t>
  </x:si>
  <x:si>
    <x:t xml:space="preserve">시선·행동·복장·주변 오브젝트를 순서대로 확인해 떠나는 시민과 공원에 남은 쓰레기의 특징을 파악함</x:t>
  </x:si>
  <x:si>
    <x:t xml:space="preserve">3/10 – 관찰 대상 수·단서의 명확성·외형 유사도가 난이도를 결정함</x:t>
  </x:si>
  <x:si>
    <x:t xml:space="preserve">2-A | 공원 축제·청소</x:t>
  </x:si>
  <x:si>
    <x:t xml:space="preserve">아이가 쓰레기에 걸려 넘어질 뻔한 장면 목격하기</x:t>
  </x:si>
  <x:si>
    <x:t xml:space="preserve">짧은 연출 안에서 사건의 원인과 인물의 태도를 동시에 이해해야 함</x:t>
  </x:si>
  <x:si>
    <x:t xml:space="preserve">카메라가 강조하는 인물과 오브젝트를 보며 아이와 가족의 행동을 확인함</x:t>
  </x:si>
  <x:si>
    <x:t xml:space="preserve">1/10 – 연출 속도·동시에 제시되는 정보량이 난이도를 결정함</x:t>
  </x:si>
  <x:si>
    <x:t xml:space="preserve">사건 연출 종료</x:t>
  </x:si>
  <x:si>
    <x:t xml:space="preserve">핵심 오브젝트에 카메라 줌과 효과음 적용</x:t>
  </x:si>
  <x:si>
    <x:t xml:space="preserve">쓰레기를 치우기로 결정하기</x:t>
  </x:si>
  <x:si>
    <x:t xml:space="preserve">두 선택 모두 이후 상황에 영향을 주므로 감정적 판단 부담이 발생함</x:t>
  </x:si>
  <x:si>
    <x:t xml:space="preserve">현재 상황과 주인공의 독백을 확인한 뒤 공원을 지나갈지 쓰레기를 치울지 판단에 대한 행동을 결정함</x:t>
  </x:si>
  <x:si>
    <x:t xml:space="preserve">3/10 – 정보의 불완전성·결과 예측 가능성·감정적 부담이 난이도를 결정함</x:t>
  </x:si>
  <x:si>
    <x:t xml:space="preserve">선택지 1개 확정</x:t>
  </x:si>
  <x:si>
    <x:t xml:space="preserve">45초</x:t>
  </x:si>
  <x:si>
    <x:t xml:space="preserve">선택 직전 핵심 상황을 한 문장으로 다시 표시</x:t>
  </x:si>
  <x:si>
    <x:t xml:space="preserve">청소 도구 찾기</x:t>
  </x:si>
  <x:si>
    <x:t xml:space="preserve">구역별 표지와 상품 외형을 비교하며 공원 관리함의 집게와 봉투를 조사함</x:t>
  </x:si>
  <x:si>
    <x:t xml:space="preserve">공원 관리함의 집게와 봉투 발견 및 조사 완료</x:t>
  </x:si>
  <x:si>
    <x:t xml:space="preserve">1분 25초</x:t>
  </x:si>
  <x:si>
    <x:t xml:space="preserve">바람에 날린 비닐봉지 추격하기</x:t>
  </x:si>
  <x:si>
    <x:t xml:space="preserve">돌풍이 불 때마다 비닐봉지의 방향이 바뀌고 사람과 벤치가 이동 경로를 막음</x:t>
  </x:si>
  <x:si>
    <x:t xml:space="preserve">바람 방향 표시와 봉지의 그림자를 보고 다음 착지 지점을 예측해 세 번 안에 붙잡음</x:t>
  </x:si>
  <x:si>
    <x:t xml:space="preserve">4/10 – 방향 전환 빈도·장애물 배치·포획 가능 시간이 난이도를 결정함</x:t>
  </x:si>
  <x:si>
    <x:t xml:space="preserve">비닐봉지를 3번째 착지 이전에 회수</x:t>
  </x:si>
  <x:si>
    <x:t xml:space="preserve">공원 출구까지 날아가면 시작 지점에서 다시 추격</x:t>
  </x:si>
  <x:si>
    <x:t xml:space="preserve">실패 후 바람 방향 예고 시간을 늘리고 봉지 이동속도를 낮춤</x:t>
  </x:si>
  <x:si>
    <x:t xml:space="preserve">첫 쓰레기 줍기</x:t>
  </x:si>
  <x:si>
    <x:t xml:space="preserve">수거 대상과 배경 장식의 차이를 처음에는 구별하기 어려움</x:t>
  </x:si>
  <x:si>
    <x:t xml:space="preserve">반짝임 표시가 있는 산책로의 첫 쓰레기에 접근해 줍기 입력을 수행함</x:t>
  </x:si>
  <x:si>
    <x:t xml:space="preserve">2/10 – 대상 가시성·입력 단계 수가 난이도를 결정함</x:t>
  </x:si>
  <x:si>
    <x:t xml:space="preserve">안내된 수거 행동 3회 완료</x:t>
  </x:si>
  <x:si>
    <x:t xml:space="preserve">수거 대상 반짝임과 상호작용 범위를 크게 설정</x:t>
  </x:si>
  <x:si>
    <x:t xml:space="preserve">잔디 구역 쓰레기 수거하기</x:t>
  </x:si>
  <x:si>
    <x:t xml:space="preserve">쓰레기가 넓은 구역과 가려진 틈에 흩어져 있어 남은 대상을 찾기 어려움</x:t>
  </x:si>
  <x:si>
    <x:t xml:space="preserve">구역을 일정한 방향으로 순회하고 반짝임·잔여 개수 UI를 확인하며 잔디 구역 쓰레기 8개를 수거함</x:t>
  </x:si>
  <x:si>
    <x:t xml:space="preserve">4/10 – 목표 수량·배치 밀도·가림 오브젝트·탐색 범위가 난이도를 결정함</x:t>
  </x:si>
  <x:si>
    <x:t xml:space="preserve">잔디 구역 쓰레기 8개 전부 수거</x:t>
  </x:si>
  <x:si>
    <x:t xml:space="preserve">필수 수량을 채우지 못하면 다음 구역 진행 불가</x:t>
  </x:si>
  <x:si>
    <x:t xml:space="preserve">3분</x:t>
  </x:si>
  <x:si>
    <x:t xml:space="preserve">60초 이상 미발견 시 가장 가까운 미수거 대상 방향 표시</x:t>
  </x:si>
  <x:si>
    <x:t xml:space="preserve">산책로 쓰레기 수거하기</x:t>
  </x:si>
  <x:si>
    <x:t xml:space="preserve">구역을 일정한 방향으로 순회하고 반짝임·잔여 개수 UI를 확인하며 산책로 쓰레기 7개를 수거함</x:t>
  </x:si>
  <x:si>
    <x:t xml:space="preserve">산책로 쓰레기 7개 전부 수거</x:t>
  </x:si>
  <x:si>
    <x:t xml:space="preserve">2분 40초</x:t>
  </x:si>
  <x:si>
    <x:t xml:space="preserve">벤치 주변 쓰레기 수거하기</x:t>
  </x:si>
  <x:si>
    <x:t xml:space="preserve">구역을 일정한 방향으로 순회하고 반짝임·잔여 개수 UI를 확인하며 벤치와 가려진 틈의 쓰레기 6개를 수거함</x:t>
  </x:si>
  <x:si>
    <x:t xml:space="preserve">5/10 – 목표 수량·배치 밀도·가림 오브젝트·탐색 범위가 난이도를 결정함</x:t>
  </x:si>
  <x:si>
    <x:t xml:space="preserve">벤치와 가려진 틈의 쓰레기 6개 전부 수거</x:t>
  </x:si>
  <x:si>
    <x:t xml:space="preserve">한도윤과 대화하기</x:t>
  </x:si>
  <x:si>
    <x:t xml:space="preserve">혼자 청소하는 이유와 도움 제안에 관한 대화를 마지막 문장까지 진행</x:t>
  </x:si>
  <x:si>
    <x:t xml:space="preserve">한도윤과 구역 분담하기</x:t>
  </x:si>
  <x:si>
    <x:t xml:space="preserve">동료가 담당하는 구역과 플레이어 구역이 겹치면 불필요한 이동이 발생함</x:t>
  </x:si>
  <x:si>
    <x:t xml:space="preserve">대화에서 정한 담당 구역을 확인하고 서로 다른 공원 구역를 순서대로 처리함</x:t>
  </x:si>
  <x:si>
    <x:t xml:space="preserve">4/10 – 구역 수·동료 행동 예측 가능성·이동 동선이 난이도를 결정함</x:t>
  </x:si>
  <x:si>
    <x:t xml:space="preserve">플레이어 담당 구역의 목표 수량 달성</x:t>
  </x:si>
  <x:si>
    <x:t xml:space="preserve">2분 20초</x:t>
  </x:si>
  <x:si>
    <x:t xml:space="preserve">미니맵에 담당 구역을 서로 다른 테두리로 표시</x:t>
  </x:si>
  <x:si>
    <x:t xml:space="preserve">청소 콤보 유지하기</x:t>
  </x:si>
  <x:si>
    <x:t xml:space="preserve">서로 다른 쓰레기를 연속으로 정확히 주워야 콤보가 유지되며 잘못 집으면 게이지가 초기화됨</x:t>
  </x:si>
  <x:si>
    <x:t xml:space="preserve">가까운 쓰레기의 종류와 다음 분리수거 위치를 미리 확인해 이동 동선을 끊지 않고 수거함</x:t>
  </x:si>
  <x:si>
    <x:t xml:space="preserve">4/10 – 콤보 유지 시간·쓰레기 간 거리·오분류 페널티가 난이도를 결정함</x:t>
  </x:si>
  <x:si>
    <x:t xml:space="preserve">정확 수거 콤보 12회를 달성</x:t>
  </x:si>
  <x:si>
    <x:t xml:space="preserve">오분류 시 콤보만 초기화되고 수거 진행도는 유지</x:t>
  </x:si>
  <x:si>
    <x:t xml:space="preserve">콤보 실패 후 다음 3개 쓰레기의 분류 아이콘을 미리 표시</x:t>
  </x:si>
  <x:si>
    <x:t xml:space="preserve">우정 반지 단서 발견하기</x:t>
  </x:si>
  <x:si>
    <x:t xml:space="preserve">작은 단서가 쓰레기와 배경에 섞여 있어 일반 수거물로 오인할 수 있음</x:t>
  </x:si>
  <x:si>
    <x:t xml:space="preserve">중학생이 잃어버린 반지의 흔적의 형태와 주변 대사를 확인하고 별도 조사함</x:t>
  </x:si>
  <x:si>
    <x:t xml:space="preserve">4/10 – 단서 크기·배경 대비·오인 가능성이 난이도를 결정함</x:t>
  </x:si>
  <x:si>
    <x:t xml:space="preserve">필수 단서 모두 조사</x:t>
  </x:si>
  <x:si>
    <x:t xml:space="preserve">단서를 버리려 하면 경고 후 행동 취소</x:t>
  </x:si>
  <x:si>
    <x:t xml:space="preserve">단서에 일반 쓰레기와 다른 약한 빛 효과 적용</x:t>
  </x:si>
  <x:si>
    <x:t xml:space="preserve">발자국과 스티커 단서 대조하기</x:t>
  </x:si>
  <x:si>
    <x:t xml:space="preserve">비슷한 운동화 자국과 축제 스티커가 여러 방향으로 이어져 잘못된 동선을 선택하기 쉬움</x:t>
  </x:si>
  <x:si>
    <x:t xml:space="preserve">반지에 묻은 흙·신발 자국·가방 스티커를 비교해 중학생이 지나간 경로를 좁힘</x:t>
  </x:si>
  <x:si>
    <x:t xml:space="preserve">4/10 – 후보 경로 수·단서 유사도·비교 단계 수가 난이도를 결정함</x:t>
  </x:si>
  <x:si>
    <x:t xml:space="preserve">세 단서를 연결해 올바른 탐색 구역 선택</x:t>
  </x:si>
  <x:si>
    <x:t xml:space="preserve">오답 경로 선택 시 불필요한 탐색 시간이 추가됨</x:t>
  </x:si>
  <x:si>
    <x:t xml:space="preserve">오답 후 일치하지 않는 단서 하나에 취소 표시</x:t>
  </x:si>
  <x:si>
    <x:t xml:space="preserve">우정 반지 찾기</x:t>
  </x:si>
  <x:si>
    <x:t xml:space="preserve">목표물이 작고 수거 가능한 쓰레기 사이에 섞여 있어 탐색 부담이 큼</x:t>
  </x:si>
  <x:si>
    <x:t xml:space="preserve">마지막 목격 위치와 반짝임 주기를 이용해 쓰레기 사이에 섞인 작은 반지를 찾음</x:t>
  </x:si>
  <x:si>
    <x:t xml:space="preserve">6/10 – 목표물 크기·탐색 범위·가짜 후보 수가 난이도를 결정함</x:t>
  </x:si>
  <x:si>
    <x:t xml:space="preserve">쓰레기 사이에 섞인 작은 반지 발견 후 획득</x:t>
  </x:si>
  <x:si>
    <x:t xml:space="preserve">2분 50초</x:t>
  </x:si>
  <x:si>
    <x:t xml:space="preserve">90초 이상 미발견 시 탐색 범위를 단계적으로 축소</x:t>
  </x:si>
  <x:si>
    <x:t xml:space="preserve">중학생에게 반지 전달하기</x:t>
  </x:si>
  <x:si>
    <x:t xml:space="preserve">비슷한 복장의 NPC가 있어 물건의 주인을 잘못 선택할 수 있음</x:t>
  </x:si>
  <x:si>
    <x:t xml:space="preserve">의뢰 대사와 위치를 확인한 뒤 반지의 주인에게 전달함</x:t>
  </x:si>
  <x:si>
    <x:t xml:space="preserve">2/10 – NPC 후보 수·위치 이동 여부·의뢰 단서 명확성이 난이도를 결정함</x:t>
  </x:si>
  <x:si>
    <x:t xml:space="preserve">올바른 NPC에게 물품 전달</x:t>
  </x:si>
  <x:si>
    <x:t xml:space="preserve">오답 NPC 선택 시 전달이 취소되고 다시 선택</x:t>
  </x:si>
  <x:si>
    <x:t xml:space="preserve">의뢰 NPC 머리 위에 약한 대화 아이콘 표시</x:t>
  </x:si>
  <x:si>
    <x:t xml:space="preserve">남은 쓰레기 확인하기</x:t>
  </x:si>
  <x:si>
    <x:t xml:space="preserve">완료한 것처럼 보여도 남은 대상이나 오분류 항목이 존재할 수 있음</x:t>
  </x:si>
  <x:si>
    <x:t xml:space="preserve">잔여 수량과 각 구역 상태를 확인해 공원 미수거 구역과 남은 수량의 미완료 항목을 점검함</x:t>
  </x:si>
  <x:si>
    <x:t xml:space="preserve">4/10 – 검사 항목 수·오류 위치의 분산 정도가 난이도를 결정함</x:t>
  </x:si>
  <x:si>
    <x:t xml:space="preserve">잔여 수량 0 및 오류 항목 0</x:t>
  </x:si>
  <x:si>
    <x:t xml:space="preserve">조건 미달 시 완료 상호작용이 비활성화됨</x:t>
  </x:si>
  <x:si>
    <x:t xml:space="preserve">미완료 구역과 오류 수량을 별도 UI로 표시</x:t>
  </x:si>
  <x:si>
    <x:t xml:space="preserve">분리수거장으로 이동하기</x:t>
  </x:si>
  <x:si>
    <x:t xml:space="preserve">표지판·미니맵·NPC 이동 방향을 확인하며 공원에서 분리수거장까지 이동함</x:t>
  </x:si>
  <x:si>
    <x:t xml:space="preserve">공원에서 분리수거장의 도착 트리거에 진입</x:t>
  </x:si>
  <x:si>
    <x:t xml:space="preserve">2-B | 분리수거장</x:t>
  </x:si>
  <x:si>
    <x:t xml:space="preserve">일반쓰레기 분류하기</x:t>
  </x:si>
  <x:si>
    <x:t xml:space="preserve">외형이 비슷하거나 내용물이 남은 쓰레기는 분류 기준을 혼동하기 쉬움</x:t>
  </x:si>
  <x:si>
    <x:t xml:space="preserve">재질·오염 여부·남은 내용물을 확인하고 일반쓰레기 8개를 올바른 수거함에 넣음</x:t>
  </x:si>
  <x:si>
    <x:t xml:space="preserve">4/10 – 분류 종류 수·외형 유사도·오답 허용 횟수가 난이도를 결정함</x:t>
  </x:si>
  <x:si>
    <x:t xml:space="preserve">일반쓰레기 8개 전부 올바르게 분류</x:t>
  </x:si>
  <x:si>
    <x:t xml:space="preserve">오분류 5회 누적 시 해당 분류 단계 재시작</x:t>
  </x:si>
  <x:si>
    <x:t xml:space="preserve">오답 2회 후 분류 기준 그림 표시</x:t>
  </x:si>
  <x:si>
    <x:t xml:space="preserve">재활용품 분류하기</x:t>
  </x:si>
  <x:si>
    <x:t xml:space="preserve">재질·오염 여부·남은 내용물을 확인하고 플라스틱·캔·종이 10개를 올바른 수거함에 넣음</x:t>
  </x:si>
  <x:si>
    <x:t xml:space="preserve">6/10 – 분류 종류 수·외형 유사도·오답 허용 횟수가 난이도를 결정함</x:t>
  </x:si>
  <x:si>
    <x:t xml:space="preserve">플라스틱·캔·종이 10개 전부 올바르게 분류</x:t>
  </x:si>
  <x:si>
    <x:t xml:space="preserve">오염된 쓰레기 분류하기</x:t>
  </x:si>
  <x:si>
    <x:t xml:space="preserve">재질·오염 여부·남은 내용물을 확인하고 내용물이 남거나 오염된 쓰레기 6개를 올바른 수거함에 넣음</x:t>
  </x:si>
  <x:si>
    <x:t xml:space="preserve">7/10 – 분류 종류 수·외형 유사도·오답 허용 횟수가 난이도를 결정함</x:t>
  </x:si>
  <x:si>
    <x:t xml:space="preserve">내용물이 남거나 오염된 쓰레기 6개 전부 올바르게 분류</x:t>
  </x:si>
  <x:si>
    <x:t xml:space="preserve">분리수거 라인 막힘 해소하기</x:t>
  </x:si>
  <x:si>
    <x:t xml:space="preserve">한꺼번에 들어온 쓰레기로 컨베이어가 막히고 오염물이 다른 분류함으로 번짐</x:t>
  </x:si>
  <x:si>
    <x:t xml:space="preserve">막힘 원인을 먼저 제거한 뒤 제한 시간 동안 재활용·일반·세척 대상을 우선순위대로 분류함</x:t>
  </x:si>
  <x:si>
    <x:t xml:space="preserve">5/10 – 동시 등장 수·오염 확산 속도·우선순위 판단이 난이도를 결정함</x:t>
  </x:si>
  <x:si>
    <x:t xml:space="preserve">막힘 제거 후 쓰레기 10개를 오분류 없이 처리</x:t>
  </x:si>
  <x:si>
    <x:t xml:space="preserve">오염도 게이지가 최대가 되면 구간 시작부터 재시작</x:t>
  </x:si>
  <x:si>
    <x:t xml:space="preserve">재시도 시 컨베이어 속도를 낮추고 오염 확산 대상에 경고 테두리 표시</x:t>
  </x:si>
  <x:si>
    <x:t xml:space="preserve">분리수거 완료하기</x:t>
  </x:si>
  <x:si>
    <x:t xml:space="preserve">잔여 수량과 각 구역 상태를 확인해 모든 분류함과 오분류 여부의 미완료 항목을 점검함</x:t>
  </x:si>
  <x:si>
    <x:t xml:space="preserve">균열 발생을 목격하기</x:t>
  </x:si>
  <x:si>
    <x:t xml:space="preserve">카메라가 강조하는 인물과 오브젝트를 보며 분리수거장 바닥에서 열리는 도덕 균열를 확인함</x:t>
  </x:si>
  <x:si>
    <x:t xml:space="preserve">2-C | 균열 발생</x:t>
  </x:si>
  <x:si>
    <x:t xml:space="preserve">균열 구경하기</x:t>
  </x:si>
  <x:si>
    <x:t xml:space="preserve">시선·행동·복장·주변 오브젝트를 순서대로 확인해 균열의 빛·소리·주변 반응의 특징을 파악함</x:t>
  </x:si>
  <x:si>
    <x:t xml:space="preserve">4/10 – 관찰 대상 수·단서의 명확성·외형 유사도가 난이도를 결정함</x:t>
  </x:si>
  <x:si>
    <x:t xml:space="preserve">1분 35초</x:t>
  </x:si>
  <x:si>
    <x:t xml:space="preserve">집으로 귀가하기</x:t>
  </x:si>
  <x:si>
    <x:t xml:space="preserve">표지판·미니맵·NPC 이동 방향을 확인하며 공원에서 집까지 이동함</x:t>
  </x:si>
  <x:si>
    <x:t xml:space="preserve">공원에서 집의 도착 트리거에 진입</x:t>
  </x:si>
  <x:si>
    <x:t xml:space="preserve">2-D | 귀가·밤</x:t>
  </x:si>
  <x:si>
    <x:t xml:space="preserve">잠자기</x:t>
  </x:si>
  <x:si>
    <x:t xml:space="preserve">다음 날로 넘어가는 상호작용임을 알아차리지 못할 수 있음</x:t>
  </x:si>
  <x:si>
    <x:t xml:space="preserve">침대를 조사하고 휴식 확인 선택지를 선택함</x:t>
  </x:si>
  <x:si>
    <x:t xml:space="preserve">1/10 – 상호작용 대상의 명확성이 난이도를 결정함</x:t>
  </x:si>
  <x:si>
    <x:t xml:space="preserve">잠자기 확인 후 다음 장면 전환</x:t>
  </x:si>
  <x:si>
    <x:t xml:space="preserve">침대에 임무 아이콘 표시</x:t>
  </x:si>
  <x:si>
    <x:t xml:space="preserve">3 | 재난 대응</x:t>
  </x:si>
  <x:si>
    <x:t xml:space="preserve">새벽 재난 문자 확인하기</x:t>
  </x:si>
  <x:si>
    <x:t xml:space="preserve">재난 문자와 주변 효과음이 동시에 출력되어 핵심 행동을 놓칠 수 있음</x:t>
  </x:si>
  <x:si>
    <x:t xml:space="preserve">균열 인근 대피 안내의 대피 위치와 위험 지역을 먼저 확인함</x:t>
  </x:si>
  <x:si>
    <x:t xml:space="preserve">2/10 – 동시 정보량·경고 문구의 명확성이 난이도를 결정함</x:t>
  </x:si>
  <x:si>
    <x:t xml:space="preserve">재난 문자 핵심 항목 확인</x:t>
  </x:si>
  <x:si>
    <x:t xml:space="preserve">문자를 닫은 뒤 화면에 대피 목표를 고정 표시</x:t>
  </x:si>
  <x:si>
    <x:t xml:space="preserve">3-A | 아파트 재난</x:t>
  </x:si>
  <x:si>
    <x:t xml:space="preserve">가족 찾기</x:t>
  </x:si>
  <x:si>
    <x:t xml:space="preserve">3/10 – 대사 길이·핵심 정보의 명확성·선택지 수가 난이도를 결정함</x:t>
  </x:si>
  <x:si>
    <x:t xml:space="preserve">부모와 동생에 관한 대화를 마지막 문장까지 진행</x:t>
  </x:si>
  <x:si>
    <x:t xml:space="preserve">비상 물품 챙기기</x:t>
  </x:si>
  <x:si>
    <x:t xml:space="preserve">제한된 가방 칸 때문에 모든 물품을 챙길 수 없고 우선순위 판단이 필요함</x:t>
  </x:si>
  <x:si>
    <x:t xml:space="preserve">대피 상황에 필요한 물품을 비교해 가방·물·손전등·구급품 중 필수 물품를 선택함</x:t>
  </x:si>
  <x:si>
    <x:t xml:space="preserve">5/10 – 후보 물품 수·인벤토리 제한·필수 조합 수가 난이도를 결정함</x:t>
  </x:si>
  <x:si>
    <x:t xml:space="preserve">필수 물품이 포함된 상태로 준비 완료</x:t>
  </x:si>
  <x:si>
    <x:t xml:space="preserve">필수 물품이 없으면 확인 단계에서 진행 불가</x:t>
  </x:si>
  <x:si>
    <x:t xml:space="preserve">필수 물품 누락 시 용도 힌트 표시</x:t>
  </x:si>
  <x:si>
    <x:t xml:space="preserve">가족들 대피시키기</x:t>
  </x:si>
  <x:si>
    <x:t xml:space="preserve">동행 NPC가 장애물에 걸리거나 플레이어와 멀어지면 대피가 중단됨</x:t>
  </x:si>
  <x:si>
    <x:t xml:space="preserve">동행자 속도에 맞춰 이동하고 위험 구역 앞에서 부모와 동생를 기다림</x:t>
  </x:si>
  <x:si>
    <x:t xml:space="preserve">6/10 – 동행 인원·속도 차이·장애물 수·허용 거리가 난이도를 결정함</x:t>
  </x:si>
  <x:si>
    <x:t xml:space="preserve">모든 동행 NPC가 대피 지점 도착</x:t>
  </x:si>
  <x:si>
    <x:t xml:space="preserve">동행 NPC가 위험 구역에 8초 이상 고립되면 재시작</x:t>
  </x:si>
  <x:si>
    <x:t xml:space="preserve">동행 NPC가 멀어지면 화면 가장자리에 방향 표시</x:t>
  </x:si>
  <x:si>
    <x:t xml:space="preserve">아파트 계단으로 이동하기</x:t>
  </x:si>
  <x:si>
    <x:t xml:space="preserve">좁은 통로·어두운 조명·장애물로 이동 경로가 제한됨</x:t>
  </x:si>
  <x:si>
    <x:t xml:space="preserve">손전등과 안전한 발판을 확인하며 정전된 계단을 통과함</x:t>
  </x:si>
  <x:si>
    <x:t xml:space="preserve">5/10 – 통로 폭·시야 범위·장애물 간격이 난이도를 결정함</x:t>
  </x:si>
  <x:si>
    <x:t xml:space="preserve">다음 층 도착 트리거 진입</x:t>
  </x:si>
  <x:si>
    <x:t xml:space="preserve">낙하 또는 장애물 피격 3회 시 구간 재시작</x:t>
  </x:si>
  <x:si>
    <x:t xml:space="preserve">안전 발판 테두리와 체크포인트 제공</x:t>
  </x:si>
  <x:si>
    <x:t xml:space="preserve">3-B | 대피 경로</x:t>
  </x:si>
  <x:si>
    <x:t xml:space="preserve">이웃 주민 구조하기</x:t>
  </x:si>
  <x:si>
    <x:t xml:space="preserve">위험이 지속되는 동안 대상 상태를 확인하고 구조 행동을 여러 번 수행해야 함</x:t>
  </x:si>
  <x:si>
    <x:t xml:space="preserve">위험 패턴이 멈춘 순간에 접근해 계단에 쓰러진 이웃 주민를 안전 지점으로 옮김</x:t>
  </x:si>
  <x:si>
    <x:t xml:space="preserve">7/10 – 위험 주기·대상 체력·이동 거리·구조 단계 수가 난이도를 결정함</x:t>
  </x:si>
  <x:si>
    <x:t xml:space="preserve">구조 대상이 안전 지점 도착</x:t>
  </x:si>
  <x:si>
    <x:t xml:space="preserve">구조 대상 체력이 0이 되면 체크포인트 재시작</x:t>
  </x:si>
  <x:si>
    <x:t xml:space="preserve">대상 체력 경고와 안전 경로 표시</x:t>
  </x:si>
  <x:si>
    <x:t xml:space="preserve">아파트 밖으로 탈출하기</x:t>
  </x:si>
  <x:si>
    <x:t xml:space="preserve">출구가 무너지고 안전 경로가 짧은 시간마다 바뀜</x:t>
  </x:si>
  <x:si>
    <x:t xml:space="preserve">붕괴 경고 표시를 보고 붕괴되는 출입구의 열린 통로로 빠르게 이동함</x:t>
  </x:si>
  <x:si>
    <x:t xml:space="preserve">7/10 – 제한시간·안전 경로 폭·장애물 발생 주기가 난이도를 결정함</x:t>
  </x:si>
  <x:si>
    <x:t xml:space="preserve">제한시간 안에 탈출 지점 도착</x:t>
  </x:si>
  <x:si>
    <x:t xml:space="preserve">제한시간 종료 또는 3회 피격 시 재시작</x:t>
  </x:si>
  <x:si>
    <x:t xml:space="preserve">실패 후 제한시간 10초 증가</x:t>
  </x:si>
  <x:si>
    <x:t xml:space="preserve">안전 구역으로 이동하기</x:t>
  </x:si>
  <x:si>
    <x:t xml:space="preserve">표지판·미니맵·NPC 이동 방향을 확인하며 아파트에서 임시 안전 구역까지 이동함</x:t>
  </x:si>
  <x:si>
    <x:t xml:space="preserve">5/10 – 맵 크기·갈림길 수·목적지 표식의 가시성이 난이도를 결정함</x:t>
  </x:si>
  <x:si>
    <x:t xml:space="preserve">아파트에서 임시 안전 구역의 도착 트리거에 진입</x:t>
  </x:si>
  <x:si>
    <x:t xml:space="preserve">괴물의 첫 습격 회피하기</x:t>
  </x:si>
  <x:si>
    <x:t xml:space="preserve">적의 시야와 공격 범위가 넓어 직선 이동만으로는 회피하기 어려움</x:t>
  </x:si>
  <x:si>
    <x:t xml:space="preserve">장애물 뒤로 이동하고 공격 예고를 확인하며 새벽에 출현한 균열 괴물의 공격을 피함</x:t>
  </x:si>
  <x:si>
    <x:t xml:space="preserve">7/10 – 적 속도·공격 범위·예고 시간·안전 지점 수가 난이도를 결정함</x:t>
  </x:si>
  <x:si>
    <x:t xml:space="preserve">회피 구간 종료 지점 도착</x:t>
  </x:si>
  <x:si>
    <x:t xml:space="preserve">체력 0 또는 연속 피격 4회 시 체크포인트 재시작</x:t>
  </x:si>
  <x:si>
    <x:t xml:space="preserve">공격 예고 시간을 늘리고 안전 지점 표시</x:t>
  </x:si>
  <x:si>
    <x:t xml:space="preserve">회피 전투</x:t>
  </x:si>
  <x:si>
    <x:t xml:space="preserve">장애물 활용·공격 예고 회피</x:t>
  </x:si>
  <x:si>
    <x:t xml:space="preserve">주인공의 접촉으로 괴물이 소멸하는 현상 확인하기</x:t>
  </x:si>
  <x:si>
    <x:t xml:space="preserve">도망치던 괴물이 아파트 현관 앞에서 다시 나타나지만 공격보다 먼저 주인공에게 손을 뻗음</x:t>
  </x:si>
  <x:si>
    <x:t xml:space="preserve">공격 버튼 대신 상호작용 입력을 선택해 괴물에게 손을 대고 보랏빛 균열처럼 흩어지는 반응을 관찰함</x:t>
  </x:si>
  <x:si>
    <x:t xml:space="preserve">2/10 – 위협 연출 속에서 공격이 아닌 상호작용을 선택해야 하는 심리적 압박이 난이도를 결정함</x:t>
  </x:si>
  <x:si>
    <x:t xml:space="preserve">괴물과 상호작용해 소멸 연출 확인</x:t>
  </x:si>
  <x:si>
    <x:t xml:space="preserve">공격을 선택해도 진행되지만 이후 관리국 분석 대사가 달라짐</x:t>
  </x:si>
  <x:si>
    <x:t xml:space="preserve">상호작용 가능 순간에 공격 아이콘과 다른 보랏빛 손 아이콘을 표시</x:t>
  </x:si>
  <x:si>
    <x:t xml:space="preserve">특수 상호작용</x:t>
  </x:si>
  <x:si>
    <x:t xml:space="preserve">공격 대신 접촉해 소멸 반응 확인</x:t>
  </x:si>
  <x:si>
    <x:t xml:space="preserve">한도윤과 합류하기</x:t>
  </x:si>
  <x:si>
    <x:t xml:space="preserve">혼란 속에서 신호를 보내는 한도윤에 관한 대화를 마지막 문장까지 진행</x:t>
  </x:si>
  <x:si>
    <x:t xml:space="preserve">임시 대피소 도착하기</x:t>
  </x:si>
  <x:si>
    <x:t xml:space="preserve">표지판·미니맵·NPC 이동 방향을 확인하며 임시 대피소까지 이동함</x:t>
  </x:si>
  <x:si>
    <x:t xml:space="preserve">4/10 – 맵 크기·갈림길 수·목적지 표식의 가시성이 난이도를 결정함</x:t>
  </x:si>
  <x:si>
    <x:t xml:space="preserve">임시 대피소의 도착 트리거에 진입</x:t>
  </x:si>
  <x:si>
    <x:t xml:space="preserve">3-C | 대피소·선의관리국</x:t>
  </x:si>
  <x:si>
    <x:t xml:space="preserve">선의관리국 안내 듣기</x:t>
  </x:si>
  <x:si>
    <x:t xml:space="preserve">선의 측정과 등급제 설명에 관한 대화를 마지막 문장까지 진행</x:t>
  </x:si>
  <x:si>
    <x:t xml:space="preserve">선의 측정 받기</x:t>
  </x:si>
  <x:si>
    <x:t xml:space="preserve">장치 반응과 안내 문구가 평소와 달라 오류인지 결과인지 판단하기 어려움</x:t>
  </x:si>
  <x:si>
    <x:t xml:space="preserve">안내에 따라 손을 올리고 재측정 절차를 완료해 선의 측정 장치를 확인함</x:t>
  </x:si>
  <x:si>
    <x:t xml:space="preserve">4/10 – 측정 단계 수·대기 시간·비정상 결과의 설명 명확성이 난이도를 결정함</x:t>
  </x:si>
  <x:si>
    <x:t xml:space="preserve">측정 절차 모두 완료</x:t>
  </x:si>
  <x:si>
    <x:t xml:space="preserve">중간 이탈 시 측정 단계 처음부터 재진행</x:t>
  </x:si>
  <x:si>
    <x:t xml:space="preserve">현재 측정 단계와 남은 시간을 표시</x:t>
  </x:si>
  <x:si>
    <x:t xml:space="preserve">무한대 수치 재측정하기</x:t>
  </x:si>
  <x:si>
    <x:t xml:space="preserve">안내에 따라 손을 올리고 재측정 절차를 완료해 오류로 의심받는 무한대 수치를 확인함</x:t>
  </x:si>
  <x:si>
    <x:t xml:space="preserve">5/10 – 측정 단계 수·대기 시간·비정상 결과의 설명 명확성이 난이도를 결정함</x:t>
  </x:si>
  <x:si>
    <x:t xml:space="preserve">2분 10초</x:t>
  </x:si>
  <x:si>
    <x:t xml:space="preserve">영웅화 보도 확인하기</x:t>
  </x:si>
  <x:si>
    <x:t xml:space="preserve">방송 화면·시민 반응·관리국 설명이 동시에 제시되어 의미가 분산됨</x:t>
  </x:si>
  <x:si>
    <x:t xml:space="preserve">주요 보도 문구와 주변 인물 반응을 순서대로 확인해 생방송과 주변 시민의 반응을 확인함</x:t>
  </x:si>
  <x:si>
    <x:t xml:space="preserve">3/10 – 동시 정보량·필수 관찰 대상 수가 난이도를 결정함</x:t>
  </x:si>
  <x:si>
    <x:t xml:space="preserve">필수 방송 및 NPC 반응 확인</x:t>
  </x:si>
  <x:si>
    <x:t xml:space="preserve">필수 확인 대상을 목록으로 표시</x:t>
  </x:si>
  <x:si>
    <x:t xml:space="preserve">호화 숙소와 전용 지원 제안 받기</x:t>
  </x:si>
  <x:si>
    <x:t xml:space="preserve">호의처럼 보이는 제안 안에 이후 행동을 제한하는 조건이 포함되어 있음</x:t>
  </x:si>
  <x:si>
    <x:t xml:space="preserve">제안 내용과 조건을 확인해 영웅 대우를 전제로 한 관리국의 제안의 의미를 파악함</x:t>
  </x:si>
  <x:si>
    <x:t xml:space="preserve">3/10 – 조건 문구의 간접성·선택지의 감정적 부담이 난이도를 결정함</x:t>
  </x:si>
  <x:si>
    <x:t xml:space="preserve">제안 대화 종료</x:t>
  </x:si>
  <x:si>
    <x:t xml:space="preserve">제안 조건의 핵심 문구를 강조</x:t>
  </x:si>
  <x:si>
    <x:t xml:space="preserve">첫 구조 임무 수락하기</x:t>
  </x:si>
  <x:si>
    <x:t xml:space="preserve">임무 목표와 위험 요소가 한 번에 제시되어 우선순위를 놓칠 수 있음</x:t>
  </x:si>
  <x:si>
    <x:t xml:space="preserve">요청 지역·구조 대상·예상 위험을 확인한 뒤 도심 잔해 구역 구조 요청을 수락함</x:t>
  </x:si>
  <x:si>
    <x:t xml:space="preserve">3/10 – 목표 수·위험 정보량·선택지 수가 난이도를 결정함</x:t>
  </x:si>
  <x:si>
    <x:t xml:space="preserve">임무 수락 선택 완료</x:t>
  </x:si>
  <x:si>
    <x:t xml:space="preserve">수락 후 목표를 세 줄로 요약 표시</x:t>
  </x:si>
  <x:si>
    <x:t xml:space="preserve">3-D | 도심 구조 임무</x:t>
  </x:si>
  <x:si>
    <x:t xml:space="preserve">도심 잔해 구역으로 이동하기</x:t>
  </x:si>
  <x:si>
    <x:t xml:space="preserve">표지판·미니맵·NPC 이동 방향을 확인하며 대피소에서 붕괴 지역까지 이동함</x:t>
  </x:si>
  <x:si>
    <x:t xml:space="preserve">대피소에서 붕괴 지역의 도착 트리거에 진입</x:t>
  </x:si>
  <x:si>
    <x:t xml:space="preserve">고립 시민 찾기</x:t>
  </x:si>
  <x:si>
    <x:t xml:space="preserve">잔해와 효과음 때문에 구조 신호의 방향을 정확히 판단하기 어려움</x:t>
  </x:si>
  <x:si>
    <x:t xml:space="preserve">소리 크기와 탐지기 반응을 비교하며 잔해 속 구조 신호를 탐색함</x:t>
  </x:si>
  <x:si>
    <x:t xml:space="preserve">6/10 – 탐색 범위·가짜 신호 수·제한시간이 난이도를 결정함</x:t>
  </x:si>
  <x:si>
    <x:t xml:space="preserve">모든 구조 대상 위치 확인</x:t>
  </x:si>
  <x:si>
    <x:t xml:space="preserve">제한시간 종료 시 가장 가까운 체크포인트에서 재시작</x:t>
  </x:si>
  <x:si>
    <x:t xml:space="preserve">탐지기 반응 범위를 넓히고 방향 표시 제공</x:t>
  </x:si>
  <x:si>
    <x:t xml:space="preserve">잔해 제거하기</x:t>
  </x:si>
  <x:si>
    <x:t xml:space="preserve">잔해마다 필요한 조작과 안전한 제거 순서가 다름</x:t>
  </x:si>
  <x:si>
    <x:t xml:space="preserve">균열이 적은 잔해부터 선택하고 반복 입력으로 통로를 막는 잔해 6개를 제거함</x:t>
  </x:si>
  <x:si>
    <x:t xml:space="preserve">7/10 – 잔해 수·입력 횟수·위험 순서·피격 빈도가 난이도를 결정함</x:t>
  </x:si>
  <x:si>
    <x:t xml:space="preserve">통로를 막는 잔해 전부 제거</x:t>
  </x:si>
  <x:si>
    <x:t xml:space="preserve">위험 잔해를 먼저 제거하면 체력 감소 및 진행 지연</x:t>
  </x:si>
  <x:si>
    <x:t xml:space="preserve">3분 20초</x:t>
  </x:si>
  <x:si>
    <x:t xml:space="preserve">안전한 제거 순서를 색이 아닌 아이콘으로 표시</x:t>
  </x:si>
  <x:si>
    <x:t xml:space="preserve">시민 대피 유도하기</x:t>
  </x:si>
  <x:si>
    <x:t xml:space="preserve">시민들이 서로 다른 속도로 이동하고 공포 상태에서 경로를 이탈함</x:t>
  </x:si>
  <x:si>
    <x:t xml:space="preserve">가장 느린 시민 속도에 맞추고 위험 앞에서 집결 명령을 사용함</x:t>
  </x:si>
  <x:si>
    <x:t xml:space="preserve">7/10 – 동행 인원·속도 편차·위험 구간 수·명령 재사용 시간이 난이도를 결정함</x:t>
  </x:si>
  <x:si>
    <x:t xml:space="preserve">고립 시민 5명 전원이 안전 지점 도착</x:t>
  </x:si>
  <x:si>
    <x:t xml:space="preserve">시민 1명이라도 체력 0이 되면 체크포인트 재시작</x:t>
  </x:si>
  <x:si>
    <x:t xml:space="preserve">3분 10초</x:t>
  </x:si>
  <x:si>
    <x:t xml:space="preserve">이탈 시민 방향과 안전 경로를 표시</x:t>
  </x:si>
  <x:si>
    <x:t xml:space="preserve">선의관리국 지급 총과 상태 UI 확인하기</x:t>
  </x:si>
  <x:si>
    <x:t xml:space="preserve">관리국 지급 총은 익숙한 형태지만 괴물에게 유효한 무기인지 알 수 없고 전투 UI 정보가 한꺼번에 표시됨</x:t>
  </x:si>
  <x:si>
    <x:t xml:space="preserve">체력·회피·탄창 UI를 확인하고 지급 총의 조준과 재장전 방식을 순서대로 익힘</x:t>
  </x:si>
  <x:si>
    <x:t xml:space="preserve">2/10 – UI 정보량·강조 순서·설명 노출 시간이 난이도를 결정함</x:t>
  </x:si>
  <x:si>
    <x:t xml:space="preserve">체력·탄약·회피·조준 표시 4개 확인 및 지급 총 장착</x:t>
  </x:si>
  <x:si>
    <x:t xml:space="preserve">핵심 UI를 한 항목씩 점멸시키고 확인 전에는 다음 안내를 잠금</x:t>
  </x:si>
  <x:si>
    <x:t xml:space="preserve">총 사격과 회피 입력 연습하기</x:t>
  </x:si>
  <x:si>
    <x:t xml:space="preserve">조준 중 이동속도가 낮아지고 사격 후 회피 입력 타이밍을 처음 익혀야 함</x:t>
  </x:si>
  <x:si>
    <x:t xml:space="preserve">훈련 표적에 총알 3발을 명중한 뒤 공격 예고에 맞춰 회피를 2회 성공함</x:t>
  </x:si>
  <x:si>
    <x:t xml:space="preserve">3/10 – 조준 이동속도·사격 후 경직·회피 허용 시간이 난이도를 결정함</x:t>
  </x:si>
  <x:si>
    <x:t xml:space="preserve">총알 3발 명중과 회피 2회를 모두 성공</x:t>
  </x:si>
  <x:si>
    <x:t xml:space="preserve">실패한 동작만 즉시 다시 연습</x:t>
  </x:si>
  <x:si>
    <x:t xml:space="preserve">첫 회피 예고를 느리게 재생하고 실패 시 같은 패턴을 즉시 반복</x:t>
  </x:si>
  <x:si>
    <x:t xml:space="preserve">전투 튜토리얼</x:t>
  </x:si>
  <x:si>
    <x:t xml:space="preserve">조준·사격·회피 기본 입력</x:t>
  </x:si>
  <x:si>
    <x:t xml:space="preserve">괴물의 공격 예고 신호 파악하기</x:t>
  </x:si>
  <x:si>
    <x:t xml:space="preserve">괴물의 몸동작과 바닥 경고 아이콘을 함께 보고 공격 방향과 범위를 판단해야 함</x:t>
  </x:si>
  <x:si>
    <x:t xml:space="preserve">공격 전 몸동작과 경고 아이콘을 비교해 서로 다른 공격 3회를 피함</x:t>
  </x:si>
  <x:si>
    <x:t xml:space="preserve">4/10 – 예고 시간·공격 범위 차이·연속 패턴 수가 난이도를 결정함</x:t>
  </x:si>
  <x:si>
    <x:t xml:space="preserve">서로 다른 공격 패턴 3회를 피격 없이 회피</x:t>
  </x:si>
  <x:si>
    <x:t xml:space="preserve">피격 시 현재 패턴부터 다시 시작</x:t>
  </x:si>
  <x:si>
    <x:t xml:space="preserve">예고 시간을 늘리고 공격 범위를 외곽선과 아이콘으로 동시에 표시</x:t>
  </x:si>
  <x:si>
    <x:t xml:space="preserve">몸동작·바닥 경고 판독</x:t>
  </x:si>
  <x:si>
    <x:t xml:space="preserve">회피 후 사격할 빈틈 파악하기</x:t>
  </x:si>
  <x:si>
    <x:t xml:space="preserve">회피 직후 너무 빠르거나 늦게 조준하면 반격 기회를 놓치거나 추가 피해를 받음</x:t>
  </x:si>
  <x:si>
    <x:t xml:space="preserve">강한 공격을 회피한 뒤 경직 표시가 유지되는 동안 조준 사격을 2회 성공함</x:t>
  </x:si>
  <x:si>
    <x:t xml:space="preserve">5/10 – 반격 가능 시간·연속 입력 수·실패 시 피해량이 난이도를 결정함</x:t>
  </x:si>
  <x:si>
    <x:t xml:space="preserve">회피 후 약점 사격 2회 성공</x:t>
  </x:si>
  <x:si>
    <x:t xml:space="preserve">체력 0 시 자동 회복 후 현재 연습부터 재시작</x:t>
  </x:si>
  <x:si>
    <x:t xml:space="preserve">첫 반격 가능 구간에서 짧게 정지하고 입력 아이콘을 표시</x:t>
  </x:si>
  <x:si>
    <x:t xml:space="preserve">회피 직후 반격 타이밍</x:t>
  </x:si>
  <x:si>
    <x:t xml:space="preserve">관리국 지급 총의 낮은 피해 확인하기</x:t>
  </x:si>
  <x:si>
    <x:t xml:space="preserve">탄환이 명중해도 괴물의 체력은 거의 줄지 않고 움직임만 잠시 둔해져 일반 무기의 역할을 오해하기 쉬움</x:t>
  </x:si>
  <x:si>
    <x:t xml:space="preserve">같은 부위에 사격한 뒤 피해량과 경직량을 비교해 지급 총은 결정타가 아니라 거리 확보용 보조 수단임을 확인함</x:t>
  </x:si>
  <x:si>
    <x:t xml:space="preserve">4/10 – 조준 흔들림·탄약 제한·피해 수치 해석이 난이도를 결정함</x:t>
  </x:si>
  <x:si>
    <x:t xml:space="preserve">탄환 명중 3회, 피해량·경직량 비교, 무기 한계 확인</x:t>
  </x:si>
  <x:si>
    <x:t xml:space="preserve">탄약 소진 시 관리국 드론이 시험 탄창을 1회 보급</x:t>
  </x:si>
  <x:si>
    <x:t xml:space="preserve">첫 두 발은 조준 보정을 적용하고 피해 비교 UI를 크게 표시</x:t>
  </x:si>
  <x:si>
    <x:t xml:space="preserve">피해·경직 비교로 보조 무기 역할 이해</x:t>
  </x:si>
  <x:si>
    <x:t xml:space="preserve">보랏빛 공명 흔적 추적하기</x:t>
  </x:si>
  <x:si>
    <x:t xml:space="preserve">괴물을 피해 이동하는 동안 희미한 보랏빛 흔적이 잔해와 경고등에 섞여 잘 보이지 않음</x:t>
  </x:si>
  <x:si>
    <x:t xml:space="preserve">탐지기의 반응 강도와 바닥의 잔광을 비교해 괴물의 공격을 피하며 공명 물체의 위치를 좁힘</x:t>
  </x:si>
  <x:si>
    <x:t xml:space="preserve">5/10 – 시야 방해·탐지기 반응 지연·괴물 압박이 난이도를 결정함</x:t>
  </x:si>
  <x:si>
    <x:t xml:space="preserve">공명 흔적 4개를 따라 무기 위치 도달</x:t>
  </x:si>
  <x:si>
    <x:t xml:space="preserve">체력 0 시 첫 흔적 체크포인트에서 재시작</x:t>
  </x:si>
  <x:si>
    <x:t xml:space="preserve">재시도 시 탐지기 반응 범위를 넓히고 다음 흔적이 짧게 점멸</x:t>
  </x:si>
  <x:si>
    <x:t xml:space="preserve">붕괴 표지판의 철제 지지봉 회수하기</x:t>
  </x:si>
  <x:si>
    <x:t xml:space="preserve">공명하는 철제 지지봉이 잔해 아래 끼어 있고 괴물이 가까워지는 동안 여러 고정 장치를 풀어야 함</x:t>
  </x:si>
  <x:si>
    <x:t xml:space="preserve">총으로 괴물의 접근을 잠시 늦춘 뒤 고정핀을 순서대로 제거하고 보랏빛 지지봉을 뽑아 듦</x:t>
  </x:si>
  <x:si>
    <x:t xml:space="preserve">5/10 – 접근 제한시간·고정핀 순서·사격과 상호작용 전환이 난이도를 결정함</x:t>
  </x:si>
  <x:si>
    <x:t xml:space="preserve">고정핀 3개 해제 후 철제 지지봉 획득</x:t>
  </x:si>
  <x:si>
    <x:t xml:space="preserve">괴물에게 붙잡히면 마지막 고정핀 단계부터 재시작</x:t>
  </x:si>
  <x:si>
    <x:t xml:space="preserve">실패 후 괴물 경직 시간을 늘리고 다음 고정핀을 강조</x:t>
  </x:si>
  <x:si>
    <x:t xml:space="preserve">보랏빛 철제 지지봉으로 첫 괴물 제압하기</x:t>
  </x:si>
  <x:si>
    <x:t xml:space="preserve">괴물이 가까이 접근한 상태에서 처음 사용하는 근접 공명 무기의 짧은 사거리와 큰 후딜레이를 감당해야 함</x:t>
  </x:si>
  <x:si>
    <x:t xml:space="preserve">지급 총으로 돌진을 늦추고 회피 직후 보랏빛 철제 지지봉으로 외피와 약점을 차례로 타격함</x:t>
  </x:si>
  <x:si>
    <x:t xml:space="preserve">7/10 – 총으로 만드는 경직·근접 전환 시점·공명 공격 후 경직이 난이도를 결정함</x:t>
  </x:si>
  <x:si>
    <x:t xml:space="preserve">총으로 경직 2회, 지지봉 약점 타격 3회, 괴물 1체 제압</x:t>
  </x:si>
  <x:si>
    <x:t xml:space="preserve">주인공 체력 0 시 철제 지지봉 획득 직후부터 재시작</x:t>
  </x:si>
  <x:si>
    <x:t xml:space="preserve">4분 20초</x:t>
  </x:si>
  <x:si>
    <x:t xml:space="preserve">첫 공명 타격은 슬로 모션으로 연출하고 실패 후 약점 노출 시간을 늘림</x:t>
  </x:si>
  <x:si>
    <x:t xml:space="preserve">일반 몬스터</x:t>
  </x:si>
  <x:si>
    <x:t xml:space="preserve">총 경직→공명 무기 약점 타격</x:t>
  </x:si>
  <x:si>
    <x:t xml:space="preserve">공명 무기가 보랏빛 재로 소멸하는 현상 확인하기</x:t>
  </x:si>
  <x:si>
    <x:t xml:space="preserve">첫 전투에서 얻은 강력한 무기를 계속 사용할 수 있을 것처럼 보이지만 전투 종료와 함께 무기가 붕괴함</x:t>
  </x:si>
  <x:si>
    <x:t xml:space="preserve">철제 지지봉이 보랏빛 재로 변하는 연출과 관리국 통신을 확인해 새로운 괴물마다 그 기억과 공명하는 물체를 찾아야 함을 이해함</x:t>
  </x:si>
  <x:si>
    <x:t xml:space="preserve">3/10 – 규칙 설명량·연출 가시성이 난이도를 결정함</x:t>
  </x:si>
  <x:si>
    <x:t xml:space="preserve">무기 소멸 연출과 전투 기록의 신규 규칙 확인</x:t>
  </x:si>
  <x:si>
    <x:t xml:space="preserve">핵심 규칙을 전투 기록에 자동 저장</x:t>
  </x:si>
  <x:si>
    <x:t xml:space="preserve">구조 임무 완료 보고하기</x:t>
  </x:si>
  <x:si>
    <x:t xml:space="preserve">완료 정보와 새로 발견한 사실 중 무엇을 보고해야 하는지 구분해야 함</x:t>
  </x:si>
  <x:si>
    <x:t xml:space="preserve">임무 결과·인원·특이사항을 확인하고 구조 인원과 현장 상태를 순서대로 보고함</x:t>
  </x:si>
  <x:si>
    <x:t xml:space="preserve">2/10 – 보고 항목 수·정보 분산 정도가 난이도를 결정함</x:t>
  </x:si>
  <x:si>
    <x:t xml:space="preserve">필수 보고 항목 모두 선택</x:t>
  </x:si>
  <x:si>
    <x:t xml:space="preserve">누락 항목이 있으면 보고 완료 불가</x:t>
  </x:si>
  <x:si>
    <x:t xml:space="preserve">미보고 항목을 체크리스트로 표시</x:t>
  </x:si>
  <x:si>
    <x:t xml:space="preserve">지하 주차장 구조 요청 받기</x:t>
  </x:si>
  <x:si>
    <x:t xml:space="preserve">관리국은 시민 구조보다 괴물 제압 영상을 우선 요구하며 임무 목적이 충돌함</x:t>
  </x:si>
  <x:si>
    <x:t xml:space="preserve">구조 대상 위치와 촬영 지시를 확인하고 시민 구조를 우선 목표로 설정함</x:t>
  </x:si>
  <x:si>
    <x:t xml:space="preserve">2/10 – 상충하는 목표 문구와 선택의 감정적 부담이 난이도를 결정함</x:t>
  </x:si>
  <x:si>
    <x:t xml:space="preserve">지하 주차장 구조 임무 수락</x:t>
  </x:si>
  <x:si>
    <x:t xml:space="preserve">브리핑 종료 후 구조 목표와 홍보 목표를 분리 표시</x:t>
  </x:si>
  <x:si>
    <x:t xml:space="preserve">3-E | 지하 주차장 구조</x:t>
  </x:si>
  <x:si>
    <x:t xml:space="preserve">주차 차단기 막대의 공명 찾기</x:t>
  </x:si>
  <x:si>
    <x:t xml:space="preserve">비상등과 차량 경보가 반복되어 탐지기 반응과 보랏빛 잔광을 구분하기 어려움</x:t>
  </x:si>
  <x:si>
    <x:t xml:space="preserve">경보 주기와 무관하게 반응하는 물체를 비교해 부러진 주차 차단기 막대를 찾아냄</x:t>
  </x:si>
  <x:si>
    <x:t xml:space="preserve">4/10 – 가짜 반응 수·시야 점멸·탐색 범위가 난이도를 결정함</x:t>
  </x:si>
  <x:si>
    <x:t xml:space="preserve">가짜 반응을 제외하고 공명 차단기 막대 발견</x:t>
  </x:si>
  <x:si>
    <x:t xml:space="preserve">오탐 4회 시 괴물의 위치가 가까워짐</x:t>
  </x:si>
  <x:si>
    <x:t xml:space="preserve">오탐 후 경보와 동기화된 가짜 반응을 회색으로 표시</x:t>
  </x:si>
  <x:si>
    <x:t xml:space="preserve">차량 사이로 괴물 유인하기</x:t>
  </x:si>
  <x:si>
    <x:t xml:space="preserve">좁은 차량 사이에서는 회피 공간이 부족하고 경보음이 괴물의 돌진 방향을 바꿈</x:t>
  </x:si>
  <x:si>
    <x:t xml:space="preserve">차량 경적을 순서대로 작동시켜 괴물을 넓은 통로로 유인하고 시민과의 거리를 벌림</x:t>
  </x:si>
  <x:si>
    <x:t xml:space="preserve">6/10 – 통로 폭·돌진 속도·경적 재사용 시간·시민 위치가 난이도를 결정함</x:t>
  </x:si>
  <x:si>
    <x:t xml:space="preserve">괴물을 지정된 넓은 통로까지 유인</x:t>
  </x:si>
  <x:si>
    <x:t xml:space="preserve">시민 구역 진입 또는 체력 0 시 체크포인트 재시작</x:t>
  </x:si>
  <x:si>
    <x:t xml:space="preserve">재시도 시 돌진 예고 시간을 늘리고 다음 경적 위치를 표시</x:t>
  </x:si>
  <x:si>
    <x:t xml:space="preserve">전투 연계</x:t>
  </x:si>
  <x:si>
    <x:t xml:space="preserve">경적 유도·시민과 거리 확보</x:t>
  </x:si>
  <x:si>
    <x:t xml:space="preserve">차단기 막대로 괴물 제압하기</x:t>
  </x:si>
  <x:si>
    <x:t xml:space="preserve">괴물이 연속 돌진해 공격 가능한 시간이 짧지만 공명 무기의 타격은 큰 피해를 줌</x:t>
  </x:si>
  <x:si>
    <x:t xml:space="preserve">돌진을 옆으로 피한 뒤 차단기 막대로 약점을 두 번 가격해 짧은 시간 안에 제압함</x:t>
  </x:si>
  <x:si>
    <x:t xml:space="preserve">6/10 – 돌진 예고·회피 타이밍·약점 노출 시간이 난이도를 결정함</x:t>
  </x:si>
  <x:si>
    <x:t xml:space="preserve">공명 타격 2회로 괴물 1체 제압</x:t>
  </x:si>
  <x:si>
    <x:t xml:space="preserve">체력 0 시 유인 완료 지점부터 재시작</x:t>
  </x:si>
  <x:si>
    <x:t xml:space="preserve">첫 실패 후 약점 노출 시간을 늘리고 공격 방향 보정 적용</x:t>
  </x:si>
  <x:si>
    <x:t xml:space="preserve">돌진 회피→약점 2회 타격</x:t>
  </x:si>
  <x:si>
    <x:t xml:space="preserve">봉쇄된 임시 대피소의 구조 요청 확인하기</x:t>
  </x:si>
  <x:si>
    <x:t xml:space="preserve">철문 안쪽은 안전하지만 문밖의 구조 요청이 반복되고 관리자는 추가 생존자의 입장을 완전히 차단함</x:t>
  </x:si>
  <x:si>
    <x:t xml:space="preserve">무전 기록과 출입 명부를 확인해 관리인이 공포를 넘어 문밖의 사람을 위험 요소로 보기 시작했음을 파악함</x:t>
  </x:si>
  <x:si>
    <x:t xml:space="preserve">4/10 – 구조 요청 위치·출입 기록 순서·경보음의 중첩이 판단 난이도를 결정함</x:t>
  </x:si>
  <x:si>
    <x:t xml:space="preserve">문밖 생존자 3명의 위치와 봉쇄 원인 확인</x:t>
  </x:si>
  <x:si>
    <x:t xml:space="preserve">기록의 시간 순서를 자동 정렬하고 마지막 구조 요청 위치 표시</x:t>
  </x:si>
  <x:si>
    <x:t xml:space="preserve">3-F | 첫 보스·봉쇄 대피소</x:t>
  </x:si>
  <x:si>
    <x:t xml:space="preserve">닫힌 문지기의 돌진으로 철문 파괴하기</x:t>
  </x:si>
  <x:si>
    <x:t xml:space="preserve">보스가 출입문을 계속 닫고 철문 뒤에서 충격파를 발생시켜 직접 공격만으로는 방어 외피를 깨기 어려움</x:t>
  </x:si>
  <x:si>
    <x:t xml:space="preserve">돌진 예고를 확인하고 잠긴 철문 앞으로 유도해 충돌시키며 봉쇄문 3개와 외피를 차례로 파괴함</x:t>
  </x:si>
  <x:si>
    <x:t xml:space="preserve">6/10 – 돌진 속도·유도 각도·철문 간격이 난이도를 결정함</x:t>
  </x:si>
  <x:si>
    <x:t xml:space="preserve">보스 돌진으로 잠긴 철문 3개 파괴</x:t>
  </x:si>
  <x:si>
    <x:t xml:space="preserve">주인공 체력 0 시 보스전 시작 지점 재시작</x:t>
  </x:si>
  <x:si>
    <x:t xml:space="preserve">실패 후 돌진 궤적과 충돌 가능한 철문을 강조</x:t>
  </x:si>
  <x:si>
    <x:t xml:space="preserve">돌진 유도→철문 파괴</x:t>
  </x:si>
  <x:si>
    <x:t xml:space="preserve">문밖 시민을 열린 통로로 유도하기</x:t>
  </x:si>
  <x:si>
    <x:t xml:space="preserve">철문이 열려도 겁에 질린 시민들이 서로 다른 방향으로 움직여 보스의 충격파 범위에 다시 진입함</x:t>
  </x:si>
  <x:si>
    <x:t xml:space="preserve">차한해가 접근하면 반대 방향으로 움직이는 시민 반응을 이용해 3명을 순서대로 안전 구역에 넣음</x:t>
  </x:si>
  <x:si>
    <x:t xml:space="preserve">6/10 – 시민 간 거리·충격파 주기·안전 구역 위치가 난이도를 결정함</x:t>
  </x:si>
  <x:si>
    <x:t xml:space="preserve">시민 3명 전원 안전 구역 도착</x:t>
  </x:si>
  <x:si>
    <x:t xml:space="preserve">시민 체력 0 시 현재 페이즈 재시작</x:t>
  </x:si>
  <x:si>
    <x:t xml:space="preserve">시민 이동 예상 방향과 안전 구역 경계를 표시</x:t>
  </x:si>
  <x:si>
    <x:t xml:space="preserve">시민 밀어내기·안전 구역 유도</x:t>
  </x:si>
  <x:si>
    <x:t xml:space="preserve">닫힌 문지기의 방어 핵 제압하기</x:t>
  </x:si>
  <x:si>
    <x:t xml:space="preserve">모든 문이 열리면 보스가 남은 철판을 몸에 둘러 짧은 시간 동안 핵을 노출함</x:t>
  </x:si>
  <x:si>
    <x:t xml:space="preserve">충격파를 옆으로 피한 뒤 노출된 핵을 공명 무기로 3회 타격해 봉쇄 외피를 해제함</x:t>
  </x:si>
  <x:si>
    <x:t xml:space="preserve">6/10 – 핵 노출 시간·근접 전환 타이밍·충격파 간격이 난이도를 결정함</x:t>
  </x:si>
  <x:si>
    <x:t xml:space="preserve">방어 핵 공명 타격 3회 성공</x:t>
  </x:si>
  <x:si>
    <x:t xml:space="preserve">주인공 체력 0 시 핵 노출 페이즈 재시작</x:t>
  </x:si>
  <x:si>
    <x:t xml:space="preserve">반복 실패 시 핵 노출 시간을 늘리고 마지막 타격에 조준 보정 적용</x:t>
  </x:si>
  <x:si>
    <x:t xml:space="preserve">충격파 회피→노출 핵 집중 공격</x:t>
  </x:si>
  <x:si>
    <x:t xml:space="preserve">관리인의 마지막 출입 기록 확인하기</x:t>
  </x:si>
  <x:si>
    <x:t xml:space="preserve">보스가 쓰러진 뒤에도 잠긴 문을 지켜야 한다는 독백과 문밖 사람들의 구조 요청이 겹쳐 들림</x:t>
  </x:si>
  <x:si>
    <x:t xml:space="preserve">출입 기록과 남은 음성을 확인해 사람들을 지키려던 행동이 타인을 외면하는 안도감으로 변한 과정을 이해함</x:t>
  </x:si>
  <x:si>
    <x:t xml:space="preserve">3/10 – 기록의 감정 변화와 사건 순서를 연결하는 이해 난이도가 중심임</x:t>
  </x:si>
  <x:si>
    <x:t xml:space="preserve">필수 출입 기록 4개 확인</x:t>
  </x:si>
  <x:si>
    <x:t xml:space="preserve">시간순 자동 재생과 핵심 문장 기록 메뉴 저장</x:t>
  </x:si>
  <x:si>
    <x:t xml:space="preserve">시민들의 연속 부탁 처리하기</x:t>
  </x:si>
  <x:si>
    <x:t xml:space="preserve">작은 목표가 연속으로 추가되어 피로와 동선 낭비가 누적됨</x:t>
  </x:si>
  <x:si>
    <x:t xml:space="preserve">요청 위치를 묶어 처리하고 우선순위를 정해 작은 부탁이 끊임없이 추가되는 상황을 정리함</x:t>
  </x:si>
  <x:si>
    <x:t xml:space="preserve">7/10 – 요청 수·이동 거리·동시 활성 목표 수가 난이도를 결정함</x:t>
  </x:si>
  <x:si>
    <x:t xml:space="preserve">필수 부탁 전부 완료</x:t>
  </x:si>
  <x:si>
    <x:t xml:space="preserve">필수 부탁을 포기하면 해당 구간 보상 감소</x:t>
  </x:si>
  <x:si>
    <x:t xml:space="preserve">4분</x:t>
  </x:si>
  <x:si>
    <x:t xml:space="preserve">비슷한 위치의 부탁을 한 묶음으로 지도에 표시</x:t>
  </x:si>
  <x:si>
    <x:t xml:space="preserve">3-G | 임무 후 대피소·영웅화 압박</x:t>
  </x:si>
  <x:si>
    <x:t xml:space="preserve">승강장 전광판의 금속 프레임 회수하기</x:t>
  </x:si>
  <x:si>
    <x:t xml:space="preserve">정전과 열차 진입 경고 속에서 공명 물체가 선로 가까이에 떨어져 접근 시간이 제한됨</x:t>
  </x:si>
  <x:si>
    <x:t xml:space="preserve">열차 경고 주기를 확인해 안전 시간에 선로 가장자리로 접근하고 전광판 프레임을 끌어올림</x:t>
  </x:si>
  <x:si>
    <x:t xml:space="preserve">6/10 – 경고 주기·접근 가능 시간·상호작용 지속시간이 난이도를 결정함</x:t>
  </x:si>
  <x:si>
    <x:t xml:space="preserve">고정 장치 3개 해제 후 금속 프레임 획득</x:t>
  </x:si>
  <x:si>
    <x:t xml:space="preserve">경고 시간 안에 복귀하지 못하면 승강장 체크포인트 재시작</x:t>
  </x:si>
  <x:si>
    <x:t xml:space="preserve">재시도 시 열차 경고 시간을 늘리고 안전 구역을 선으로 표시</x:t>
  </x:si>
  <x:si>
    <x:t xml:space="preserve">3-H | 지하철 승강장 구조</x:t>
  </x:si>
  <x:si>
    <x:t xml:space="preserve">승강장 괴물 2체 연속 제압하기</x:t>
  </x:si>
  <x:si>
    <x:t xml:space="preserve">두 괴물이 다른 방향에서 공격하지만 공명 무기는 한 번에 한 방향만 넓게 타격함</x:t>
  </x:si>
  <x:si>
    <x:t xml:space="preserve">첫 괴물을 넉백시켜 두 적을 한 방향에 모은 뒤 금속 프레임의 넓은 휘두르기로 빠르게 제압함</x:t>
  </x:si>
  <x:si>
    <x:t xml:space="preserve">7/10 – 적 간격·공격 방향·넉백 거리·연속 공격 타이밍이 난이도를 결정함</x:t>
  </x:si>
  <x:si>
    <x:t xml:space="preserve">시민 피해 없이 괴물 2체 제압</x:t>
  </x:si>
  <x:si>
    <x:t xml:space="preserve">시민 체력 0 또는 주인공 체력 0 시 전투 시작부터 재시작</x:t>
  </x:si>
  <x:si>
    <x:t xml:space="preserve">재시도 시 첫 넉백 거리를 늘리고 시민 주변에 보호 구역 표시</x:t>
  </x:si>
  <x:si>
    <x:t xml:space="preserve">넉백으로 2체 정렬·광역 타격</x:t>
  </x:si>
  <x:si>
    <x:t xml:space="preserve">대피소의 아이에게 사탕 건네기</x:t>
  </x:si>
  <x:si>
    <x:t xml:space="preserve">아이는 어머니가 돌아오면 함께 먹겠다며 사탕을 바로 받지 않고 가족사진을 계속 쥐고 있음</x:t>
  </x:si>
  <x:si>
    <x:t xml:space="preserve">아이와 짧게 대화하고 사탕을 보관해 주며 가족사진과 철제 잔해 사고의 단서를 확인함</x:t>
  </x:si>
  <x:si>
    <x:t xml:space="preserve">2/10 – 짧은 대화 속 가족 단서를 알아차리는 난이도가 중심임</x:t>
  </x:si>
  <x:si>
    <x:t xml:space="preserve">아이와 대화 완료 및 사탕 보관</x:t>
  </x:si>
  <x:si>
    <x:t xml:space="preserve">가족사진을 기록 메뉴에 자동 등록</x:t>
  </x:si>
  <x:si>
    <x:t xml:space="preserve">3-I | 융합 보스·폭력의 순환</x:t>
  </x:si>
  <x:si>
    <x:t xml:space="preserve">융합된 괴물의 단일 외피 공략하기</x:t>
  </x:si>
  <x:si>
    <x:t xml:space="preserve">한 몸에서 서로 반대되는 공격 전조가 나타나 같은 방식으로 대응하면 시민과 주인공이 동시에 위험해짐</x:t>
  </x:si>
  <x:si>
    <x:t xml:space="preserve">좌우 얼굴과 팔의 전조를 구분하며 외피의 공명 부위를 타격해 내부의 두 기억을 분리시킴</x:t>
  </x:si>
  <x:si>
    <x:t xml:space="preserve">8/10 – 전조 구분·공격 방향·시민 위치·외피 약점 노출이 난이도를 결정함</x:t>
  </x:si>
  <x:si>
    <x:t xml:space="preserve">융합 외피 약점 4회 타격 후 분열 연출 발생</x:t>
  </x:si>
  <x:si>
    <x:t xml:space="preserve">주인공 또는 시민 체력 0 시 1페이즈 재시작</x:t>
  </x:si>
  <x:si>
    <x:t xml:space="preserve">첫 실패 후 두 공격 전조의 형태와 음성을 더 명확히 구분</x:t>
  </x:si>
  <x:si>
    <x:t xml:space="preserve">상반된 전조 판별·외피 파괴</x:t>
  </x:si>
  <x:si>
    <x:t xml:space="preserve">받아내는 자의 공격을 시민 대신 막기</x:t>
  </x:si>
  <x:si>
    <x:t xml:space="preserve">가정폭력의 기억에 갇힌 보스가 시민을 아이로 인식해 공격하며 차한해가 피하면 남편이 다시 책임을 회피했다고 판단함</x:t>
  </x:si>
  <x:si>
    <x:t xml:space="preserve">보스와 지목된 시민 사이의 공격 경로에 들어가 낮은 피해의 공격을 받아내며 환각을 일시적으로 해제함</x:t>
  </x:si>
  <x:si>
    <x:t xml:space="preserve">8/10 – 대상 표식·차단 위치·동시 공격 주기가 난이도를 결정함</x:t>
  </x:si>
  <x:si>
    <x:t xml:space="preserve">시민 피해 없이 받아내기 공격 3회 성공</x:t>
  </x:si>
  <x:si>
    <x:t xml:space="preserve">받아내기 실패 2회 시 화염 폭주 패턴 발생</x:t>
  </x:si>
  <x:si>
    <x:t xml:space="preserve">공격 경로와 받아내기 가능 판정 범위를 선으로 표시</x:t>
  </x:si>
  <x:si>
    <x:t xml:space="preserve">시민 대신 공격 받아내기</x:t>
  </x:si>
  <x:si>
    <x:t xml:space="preserve">빗나가게 하는 자의 공격을 끝까지 피하기</x:t>
  </x:si>
  <x:si>
    <x:t xml:space="preserve">군대 시절 폭행 기억에 갇힌 보스는 공격을 맞히는 순간 자신이 다시 가해자가 되었다고 인식함</x:t>
  </x:si>
  <x:si>
    <x:t xml:space="preserve">보스가 의도적으로 남겨 둔 빈 공간과 떨리는 어깨 신호를 읽고 모든 공격을 회피함</x:t>
  </x:si>
  <x:si>
    <x:t xml:space="preserve">8/10 – 회피 공간 크기·연속 공격 수·가짜 전조가 난이도를 결정함</x:t>
  </x:si>
  <x:si>
    <x:t xml:space="preserve">보스 공격 5회 연속 회피</x:t>
  </x:si>
  <x:si>
    <x:t xml:space="preserve">공격 피격 시 트라우마 폭주 패턴으로 전환</x:t>
  </x:si>
  <x:si>
    <x:t xml:space="preserve">실패 후 안전 방향을 0.5초간 잔상으로 표시</x:t>
  </x:si>
  <x:si>
    <x:t xml:space="preserve">의도된 빈틈 판독·연속 회피</x:t>
  </x:si>
  <x:si>
    <x:t xml:space="preserve">군인의 트라우마 폭주에서 시민 대피시키기</x:t>
  </x:si>
  <x:si>
    <x:t xml:space="preserve">공격이 적중하면 보스가 구석에서 머리카락을 쥐어뜯은 뒤 임시 막사로 착각한 주변을 반복해서 내려침</x:t>
  </x:si>
  <x:si>
    <x:t xml:space="preserve">시민에게 접근해 반대 방향으로 이동시키고 내려치기 범위가 좁아지는 순서에 맞춰 안전 구역으로 몰아냄</x:t>
  </x:si>
  <x:si>
    <x:t xml:space="preserve">9/10 – 시민 수·내려치기 범위·이동 반응·제한시간이 난이도를 결정함</x:t>
  </x:si>
  <x:si>
    <x:t xml:space="preserve">폭주 종료 전 시민 4명 전원 대피</x:t>
  </x:si>
  <x:si>
    <x:t xml:space="preserve">시민 체력 0 시 2페이즈 시작 지점 재시작</x:t>
  </x:si>
  <x:si>
    <x:t xml:space="preserve">시민 이동 예상 방향과 다음 내려치기 범위를 표시</x:t>
  </x:si>
  <x:si>
    <x:t xml:space="preserve">시민 몰이·범위 대피</x:t>
  </x:si>
  <x:si>
    <x:t xml:space="preserve">엄마의 화염 폭주 경로 차단하기</x:t>
  </x:si>
  <x:si>
    <x:t xml:space="preserve">받아내기 공격이 빗나가면 보스가 차한해를 도망가는 남편으로 오인해 사방으로 원거리 화염을 방출함</x:t>
  </x:si>
  <x:si>
    <x:t xml:space="preserve">시민 방향의 화염 경로를 공명 방벽으로 막고 남은 투사체 사이의 안전 구간으로 이동함</x:t>
  </x:si>
  <x:si>
    <x:t xml:space="preserve">8/10 – 투사체 수·방벽 유지시간·잔류 화염 위치가 난이도를 결정함</x:t>
  </x:si>
  <x:si>
    <x:t xml:space="preserve">시민 피해 없이 화염 파동 4회 차단</x:t>
  </x:si>
  <x:si>
    <x:t xml:space="preserve">방벽 파괴 또는 시민 체력 0 시 현재 패턴 재시작</x:t>
  </x:si>
  <x:si>
    <x:t xml:space="preserve">첫 실패 후 시민 방향 투사체를 더 굵게 표시</x:t>
  </x:si>
  <x:si>
    <x:t xml:space="preserve">방사형 투사체 차단·잔류 화염 회피</x:t>
  </x:si>
  <x:si>
    <x:t xml:space="preserve">폭력의 순환 핵 파괴하기</x:t>
  </x:si>
  <x:si>
    <x:t xml:space="preserve">두 보스의 체력이 낮아지면 때리는 기억과 맞는 기억이 다시 결합해 외피를 재생하려 함</x:t>
  </x:si>
  <x:si>
    <x:t xml:space="preserve">두 보스를 가까운 위치에 유도하고 동시에 노출된 연결 핵을 공명 타격해 폭력의 순환 구조를 끊음</x:t>
  </x:si>
  <x:si>
    <x:t xml:space="preserve">9/10 – 두 보스 위치·동시 약점 시간·마지막 타격 타이밍이 난이도를 결정함</x:t>
  </x:si>
  <x:si>
    <x:t xml:space="preserve">연결 핵 2개 동시 파괴</x:t>
  </x:si>
  <x:si>
    <x:t xml:space="preserve">시간 초과 시 두 보스 체력 일부 회복</x:t>
  </x:si>
  <x:si>
    <x:t xml:space="preserve">반복 실패 시 동시 약점 노출 시간을 늘림</x:t>
  </x:si>
  <x:si>
    <x:t xml:space="preserve">2체 위치 정렬·동시 핵 파괴</x:t>
  </x:si>
  <x:si>
    <x:t xml:space="preserve">자아 마모도 변화 확인하기</x:t>
  </x:si>
  <x:si>
    <x:t xml:space="preserve">UI 변화가 서서히 나타나 원인과 의미를 알아차리기 어려움</x:t>
  </x:si>
  <x:si>
    <x:t xml:space="preserve">이전 상태와 비교하며 표정·UI 색상·독백의 변화 단계를 확인함</x:t>
  </x:si>
  <x:si>
    <x:t xml:space="preserve">4/10 – 변화의 시각적 차이·설명 문구의 명확성이 난이도를 결정함</x:t>
  </x:si>
  <x:si>
    <x:t xml:space="preserve">상태 안내와 독백 확인</x:t>
  </x:si>
  <x:si>
    <x:t xml:space="preserve">첫 변화 발생 시 이전·현재 상태 비교 창 제공</x:t>
  </x:si>
  <x:si>
    <x:t xml:space="preserve">3-J | 영웅화·특혜의 고착</x:t>
  </x:si>
  <x:si>
    <x:t xml:space="preserve">다음 출동 준비하기</x:t>
  </x:si>
  <x:si>
    <x:t xml:space="preserve">전투 후 공명 무기가 보랏빛 잔류물과 함께 부서져 다음 지역에서는 새 무기를 찾아야 함</x:t>
  </x:si>
  <x:si>
    <x:t xml:space="preserve">사라진 임시 무기와 남은 장비를 확인하고 탐지기·회복품·지급 총을 다음 출동 기준에 맞게 정비함</x:t>
  </x:si>
  <x:si>
    <x:t xml:space="preserve">5/10 – 확인 항목 수·인벤토리 복잡도·추천 정보가 난이도를 결정함</x:t>
  </x:si>
  <x:si>
    <x:t xml:space="preserve">공명 무기 소멸 확인 및 필수 장비·회복품 준비</x:t>
  </x:si>
  <x:si>
    <x:t xml:space="preserve">필수 장비 미장착 시 출동 불가</x:t>
  </x:si>
  <x:si>
    <x:t xml:space="preserve">누락 항목 경고와 추천 장비 표시</x:t>
  </x:si>
  <x:si>
    <x:t xml:space="preserve">고등급자 특혜가 일상화된 기록 확인하기</x:t>
  </x:si>
  <x:si>
    <x:t xml:space="preserve">구조 성과와 무관한 전용 숙소·차량·방송 일정이 임무 기록보다 더 크게 관리되고 있음</x:t>
  </x:si>
  <x:si>
    <x:t xml:space="preserve">초기 구조 기록과 최근 활동 기록을 비교해 선행의 목적이 구조에서 특혜 유지로 변한 과정을 확인함</x:t>
  </x:si>
  <x:si>
    <x:t xml:space="preserve">4/10 – 시간대별 기록 수·행동 목적의 변화·누락 정보가 난이도를 결정함</x:t>
  </x:si>
  <x:si>
    <x:t xml:space="preserve">초기·중기·후기 기록의 변화점 5개 확인</x:t>
  </x:si>
  <x:si>
    <x:t xml:space="preserve">비교 화면에서 같은 항목의 변화 부분을 강조</x:t>
  </x:si>
  <x:si>
    <x:t xml:space="preserve">출동을 거부한 고등급자의 숙소 조사하기</x:t>
  </x:si>
  <x:si>
    <x:t xml:space="preserve">긴급 구조 알림은 꺼져 있고 호화 숙소 안에는 촬영 일정과 등급 유지 자료만 남아 있음</x:t>
  </x:si>
  <x:si>
    <x:t xml:space="preserve">꺼진 구조 단말기·닫힌 커튼·등급 자료를 조사해 '다른 고등급자를 보내라'는 마지막 선택을 재구성함</x:t>
  </x:si>
  <x:si>
    <x:t xml:space="preserve">5/10 – 조사 대상 수·시간 순서·선의 0 도달 단서가 난이도를 결정함</x:t>
  </x:si>
  <x:si>
    <x:t xml:space="preserve">선의 수치가 0이 된 마지막 선택의 단서 5개 조사</x:t>
  </x:si>
  <x:si>
    <x:t xml:space="preserve">필수 단서를 모두 확인하면 마지막 음성 자동 재생</x:t>
  </x:si>
  <x:si>
    <x:t xml:space="preserve">갈채를 먹는 자의 촬영 무대 진입하기</x:t>
  </x:si>
  <x:si>
    <x:t xml:space="preserve">보스가 구조 현장을 방송 무대로 바꾸고 스포트라이트 안에서 환호를 보호막으로 흡수함</x:t>
  </x:si>
  <x:si>
    <x:t xml:space="preserve">촬영 장비의 회전 방향과 보스의 이동을 확인하며 카메라 사각지대로 진입함</x:t>
  </x:si>
  <x:si>
    <x:t xml:space="preserve">7/10 – 카메라 시야·보스 이동·조명 범위가 난이도를 결정함</x:t>
  </x:si>
  <x:si>
    <x:t xml:space="preserve">카메라에 3회 이상 노출되지 않고 중앙 무대 진입</x:t>
  </x:si>
  <x:si>
    <x:t xml:space="preserve">갈채 수치 최대 또는 체력 0 시 보스전 재시작</x:t>
  </x:si>
  <x:si>
    <x:t xml:space="preserve">재시도 시 카메라 시야 범위를 바닥에 표시</x:t>
  </x:si>
  <x:si>
    <x:t xml:space="preserve">3-K | 보스전·갈채를 먹는 자</x:t>
  </x:si>
  <x:si>
    <x:t xml:space="preserve">카메라 사각지대 진입</x:t>
  </x:si>
  <x:si>
    <x:t xml:space="preserve">스포트라이트와 중계 카메라 차단하기</x:t>
  </x:si>
  <x:si>
    <x:t xml:space="preserve">카메라 앞에서 공격하거나 구조하면 환호 수치가 올라 보스의 보호막과 공격력이 강화됨</x:t>
  </x:si>
  <x:si>
    <x:t xml:space="preserve">사각지대를 이동하며 전원 장치 3개를 끄고 보스의 돌진을 조명탑에 유도해 중계 장비를 파괴함</x:t>
  </x:si>
  <x:si>
    <x:t xml:space="preserve">8/10 – 사각지대 크기·전원 장치 위치·환호 누적 속도가 난이도를 결정함</x:t>
  </x:si>
  <x:si>
    <x:t xml:space="preserve">전원 장치 3개와 조명탑 3개 파괴</x:t>
  </x:si>
  <x:si>
    <x:t xml:space="preserve">환호 수치 최대 시 파괴 장치 1개 복구</x:t>
  </x:si>
  <x:si>
    <x:t xml:space="preserve">실패 후 다음 사각지대와 전원선을 강조</x:t>
  </x:si>
  <x:si>
    <x:t xml:space="preserve">주목도 관리·환경 장치 파괴</x:t>
  </x:si>
  <x:si>
    <x:t xml:space="preserve">가짜 구조 대상과 실제 시민 구분하기</x:t>
  </x:si>
  <x:si>
    <x:t xml:space="preserve">보스가 방송용 환영체를 실제 시민처럼 배치해 잘못 구조하면 갈채 보호막이 다시 생성됨</x:t>
  </x:si>
  <x:si>
    <x:t xml:space="preserve">호흡·그림자·주변 반응을 비교해 실제 시민만 선택하고 카메라가 없는 통로로 이동시킴</x:t>
  </x:si>
  <x:si>
    <x:t xml:space="preserve">8/10 – 후보 수·외형 유사도·판별 시간·보스 압박이 난이도를 결정함</x:t>
  </x:si>
  <x:si>
    <x:t xml:space="preserve">실제 시민 4명 전원 구조</x:t>
  </x:si>
  <x:si>
    <x:t xml:space="preserve">가짜 구조 대상 3회 선택 시 보호막 재생</x:t>
  </x:si>
  <x:si>
    <x:t xml:space="preserve">오답 후 실제 시민의 행동 단서 하나를 강조</x:t>
  </x:si>
  <x:si>
    <x:t xml:space="preserve">진짜 구조 대상 판별</x:t>
  </x:si>
  <x:si>
    <x:t xml:space="preserve">아무도 보지 않는 곳에서 시민을 구하고 보스 제압하기</x:t>
  </x:si>
  <x:si>
    <x:t xml:space="preserve">모든 카메라가 꺼지자 보스가 차한해를 새로운 영웅으로 지정하고 원거리 갈채 파동을 집중시킴</x:t>
  </x:si>
  <x:si>
    <x:t xml:space="preserve">스포트라이트 밖의 마지막 시민을 구조해 보호막을 완전히 끈 뒤 공명 약점을 집중 공격함</x:t>
  </x:si>
  <x:si>
    <x:t xml:space="preserve">8/10 – 구조 동선·원거리 파동·약점 노출 시간·회복 자원 관리가 난이도를 결정함</x:t>
  </x:si>
  <x:si>
    <x:t xml:space="preserve">마지막 시민 구조 후 보스 체력 0</x:t>
  </x:si>
  <x:si>
    <x:t xml:space="preserve">주인공 또는 마지막 시민 체력 0 시 최종 페이즈 재시작</x:t>
  </x:si>
  <x:si>
    <x:t xml:space="preserve">반복 실패 시 원거리 파동 간격 증가와 회복품 1개 추가</x:t>
  </x:si>
  <x:si>
    <x:t xml:space="preserve">비공개 구조→보호막 해제·집중 공격</x:t>
  </x:si>
  <x:si>
    <x:t xml:space="preserve">4 | 폐교 탐색</x:t>
  </x:si>
  <x:si>
    <x:t xml:space="preserve">폐교 조사 명령 받기</x:t>
  </x:si>
  <x:si>
    <x:t xml:space="preserve">관리국의 공식 목표와 주인공이 느끼는 개인적 목적이 다름</x:t>
  </x:si>
  <x:si>
    <x:t xml:space="preserve">대화와 자료를 확인해 폐교 균열 조사와 실종자 수색의 공식 목표와 숨은 위험을 구분함</x:t>
  </x:si>
  <x:si>
    <x:t xml:space="preserve">3/10 – 목표 간 충돌 정도·브리핑 정보량이 난이도를 결정함</x:t>
  </x:si>
  <x:si>
    <x:t xml:space="preserve">명령 브리핑 종료</x:t>
  </x:si>
  <x:si>
    <x:t xml:space="preserve">브리핑 종료 후 공식 목표와 개인 목표를 분리 표시</x:t>
  </x:si>
  <x:si>
    <x:t xml:space="preserve">4-A | 출동 준비</x:t>
  </x:si>
  <x:si>
    <x:t xml:space="preserve">조사 장비 수령하기</x:t>
  </x:si>
  <x:si>
    <x:t xml:space="preserve">장비 칸이 제한되어 탐색 장비와 공명 탐지기·회복품을 모두 챙길 수 없음</x:t>
  </x:si>
  <x:si>
    <x:t xml:space="preserve">폐교의 어두운 환경과 임시 무기 탐색을 고려해 손전등·공명 탐지기·회복품을 우선 선택함</x:t>
  </x:si>
  <x:si>
    <x:t xml:space="preserve">4/10 – 장비 후보 수·슬롯 제한·역할 중복이 난이도를 결정함</x:t>
  </x:si>
  <x:si>
    <x:t xml:space="preserve">손전등·공명 탐지기·회복품이 포함된 상태로 준비 완료</x:t>
  </x:si>
  <x:si>
    <x:t xml:space="preserve">필수 장비 누락 시 출발 불가</x:t>
  </x:si>
  <x:si>
    <x:t xml:space="preserve">장비 역할과 추천 조합 표시</x:t>
  </x:si>
  <x:si>
    <x:t xml:space="preserve">고등급자 파티에 합류하기</x:t>
  </x:si>
  <x:si>
    <x:t xml:space="preserve">동료마다 역할과 행동 우선순위가 달라 협력 방식을 이해해야 함</x:t>
  </x:si>
  <x:si>
    <x:t xml:space="preserve">대화를 통해 역할이 다른 고등급자 3명의 역할과 지원 조건을 확인함</x:t>
  </x:si>
  <x:si>
    <x:t xml:space="preserve">4/10 – 파티원 수·역할 차이·지원 조건 수가 난이도를 결정함</x:t>
  </x:si>
  <x:si>
    <x:t xml:space="preserve">모든 파티원 소개 및 역할 확인</x:t>
  </x:si>
  <x:si>
    <x:t xml:space="preserve">전투 UI에 역할 아이콘 고정 표시</x:t>
  </x:si>
  <x:si>
    <x:t xml:space="preserve">폐교 정문에 도착하기</x:t>
  </x:si>
  <x:si>
    <x:t xml:space="preserve">목적지 주변에 잘못된 진입로와 위험 오브젝트가 배치되어 있음</x:t>
  </x:si>
  <x:si>
    <x:t xml:space="preserve">탐지기와 표지물을 확인하며 폐교 정문의 안전한 진입로로 이동함</x:t>
  </x:si>
  <x:si>
    <x:t xml:space="preserve">4/10 – 진입로 수·위험 구역 범위·탐지기 명확성이 난이도를 결정함</x:t>
  </x:si>
  <x:si>
    <x:t xml:space="preserve">목적지 도착</x:t>
  </x:si>
  <x:si>
    <x:t xml:space="preserve">위험 지역 진입 후 체력 0 시 체크포인트 재시작</x:t>
  </x:si>
  <x:si>
    <x:t xml:space="preserve">안전 진입로에 탐지기 반응 강화</x:t>
  </x:si>
  <x:si>
    <x:t xml:space="preserve">4-B | 폐교 정문</x:t>
  </x:si>
  <x:si>
    <x:t xml:space="preserve">정문 봉인 해제하기</x:t>
  </x:si>
  <x:si>
    <x:t xml:space="preserve">여러 장치와 열쇠 조건을 올바른 순서로 충족해야 함</x:t>
  </x:si>
  <x:si>
    <x:t xml:space="preserve">주변 단서와 장치 반응을 확인해 균열 문양 4개를 순서대로 해제함</x:t>
  </x:si>
  <x:si>
    <x:t xml:space="preserve">6/10 – 단계 수·단서 위치·오답 초기화 범위가 난이도를 결정함</x:t>
  </x:si>
  <x:si>
    <x:t xml:space="preserve">모든 봉인 조건 해제</x:t>
  </x:si>
  <x:si>
    <x:t xml:space="preserve">오답 입력 5회 시 장치 초기화</x:t>
  </x:si>
  <x:si>
    <x:t xml:space="preserve">오답 후 잘못된 단계만 표시</x:t>
  </x:si>
  <x:si>
    <x:t xml:space="preserve">복도에 남은 보랏빛 발자국 추적하기</x:t>
  </x:si>
  <x:si>
    <x:t xml:space="preserve">발자국이 오래된 낙서와 환영체의 이동 흔적에 겹쳐 여러 방향으로 갈라짐</x:t>
  </x:si>
  <x:si>
    <x:t xml:space="preserve">탐지기 반응과 발자국 크기·끌린 자국을 비교해 최근에 생긴 흔적만 골라 이동함</x:t>
  </x:si>
  <x:si>
    <x:t xml:space="preserve">5/10 – 가짜 흔적 수·조명 변화·분기 수가 난이도를 결정함</x:t>
  </x:si>
  <x:si>
    <x:t xml:space="preserve">진짜 발자국 5개를 연결해 본관 진입</x:t>
  </x:si>
  <x:si>
    <x:t xml:space="preserve">가짜 경로 끝에 도달하면 환영체 추격 발생</x:t>
  </x:si>
  <x:si>
    <x:t xml:space="preserve">오답 후 가짜 흔적 하나가 사라지고 진짜 흔적의 잔광이 강화</x:t>
  </x:si>
  <x:si>
    <x:t xml:space="preserve">4-C | 폐교 본관 1층</x:t>
  </x:si>
  <x:si>
    <x:t xml:space="preserve">본관 1층 탐색하기</x:t>
  </x:si>
  <x:si>
    <x:t xml:space="preserve">방 구조가 반복되고 일부 길이 연결되어 현재 위치를 잃기 쉬움</x:t>
  </x:si>
  <x:si>
    <x:t xml:space="preserve">지도에 방문 구역을 표시하며 교실·교무실·복도를 한 방향으로 탐색함</x:t>
  </x:si>
  <x:si>
    <x:t xml:space="preserve">6/10 – 방 수·연결 구조·지도 정보량이 난이도를 결정함</x:t>
  </x:si>
  <x:si>
    <x:t xml:space="preserve">필수 구역과 상호작용 대상 모두 확인</x:t>
  </x:si>
  <x:si>
    <x:t xml:space="preserve">3분 30초</x:t>
  </x:si>
  <x:si>
    <x:t xml:space="preserve">방문한 문과 미방문 문을 아이콘으로 구분</x:t>
  </x:si>
  <x:si>
    <x:t xml:space="preserve">환영체 회피하기</x:t>
  </x:si>
  <x:si>
    <x:t xml:space="preserve">적이 소리에 반응하고 시야 밖에서도 이동해 안전 구간을 예측하기 어려움</x:t>
  </x:si>
  <x:si>
    <x:t xml:space="preserve">적 이동 소리와 순찰 경로를 확인해 소리에 반응하는 환영체를 피하며 이동함</x:t>
  </x:si>
  <x:si>
    <x:t xml:space="preserve">7/10 – 적 감지 범위·순찰 주기·은폐물 간격이 난이도를 결정함</x:t>
  </x:si>
  <x:si>
    <x:t xml:space="preserve">발각되지 않거나 추적을 끊고 종료 지점 도착</x:t>
  </x:si>
  <x:si>
    <x:t xml:space="preserve">연속 발각 3회 또는 체력 0 시 체크포인트 재시작</x:t>
  </x:si>
  <x:si>
    <x:t xml:space="preserve">실패 후 적 청각 범위 감소</x:t>
  </x:si>
  <x:si>
    <x:t xml:space="preserve">청각 감지 회피·추적 끊기</x:t>
  </x:si>
  <x:si>
    <x:t xml:space="preserve">교실 기억 단서 수집하기</x:t>
  </x:si>
  <x:si>
    <x:t xml:space="preserve">필수 단서가 여러 방에 흩어져 있고 일부는 환영 연출 뒤에 숨겨짐</x:t>
  </x:si>
  <x:si>
    <x:t xml:space="preserve">방문 기록과 단서 목록을 확인하며 친구의 과거를 보여주는 기억 단서 5개를 수집함</x:t>
  </x:si>
  <x:si>
    <x:t xml:space="preserve">6/10 – 단서 수·방 분산 정도·환영 연출 길이가 난이도를 결정함</x:t>
  </x:si>
  <x:si>
    <x:t xml:space="preserve">필수 기억 단서 전부 수집</x:t>
  </x:si>
  <x:si>
    <x:t xml:space="preserve">단서 부족 시 다음 퍼즐 활성화 불가</x:t>
  </x:si>
  <x:si>
    <x:t xml:space="preserve">미수집 단서가 있는 방에 지도 표시</x:t>
  </x:si>
  <x:si>
    <x:t xml:space="preserve">컴퓨터 잠금 퍼즐 해결하기</x:t>
  </x:si>
  <x:si>
    <x:t xml:space="preserve">여러 단서를 조합해 입력 순서나 의미를 추론해야 함</x:t>
  </x:si>
  <x:si>
    <x:t xml:space="preserve">수집한 기록을 비교하고 교실 단서를 순서대로 입력하는 잠금 장치의 규칙에 맞게 단계별로 입력함</x:t>
  </x:si>
  <x:si>
    <x:t xml:space="preserve">7/10 – 단서 수·추론 단계·오답 페널티·초기화 범위가 난이도를 결정함</x:t>
  </x:si>
  <x:si>
    <x:t xml:space="preserve">정답 순서 완성</x:t>
  </x:si>
  <x:si>
    <x:t xml:space="preserve">오답 누적 시 퍼즐 단계 일부 초기화</x:t>
  </x:si>
  <x:si>
    <x:t xml:space="preserve">오답 3회 후 사용하지 않은 단서 강조</x:t>
  </x:si>
  <x:si>
    <x:t xml:space="preserve">본관 2층으로 이동하기</x:t>
  </x:si>
  <x:si>
    <x:t xml:space="preserve">손전등과 안전한 발판을 확인하며 붕괴된 계단을 통과함</x:t>
  </x:si>
  <x:si>
    <x:t xml:space="preserve">4-D | 폐교 본관 2층</x:t>
  </x:si>
  <x:si>
    <x:t xml:space="preserve">학교폭력 흔적 조사하기</x:t>
  </x:si>
  <x:si>
    <x:t xml:space="preserve">시선·행동·복장·주변 오브젝트를 순서대로 확인해 낙서·찢어진 공책·잠긴 사물함의 특징을 파악함</x:t>
  </x:si>
  <x:si>
    <x:t xml:space="preserve">6/10 – 관찰 대상 수·단서의 명확성·외형 유사도가 난이도를 결정함</x:t>
  </x:si>
  <x:si>
    <x:t xml:space="preserve">교무실 체벌 기록 대조하기</x:t>
  </x:si>
  <x:si>
    <x:t xml:space="preserve">생활기록부·상담일지·반성문에서 같은 사건이 서로 다르게 기록되어 있음</x:t>
  </x:si>
  <x:si>
    <x:t xml:space="preserve">날짜·필체·교사 도장을 비교해 친구가 도움을 요청했지만 문제 학생으로 처리된 사실을 재구성함</x:t>
  </x:si>
  <x:si>
    <x:t xml:space="preserve">5/10 – 문서 수·모순 정보·대조 단계 수가 난이도를 결정함</x:t>
  </x:si>
  <x:si>
    <x:t xml:space="preserve">세 문서의 모순점 6개를 표시</x:t>
  </x:si>
  <x:si>
    <x:t xml:space="preserve">오답 5회 시 현재 문서 비교 단계 초기화</x:t>
  </x:si>
  <x:si>
    <x:t xml:space="preserve">오답 후 서로 일치하는 항목 하나를 자동 연결</x:t>
  </x:si>
  <x:si>
    <x:t xml:space="preserve">교탁 비밀칸 해제하기</x:t>
  </x:si>
  <x:si>
    <x:t xml:space="preserve">교사의 체벌 기록에 적힌 숫자와 교탁 잠금 장치의 방향 규칙을 함께 해석해야 함</x:t>
  </x:si>
  <x:si>
    <x:t xml:space="preserve">체벌 횟수·날짜·자리 배치 단서를 방향 입력으로 변환해 교탁의 숨은 칸을 해제함</x:t>
  </x:si>
  <x:si>
    <x:t xml:space="preserve">6/10 – 숫자 변환 단계·방향 입력 수·오답 초기화 범위가 난이도를 결정함</x:t>
  </x:si>
  <x:si>
    <x:t xml:space="preserve">잠금 방향 5단계를 정확히 입력</x:t>
  </x:si>
  <x:si>
    <x:t xml:space="preserve">오답 3회 시 마지막 두 단계 초기화</x:t>
  </x:si>
  <x:si>
    <x:t xml:space="preserve">오답 후 사용하지 않은 기록 문구를 강조</x:t>
  </x:si>
  <x:si>
    <x:t xml:space="preserve">보랏빛으로 빛나는 사랑의 매 발견하기</x:t>
  </x:si>
  <x:si>
    <x:t xml:space="preserve">낡은 체벌 도구가 평범한 오브젝트처럼 보이지만 친구의 기억이 재생될 때만 공명함</x:t>
  </x:si>
  <x:si>
    <x:t xml:space="preserve">교탁 안의 사랑의 매를 조사하고 교사의 체벌 기억과 무기의 보랏빛 반응이 연결되는 연출을 확인함</x:t>
  </x:si>
  <x:si>
    <x:t xml:space="preserve">3/10 – 서사 단서와 공명 타이밍을 연결해 이해하는 난이도가 중심임</x:t>
  </x:si>
  <x:si>
    <x:t xml:space="preserve">사랑의 매 조사 및 공명 연출 확인</x:t>
  </x:si>
  <x:si>
    <x:t xml:space="preserve">기억 재생 중 상호작용 가능한 순간에 보랏빛 잔광을 확대</x:t>
  </x:si>
  <x:si>
    <x:t xml:space="preserve">사랑의 매의 공명 타격 시험하기</x:t>
  </x:si>
  <x:si>
    <x:t xml:space="preserve">사랑의 매를 휘두를 때 친구가 교사에게 체벌당했던 기억이 겹쳐 화면이 흔들리고 공격 후 경직이 길어짐</x:t>
  </x:si>
  <x:si>
    <x:t xml:space="preserve">복도 환영체를 일렬로 유도해 외피를 한 번에 깨뜨리고, 기억 연출이 끝난 직후 두 번째 타격으로 제압함</x:t>
  </x:si>
  <x:si>
    <x:t xml:space="preserve">6/10 – 회피 타이밍·짧은 약점 노출·공명 공격 방향이 난이도를 결정함</x:t>
  </x:si>
  <x:si>
    <x:t xml:space="preserve">공명 타격으로 환영체 1체 제압</x:t>
  </x:si>
  <x:si>
    <x:t xml:space="preserve">체력 0 시 시험 직전 체크포인트 재시작</x:t>
  </x:si>
  <x:si>
    <x:t xml:space="preserve">환영체 일렬 유도·외피 파괴</x:t>
  </x:si>
  <x:si>
    <x:t xml:space="preserve">선택의 분기 퍼즐 해결하기</x:t>
  </x:si>
  <x:si>
    <x:t xml:space="preserve">수집한 기록을 비교하고 서로 다른 기억 문을 선택하는 퍼즐의 규칙에 맞게 단계별로 입력함</x:t>
  </x:si>
  <x:si>
    <x:t xml:space="preserve">8/10 – 단서 수·추론 단계·오답 페널티·초기화 범위가 난이도를 결정함</x:t>
  </x:si>
  <x:si>
    <x:t xml:space="preserve">아군 환영 구분하기</x:t>
  </x:si>
  <x:si>
    <x:t xml:space="preserve">환영이 동료의 외형과 목소리를 복제해 단순 외형만으로 구분할 수 없음</x:t>
  </x:si>
  <x:si>
    <x:t xml:space="preserve">이전 대화와 행동 습관을 비교해 동료와 똑같이 행동하는 환영을 판별함</x:t>
  </x:si>
  <x:si>
    <x:t xml:space="preserve">8/10 – 후보 수·복제 정확도·행동 단서의 명확성이 난이도를 결정함</x:t>
  </x:si>
  <x:si>
    <x:t xml:space="preserve">진짜 동료 전원 선택</x:t>
  </x:si>
  <x:si>
    <x:t xml:space="preserve">환영 선택 시 전투 또는 체력 감소 발생</x:t>
  </x:si>
  <x:si>
    <x:t xml:space="preserve">오답 후 구분 가능한 행동 단서 1개 표시</x:t>
  </x:si>
  <x:si>
    <x:t xml:space="preserve">본관 3층으로 이동하기</x:t>
  </x:si>
  <x:si>
    <x:t xml:space="preserve">손전등과 안전한 발판을 확인하며 환영이 반복되는 계단을 통과함</x:t>
  </x:si>
  <x:si>
    <x:t xml:space="preserve">6/10 – 통로 폭·시야 범위·장애물 간격이 난이도를 결정함</x:t>
  </x:si>
  <x:si>
    <x:t xml:space="preserve">4-E | 폐교 본관 3층</x:t>
  </x:si>
  <x:si>
    <x:t xml:space="preserve">친구의 목소리 추적하기</x:t>
  </x:si>
  <x:si>
    <x:t xml:space="preserve">반사음과 가짜 목소리 때문에 실제 방향을 잘못 판단할 수 있음</x:t>
  </x:si>
  <x:si>
    <x:t xml:space="preserve">소리 크기 변화와 파티원의 반응을 비교하며 복도마다 방향이 달라지는 목소리를 추적함</x:t>
  </x:si>
  <x:si>
    <x:t xml:space="preserve">7/10 – 가짜 신호 수·방향 변화 빈도·이동 거리의 차이가 난이도를 결정함</x:t>
  </x:si>
  <x:si>
    <x:t xml:space="preserve">올바른 강당 방향 도착</x:t>
  </x:si>
  <x:si>
    <x:t xml:space="preserve">가짜 경로 끝에 도달하면 추가 환영 전투 발생</x:t>
  </x:si>
  <x:si>
    <x:t xml:space="preserve">정체 45초 후 실제 방향의 음량을 강화</x:t>
  </x:si>
  <x:si>
    <x:t xml:space="preserve">강당 열쇠 찾기</x:t>
  </x:si>
  <x:si>
    <x:t xml:space="preserve">구역별 표지와 상품 외형을 비교하며 관리실·음악실·방송실의 열쇠 후보를 조사함</x:t>
  </x:si>
  <x:si>
    <x:t xml:space="preserve">7/10 – 후보 오브젝트 수·외형 유사도·탐색 범위가 난이도를 결정함</x:t>
  </x:si>
  <x:si>
    <x:t xml:space="preserve">관리실·음악실·방송실의 열쇠 후보 발견 및 조사 완료</x:t>
  </x:si>
  <x:si>
    <x:t xml:space="preserve">강당에 진입하기</x:t>
  </x:si>
  <x:si>
    <x:t xml:space="preserve">주변 단서와 장치 반응을 확인해 봉인된 강당 출입문를 순서대로 해제함</x:t>
  </x:si>
  <x:si>
    <x:t xml:space="preserve">5/10 – 단계 수·단서 위치·오답 초기화 범위가 난이도를 결정함</x:t>
  </x:si>
  <x:si>
    <x:t xml:space="preserve">강당 농구공의 보랏빛 공명 확인하기</x:t>
  </x:si>
  <x:si>
    <x:t xml:space="preserve">강당의 여러 공 가운데 하나만 친구가 농구 골대처럼 취급받으며 공을 맞았던 기억과 공명함</x:t>
  </x:si>
  <x:si>
    <x:t xml:space="preserve">찌그러진 공·골대 아래 충격 흔적·바닥의 보랏빛 잔광을 순서대로 조사해 공명 농구공을 식별함</x:t>
  </x:si>
  <x:si>
    <x:t xml:space="preserve">4/10 – 후보 공 수·공명 노출 시간·환영 시야 방해가 난이도를 결정함</x:t>
  </x:si>
  <x:si>
    <x:t xml:space="preserve">농구공 관련 흔적 3개 조사 및 공명 농구공 획득</x:t>
  </x:si>
  <x:si>
    <x:t xml:space="preserve">일반 농구공을 집으면 보스의 추적 속도가 잠시 증가</x:t>
  </x:si>
  <x:si>
    <x:t xml:space="preserve">오답 후 일반 농구공 하나의 상호작용 표시 제거</x:t>
  </x:si>
  <x:si>
    <x:t xml:space="preserve">4-F | 폐교 강당·보스전</x:t>
  </x:si>
  <x:si>
    <x:t xml:space="preserve">농구공의 투척 궤적 익히기</x:t>
  </x:si>
  <x:si>
    <x:t xml:space="preserve">던진 공은 적을 맞힌 뒤 벽과 바닥에 튕겨 떨어지므로 공격과 회수를 동시에 계획해야 함</x:t>
  </x:si>
  <x:si>
    <x:t xml:space="preserve">예상 궤적을 조절해 표적을 맞히고 반사된 공의 착지 지점으로 이동해 다시 회수함</x:t>
  </x:si>
  <x:si>
    <x:t xml:space="preserve">5/10 – 투척 각도·반사 횟수·공 회수 동선이 난이도를 결정함</x:t>
  </x:si>
  <x:si>
    <x:t xml:space="preserve">표적 3회 명중 및 농구공 3회 회수</x:t>
  </x:si>
  <x:si>
    <x:t xml:space="preserve">공을 회수 불가 구역에 보내면 시작 위치로 재배치</x:t>
  </x:si>
  <x:si>
    <x:t xml:space="preserve">첫 시도에는 예상 궤적선을 표시하고 실패 후 반사 각도를 보정</x:t>
  </x:si>
  <x:si>
    <x:t xml:space="preserve">사랑의 매로 괴물형 보스의 방어막 깨기</x:t>
  </x:si>
  <x:si>
    <x:t xml:space="preserve">사랑의 매는 방어막에 강하지만 타격할 때마다 교사의 체벌 기억이 겹쳐 시야와 조작이 흔들림</x:t>
  </x:si>
  <x:si>
    <x:t xml:space="preserve">소환체를 피하며 사랑의 매로 방어막의 균열 부위를 타격하고 기억 재생이 끝난 직후 연속 공격함</x:t>
  </x:si>
  <x:si>
    <x:t xml:space="preserve">8/10 – 돌진 속도·공명 타격 거리·방어막 재생 시간·환영체 개입이 난이도를 결정함</x:t>
  </x:si>
  <x:si>
    <x:t xml:space="preserve">사랑의 매 공명 타격으로 방어막 3단계 파괴</x:t>
  </x:si>
  <x:si>
    <x:t xml:space="preserve">주인공 또는 필수 동료 전멸 시 페이즈 재시작</x:t>
  </x:si>
  <x:si>
    <x:t xml:space="preserve">3회 실패 후 공격 예고 시간 증가</x:t>
  </x:si>
  <x:si>
    <x:t xml:space="preserve">근접 공명 타격·방어막 3단계 파괴</x:t>
  </x:si>
  <x:si>
    <x:t xml:space="preserve">농구공으로 기억 개입 패턴 끊기</x:t>
  </x:si>
  <x:si>
    <x:t xml:space="preserve">기억 장면이 전투 화면을 덮는 동안 멀리 있는 기억 핵을 농구공의 반사 궤적으로 맞혀야 함</x:t>
  </x:si>
  <x:si>
    <x:t xml:space="preserve">벽 반사 각도를 조절해 기억 핵을 타격하고 공이 떨어지는 위치를 예측해 다음 패턴 전에 회수함</x:t>
  </x:si>
  <x:si>
    <x:t xml:space="preserve">8/10 – 조작 반전·반사 각도·기억 핵 노출 시간·공 회수 동선이 난이도를 결정함</x:t>
  </x:si>
  <x:si>
    <x:t xml:space="preserve">농구공 반사 공격으로 기억 핵 3회 명중</x:t>
  </x:si>
  <x:si>
    <x:t xml:space="preserve">오답 선택 누적 시 죄책감 수치와 피격 위험 증가</x:t>
  </x:si>
  <x:si>
    <x:t xml:space="preserve">실패 후 모순 단서 노출 시간을 늘림</x:t>
  </x:si>
  <x:si>
    <x:t xml:space="preserve">반사 투척으로 기억 핵 타격</x:t>
  </x:si>
  <x:si>
    <x:t xml:space="preserve">튕겨 나온 농구공 회수하기</x:t>
  </x:si>
  <x:si>
    <x:t xml:space="preserve">공을 회수하러 이동하는 동안 보스의 추적 공격이 이어져 최단 경로와 안전 경로가 다름</x:t>
  </x:si>
  <x:si>
    <x:t xml:space="preserve">착지 예고 지점을 확인하고 장애물을 끼고 이동해 농구공을 회수한 뒤 다시 투척 거리로 복귀함</x:t>
  </x:si>
  <x:si>
    <x:t xml:space="preserve">8/10 – 반사 궤적·보스 공격 주기·환영체 위치·회수 가능 시간이 난이도를 결정함</x:t>
  </x:si>
  <x:si>
    <x:t xml:space="preserve">농구공을 3회 연속 회수해 공격 기회 유지</x:t>
  </x:si>
  <x:si>
    <x:t xml:space="preserve">회수 실패 시 농구공이 중앙으로 재생성되지만 보스의 공격 패턴이 1회 추가됨</x:t>
  </x:si>
  <x:si>
    <x:t xml:space="preserve">재시도 시 착지 예상 범위를 넓히고 첫 반사 궤적을 표시</x:t>
  </x:si>
  <x:si>
    <x:t xml:space="preserve">착지 예측·회수 동선 관리</x:t>
  </x:si>
  <x:si>
    <x:t xml:space="preserve">사랑의 매와 농구공을 교대해 인간형 보스 공략하기</x:t>
  </x:si>
  <x:si>
    <x:t xml:space="preserve">근접 무기는 외피 파괴에, 농구공은 원거리 약점 공격에 유리해 보스의 자세에 따라 즉시 전환해야 함</x:t>
  </x:si>
  <x:si>
    <x:t xml:space="preserve">사랑의 매로 외피를 깨고 거리를 벌린 뒤 농구공을 던져 약점을 맞히며 반사된 공을 회수함</x:t>
  </x:si>
  <x:si>
    <x:t xml:space="preserve">9/10 – 무기 전환·거리 조절·반사 궤적·패턴 연계가 난이도를 결정함</x:t>
  </x:si>
  <x:si>
    <x:t xml:space="preserve">사랑의 매 3회·농구공 3회 공명 공격 성공 후 2페이즈 종료</x:t>
  </x:si>
  <x:si>
    <x:t xml:space="preserve">파티 전멸 시 2페이즈 시작 지점 재시작</x:t>
  </x:si>
  <x:si>
    <x:t xml:space="preserve">반복 실패 시 회복 아이템 1개 추가</x:t>
  </x:si>
  <x:si>
    <x:t xml:space="preserve">근·원거리 무기 전환·약점 연계</x:t>
  </x:si>
  <x:si>
    <x:t xml:space="preserve">죄책감 축적 패턴 버티기</x:t>
  </x:si>
  <x:si>
    <x:t xml:space="preserve">보스가 친구를 공격한 기억과 주인공의 선택을 겹쳐 보여 공격 입력 자체가 죄책감 게이지를 높임</x:t>
  </x:si>
  <x:si>
    <x:t xml:space="preserve">공격을 멈추고 환영 속 친구의 목소리를 따라 안전 지점을 이동하며 죄책감 파동 5회를 버팀</x:t>
  </x:si>
  <x:si>
    <x:t xml:space="preserve">9/10 – 누적 속도·감소 수단·제한시간·체력 회복량이 난이도를 결정함</x:t>
  </x:si>
  <x:si>
    <x:t xml:space="preserve">공격하지 않은 상태로 죄책감 파동 5회 생존</x:t>
  </x:si>
  <x:si>
    <x:t xml:space="preserve">죄책감 최대치 또는 체력 0 시 재시작</x:t>
  </x:si>
  <x:si>
    <x:t xml:space="preserve">누적 수치가 높을 때 감소 가능한 선택을 강조</x:t>
  </x:si>
  <x:si>
    <x:t xml:space="preserve">공격 중지·안전 지점 생존</x:t>
  </x:si>
  <x:si>
    <x:t xml:space="preserve">친구에게 다가가기</x:t>
  </x:si>
  <x:si>
    <x:t xml:space="preserve">보스가 공격을 멈추더라도 잔류 패턴과 화면 왜곡이 계속됨</x:t>
  </x:si>
  <x:si>
    <x:t xml:space="preserve">잔류 공격 사이의 빈틈을 이용해 공격을 멈춘 친구에게 단계적으로 접근함</x:t>
  </x:si>
  <x:si>
    <x:t xml:space="preserve">8/10 – 잔류 패턴 수·안전 구간 길이·필요 접근 횟수가 난이도를 결정함</x:t>
  </x:si>
  <x:si>
    <x:t xml:space="preserve">보스 앞 상호작용 지점 도착</x:t>
  </x:si>
  <x:si>
    <x:t xml:space="preserve">잔류 공격에 4회 피격 시 구간 재시작</x:t>
  </x:si>
  <x:si>
    <x:t xml:space="preserve">접근 실패 후 안전 지점 표시</x:t>
  </x:si>
  <x:si>
    <x:t xml:space="preserve">친구를 포옹하기</x:t>
  </x:si>
  <x:si>
    <x:t xml:space="preserve">전투에서 사용하던 공격 입력과 반대되는 행동을 선택해야 함</x:t>
  </x:si>
  <x:si>
    <x:t xml:space="preserve">주인공의 기억과 친구의 상태를 확인하고 처치 대신 포옹하는 선택을 실행함</x:t>
  </x:si>
  <x:si>
    <x:t xml:space="preserve">5/10 – 기존 조작 습관과 선택의 감정적 부담이 난이도를 결정함</x:t>
  </x:si>
  <x:si>
    <x:t xml:space="preserve">포옹 상호작용 완료</x:t>
  </x:si>
  <x:si>
    <x:t xml:space="preserve">공격 선택 시 다른 결말 분기로 전환</x:t>
  </x:si>
  <x:si>
    <x:t xml:space="preserve">상호작용 직전 공격 버튼 안내를 숨기고 선택 문구 강조</x:t>
  </x:si>
  <x:si>
    <x:t xml:space="preserve">친구를 인간으로 복원하기</x:t>
  </x:si>
  <x:si>
    <x:t xml:space="preserve">복원 과정 중 친구의 상태와 주인공의 선의 수치를 동시에 유지해야 함</x:t>
  </x:si>
  <x:si>
    <x:t xml:space="preserve">안내되는 타이밍에 상호작용해 선의가 고갈된 친구의 변이 수치를 단계적으로 낮춤</x:t>
  </x:si>
  <x:si>
    <x:t xml:space="preserve">4/10 – 입력 타이밍·유지 시간·실패 시 초기화 범위가 난이도를 결정함</x:t>
  </x:si>
  <x:si>
    <x:t xml:space="preserve">복원 게이지 100% 달성</x:t>
  </x:si>
  <x:si>
    <x:t xml:space="preserve">중단 게이지 최대 시 복원 단계 재시작</x:t>
  </x:si>
  <x:si>
    <x:t xml:space="preserve">입력 타이밍 범위를 넓히고 단계 체크포인트 제공</x:t>
  </x:si>
  <x:si>
    <x:t xml:space="preserve">폐교에서 탈출하기</x:t>
  </x:si>
  <x:si>
    <x:t xml:space="preserve">붕괴로 기존 길이 막히고 동료와 함께 제한시간 안에 탈출해야 함</x:t>
  </x:si>
  <x:si>
    <x:t xml:space="preserve">새로 열린 우회로를 따라가며 붕괴하는 폐교에서 파티원을 기다림</x:t>
  </x:si>
  <x:si>
    <x:t xml:space="preserve">7/10 – 제한시간·우회로 길이·동행 인원·붕괴 주기가 난이도를 결정함</x:t>
  </x:si>
  <x:si>
    <x:t xml:space="preserve">모든 생존 파티원이 출구 도착</x:t>
  </x:si>
  <x:si>
    <x:t xml:space="preserve">제한시간 종료 또는 파티원 전멸 시 재시작</x:t>
  </x:si>
  <x:si>
    <x:t xml:space="preserve">실패 후 붕괴 주기 완화 및 우회로 표시</x:t>
  </x:si>
  <x:si>
    <x:t xml:space="preserve">4-G | 폐교 탈출·귀환</x:t>
  </x:si>
  <x:si>
    <x:t xml:space="preserve">관리국에 귀환 보고하기</x:t>
  </x:si>
  <x:si>
    <x:t xml:space="preserve">임무 결과·인원·특이사항을 확인하고 친구 복원 사실과 균열 정보를 순서대로 보고함</x:t>
  </x:si>
  <x:si>
    <x:t xml:space="preserve">3/10 – 보고 항목 수·정보 분산 정도가 난이도를 결정함</x:t>
  </x:si>
  <x:si>
    <x:t xml:space="preserve">5 | 균열의 진실</x:t>
  </x:si>
  <x:si>
    <x:t xml:space="preserve">균열의 진실</x:t>
  </x:si>
  <x:si>
    <x:t xml:space="preserve">공식 명령과 주인공의 생존 가능성이 충돌해 목표를 단순히 받아들이기 어려움</x:t>
  </x:si>
  <x:si>
    <x:t xml:space="preserve">자료와 대화를 확인해 주인공만 진입 가능한 대형 균열의 목적과 위험을 이해함</x:t>
  </x:si>
  <x:si>
    <x:t xml:space="preserve">3/10 – 정보 비대칭·목표 충돌 정도가 난이도를 결정함</x:t>
  </x:si>
  <x:si>
    <x:t xml:space="preserve">최종 브리핑 종료</x:t>
  </x:si>
  <x:si>
    <x:t xml:space="preserve">명령의 공개 정보와 숨겨진 조건을 구분해 표시</x:t>
  </x:si>
  <x:si>
    <x:t xml:space="preserve">5-A | 대형 균열 외부</x:t>
  </x:si>
  <x:si>
    <x:t xml:space="preserve">강제 출동 압박 견디기</x:t>
  </x:si>
  <x:si>
    <x:t xml:space="preserve">여러 인물이 서로 다른 이유로 같은 희생을 요구해 감정적 압박이 커짐</x:t>
  </x:si>
  <x:si>
    <x:t xml:space="preserve">각 인물의 요구와 주인공의 상태를 비교하며 가족·관리국·시민의 희생 요구의 의미를 판단함</x:t>
  </x:si>
  <x:si>
    <x:t xml:space="preserve">6/10 – 요구 인물 수·대사 강도·선택지의 감정적 부담이 난이도를 결정함</x:t>
  </x:si>
  <x:si>
    <x:t xml:space="preserve">압박 대화 전부 확인</x:t>
  </x:si>
  <x:si>
    <x:t xml:space="preserve">대화 사이에 독백과 상태 확인 시간을 제공</x:t>
  </x:si>
  <x:si>
    <x:t xml:space="preserve">균열 중심부로 이동하기</x:t>
  </x:si>
  <x:si>
    <x:t xml:space="preserve">표지판·미니맵·NPC 이동 방향을 확인하며 도시에서 대형 균열 중심까지 이동함</x:t>
  </x:si>
  <x:si>
    <x:t xml:space="preserve">6/10 – 맵 크기·갈림길 수·목적지 표식의 가시성이 난이도를 결정함</x:t>
  </x:si>
  <x:si>
    <x:t xml:space="preserve">도시에서 대형 균열 중심의 도착 트리거에 진입</x:t>
  </x:si>
  <x:si>
    <x:t xml:space="preserve">균열 내부에 진입하기</x:t>
  </x:si>
  <x:si>
    <x:t xml:space="preserve">공간 왜곡으로 이동 방향과 상호작용 위치가 계속 바뀜</x:t>
  </x:si>
  <x:si>
    <x:t xml:space="preserve">고정된 빛 표식과 바닥 파동을 기준으로 왜곡된 진입 통로의 통로를 통과함</x:t>
  </x:si>
  <x:si>
    <x:t xml:space="preserve">7/10 – 화면 왜곡 강도·안전 표식 수·통로 폭이 난이도를 결정함</x:t>
  </x:si>
  <x:si>
    <x:t xml:space="preserve">균열 내부 첫 구역 도착</x:t>
  </x:si>
  <x:si>
    <x:t xml:space="preserve">왜곡 구역 낙하 3회 시 체크포인트 재시작</x:t>
  </x:si>
  <x:si>
    <x:t xml:space="preserve">실패 후 고정 표식의 밝기 증가</x:t>
  </x:si>
  <x:si>
    <x:t xml:space="preserve">5-B | 균열 내부</x:t>
  </x:si>
  <x:si>
    <x:t xml:space="preserve">선의 조각 수집하기</x:t>
  </x:si>
  <x:si>
    <x:t xml:space="preserve">자원이 움직이는 지형과 위험 구역에 분산되어 수집 동선이 길어짐</x:t>
  </x:si>
  <x:si>
    <x:t xml:space="preserve">위험 주기를 피하며 가까운 순서로 균열 내부에 흩어진 선의 조각 8개를 수집함</x:t>
  </x:si>
  <x:si>
    <x:t xml:space="preserve">7/10 – 목표 수량·배치 거리·위험 주기·이동 지형이 난이도를 결정함</x:t>
  </x:si>
  <x:si>
    <x:t xml:space="preserve">필수 자원 전부 수집</x:t>
  </x:si>
  <x:si>
    <x:t xml:space="preserve">필수 수량 미달 시 심층부 통로 활성화 불가</x:t>
  </x:si>
  <x:si>
    <x:t xml:space="preserve">3분 40초</x:t>
  </x:si>
  <x:si>
    <x:t xml:space="preserve">남은 자원의 대략적 방향과 거리 표시</x:t>
  </x:si>
  <x:si>
    <x:t xml:space="preserve">과거 기억 재생하기</x:t>
  </x:si>
  <x:si>
    <x:t xml:space="preserve">현재와 과거 장면이 교차해 사건의 시간 순서를 혼동할 수 있음</x:t>
  </x:si>
  <x:si>
    <x:t xml:space="preserve">반복되는 사물과 대사를 기준으로 주인공의 탄생과 가족의 기억의 순서를 맞춤</x:t>
  </x:si>
  <x:si>
    <x:t xml:space="preserve">5/10 – 장면 수·시간 순서의 복잡도·인물 수가 난이도를 결정함</x:t>
  </x:si>
  <x:si>
    <x:t xml:space="preserve">필수 기억 장면 모두 확인</x:t>
  </x:si>
  <x:si>
    <x:t xml:space="preserve">기억 장면마다 시간 표식과 인물 관계 아이콘 표시</x:t>
  </x:si>
  <x:si>
    <x:t xml:space="preserve">가짜 가족 환영 돌파하기</x:t>
  </x:si>
  <x:si>
    <x:t xml:space="preserve">칭찬과 비난이 번갈아 제시되어 올바른 길보다 감정적 반응을 유도함</x:t>
  </x:si>
  <x:si>
    <x:t xml:space="preserve">말의 내용보다 행동과 기억의 모순을 확인해 칭찬과 비난을 반복하는 가족 환영을 무시하고 진행함</x:t>
  </x:si>
  <x:si>
    <x:t xml:space="preserve">9/10 – 환영 수·가짜 단서의 설득력·자아 마모도 누적량이 난이도를 결정함</x:t>
  </x:si>
  <x:si>
    <x:t xml:space="preserve">환영 구역 종료 지점 도착</x:t>
  </x:si>
  <x:si>
    <x:t xml:space="preserve">잘못된 환영 선택 누적 시 자아 마모도 증가</x:t>
  </x:si>
  <x:si>
    <x:t xml:space="preserve">실패 후 모순되는 대사의 일부 강조</x:t>
  </x:si>
  <x:si>
    <x:t xml:space="preserve">기억 속 물건으로 가족 환영의 거짓말 깨뜨리기</x:t>
  </x:si>
  <x:si>
    <x:t xml:space="preserve">가족의 칭찬과 실제 기억이 충돌하며 잘못된 물건을 선택하면 자아 마모도가 증가함</x:t>
  </x:si>
  <x:si>
    <x:t xml:space="preserve">빨래·심부름 목록·우정 반지 등 이전 챕터에서 직접 다룬 물건을 실제 기억과 연결해 거짓 환영을 깨뜨림</x:t>
  </x:si>
  <x:si>
    <x:t xml:space="preserve">8/10 – 기억 물건 수·가짜 설명의 설득력·선택 제한시간이 난이도를 결정함</x:t>
  </x:si>
  <x:si>
    <x:t xml:space="preserve">거짓 환영 4개 해제 및 자아 마모도 기준 이하 유지</x:t>
  </x:si>
  <x:si>
    <x:t xml:space="preserve">오답 누적 시 현재 환영 묶음 재시작</x:t>
  </x:si>
  <x:si>
    <x:t xml:space="preserve">이전에 수집한 기록을 선택 화면에서 다시 열람 가능</x:t>
  </x:si>
  <x:si>
    <x:t xml:space="preserve">균열 수호체(정예) 전투 치르기</x:t>
  </x:si>
  <x:si>
    <x:t xml:space="preserve">환경 공격과 자아 마모도 상승이 겹치지만 보스처럼 다단계 서사 페이즈를 갖지는 않음</x:t>
  </x:si>
  <x:si>
    <x:t xml:space="preserve">안전 구역을 확보하고 약점 노출 때 공명 공격을 집중해 균열 심층부의 정예 수호체를 처치함</x:t>
  </x:si>
  <x:si>
    <x:t xml:space="preserve">8/10 – 환경 공격 주기·안전 구역 크기·자아 마모도 누적량이 난이도를 결정함</x:t>
  </x:si>
  <x:si>
    <x:t xml:space="preserve">정예 수호체 체력 0 및 주인공 생존</x:t>
  </x:si>
  <x:si>
    <x:t xml:space="preserve">체력 0 또는 자아 마모도 최대 시 전투 재시작</x:t>
  </x:si>
  <x:si>
    <x:t xml:space="preserve">반복 실패 시 안전 구역 확대와 회복 자원 1개 추가</x:t>
  </x:si>
  <x:si>
    <x:t xml:space="preserve">정예 몬스터</x:t>
  </x:si>
  <x:si>
    <x:t xml:space="preserve">안전 구역 확보·약점 노출 집중 공격</x:t>
  </x:si>
  <x:si>
    <x:t xml:space="preserve">균열 심층부의 폐기된 측정 기록 회수하기</x:t>
  </x:si>
  <x:si>
    <x:t xml:space="preserve">손상된 기록에는 선의 측정 체계의 초기 목적과 변이 인간을 은폐한 흔적이 서로 다른 코드로 남아 있음</x:t>
  </x:si>
  <x:si>
    <x:t xml:space="preserve">측정 장치와 변이 기록을 대조해 체계 설계자가 균열 연구를 계속했다는 사실을 확인함</x:t>
  </x:si>
  <x:si>
    <x:t xml:space="preserve">6/10 – 기록 손상도·코드 대응 수·숨겨진 분류 항목이 난이도를 결정함</x:t>
  </x:si>
  <x:si>
    <x:t xml:space="preserve">폐기 기록 6개 복원</x:t>
  </x:si>
  <x:si>
    <x:t xml:space="preserve">오류 코드 4회 선택 시 현재 기록 묶음 초기화</x:t>
  </x:si>
  <x:si>
    <x:t xml:space="preserve">오답 후 같은 시기의 측정 코드 하나를 자동 연결</x:t>
  </x:si>
  <x:si>
    <x:t xml:space="preserve">5-C | 선의 계량자 보스전</x:t>
  </x:si>
  <x:si>
    <x:t xml:space="preserve">지적 괴물 선의 계량자와 첫 대화하기</x:t>
  </x:si>
  <x:si>
    <x:t xml:space="preserve">괴물이 인간의 언어로 차한해의 수치와 행동을 분석하며 자신을 변이가 아닌 새로운 측정 상태라고 주장함</x:t>
  </x:si>
  <x:si>
    <x:t xml:space="preserve">대화를 통해 선의 계량자가 측정 체계의 설계자이며 균열 내부에서 이성을 유지한 첫 괴물임을 확인함</x:t>
  </x:si>
  <x:si>
    <x:t xml:space="preserve">5/10 – 새로운 세계 정보·의도적인 거짓말·전투 전 선택지의 부담이 난이도를 결정함</x:t>
  </x:si>
  <x:si>
    <x:t xml:space="preserve">필수 질문 5개 확인 후 전투 시작</x:t>
  </x:si>
  <x:si>
    <x:t xml:space="preserve">대화 기록에 주장과 확인된 사실을 구분해 저장</x:t>
  </x:si>
  <x:si>
    <x:t xml:space="preserve">선의 계량자의 등급 배정 규칙 무효화하기</x:t>
  </x:si>
  <x:si>
    <x:t xml:space="preserve">보스가 전장 인물에게 S·A·B·C·F 등급을 부여하고 등급별로 다른 공격과 의무를 강제함</x:t>
  </x:si>
  <x:si>
    <x:t xml:space="preserve">측정 빔의 순서를 읽고 등급 발생 장치 4개를 파괴해 전투 규칙이 수치에 따라 바뀌는 것을 막음</x:t>
  </x:si>
  <x:si>
    <x:t xml:space="preserve">9/10 – 등급별 효과·장치 위치·공격 순서·동료 상태가 난이도를 결정함</x:t>
  </x:si>
  <x:si>
    <x:t xml:space="preserve">등급 발생 장치 4개 파괴</x:t>
  </x:si>
  <x:si>
    <x:t xml:space="preserve">파티 전멸 또는 F등급 대상 소멸 시 1페이즈 재시작</x:t>
  </x:si>
  <x:si>
    <x:t xml:space="preserve">실패 후 등급별 위험 아이콘과 다음 측정 순서를 표시</x:t>
  </x:si>
  <x:si>
    <x:t xml:space="preserve">등급 규칙 파악·발생 장치 파괴</x:t>
  </x:si>
  <x:si>
    <x:t xml:space="preserve">시민·동료에게 부여된 등급 표식 해제하기</x:t>
  </x:si>
  <x:si>
    <x:t xml:space="preserve">낮은 등급 대상은 구조 우선순위에서 제외되고 높은 등급 대상은 위험한 공격을 대신 받도록 강제됨</x:t>
  </x:si>
  <x:si>
    <x:t xml:space="preserve">동료와 시민 사이의 연결선을 교차시켜 표식을 분산하고 측정 범위 밖으로 이동시켜 등급을 제거함</x:t>
  </x:si>
  <x:si>
    <x:t xml:space="preserve">9/10 – 대상 수·연결선 교차·이동 제한·공격 병행이 난이도를 결정함</x:t>
  </x:si>
  <x:si>
    <x:t xml:space="preserve">시민·동료 표식 6개 전부 해제</x:t>
  </x:si>
  <x:si>
    <x:t xml:space="preserve">표식 대상 2명 소멸 시 현재 페이즈 재시작</x:t>
  </x:si>
  <x:si>
    <x:t xml:space="preserve">실패 후 해제 가능한 연결선을 순서대로 강조</x:t>
  </x:si>
  <x:si>
    <x:t xml:space="preserve">표식 연결선 재배치·등급 해제</x:t>
  </x:si>
  <x:si>
    <x:t xml:space="preserve">차한해에게 연결된 무한대 부담 장치 파괴하기</x:t>
  </x:si>
  <x:si>
    <x:t xml:space="preserve">보스가 모든 균열 피해를 차한해에게 이전하고 예상 손실 1명이라는 계산을 최적해로 고정함</x:t>
  </x:si>
  <x:si>
    <x:t xml:space="preserve">혼자 공격을 받아내지 않고 전장에 분산된 연결 장치를 동료와 동시에 작동시켜 부담 이전 회로를 끊음</x:t>
  </x:si>
  <x:si>
    <x:t xml:space="preserve">10/10 – 동시 장치 수·자아 마모도 증가·공격 압박·협력 타이밍이 난이도를 결정함</x:t>
  </x:si>
  <x:si>
    <x:t xml:space="preserve">부담 연결 장치 4개 동시 파괴</x:t>
  </x:si>
  <x:si>
    <x:t xml:space="preserve">자아 마모도 최대 또는 동료 전멸 시 2페이즈 재시작</x:t>
  </x:si>
  <x:si>
    <x:t xml:space="preserve">반복 실패 시 장치 동시 입력 허용 시간을 늘림</x:t>
  </x:si>
  <x:si>
    <x:t xml:space="preserve">무한대 부담 분산·동시 장치 파괴</x:t>
  </x:si>
  <x:si>
    <x:t xml:space="preserve">유한한 선의를 분담해 최종 계산식 무너뜨리기</x:t>
  </x:si>
  <x:si>
    <x:t xml:space="preserve">선의 계량자는 한 사람의 무한한 희생이 여러 사람의 유한한 선택보다 효율적이라는 계산을 반복함</x:t>
  </x:si>
  <x:si>
    <x:t xml:space="preserve">이전 챕터에서 구조한 NPC와 동료가 자발적으로 장치를 맡게 하고 차한해는 마지막 핵만 공명 타격함</x:t>
  </x:si>
  <x:si>
    <x:t xml:space="preserve">10/10 – 참여 인원 보호·핵 노출 주기·자아 마모도·마지막 타격이 난이도를 결정함</x:t>
  </x:si>
  <x:si>
    <x:t xml:space="preserve">분담 장치 5개 유지 및 보스 핵 파괴</x:t>
  </x:si>
  <x:si>
    <x:t xml:space="preserve">참여 인원 3명 이상 이탈 또는 체력 0 시 최종 페이즈 재시작</x:t>
  </x:si>
  <x:si>
    <x:t xml:space="preserve">실패 후 참여 인원의 위험 순서와 핵 노출 시간을 표시</x:t>
  </x:si>
  <x:si>
    <x:t xml:space="preserve">다인 분담 유지·최종 핵 파괴</x:t>
  </x:si>
  <x:si>
    <x:t xml:space="preserve">선의 계량자의 마지막 증언 듣기</x:t>
  </x:si>
  <x:si>
    <x:t xml:space="preserve">소멸 직전의 보스가 차한해의 선의가 무한한 것이 아니라 인간의 측정식으로 정의할 수 없는 존재라고 밝힘</x:t>
  </x:si>
  <x:si>
    <x:t xml:space="preserve">남은 대화와 측정 기록을 확인해 균열이 차한해를 공격하는 것이 아니라 자신에게서 떨어진 존재를 회수하려 한다는 단서를 얻음</x:t>
  </x:si>
  <x:si>
    <x:t xml:space="preserve">6/10 – 진실과 추론을 구분하고 기존 세계 규칙을 재해석하는 난이도가 중심임</x:t>
  </x:si>
  <x:si>
    <x:t xml:space="preserve">출생의 비밀과 균열 소멸 조건에 관한 증언 5개 확인</x:t>
  </x:si>
  <x:si>
    <x:t xml:space="preserve">핵심 증언을 기록 메뉴에 저장하고 검증이 필요한 문장 표시</x:t>
  </x:si>
  <x:si>
    <x:t xml:space="preserve">균열 심층부로 이동하기</x:t>
  </x:si>
  <x:si>
    <x:t xml:space="preserve">통로가 붕괴하고 화면 왜곡이 심해져 이동 경로를 오래 유지할 수 없음</x:t>
  </x:si>
  <x:si>
    <x:t xml:space="preserve">붕괴 예고와 고정 표식을 보며 붕괴하는 균열 통로까지 짧은 구간 단위로 이동함</x:t>
  </x:si>
  <x:si>
    <x:t xml:space="preserve">7/10 – 붕괴 속도·통로 폭·왜곡 강도·체크포인트 간격이 난이도를 결정함</x:t>
  </x:si>
  <x:si>
    <x:t xml:space="preserve">심층부 도착</x:t>
  </x:si>
  <x:si>
    <x:t xml:space="preserve">낙하 또는 제한시간 종료 시 직전 지점 재시작</x:t>
  </x:si>
  <x:si>
    <x:t xml:space="preserve">구간별 체크포인트와 안전 발판 강조</x:t>
  </x:si>
  <x:si>
    <x:t xml:space="preserve">5-D | 균열 심층부</x:t>
  </x:si>
  <x:si>
    <x:t xml:space="preserve">선의 계량자의 증언 검증하기</x:t>
  </x:si>
  <x:si>
    <x:t xml:space="preserve">지적 괴물이 남긴 증언과 기존 관리국 기록이 충돌해 어느 정보가 사실인지 판단해야 함</x:t>
  </x:si>
  <x:si>
    <x:t xml:space="preserve">측정 기록·균열 반응·주인공의 기억을 비교해 차한해가 균열에서 태어난 존재라는 사실을 확인함</x:t>
  </x:si>
  <x:si>
    <x:t xml:space="preserve">6/10 – 증언과 기록의 모순 수·새 정보량·기존 규칙과의 충돌이 난이도를 결정함</x:t>
  </x:si>
  <x:si>
    <x:t xml:space="preserve">출생 관련 증언 3개와 균열 기록 3개 검증</x:t>
  </x:si>
  <x:si>
    <x:t xml:space="preserve">검증된 사실과 추론을 기록 메뉴에서 구분 표시</x:t>
  </x:si>
  <x:si>
    <x:t xml:space="preserve">한도윤과 마지막 통신하기</x:t>
  </x:si>
  <x:si>
    <x:t xml:space="preserve">통신이 끊기고 잡음이 섞여 상대의 의도를 정확히 듣기 어려움</x:t>
  </x:si>
  <x:si>
    <x:t xml:space="preserve">반복되는 핵심 문구를 확인하며 귀환을 요청하는 한도윤의 마지막 대화를 진행함</x:t>
  </x:si>
  <x:si>
    <x:t xml:space="preserve">5/10 – 잡음 강도·대사 길이·감정적 부담이 난이도를 결정함</x:t>
  </x:si>
  <x:si>
    <x:t xml:space="preserve">통신 종료</x:t>
  </x:si>
  <x:si>
    <x:t xml:space="preserve">핵심 대사 자막을 화면에 오래 유지</x:t>
  </x:si>
  <x:si>
    <x:t xml:space="preserve">소멸 선택지 확인하기</x:t>
  </x:si>
  <x:si>
    <x:t xml:space="preserve">어떤 선택도 완전한 보상이 없고 플레이어가 결말을 직접 확정해야 함</x:t>
  </x:si>
  <x:si>
    <x:t xml:space="preserve">지금까지 수집한 정보와 관계 변화를 확인해 자신의 소멸과 균열 소멸의 관계를 결정함</x:t>
  </x:si>
  <x:si>
    <x:t xml:space="preserve">8/10 – 결과의 비가역성·정보량·감정적 부담이 난이도를 결정함</x:t>
  </x:si>
  <x:si>
    <x:t xml:space="preserve">최종 선택지 확정</x:t>
  </x:si>
  <x:si>
    <x:t xml:space="preserve">선택 전 저장 및 주요 결과 요약 제공</x:t>
  </x:si>
  <x:si>
    <x:t xml:space="preserve">마지막 기억 회수하기</x:t>
  </x:si>
  <x:si>
    <x:t xml:space="preserve">기억 조각이 위험 구역과 멀리 떨어져 있어 수집 순서가 중요함</x:t>
  </x:si>
  <x:si>
    <x:t xml:space="preserve">가장 안전한 경로를 정하고 주인공이 지키고 싶었던 사람들의 기억 5개를 회수함</x:t>
  </x:si>
  <x:si>
    <x:t xml:space="preserve">7/10 – 목표 수·동선 길이·위험 구역 밀도·자아 마모도 증가량이 난이도를 결정함</x:t>
  </x:si>
  <x:si>
    <x:t xml:space="preserve">필수 기억 전부 회수</x:t>
  </x:si>
  <x:si>
    <x:t xml:space="preserve">자아 마모도 최대 시 직전 체크포인트 재시작</x:t>
  </x:si>
  <x:si>
    <x:t xml:space="preserve">남은 기억 방향과 안전 경로를 단계적으로 표시</x:t>
  </x:si>
  <x:si>
    <x:t xml:space="preserve">균열 핵에 접근하기</x:t>
  </x:si>
  <x:si>
    <x:t xml:space="preserve">핵의 충격파가 일정 주기로 넓어져 접근 가능한 시간이 짧음</x:t>
  </x:si>
  <x:si>
    <x:t xml:space="preserve">충격파 예고를 보고 안전 지점에서 대기한 뒤 주기적으로 충격파를 내보내는 균열 핵에 단계적으로 접근함</x:t>
  </x:si>
  <x:si>
    <x:t xml:space="preserve">9/10 – 충격파 주기·안전 지점 거리·필요 접근 횟수가 난이도를 결정함</x:t>
  </x:si>
  <x:si>
    <x:t xml:space="preserve">균열 핵 상호작용 지점 도착</x:t>
  </x:si>
  <x:si>
    <x:t xml:space="preserve">충격파 5회 피격 또는 체력 0 시 재시작</x:t>
  </x:si>
  <x:si>
    <x:t xml:space="preserve">실패 후 충격파 예고 시간 증가</x:t>
  </x:si>
  <x:si>
    <x:t xml:space="preserve">균열 핵과 동기화하기</x:t>
  </x:si>
  <x:si>
    <x:t xml:space="preserve">두 게이지가 서로 반대로 움직여 하나만 맞추면 다른 값이 벗어남</x:t>
  </x:si>
  <x:si>
    <x:t xml:space="preserve">입력 강도와 타이밍을 조절해 선의와 자아 마모도를 맞추는 입력의 두 수치를 목표 범위에 유지함</x:t>
  </x:si>
  <x:si>
    <x:t xml:space="preserve">9/10 – 게이지 이동속도·목표 범위·동시 입력 수·초기화 범위가 난이도를 결정함</x:t>
  </x:si>
  <x:si>
    <x:t xml:space="preserve">동기화 게이지 100% 달성</x:t>
  </x:si>
  <x:si>
    <x:t xml:space="preserve">불안정 수치 최대 시 동기화 단계 재시작</x:t>
  </x:si>
  <x:si>
    <x:t xml:space="preserve">실패 후 목표 범위 확대와 중간 체크포인트 제공</x:t>
  </x:si>
  <x:si>
    <x:t xml:space="preserve">최종 선택 실행하기</x:t>
  </x:si>
  <x:si>
    <x:t xml:space="preserve">최종 선택을 실행하면 되돌릴 수 없다는 사실이 강한 심리적 부담을 줌</x:t>
  </x:si>
  <x:si>
    <x:t xml:space="preserve">확인 문구와 지금까지의 결과를 검토한 뒤 균열과 함께 소멸하는 선택을 실행함</x:t>
  </x:si>
  <x:si>
    <x:t xml:space="preserve">7/10 – 선택의 비가역성과 감정적 부담이 난이도를 결정함</x:t>
  </x:si>
  <x:si>
    <x:t xml:space="preserve">최종 행동 확인 입력 완료</x:t>
  </x:si>
  <x:si>
    <x:t xml:space="preserve">이중 확인과 자동 저장 제공</x:t>
  </x:si>
  <x:si>
    <x:t xml:space="preserve">5-E | 최종 선택·후일담</x:t>
  </x:si>
  <x:si>
    <x:t xml:space="preserve">균열과 몬스터 소멸 확인하기</x:t>
  </x:si>
  <x:si>
    <x:t xml:space="preserve">여러 지역과 인물의 변화를 짧은 장면 안에서 연결해 이해해야 함</x:t>
  </x:si>
  <x:si>
    <x:t xml:space="preserve">장면 순서와 반복되는 상징을 보며 도시 곳곳의 균열과 괴물이 소멸한 결과를 확인함</x:t>
  </x:si>
  <x:si>
    <x:t xml:space="preserve">3/10 – 등장 인물 수·장면 전환 속도·결과 연결성이 난이도를 결정함</x:t>
  </x:si>
  <x:si>
    <x:t xml:space="preserve">후일담 장면 전부 재생</x:t>
  </x:si>
  <x:si>
    <x:t xml:space="preserve">인물별 이름과 이전 선택 결과를 함께 표시</x:t>
  </x:si>
  <x:si>
    <x:t xml:space="preserve">생존자들의 후일담 확인하기</x:t>
  </x:si>
  <x:si>
    <x:t xml:space="preserve">장면 순서와 반복되는 상징을 보며 가족·한도윤·친구·시민의 변화와 그 결과를 확인함</x:t>
  </x:si>
  <x:si>
    <x:t xml:space="preserve">2/10 – 등장 인물 수·장면 전환 속도·결과 연결성이 난이도를 결정함</x:t>
  </x:si>
  <x:si>
    <x:t xml:space="preserve">엔딩 크레딧 감상하기</x:t>
  </x:si>
  <x:si>
    <x:t xml:space="preserve">긴 크레딧 중 추가 장면과 기록이 삽입되어 놓칠 수 있음</x:t>
  </x:si>
  <x:si>
    <x:t xml:space="preserve">크레딧 사이의 주요 장면을 확인하며 엔딩 크레딧을 마지막까지 감상함</x:t>
  </x:si>
  <x:si>
    <x:t xml:space="preserve">1/10 – 추가 장면의 노출 시간과 배치 간격이 난이도를 결정함</x:t>
  </x:si>
  <x:si>
    <x:t xml:space="preserve">크레딧 종료</x:t>
  </x:si>
  <x:si>
    <x:t xml:space="preserve">일시정지·배속·다시 보기 기능 제공</x:t>
  </x:si>
  <x:si>
    <x:t xml:space="preserve">밸런스 팩터</x:t>
  </x:si>
  <x:si>
    <x:t xml:space="preserve">게임 「넌 착해!」의 플레이 경험에 영향을 주는 주요 조정 요소를 원형으로 정리</x:t>
  </x:si>
  <x:si>
    <x:t xml:space="preserve">큰 원은 플레이 전반에 미치는 영향이 큰 핵심 팩터이며, 작은 원은 장면·미션 단위에서 조정하는 세부 팩터임</x:t>
  </x:si>
  <x:si>
    <x:t xml:space="preserve">밸런스 문서 작성 기준</x:t>
  </x:si>
  <x:si>
    <x:t xml:space="preserve">항목</x:t>
  </x:si>
  <x:si>
    <x:t xml:space="preserve">작성 방식</x:t>
  </x:si>
  <x:si>
    <x:t xml:space="preserve">값/형식</x:t>
  </x:si>
  <x:si>
    <x:t xml:space="preserve">우리 게임 적용 기준</x:t>
  </x:si>
  <x:si>
    <x:t xml:space="preserve">조작난이도</x:t>
  </x:si>
  <x:si>
    <x:t xml:space="preserve">플레이어가 실제 입력을 수행할 때 느끼는 손 조작의 어려움</x:t>
  </x:si>
  <x:si>
    <x:t xml:space="preserve">1~10 숫자</x:t>
  </x:si>
  <x:si>
    <x:t xml:space="preserve">1은 단순 확인·대화, 10은 빠른 보스 패턴과 복합 입력</x:t>
  </x:si>
  <x:si>
    <x:t xml:space="preserve">재미율</x:t>
  </x:si>
  <x:si>
    <x:t xml:space="preserve">기획자가 해당 구간이 이 정도로 재미있기를 기대하며 정하는 정성적 목표값</x:t>
  </x:si>
  <x:si>
    <x:t xml:space="preserve">탐색·긴장·감정·반전·성취를 모두 포함하며 실제 테스트값이 아님</x:t>
  </x:si>
  <x:si>
    <x:t xml:space="preserve">컨텐츠 제시순서</x:t>
  </x:si>
  <x:si>
    <x:t xml:space="preserve">게임 시작부터 엔딩까지 해금되는 모든 플레이 내용을 순서대로 기록</x:t>
  </x:si>
  <x:si>
    <x:t xml:space="preserve">1부터 연속 넘버링</x:t>
  </x:si>
  <x:si>
    <x:t xml:space="preserve">UI 미션뿐 아니라 이동·조사·대화·전투·업적성 행동·연출 확인까지 포함</x:t>
  </x:si>
  <x:si>
    <x:t xml:space="preserve">미션</x:t>
  </x:si>
  <x:si>
    <x:t xml:space="preserve">제목만 읽어도 플레이어가 무엇을 해야 하는지 보이도록 작성</x:t>
  </x:si>
  <x:si>
    <x:t xml:space="preserve">행동형 제목</x:t>
  </x:si>
  <x:si>
    <x:t xml:space="preserve">예: 신상 과자 진열대 찾기, 균열 괴물과 첫 전투 치르기</x:t>
  </x:si>
  <x:si>
    <x:t xml:space="preserve">방해요소</x:t>
  </x:si>
  <x:si>
    <x:t xml:space="preserve">목표를 바로 달성하지 못하게 만드는 맵·NPC·시간·정보·전투 요소</x:t>
  </x:si>
  <x:si>
    <x:t xml:space="preserve">구체적 서술</x:t>
  </x:si>
  <x:si>
    <x:t xml:space="preserve">비슷한 후보, 넓은 탐색 범위, 제한시간, 시야 차단, 감정적 압박 등</x:t>
  </x:si>
  <x:si>
    <x:t xml:space="preserve">방해요소 공략</x:t>
  </x:si>
  <x:si>
    <x:t xml:space="preserve">방해요소를 해결하기 위해 플레이어가 관찰·판단·조작해야 하는 내용</x:t>
  </x:si>
  <x:si>
    <x:t xml:space="preserve">구체적 플레이 절차</x:t>
  </x:si>
  <x:si>
    <x:t xml:space="preserve">이 표에서 가장 핵심적인 항목으로 작성</x:t>
  </x:si>
  <x:si>
    <x:t xml:space="preserve">방해요인의 난이도</x:t>
  </x:si>
  <x:si>
    <x:t xml:space="preserve">관찰·판단·공략의 어려움과 그 난이도를 만드는 요인을 함께 기록</x:t>
  </x:si>
  <x:si>
    <x:t xml:space="preserve">숫자/10 + 원인 설명</x:t>
  </x:si>
  <x:si>
    <x:t xml:space="preserve">후보 수, 맵 크기, 속도 차이, 제한시간, 패턴 수 등</x:t>
  </x:si>
  <x:si>
    <x:t xml:space="preserve">미션개수</x:t>
  </x:si>
  <x:si>
    <x:t xml:space="preserve">해당 행의 목표를 완료하기 위해 필요한 행동·대상·단계의 수</x:t>
  </x:si>
  <x:si>
    <x:t xml:space="preserve">정수</x:t>
  </x:si>
  <x:si>
    <x:t xml:space="preserve">수거 8개, 단서 5개, 대화 1회, 보스 패턴 6회 등</x:t>
  </x:si>
  <x:si>
    <x:t xml:space="preserve">성공 미션조건</x:t>
  </x:si>
  <x:si>
    <x:t xml:space="preserve">시스템이 완료를 판정할 수 있는 명확한 조건</x:t>
  </x:si>
  <x:si>
    <x:t xml:space="preserve">구체적 판정 조건</x:t>
  </x:si>
  <x:si>
    <x:t xml:space="preserve">목표 수량 달성, 트리거 진입, 보스 체력 0 등</x:t>
  </x:si>
  <x:si>
    <x:t xml:space="preserve">실패 미션조건</x:t>
  </x:si>
  <x:si>
    <x:t xml:space="preserve">실패가 존재하는 경우 재시작·페널티가 발생하는 조건</x:t>
  </x:si>
  <x:si>
    <x:t xml:space="preserve">구체적 판정 조건 또는 실패 없음</x:t>
  </x:si>
  <x:si>
    <x:t xml:space="preserve">추격 거리 초과, 체력 0, 제한시간 종료, 오답 누적 등</x:t>
  </x:si>
  <x:si>
    <x:t xml:space="preserve">예상 플레이타임</x:t>
  </x:si>
  <x:si>
    <x:t xml:space="preserve">초회 플레이어가 해당 콘텐츠를 완료하는 데 걸릴 것으로 예상하는 시간</x:t>
  </x:si>
  <x:si>
    <x:t xml:space="preserve">초/분</x:t>
  </x:si>
  <x:si>
    <x:t xml:space="preserve">난이도 보정 컨텐츠</x:t>
  </x:si>
  <x:si>
    <x:t xml:space="preserve">막힌 플레이어가 목표를 다시 파악하도록 돕는 힌트와 보정 장치</x:t>
  </x:si>
  <x:si>
    <x:t xml:space="preserve">필요한 경우 작성</x:t>
  </x:si>
  <x:si>
    <x:t xml:space="preserve">방향 표시, 반짝임, 속도 감소, 체크포인트, 오답 힌트 등</x:t>
  </x:si>
  <x:si>
    <x:t xml:space="preserve">이동속도 A</x:t>
  </x:si>
  <x:si>
    <x:t xml:space="preserve">플레이어 또는 해당 행에서 주체가 되는 캐릭터의 이동속도</x:t>
  </x:si>
  <x:si>
    <x:t xml:space="preserve">1~5 상대값</x:t>
  </x:si>
  <x:si>
    <x:t xml:space="preserve">1 매우 느림, 3 보통, 5 빠름. 이동이 핵심이 아닐 때는 공란</x:t>
  </x:si>
  <x:si>
    <x:t xml:space="preserve">이동속도 B</x:t>
  </x:si>
  <x:si>
    <x:t xml:space="preserve">추격 대상·동행 NPC·위협체 등 상대 캐릭터의 이동속도</x:t>
  </x:si>
  <x:si>
    <x:t xml:space="preserve">A와 B의 속도 차이가 추격·호위·회피 난이도를 결정</x:t>
  </x:si>
  <x:si>
    <x:t xml:space="preserve">문서 범위</x:t>
  </x:si>
  <x:si>
    <x:t xml:space="preserve">게임 시작부터 엔딩까지 모든 콘텐츠를 작성</x:t>
  </x:si>
  <x:si>
    <x:t xml:space="preserve">최소 50개 이상</x:t>
  </x:si>
  <x:si>
    <x:t xml:space="preserve">진행 요구 숙련도</x:t>
  </x:si>
  <x:si>
    <x:t xml:space="preserve">콘텐츠 진행 포인트가 누적될수록 플레이어에게 요구되는 조작·판단·시스템 이해 수준</x:t>
  </x:si>
  <x:si>
    <x:t xml:space="preserve">Y=ax²+bx / 0~10000</x:t>
  </x:si>
  <x:si>
    <x:t xml:space="preserve">X는 콘텐츠 진행 포인트 누적, Y는 진행 요구 숙련도. Q3의 a와 R3의 b를 사용하며 마지막 값은 10000</x:t>
  </x:si>
  <x:si>
    <x:t xml:space="preserve">전투 콘텐츠 분류</x:t>
  </x:si>
  <x:si>
    <x:t xml:space="preserve">해당 행이 비전투·튜토리얼·일반 몬스터·정예 몬스터·보스 중 무엇인지 구분</x:t>
  </x:si>
  <x:si>
    <x:t xml:space="preserve">텍스트 분류</x:t>
  </x:si>
  <x:si>
    <x:t xml:space="preserve">보스전의 준비·전투·결말 행을 구분하고 균열 수호체는 정예 몬스터로 별도 분류</x:t>
  </x:si>
  <x:si>
    <x:t xml:space="preserve">권장 전투 숙련도</x:t>
  </x:si>
  <x:si>
    <x:t xml:space="preserve">해당 전투를 안정적으로 공략하기 위해 요구되는 회피·조준·기믹 이해 수준</x:t>
  </x:si>
  <x:si>
    <x:t xml:space="preserve">1~10 숫자 또는 —</x:t>
  </x:si>
  <x:si>
    <x:t xml:space="preserve">일반 전투는 2~7, 보스전은 5~10 범위. 비전투 콘텐츠는 —</x:t>
  </x:si>
  <x:si>
    <x:t xml:space="preserve">전투 예상 시간(초)</x:t>
  </x:si>
  <x:si>
    <x:t xml:space="preserve">해당 행에서 실제 전투 조작에 사용되는 예상 시간</x:t>
  </x:si>
  <x:si>
    <x:t xml:space="preserve">초 단위 정수 또는 —</x:t>
  </x:si>
  <x:si>
    <x:t xml:space="preserve">스토리 연출과 전투 후 대화는 제외하고 순수 전투·기믹 수행 시간만 기록</x:t>
  </x:si>
  <x:si>
    <x:t xml:space="preserve">핵심 전투 기믹</x:t>
  </x:si>
  <x:si>
    <x:t xml:space="preserve">전투를 단순 체력 감소가 아닌 해당 콘텐츠만의 공략 규칙으로 요약</x:t>
  </x:si>
  <x:si>
    <x:t xml:space="preserve">행동 순서형 짧은 문장</x:t>
  </x:si>
  <x:si>
    <x:t xml:space="preserve">예: 돌진 유도→철문 파괴, 시민 대신 공격 받아내기, 등급 표식 해제</x:t>
  </x:si>
  <x:si>
    <x:t xml:space="preserve">해당 구간 일반 몬스터 30체분의 환산 경험치를 보스 처치 보상으로 산정</x:t>
  </x:si>
  <x:si>
    <x:t xml:space="preserve">숫자</x:t>
  </x:si>
  <x:si>
    <x:t xml:space="preserve">25×30=750에서 시작해 후반 보스는 50×30=1500까지 증가</x:t>
  </x:si>
  <x:si>
    <x:t xml:space="preserve">해당 레벨의 보스 분포 수</x:t>
  </x:si>
  <x:si>
    <x:t xml:space="preserve">해당 챕터에 배치된 보스 스테이지 수를 기록하며 페이즈·분열 개체 수는 중복 계산하지 않음</x:t>
  </x:si>
  <x:si>
    <x:t xml:space="preserve">재난 대응 3개, 폐교 탐색 1개, 균열의 진실 1개</x:t>
  </x:si>
  <x:si>
    <x:t xml:space="preserve">보스타입 A/B 시간</x:t>
  </x:si>
  <x:si>
    <x:t xml:space="preserve">AB는 근거리형 패턴 시간, AC는 원거리형 패턴 시간으로 기록하고 합계를 보스 총 전투시간으로 사용</x:t>
  </x:si>
  <x:si>
    <x:t xml:space="preserve">초 단위 정수</x:t>
  </x:si>
  <x:si>
    <x:t xml:space="preserve">전체 밸런스 곡선 요약</x:t>
  </x:si>
  <x:si>
    <x:t xml:space="preserve">총 콘텐츠 수</x:t>
  </x:si>
  <x:si>
    <x:t xml:space="preserve">평균 플레이 난이도</x:t>
  </x:si>
  <x:si>
    <x:t xml:space="preserve">평균 플레이 흥미도</x:t>
  </x:si>
  <x:si>
    <x:t xml:space="preserve">보스 스테이지 수</x:t>
  </x:si>
  <x:si>
    <x:t xml:space="preserve">보스 밸런스 설계 요약</x:t>
  </x:si>
  <x:si>
    <x:t xml:space="preserve">순서</x:t>
  </x:si>
  <x:si>
    <x:t xml:space="preserve">챕터·스테이지</x:t>
  </x:si>
  <x:si>
    <x:t xml:space="preserve">보스명</x:t>
  </x:si>
  <x:si>
    <x:t xml:space="preserve">인간 시절 핵심 서사</x:t>
  </x:si>
  <x:si>
    <x:t xml:space="preserve">선의 0 도달 원인</x:t>
  </x:si>
  <x:si>
    <x:t xml:space="preserve">전투 구조</x:t>
  </x:si>
  <x:si>
    <x:t xml:space="preserve">핵심 공략</x:t>
  </x:si>
  <x:si>
    <x:t xml:space="preserve">일반 몬스터 1체 경험치</x:t>
  </x:si>
  <x:si>
    <x:t xml:space="preserve">보스 경험치</x:t>
  </x:si>
  <x:si>
    <x:t xml:space="preserve">일반 몬스터 1체 시간(초)</x:t>
  </x:si>
  <x:si>
    <x:t xml:space="preserve">30체 총시간(초)</x:t>
  </x:si>
  <x:si>
    <x:t xml:space="preserve">보스 총시간(초)</x:t>
  </x:si>
  <x:si>
    <x:t xml:space="preserve">근거리형 시간(초)</x:t>
  </x:si>
  <x:si>
    <x:t xml:space="preserve">원거리형 시간(초)</x:t>
  </x:si>
  <x:si>
    <x:t xml:space="preserve">시간 효율</x:t>
  </x:si>
  <x:si>
    <x:t xml:space="preserve">해당 챕터 보스 수</x:t>
  </x:si>
  <x:si>
    <x:t xml:space="preserve">서사적 승리 조건</x:t>
  </x:si>
  <x:si>
    <x:t xml:space="preserve">효율 검증</x:t>
  </x:si>
  <x:si>
    <x:t xml:space="preserve">닫힌 문지기</x:t>
  </x:si>
  <x:si>
    <x:t xml:space="preserve">대피소를 지키려 문을 열었던 관리인이 사고 이후 문밖의 사람을 위험 요소로 보기 시작함</x:t>
  </x:si>
  <x:si>
    <x:t xml:space="preserve">문을 열어도 되는 상황에서 구조 요청을 외면하고 안도감을 느끼는 순간 타인을 돕고자 하는 마음이 소진됨</x:t>
  </x:si>
  <x:si>
    <x:t xml:space="preserve">단일 페이즈·환경 파괴형</x:t>
  </x:si>
  <x:si>
    <x:t xml:space="preserve">돌진으로 철문 파괴→시민 이동→노출 핵 공격</x:t>
  </x:si>
  <x:si>
    <x:t xml:space="preserve">닫힌 문을 모두 열고 문밖 시민을 구조한 뒤 방어 핵 파괴</x:t>
  </x:si>
  <x:si>
    <x:t xml:space="preserve">폭력의 순환체</x:t>
  </x:si>
  <x:si>
    <x:t xml:space="preserve">아이 대신 폭력을 받아낸 엄마와 후임 대신 폭력을 행사하도록 강요받은 군인의 기억이 하나의 외피에 갇힘</x:t>
  </x:si>
  <x:si>
    <x:t xml:space="preserve">엄마는 희생이 아이를 지키지 못했다고 믿고, 군인은 자신이 폭력을 줄인 것이 아니라 지속시켰다고 깨달으며 인간에 대한 신뢰를 잃음</x:t>
  </x:si>
  <x:si>
    <x:t xml:space="preserve">1체 시작→2체 분열·2페이즈형</x:t>
  </x:si>
  <x:si>
    <x:t xml:space="preserve">받아내야 하는 공격과 피해야 하는 공격을 구분하고 시민을 대피시킨 뒤 연결 핵 동시 파괴</x:t>
  </x:si>
  <x:si>
    <x:t xml:space="preserve">때리는 자와 맞는 자를 연결한 폭력 순환 구조 자체를 파괴</x:t>
  </x:si>
  <x:si>
    <x:t xml:space="preserve">갈채를 먹는 자</x:t>
  </x:si>
  <x:si>
    <x:t xml:space="preserve">순수한 구조자였으나 고등급자 특혜와 영웅 대접에 익숙해지며 선행을 생활 유지 수단으로 바꿈</x:t>
  </x:si>
  <x:si>
    <x:t xml:space="preserve">긴급 구조 알림을 끄고 '다른 고등급자를 보내라'고 선택한 평범한 순간 선의 수치가 0에 도달함</x:t>
  </x:si>
  <x:si>
    <x:t xml:space="preserve">환경 제어·무대 전환형</x:t>
  </x:si>
  <x:si>
    <x:t xml:space="preserve">카메라 사각지대 이동→중계 장치 차단→실제 시민 판별→비공개 구조</x:t>
  </x:si>
  <x:si>
    <x:t xml:space="preserve">아무도 보지 않는 곳에서 시민을 구조해 갈채 보호막을 제거</x:t>
  </x:si>
  <x:si>
    <x:t xml:space="preserve">남겨진 친구</x:t>
  </x:si>
  <x:si>
    <x:t xml:space="preserve">학교폭력과 체벌을 호소했지만 주변이 문제 학생으로 취급하거나 외면한 차한해의 친구</x:t>
  </x:si>
  <x:si>
    <x:t xml:space="preserve">참는 것이 착한 행동이라는 믿음이 무너지고 아무도 자신을 구하지 않는다고 확신하며 선의가 고갈됨</x:t>
  </x:si>
  <x:si>
    <x:t xml:space="preserve">괴물형→인간형·비처치 결말형</x:t>
  </x:si>
  <x:si>
    <x:t xml:space="preserve">사랑의 매로 외피 파괴→농구공으로 기억 핵 개입→공격 중지→접근·포옹</x:t>
  </x:si>
  <x:si>
    <x:t xml:space="preserve">체력 0이 아니라 공격을 멈추고 친구를 포옹해 인간으로 복원</x:t>
  </x:si>
  <x:si>
    <x:t xml:space="preserve">선의 계량자</x:t>
  </x:si>
  <x:si>
    <x:t xml:space="preserve">선의 측정 체계를 설계해 책임을 공정하게 나누려 했으나 사람을 등급과 자원으로만 판단하게 된 연구자</x:t>
  </x:si>
  <x:si>
    <x:t xml:space="preserve">차한해 한 명의 희생을 예상 손실 1명이라는 최적해로 결정하며 타인을 사람으로 보는 마지막 선의를 잃음</x:t>
  </x:si>
  <x:si>
    <x:t xml:space="preserve">전장 규칙 변경·지적 보스형</x:t>
  </x:si>
  <x:si>
    <x:t xml:space="preserve">등급 발생 장치 파괴→표식 해제→무한대 부담 분산→다인 협력으로 계산식 붕괴</x:t>
  </x:si>
  <x:si>
    <x:t xml:space="preserve">한 사람의 무한한 희생이 아니라 여러 사람의 유한한 선택으로 부담을 분담</x:t>
  </x:si>
  <x:si>
    <x:t xml:space="preserve">정예 몬스터 분류: 균열 수호체는 보스가 아니며, 전투시간 200초·안전 구역/약점 노출 기믹을 가진 후반 정예 몬스터로 보스 분포 수와 보스 경험치 산정에서 제외</x:t>
  </x:si>
</x:sst>
</file>

<file path=xl/styles.xml><?xml version="1.0" encoding="utf-8"?>
<x:styleSheet xmlns:x="http://schemas.openxmlformats.org/spreadsheetml/2006/main">
  <x:numFmts count="4">
    <x:numFmt numFmtId="176" formatCode="0.0"/>
    <x:numFmt numFmtId="177" formatCode="[h]&quot;시간 &quot;m&quot;분 &quot;s&quot;초&quot;"/>
    <x:numFmt numFmtId="178" formatCode="0.0%"/>
    <x:numFmt numFmtId="200" formatCode="[h]&quot;시간 &quot;m&quot;분 &quot;s&quot;초"/>
  </x:numFmts>
  <x:fonts count="18">
    <x:font>
      <x:sz val="11"/>
      <x:color rgb="FF000000"/>
      <x:name val="Carlito"/>
    </x:font>
    <x:font>
      <x:sz val="11"/>
      <x:color rgb="FF000000"/>
      <x:name val="Carlito"/>
    </x:font>
    <x:font>
      <x:b/>
      <x:sz val="16"/>
      <x:color rgb="FF000000"/>
      <x:name val="Carlito"/>
    </x:font>
    <x:font>
      <x:sz val="10"/>
      <x:color rgb="FF000000"/>
      <x:name val="Carlito"/>
    </x:font>
    <x:font>
      <x:sz val="11"/>
      <x:color rgb="FF000000"/>
      <x:name val="맑은 고딕"/>
    </x:font>
    <x:font>
      <x:b/>
      <x:sz val="9"/>
      <x:color rgb="FF334155"/>
      <x:name val="Carlito"/>
    </x:font>
    <x:font>
      <x:b/>
      <x:sz val="10"/>
      <x:color rgb="FF334155"/>
      <x:name val="맑은 고딕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color rgb="FF1F1F1F"/>
      <x:name val="Carlito"/>
    </x:font>
    <x:font>
      <x:sz val="8"/>
      <x:name val="돋움"/>
    </x:font>
    <x:font>
      <x:b/>
      <x:sz val="10"/>
      <x:color rgb="FFFFFFFF"/>
      <x:name val="맑은 고딕"/>
    </x:font>
    <x:font>
      <x:sz val="10"/>
      <x:color rgb="FF000000"/>
      <x:name val="맑은 고딕"/>
    </x:font>
    <x:font>
      <x:b/>
      <x:sz val="10"/>
      <x:color rgb="FF7F6000"/>
      <x:name val="맑은 고딕"/>
    </x:font>
    <x:font>
      <x:b/>
      <x:sz val="10"/>
      <x:color rgb="FF375623"/>
      <x:name val="맑은 고딕"/>
    </x:font>
    <x:font>
      <x:b/>
      <x:sz val="10"/>
      <x:color theme="0"/>
      <x:name val="맑은 고딕"/>
    </x:font>
  </x:fonts>
  <x:fills count="9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334E68"/>
      </x:patternFill>
    </x:fill>
  </x:fills>
  <x:borders count="28">
    <x:border/>
    <x:border>
      <x:left style="thin">
        <x:color rgb="FFC8D1DC"/>
      </x:left>
      <x:top style="thin">
        <x:color rgb="FFC8D1DC"/>
      </x:top>
    </x:border>
    <x:border>
      <x:top style="thin">
        <x:color rgb="FFC8D1DC"/>
      </x:top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</x:border>
    <x:border>
      <x:right style="thin">
        <x:color rgb="FFC8D1DC"/>
      </x:right>
    </x:border>
    <x:border>
      <x:left style="thin">
        <x:color rgb="FFC8D1DC"/>
      </x:left>
      <x:bottom style="thin">
        <x:color rgb="FFC8D1DC"/>
      </x:bottom>
    </x:border>
    <x:border>
      <x:bottom style="thin">
        <x:color rgb="FFC8D1DC"/>
      </x:bottom>
    </x:border>
    <x:border>
      <x:right style="thin">
        <x:color rgb="FFC8D1DC"/>
      </x:right>
      <x:bottom style="thin">
        <x:color rgb="FFC8D1DC"/>
      </x:bottom>
    </x:border>
    <x:border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/>
    <x:border/>
    <x:border/>
    <x:border/>
    <x:border/>
    <x:border/>
    <x:border/>
    <x:border/>
    <x:border/>
    <x:border/>
    <x:border>
      <x:left style="thin">
        <x:color rgb="FFC8D1DC"/>
      </x:left>
      <x:top style="thin">
        <x:color rgb="FFC8D1DC"/>
      </x:top>
    </x:border>
    <x:border>
      <x:bottom style="thin">
        <x:color rgb="FFC8D1DC"/>
      </x:bottom>
    </x:border>
    <x:border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4">
    <x:xf numFmtId="0" fontId="0" fillId="0" borderId="0">
      <x:alignment vertical="center"/>
    </x:xf>
    <x:xf numFmtId="0" fontId="1" fillId="0" borderId="0">
      <x:alignment vertical="center"/>
    </x:xf>
    <x:xf numFmtId="0" fontId="1" fillId="0" borderId="0"/>
    <x:xf numFmtId="0" fontId="1" fillId="0" borderId="0">
      <x:alignment vertical="center"/>
    </x:xf>
  </x:cellStyleXfs>
  <x:cellXfs count="167">
    <x:xf numFmtId="0" fontId="0" fillId="0" borderId="0" xfId="0" applyNumberFormat="1" applyAlignment="1"/>
    <x:xf numFmtId="0" fontId="0" fillId="0" borderId="0" xfId="2" applyNumberFormat="1" applyFont="1" applyFill="1" applyBorder="1" applyAlignment="1">
      <x:alignment vertical="top" wrapText="1"/>
    </x:xf>
    <x:xf numFmtId="0" fontId="0" fillId="0" borderId="1" xfId="2" applyNumberFormat="1" applyFont="1" applyFill="1" applyBorder="1" applyAlignment="1">
      <x:alignment vertical="top" wrapText="1"/>
    </x:xf>
    <x:xf numFmtId="0" fontId="0" fillId="0" borderId="2" xfId="2" applyNumberFormat="1" applyFont="1" applyFill="1" applyBorder="1" applyAlignment="1">
      <x:alignment vertical="top" wrapText="1"/>
    </x:xf>
    <x:xf numFmtId="0" fontId="0" fillId="0" borderId="3" xfId="2" applyNumberFormat="1" applyFont="1" applyFill="1" applyBorder="1" applyAlignment="1">
      <x:alignment vertical="top" wrapText="1"/>
    </x:xf>
    <x:xf numFmtId="0" fontId="0" fillId="0" borderId="4" xfId="2" applyNumberFormat="1" applyFont="1" applyFill="1" applyBorder="1" applyAlignment="1">
      <x:alignment vertical="top" wrapText="1"/>
    </x:xf>
    <x:xf numFmtId="0" fontId="0" fillId="0" borderId="5" xfId="2" applyNumberFormat="1" applyFont="1" applyFill="1" applyBorder="1" applyAlignment="1">
      <x:alignment vertical="top" wrapText="1"/>
    </x:xf>
    <x:xf numFmtId="0" fontId="0" fillId="0" borderId="6" xfId="2" applyNumberFormat="1" applyFont="1" applyFill="1" applyBorder="1" applyAlignment="1">
      <x:alignment vertical="top" wrapText="1"/>
    </x:xf>
    <x:xf numFmtId="0" fontId="0" fillId="0" borderId="7" xfId="2" applyNumberFormat="1" applyFont="1" applyFill="1" applyBorder="1" applyAlignment="1">
      <x:alignment vertical="top" wrapText="1"/>
    </x:xf>
    <x:xf numFmtId="0" fontId="0" fillId="0" borderId="8" xfId="2" applyNumberFormat="1" applyFont="1" applyFill="1" applyBorder="1" applyAlignment="1">
      <x:alignment vertical="top" wrapText="1"/>
    </x:xf>
    <x:xf numFmtId="0" fontId="0" fillId="0" borderId="1" xfId="2" applyNumberFormat="1" applyFont="1" applyFill="1" applyBorder="1"/>
    <x:xf numFmtId="0" fontId="0" fillId="0" borderId="2" xfId="2" applyNumberFormat="1" applyFont="1" applyFill="1" applyBorder="1"/>
    <x:xf numFmtId="0" fontId="0" fillId="0" borderId="3" xfId="2" applyNumberFormat="1" applyFont="1" applyFill="1" applyBorder="1"/>
    <x:xf numFmtId="176" fontId="0" fillId="0" borderId="2" xfId="2" applyNumberFormat="1" applyFont="1" applyFill="1" applyBorder="1"/>
    <x:xf numFmtId="0" fontId="2" fillId="2" borderId="0" xfId="3" applyNumberFormat="1" applyFont="1" applyFill="1" applyAlignment="1"/>
    <x:xf numFmtId="0" fontId="4" fillId="0" borderId="0" xfId="3" applyNumberFormat="1" applyFont="1" applyAlignment="1"/>
    <x:xf numFmtId="0" fontId="5" fillId="0" borderId="9" xfId="2" applyNumberFormat="1" applyFont="1" applyBorder="1" applyAlignment="1">
      <x:alignment vertical="center" wrapText="1"/>
    </x:xf>
    <x:xf numFmtId="0" fontId="5" fillId="0" borderId="9" xfId="1" applyNumberFormat="1" applyFont="1" applyBorder="1" applyAlignment="1">
      <x:alignment horizontal="left" vertical="center" wrapText="1"/>
    </x:xf>
    <x:xf numFmtId="0" fontId="5" fillId="0" borderId="10" xfId="2" applyNumberFormat="1" applyFont="1" applyBorder="1" applyAlignment="1">
      <x:alignment vertical="center" wrapText="1"/>
    </x:xf>
    <x:xf numFmtId="0" fontId="5" fillId="0" borderId="10" xfId="1" applyNumberFormat="1" applyFont="1" applyBorder="1" applyAlignment="1">
      <x:alignment horizontal="left" vertical="center" wrapText="1"/>
    </x:xf>
    <x:xf numFmtId="0" fontId="6" fillId="0" borderId="0" xfId="1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1" fontId="0" fillId="0" borderId="10" xfId="0" applyNumberFormat="1" applyFont="1" applyFill="1" applyBorder="1" applyAlignment="1">
      <x:alignment horizontal="left" vertical="center" wrapText="1"/>
    </x:xf>
    <x:xf numFmtId="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" fontId="0" fillId="0" borderId="0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horizontal="center" vertical="center" wrapText="1"/>
    </x:xf>
    <x:xf numFmtId="0" fontId="9" fillId="5" borderId="13" xfId="0" applyNumberFormat="1" applyFont="1" applyFill="1" applyBorder="1" applyAlignment="1">
      <x:alignment horizontal="center" vertical="center" wrapText="1"/>
    </x:xf>
    <x:xf numFmtId="0" fontId="9" fillId="5" borderId="14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 applyAlignment="1">
      <x:alignment horizontal="center" vertical="top" wrapText="1"/>
    </x:xf>
    <x:xf numFmtId="0" fontId="0" fillId="0" borderId="21" xfId="0" applyNumberFormat="1" applyFont="1" applyFill="1" applyBorder="1" applyAlignment="1">
      <x:alignment horizontal="center" vertical="top" wrapText="1"/>
    </x:xf>
    <x:xf numFmtId="1" fontId="0" fillId="0" borderId="16" xfId="0" applyNumberFormat="1" applyFont="1" applyFill="1" applyBorder="1" applyAlignment="1">
      <x:alignment horizontal="center" vertical="top" wrapText="1"/>
    </x:xf>
    <x:xf numFmtId="178" fontId="0" fillId="0" borderId="16" xfId="0" applyNumberFormat="1" applyFont="1" applyFill="1" applyBorder="1" applyAlignment="1">
      <x:alignment horizontal="center" vertical="top" wrapText="1"/>
    </x:xf>
    <x:xf numFmtId="1" fontId="0" fillId="0" borderId="0" xfId="0" applyNumberFormat="1" applyFont="1" applyFill="1" applyBorder="1" applyAlignment="1">
      <x:alignment horizontal="center" vertical="top" wrapText="1"/>
    </x:xf>
    <x:xf numFmtId="178" fontId="0" fillId="0" borderId="0" xfId="0" applyNumberFormat="1" applyFont="1" applyFill="1" applyBorder="1" applyAlignment="1">
      <x:alignment horizontal="center" vertical="top" wrapText="1"/>
    </x:xf>
    <x:xf numFmtId="1" fontId="0" fillId="0" borderId="21" xfId="0" applyNumberFormat="1" applyFont="1" applyFill="1" applyBorder="1" applyAlignment="1">
      <x:alignment horizontal="center" vertical="top" wrapText="1"/>
    </x:xf>
    <x:xf numFmtId="178" fontId="0" fillId="0" borderId="21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horizontal="center" vertical="top" wrapText="1"/>
    </x:xf>
    <x:xf numFmtId="0" fontId="11" fillId="4" borderId="4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1" fillId="4" borderId="6" xfId="0" applyNumberFormat="1" applyFont="1" applyFill="1" applyBorder="1" applyAlignment="1">
      <x:alignment horizontal="center" vertical="center" wrapText="1"/>
    </x:xf>
    <x:xf numFmtId="2" fontId="0" fillId="0" borderId="1" xfId="0" applyNumberFormat="1" applyFont="1" applyFill="1" applyBorder="1" applyAlignment="1">
      <x:alignment vertical="top" wrapText="1"/>
    </x:xf>
    <x:xf numFmtId="2" fontId="5" fillId="0" borderId="0" xfId="0" applyNumberFormat="1" applyFont="1" applyFill="1" applyBorder="1" applyAlignment="1">
      <x:alignment vertical="center" wrapText="1"/>
    </x:xf>
    <x:xf numFmtId="2" fontId="5" fillId="0" borderId="0" xfId="0" applyNumberFormat="1" applyFont="1" applyFill="1" applyBorder="1" applyAlignment="1">
      <x:alignment horizontal="left" vertical="center" wrapText="1"/>
    </x:xf>
    <x:xf numFmtId="2" fontId="0" fillId="0" borderId="9" xfId="0" applyNumberFormat="1" applyFont="1" applyFill="1" applyBorder="1" applyAlignment="1">
      <x:alignment vertical="center" wrapText="1"/>
    </x:xf>
    <x:xf numFmtId="2" fontId="0" fillId="0" borderId="7" xfId="0" applyNumberFormat="1" applyFont="1" applyFill="1" applyBorder="1" applyAlignment="1">
      <x:alignment vertical="top" wrapText="1"/>
    </x:xf>
    <x:xf numFmtId="2" fontId="0" fillId="0" borderId="2" xfId="0" applyNumberFormat="1" applyFont="1" applyFill="1" applyBorder="1" applyAlignment="1">
      <x:alignment vertical="top" wrapText="1"/>
    </x:xf>
    <x:xf numFmtId="2" fontId="0" fillId="0" borderId="10" xfId="0" applyNumberFormat="1" applyFont="1" applyFill="1" applyBorder="1" applyAlignment="1">
      <x:alignment horizontal="left" vertical="center" wrapText="1"/>
    </x:xf>
    <x:xf numFmtId="1" fontId="0" fillId="0" borderId="1" xfId="0" applyNumberFormat="1" applyFont="1" applyFill="1" applyBorder="1" applyAlignment="1">
      <x:alignment vertical="top" wrapText="1"/>
    </x:xf>
    <x:xf numFmtId="1" fontId="0" fillId="0" borderId="7" xfId="0" applyNumberFormat="1" applyFont="1" applyFill="1" applyBorder="1" applyAlignment="1">
      <x:alignment wrapText="1"/>
    </x:xf>
    <x:xf numFmtId="1" fontId="0" fillId="0" borderId="8" xfId="0" applyNumberFormat="1" applyFont="1" applyFill="1" applyBorder="1" applyAlignment="1">
      <x:alignment wrapText="1"/>
    </x:xf>
    <x:xf numFmtId="1" fontId="3" fillId="2" borderId="0" xfId="0" applyNumberFormat="1" applyFont="1" applyFill="1" applyBorder="1" applyAlignment="1">
      <x:alignment wrapText="1"/>
    </x:xf>
    <x:xf numFmtId="1" fontId="0" fillId="0" borderId="7" xfId="0" applyNumberFormat="1" applyFont="1" applyFill="1" applyBorder="1" applyAlignment="1">
      <x:alignment vertical="top" wrapText="1"/>
    </x:xf>
    <x:xf numFmtId="177" fontId="11" fillId="4" borderId="5" xfId="0" applyNumberFormat="1" applyFont="1" applyFill="1" applyBorder="1" applyAlignment="1">
      <x:alignment horizontal="center" vertical="center" wrapText="1"/>
    </x:xf>
    <x:xf numFmtId="0" fontId="9" fillId="5" borderId="15" xfId="0" applyNumberFormat="1" applyFont="1" applyFill="1" applyBorder="1" applyAlignment="1">
      <x:alignment horizontal="center" vertical="center"/>
    </x:xf>
    <x:xf numFmtId="0" fontId="9" fillId="5" borderId="16" xfId="0" applyNumberFormat="1" applyFont="1" applyFill="1" applyBorder="1" applyAlignment="1">
      <x:alignment horizontal="center" vertical="center"/>
    </x:xf>
    <x:xf numFmtId="0" fontId="9" fillId="5" borderId="17" xfId="0" applyNumberFormat="1" applyFont="1" applyFill="1" applyBorder="1" applyAlignment="1">
      <x:alignment horizontal="center" vertical="center"/>
    </x:xf>
    <x:xf numFmtId="1" fontId="0" fillId="0" borderId="18" xfId="0" applyNumberFormat="1" applyFont="1" applyFill="1" applyBorder="1" applyAlignment="1">
      <x:alignment vertical="top" wrapText="1"/>
    </x:xf>
    <x:xf numFmtId="177" fontId="0" fillId="0" borderId="23" xfId="0" applyNumberFormat="1" applyFont="1" applyFill="1" applyBorder="1" applyAlignment="1">
      <x:alignment vertical="top" wrapText="1"/>
    </x:xf>
    <x:xf numFmtId="1" fontId="0" fillId="0" borderId="24" xfId="0" applyNumberFormat="1" applyFont="1" applyFill="1" applyBorder="1" applyAlignment="1">
      <x:alignment wrapText="1"/>
    </x:xf>
    <x:xf numFmtId="177" fontId="5" fillId="0" borderId="19" xfId="0" applyNumberFormat="1" applyFont="1" applyFill="1" applyBorder="1" applyAlignment="1">
      <x:alignment vertical="center" wrapText="1"/>
    </x:xf>
    <x:xf numFmtId="1" fontId="0" fillId="0" borderId="18" xfId="0" applyNumberFormat="1" applyFont="1" applyFill="1" applyBorder="1" applyAlignment="1">
      <x:alignment wrapText="1"/>
    </x:xf>
    <x:xf numFmtId="177" fontId="5" fillId="0" borderId="19" xfId="0" applyNumberFormat="1" applyFont="1" applyFill="1" applyBorder="1" applyAlignment="1">
      <x:alignment horizontal="left" vertical="center" wrapText="1"/>
    </x:xf>
    <x:xf numFmtId="177" fontId="0" fillId="0" borderId="25" xfId="0" applyNumberFormat="1" applyFont="1" applyFill="1" applyBorder="1" applyAlignment="1">
      <x:alignment vertical="center" wrapText="1"/>
    </x:xf>
    <x:xf numFmtId="1" fontId="0" fillId="0" borderId="24" xfId="0" applyNumberFormat="1" applyFont="1" applyFill="1" applyBorder="1" applyAlignment="1">
      <x:alignment vertical="top" wrapText="1"/>
    </x:xf>
    <x:xf numFmtId="177" fontId="0" fillId="0" borderId="19" xfId="0" applyNumberFormat="1" applyFont="1" applyFill="1" applyBorder="1" applyAlignment="1">
      <x:alignment wrapText="1"/>
    </x:xf>
    <x:xf numFmtId="1" fontId="0" fillId="0" borderId="26" xfId="0" applyNumberFormat="1" applyFont="1" applyFill="1" applyBorder="1" applyAlignment="1">
      <x:alignment horizontal="left" vertical="center" wrapText="1"/>
    </x:xf>
    <x:xf numFmtId="1" fontId="0" fillId="0" borderId="20" xfId="0" applyNumberFormat="1" applyFont="1" applyFill="1" applyBorder="1" applyAlignment="1">
      <x:alignment wrapText="1"/>
    </x:xf>
    <x:xf numFmtId="1" fontId="0" fillId="0" borderId="21" xfId="0" applyNumberFormat="1" applyFont="1" applyFill="1" applyBorder="1" applyAlignment="1">
      <x:alignment wrapText="1"/>
    </x:xf>
    <x:xf numFmtId="2" fontId="0" fillId="0" borderId="21" xfId="0" applyNumberFormat="1" applyFont="1" applyFill="1" applyBorder="1" applyAlignment="1">
      <x:alignment wrapText="1"/>
    </x:xf>
    <x:xf numFmtId="177" fontId="0" fillId="0" borderId="22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left" vertical="center"/>
    </x:xf>
    <x:xf numFmtId="0" fontId="10" fillId="6" borderId="0" xfId="0" applyNumberFormat="1" applyFont="1" applyFill="1" applyBorder="1" applyAlignment="1">
      <x:alignment vertical="center" wrapText="1"/>
    </x:xf>
    <x:xf numFmtId="0" fontId="6" fillId="0" borderId="22" xfId="1" applyNumberFormat="1" applyFont="1" applyFill="1" applyBorder="1" applyAlignment="1">
      <x:alignment vertical="center" wrapText="1"/>
    </x:xf>
    <x:xf numFmtId="0" fontId="13" fillId="0" borderId="22" xfId="1" applyNumberFormat="1" applyFont="1" applyFill="1" applyBorder="1" applyAlignment="1">
      <x:alignment horizontal="left" vertical="center" wrapText="1"/>
    </x:xf>
    <x:xf numFmtId="0" fontId="13" fillId="0" borderId="11" xfId="1" applyNumberFormat="1" applyFont="1" applyFill="1" applyBorder="1" applyAlignment="1">
      <x:alignment horizontal="left" vertical="center" wrapText="1"/>
    </x:xf>
    <x:xf numFmtId="2" fontId="14" fillId="0" borderId="11" xfId="1" applyNumberFormat="1" applyFont="1" applyFill="1" applyBorder="1" applyAlignment="1">
      <x:alignment horizontal="left" vertical="center" wrapText="1"/>
    </x:xf>
    <x:xf numFmtId="2" fontId="15" fillId="7" borderId="11" xfId="0" applyNumberFormat="1" applyFont="1" applyFill="1" applyBorder="1" applyAlignment="1">
      <x:alignment horizontal="left" vertical="center" wrapText="1"/>
    </x:xf>
    <x:xf numFmtId="1" fontId="15" fillId="7" borderId="11" xfId="0" applyNumberFormat="1" applyFont="1" applyFill="1" applyBorder="1" applyAlignment="1">
      <x:alignment horizontal="center" vertical="center" wrapText="1"/>
    </x:xf>
    <x:xf numFmtId="2" fontId="14" fillId="0" borderId="27" xfId="1" applyNumberFormat="1" applyFont="1" applyFill="1" applyBorder="1" applyAlignment="1">
      <x:alignment horizontal="left" vertical="center" wrapText="1"/>
    </x:xf>
    <x:xf numFmtId="0" fontId="13" fillId="0" borderId="27" xfId="1" applyNumberFormat="1" applyFont="1" applyFill="1" applyBorder="1" applyAlignment="1">
      <x:alignment horizontal="left" vertical="center" wrapText="1"/>
    </x:xf>
    <x:xf numFmtId="0" fontId="6" fillId="0" borderId="11" xfId="1" applyNumberFormat="1" applyFont="1" applyFill="1" applyBorder="1" applyAlignment="1">
      <x:alignment vertical="center" wrapText="1"/>
    </x:xf>
    <x:xf numFmtId="0" fontId="17" fillId="8" borderId="11" xfId="1" applyNumberFormat="1" applyFont="1" applyFill="1" applyBorder="1" applyAlignment="1">
      <x:alignment horizontal="center" vertical="center" wrapText="1"/>
    </x:xf>
    <x:xf numFmtId="0" fontId="17" fillId="0" borderId="22" xfId="1" applyNumberFormat="1" applyFont="1" applyFill="1" applyBorder="1" applyAlignment="1">
      <x:alignment horizontal="center" vertical="center" wrapText="1"/>
    </x:xf>
    <x:xf numFmtId="1" fontId="17" fillId="8" borderId="11" xfId="1" applyNumberFormat="1" applyFont="1" applyFill="1" applyBorder="1" applyAlignment="1">
      <x:alignment horizontal="center" vertical="center" wrapText="1"/>
    </x:xf>
    <x:xf numFmtId="1" fontId="17" fillId="8" borderId="11" xfId="0" applyNumberFormat="1" applyFont="1" applyFill="1" applyBorder="1" applyAlignment="1">
      <x:alignment horizontal="center" vertical="center" wrapText="1"/>
    </x:xf>
    <x:xf numFmtId="0" fontId="17" fillId="8" borderId="11" xfId="0" applyNumberFormat="1" applyFont="1" applyFill="1" applyBorder="1" applyAlignment="1">
      <x:alignment horizontal="center" vertical="center" wrapText="1"/>
    </x:xf>
    <x:xf numFmtId="0" fontId="14" fillId="0" borderId="11" xfId="0" applyNumberFormat="1" applyFont="1" applyFill="1" applyBorder="1" applyAlignment="1">
      <x:alignment vertical="center" wrapText="1"/>
    </x:xf>
    <x:xf numFmtId="0" fontId="15" fillId="7" borderId="11" xfId="0" applyNumberFormat="1" applyFont="1" applyFill="1" applyBorder="1" applyAlignment="1">
      <x:alignment vertical="center" wrapText="1"/>
    </x:xf>
    <x:xf numFmtId="0" fontId="14" fillId="0" borderId="11" xfId="0" applyNumberFormat="1" applyFont="1" applyBorder="1" applyAlignment="1">
      <x:alignment vertical="center" wrapText="1"/>
    </x:xf>
    <x:xf numFmtId="0" fontId="16" fillId="6" borderId="11" xfId="0" applyNumberFormat="1" applyFont="1" applyFill="1" applyBorder="1" applyAlignment="1">
      <x:alignment vertical="center" wrapText="1"/>
    </x:xf>
    <x:xf numFmtId="0" fontId="6" fillId="0" borderId="22" xfId="1" applyNumberFormat="1" applyFont="1" applyFill="1" applyBorder="1" applyAlignment="1">
      <x:alignment horizontal="center" vertical="center" wrapText="1"/>
    </x:xf>
    <x:xf numFmtId="0" fontId="14" fillId="0" borderId="27" xfId="0" applyNumberFormat="1" applyFont="1" applyFill="1" applyBorder="1" applyAlignment="1">
      <x:alignment horizontal="center" vertical="center" wrapText="1"/>
    </x:xf>
    <x:xf numFmtId="0" fontId="14" fillId="0" borderId="11" xfId="0" applyNumberFormat="1" applyFont="1" applyFill="1" applyBorder="1" applyAlignment="1">
      <x:alignment horizontal="center" vertical="center" wrapText="1"/>
    </x:xf>
    <x:xf numFmtId="0" fontId="14" fillId="0" borderId="11" xfId="0" applyNumberFormat="1" applyFont="1" applyBorder="1" applyAlignment="1">
      <x:alignment horizontal="center" vertical="center" wrapText="1"/>
    </x:xf>
    <x:xf numFmtId="0" fontId="6" fillId="0" borderId="0" xfId="1" applyNumberFormat="1" applyFont="1" applyFill="1" applyBorder="1" applyAlignment="1">
      <x:alignment horizontal="center" vertical="center" wrapText="1"/>
    </x:xf>
    <x:xf numFmtId="2" fontId="14" fillId="0" borderId="27" xfId="1" applyNumberFormat="1" applyFont="1" applyFill="1" applyBorder="1" applyAlignment="1">
      <x:alignment horizontal="center" vertical="center" wrapText="1"/>
    </x:xf>
    <x:xf numFmtId="2" fontId="14" fillId="0" borderId="11" xfId="1" applyNumberFormat="1" applyFont="1" applyFill="1" applyBorder="1" applyAlignment="1">
      <x:alignment horizontal="center" vertical="center" wrapText="1"/>
    </x:xf>
    <x:xf numFmtId="177" fontId="14" fillId="0" borderId="27" xfId="0" applyNumberFormat="1" applyFont="1" applyFill="1" applyBorder="1" applyAlignment="1">
      <x:alignment horizontal="center" vertical="center" wrapText="1"/>
    </x:xf>
    <x:xf numFmtId="177" fontId="14" fillId="0" borderId="11" xfId="0" applyNumberFormat="1" applyFont="1" applyFill="1" applyBorder="1" applyAlignment="1">
      <x:alignment horizontal="center" vertical="center" wrapText="1"/>
    </x:xf>
    <x:xf numFmtId="1" fontId="14" fillId="0" borderId="27" xfId="0" applyNumberFormat="1" applyFont="1" applyFill="1" applyBorder="1" applyAlignment="1">
      <x:alignment horizontal="center" vertical="center" wrapText="1"/>
    </x:xf>
    <x:xf numFmtId="1" fontId="14" fillId="0" borderId="11" xfId="0" applyNumberFormat="1" applyFont="1" applyFill="1" applyBorder="1" applyAlignment="1">
      <x:alignment horizontal="center" vertical="center" wrapText="1"/>
    </x:xf>
    <x:xf numFmtId="1" fontId="16" fillId="6" borderId="11" xfId="0" applyNumberFormat="1" applyFont="1" applyFill="1" applyBorder="1" applyAlignment="1">
      <x:alignment horizontal="center" vertical="center" wrapText="1"/>
    </x:xf>
    <x:xf numFmtId="0" fontId="13" fillId="0" borderId="22" xfId="3" applyNumberFormat="1" applyFont="1" applyFill="1" applyBorder="1" applyAlignment="1">
      <x:alignment horizontal="center" vertical="center" wrapText="1"/>
    </x:xf>
    <x:xf numFmtId="2" fontId="14" fillId="0" borderId="27" xfId="0" applyNumberFormat="1" applyFont="1" applyFill="1" applyBorder="1" applyAlignment="1">
      <x:alignment horizontal="center" vertical="center" wrapText="1"/>
    </x:xf>
    <x:xf numFmtId="2" fontId="14" fillId="0" borderId="11" xfId="0" applyNumberFormat="1" applyFont="1" applyFill="1" applyBorder="1" applyAlignment="1">
      <x:alignment horizontal="center" vertical="center" wrapText="1"/>
    </x:xf>
    <x:xf numFmtId="2" fontId="15" fillId="7" borderId="11" xfId="0" applyNumberFormat="1" applyFont="1" applyFill="1" applyBorder="1" applyAlignment="1">
      <x:alignment horizontal="center" vertical="center" wrapText="1"/>
    </x:xf>
    <x:xf numFmtId="2" fontId="16" fillId="6" borderId="11" xfId="0" applyNumberFormat="1" applyFont="1" applyFill="1" applyBorder="1" applyAlignment="1">
      <x:alignment horizontal="center" vertical="center" wrapText="1"/>
    </x:xf>
    <x:xf numFmtId="33" fontId="13" fillId="0" borderId="22" xfId="1" applyNumberFormat="1" applyFont="1" applyFill="1" applyBorder="1" applyAlignment="1">
      <x:alignment horizontal="center" vertical="center" wrapText="1"/>
    </x:xf>
    <x:xf numFmtId="0" fontId="15" fillId="7" borderId="11" xfId="0" applyNumberFormat="1" applyFont="1" applyFill="1" applyBorder="1" applyAlignment="1">
      <x:alignment horizontal="center" vertical="center" wrapText="1"/>
    </x:xf>
    <x:xf numFmtId="0" fontId="16" fillId="6" borderId="11" xfId="0" applyNumberFormat="1" applyFont="1" applyFill="1" applyBorder="1" applyAlignment="1">
      <x:alignment horizontal="center" vertical="center" wrapText="1"/>
    </x:xf>
    <x:xf numFmtId="0" fontId="13" fillId="0" borderId="22" xfId="1" applyNumberFormat="1" applyFont="1" applyFill="1" applyBorder="1" applyAlignment="1">
      <x:alignment horizontal="center" vertical="center" wrapText="1"/>
    </x:xf>
    <x:xf numFmtId="177" fontId="15" fillId="7" borderId="11" xfId="0" applyNumberFormat="1" applyFont="1" applyFill="1" applyBorder="1" applyAlignment="1">
      <x:alignment horizontal="center" vertical="center" wrapText="1"/>
    </x:xf>
    <x:xf numFmtId="0" fontId="13" fillId="0" borderId="0" xfId="1" applyNumberFormat="1" applyFont="1" applyFill="1" applyBorder="1" applyAlignment="1">
      <x:alignment horizontal="center" vertical="center" wrapText="1"/>
    </x:xf>
    <x:xf numFmtId="0" fontId="14" fillId="0" borderId="22" xfId="0" applyNumberFormat="1" applyFont="1" applyBorder="1" applyAlignment="1">
      <x:alignment horizontal="center" vertical="center" wrapText="1"/>
    </x:xf>
    <x:xf numFmtId="0" fontId="14" fillId="0" borderId="0" xfId="0" applyNumberFormat="1" applyFont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176" fontId="0" fillId="0" borderId="2" xfId="0" applyNumberFormat="1" applyFont="1" applyFill="1" applyBorder="1"/>
    <x:xf numFmtId="0" fontId="2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9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horizontal="left"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/>
    </x:xf>
    <x:xf numFmtId="1" fontId="0" fillId="0" borderId="0" xfId="0" applyNumberFormat="1" applyFont="1" applyFill="1" applyBorder="1" applyAlignment="1">
      <x:alignment vertical="top" wrapText="1"/>
    </x:xf>
    <x:xf numFmtId="177" fontId="0" fillId="0" borderId="1" xfId="0" applyNumberFormat="1" applyFont="1" applyFill="1" applyBorder="1" applyAlignment="1">
      <x:alignment vertical="top" wrapText="1"/>
    </x:xf>
    <x:xf numFmtId="177" fontId="5" fillId="0" borderId="0" xfId="0" applyNumberFormat="1" applyFont="1" applyFill="1" applyBorder="1" applyAlignment="1">
      <x:alignment vertical="center" wrapText="1"/>
    </x:xf>
    <x:xf numFmtId="177" fontId="5" fillId="0" borderId="0" xfId="0" applyNumberFormat="1" applyFont="1" applyFill="1" applyBorder="1" applyAlignment="1">
      <x:alignment horizontal="left" vertical="center" wrapText="1"/>
    </x:xf>
    <x:xf numFmtId="177" fontId="0" fillId="0" borderId="9" xfId="0" applyNumberFormat="1" applyFont="1" applyFill="1" applyBorder="1" applyAlignment="1">
      <x:alignment vertical="center" wrapText="1"/>
    </x:xf>
    <x:xf numFmtId="177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left" vertical="center" wrapText="1"/>
    </x:xf>
    <x:xf numFmtId="0" fontId="13" fillId="0" borderId="11" xfId="0" applyNumberFormat="1" applyFont="1" applyFill="1" applyBorder="1" applyAlignment="1">
      <x:alignment horizontal="left" vertical="center" wrapText="1"/>
    </x:xf>
    <x:xf numFmtId="2" fontId="14" fillId="0" borderId="11" xfId="0" applyNumberFormat="1" applyFont="1" applyFill="1" applyBorder="1" applyAlignment="1">
      <x:alignment horizontal="left" vertical="center" wrapText="1"/>
    </x:xf>
    <x:xf numFmtId="2" fontId="14" fillId="0" borderId="27" xfId="0" applyNumberFormat="1" applyFont="1" applyFill="1" applyBorder="1" applyAlignment="1">
      <x:alignment horizontal="left" vertical="center" wrapText="1"/>
    </x:xf>
    <x:xf numFmtId="0" fontId="13" fillId="0" borderId="27" xfId="0" applyNumberFormat="1" applyFont="1" applyFill="1" applyBorder="1" applyAlignment="1">
      <x:alignment horizontal="left"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horizontal="center" vertical="center" wrapText="1"/>
    </x:xf>
    <x:xf numFmtId="33" fontId="13" fillId="0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horizontal="center" vertical="center" wrapText="1"/>
    </x:xf>
    <x:xf numFmtId="200" fontId="14" fillId="0" borderId="27" xfId="0" applyNumberFormat="1" applyFont="1" applyFill="1" applyBorder="1" applyAlignment="1">
      <x:alignment horizontal="center" vertical="center" wrapText="1"/>
    </x:xf>
    <x:xf numFmtId="200" fontId="14" fillId="0" borderId="11" xfId="0" applyNumberFormat="1" applyFont="1" applyFill="1" applyBorder="1" applyAlignment="1">
      <x:alignment horizontal="center" vertical="center" wrapText="1"/>
    </x:xf>
    <x:xf numFmtId="200" fontId="15" fillId="7" borderId="11" xfId="0" applyNumberFormat="1" applyFont="1" applyFill="1" applyBorder="1" applyAlignment="1">
      <x:alignment horizontal="center" vertical="center" wrapText="1"/>
    </x:xf>
  </x:cellXfs>
  <x:cellStyles count="4">
    <x:cellStyle name="Normal" xfId="2"/>
    <x:cellStyle name="표준" xfId="0"/>
    <x:cellStyle name="표준 2" xfId="3"/>
    <x:cellStyle name="표준 3" xfId="1"/>
  </x:cellStyles>
  <x:dxfs count="3">
    <x:dxf>
      <x:font>
        <x:color rgb="FF1F4E78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fd7653201436c" /><Relationship Type="http://schemas.openxmlformats.org/officeDocument/2006/relationships/theme" Target="/xl/theme/theme1.xml" Id="Rb6a9dda959594921" /><Relationship Type="http://schemas.openxmlformats.org/officeDocument/2006/relationships/sharedStrings" Target="/xl/sharedStrings.xml" Id="R54a63bcd04524be3" /><Relationship Type="http://schemas.openxmlformats.org/officeDocument/2006/relationships/worksheet" Target="/xl/worksheets/sheet1.xml" Id="Rc401434d0c294fe4" /><Relationship Type="http://schemas.openxmlformats.org/officeDocument/2006/relationships/worksheet" Target="/xl/worksheets/sheet2.xml" Id="R31fa91aadb6e4b81" /><Relationship Type="http://schemas.openxmlformats.org/officeDocument/2006/relationships/worksheet" Target="/xl/worksheets/sheet3.xml" Id="R002d7d947d8b4b8c" /><Relationship Type="http://schemas.openxmlformats.org/officeDocument/2006/relationships/worksheet" Target="/xl/worksheets/sheet4.xml" Id="Rf6ed73e2e1894aa5" /><Relationship Type="http://schemas.openxmlformats.org/officeDocument/2006/relationships/worksheet" Target="/xl/worksheets/sheet5.xml" Id="Rf9d992c1d3e4446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3fb1aaf5e7490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aa8499085564206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콘텐츠 진행 포인트별 진행 요구 숙련도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진행 요구 숙련도</c:v>
          </c:tx>
          <c:cat>
            <c:numRef>
              <c:f>'밸런스 곡선'!$B$5:$B$178</c:f>
              <c:numCache>
                <c:formatCode>0</c:formatCode>
                <c:ptCount val="174"/>
                <c:pt idx="0">
                  <c:v>4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16</c:v>
                </c:pt>
                <c:pt idx="6">
                  <c:v>19</c:v>
                </c:pt>
                <c:pt idx="7">
                  <c:v>23</c:v>
                </c:pt>
                <c:pt idx="8">
                  <c:v>25</c:v>
                </c:pt>
                <c:pt idx="9">
                  <c:v>28</c:v>
                </c:pt>
                <c:pt idx="10">
                  <c:v>31</c:v>
                </c:pt>
                <c:pt idx="11">
                  <c:v>35</c:v>
                </c:pt>
                <c:pt idx="12">
                  <c:v>37</c:v>
                </c:pt>
                <c:pt idx="13">
                  <c:v>40</c:v>
                </c:pt>
                <c:pt idx="14">
                  <c:v>43</c:v>
                </c:pt>
                <c:pt idx="15">
                  <c:v>46</c:v>
                </c:pt>
                <c:pt idx="16">
                  <c:v>51</c:v>
                </c:pt>
                <c:pt idx="17">
                  <c:v>58</c:v>
                </c:pt>
                <c:pt idx="18">
                  <c:v>65</c:v>
                </c:pt>
                <c:pt idx="19">
                  <c:v>71</c:v>
                </c:pt>
                <c:pt idx="20">
                  <c:v>74</c:v>
                </c:pt>
                <c:pt idx="21">
                  <c:v>76</c:v>
                </c:pt>
                <c:pt idx="22">
                  <c:v>79</c:v>
                </c:pt>
                <c:pt idx="23">
                  <c:v>83</c:v>
                </c:pt>
                <c:pt idx="24">
                  <c:v>89</c:v>
                </c:pt>
                <c:pt idx="25">
                  <c:v>91</c:v>
                </c:pt>
                <c:pt idx="26">
                  <c:v>94</c:v>
                </c:pt>
                <c:pt idx="27">
                  <c:v>96</c:v>
                </c:pt>
                <c:pt idx="28">
                  <c:v>99</c:v>
                </c:pt>
                <c:pt idx="29">
                  <c:v>101</c:v>
                </c:pt>
                <c:pt idx="30">
                  <c:v>104</c:v>
                </c:pt>
                <c:pt idx="31">
                  <c:v>111</c:v>
                </c:pt>
                <c:pt idx="32">
                  <c:v>113</c:v>
                </c:pt>
                <c:pt idx="33">
                  <c:v>117</c:v>
                </c:pt>
                <c:pt idx="34">
                  <c:v>121</c:v>
                </c:pt>
                <c:pt idx="35">
                  <c:v>126</c:v>
                </c:pt>
                <c:pt idx="36">
                  <c:v>128</c:v>
                </c:pt>
                <c:pt idx="37">
                  <c:v>131</c:v>
                </c:pt>
                <c:pt idx="38">
                  <c:v>138</c:v>
                </c:pt>
                <c:pt idx="39">
                  <c:v>142</c:v>
                </c:pt>
                <c:pt idx="40">
                  <c:v>149</c:v>
                </c:pt>
                <c:pt idx="41">
                  <c:v>154</c:v>
                </c:pt>
                <c:pt idx="42">
                  <c:v>158</c:v>
                </c:pt>
                <c:pt idx="43">
                  <c:v>160</c:v>
                </c:pt>
                <c:pt idx="44">
                  <c:v>164</c:v>
                </c:pt>
                <c:pt idx="45">
                  <c:v>168</c:v>
                </c:pt>
                <c:pt idx="46">
                  <c:v>173</c:v>
                </c:pt>
                <c:pt idx="47">
                  <c:v>178</c:v>
                </c:pt>
                <c:pt idx="48">
                  <c:v>185</c:v>
                </c:pt>
                <c:pt idx="49">
                  <c:v>189</c:v>
                </c:pt>
                <c:pt idx="50">
                  <c:v>193</c:v>
                </c:pt>
                <c:pt idx="51">
                  <c:v>198</c:v>
                </c:pt>
                <c:pt idx="52">
                  <c:v>201</c:v>
                </c:pt>
                <c:pt idx="53">
                  <c:v>203</c:v>
                </c:pt>
                <c:pt idx="54">
                  <c:v>206</c:v>
                </c:pt>
                <c:pt idx="55">
                  <c:v>211</c:v>
                </c:pt>
                <c:pt idx="56">
                  <c:v>216</c:v>
                </c:pt>
                <c:pt idx="57">
                  <c:v>223</c:v>
                </c:pt>
                <c:pt idx="58">
                  <c:v>230</c:v>
                </c:pt>
                <c:pt idx="59">
                  <c:v>237</c:v>
                </c:pt>
                <c:pt idx="60">
                  <c:v>244</c:v>
                </c:pt>
                <c:pt idx="61">
                  <c:v>251</c:v>
                </c:pt>
                <c:pt idx="62">
                  <c:v>259</c:v>
                </c:pt>
                <c:pt idx="63">
                  <c:v>264</c:v>
                </c:pt>
                <c:pt idx="64">
                  <c:v>269</c:v>
                </c:pt>
                <c:pt idx="65">
                  <c:v>275</c:v>
                </c:pt>
                <c:pt idx="66">
                  <c:v>279</c:v>
                </c:pt>
                <c:pt idx="67">
                  <c:v>284</c:v>
                </c:pt>
                <c:pt idx="68">
                  <c:v>289</c:v>
                </c:pt>
                <c:pt idx="69">
                  <c:v>293</c:v>
                </c:pt>
                <c:pt idx="70">
                  <c:v>297</c:v>
                </c:pt>
                <c:pt idx="71">
                  <c:v>301</c:v>
                </c:pt>
                <c:pt idx="72">
                  <c:v>307</c:v>
                </c:pt>
                <c:pt idx="73">
                  <c:v>313</c:v>
                </c:pt>
                <c:pt idx="74">
                  <c:v>320</c:v>
                </c:pt>
                <c:pt idx="75">
                  <c:v>327</c:v>
                </c:pt>
                <c:pt idx="76">
                  <c:v>331</c:v>
                </c:pt>
                <c:pt idx="77">
                  <c:v>336</c:v>
                </c:pt>
                <c:pt idx="78">
                  <c:v>342</c:v>
                </c:pt>
                <c:pt idx="79">
                  <c:v>349</c:v>
                </c:pt>
                <c:pt idx="80">
                  <c:v>356</c:v>
                </c:pt>
                <c:pt idx="81">
                  <c:v>363</c:v>
                </c:pt>
                <c:pt idx="82">
                  <c:v>370</c:v>
                </c:pt>
                <c:pt idx="83">
                  <c:v>378</c:v>
                </c:pt>
                <c:pt idx="84">
                  <c:v>384</c:v>
                </c:pt>
                <c:pt idx="85">
                  <c:v>387</c:v>
                </c:pt>
                <c:pt idx="86">
                  <c:v>390</c:v>
                </c:pt>
                <c:pt idx="87">
                  <c:v>397</c:v>
                </c:pt>
                <c:pt idx="88">
                  <c:v>405</c:v>
                </c:pt>
                <c:pt idx="89">
                  <c:v>413</c:v>
                </c:pt>
                <c:pt idx="90">
                  <c:v>417</c:v>
                </c:pt>
                <c:pt idx="91">
                  <c:v>425</c:v>
                </c:pt>
                <c:pt idx="92">
                  <c:v>432</c:v>
                </c:pt>
                <c:pt idx="93">
                  <c:v>439</c:v>
                </c:pt>
                <c:pt idx="94">
                  <c:v>443</c:v>
                </c:pt>
                <c:pt idx="95">
                  <c:v>449</c:v>
                </c:pt>
                <c:pt idx="96">
                  <c:v>457</c:v>
                </c:pt>
                <c:pt idx="97">
                  <c:v>466</c:v>
                </c:pt>
                <c:pt idx="98">
                  <c:v>469</c:v>
                </c:pt>
                <c:pt idx="99">
                  <c:v>479</c:v>
                </c:pt>
                <c:pt idx="100">
                  <c:v>487</c:v>
                </c:pt>
                <c:pt idx="101">
                  <c:v>495</c:v>
                </c:pt>
                <c:pt idx="102">
                  <c:v>502</c:v>
                </c:pt>
                <c:pt idx="103">
                  <c:v>509</c:v>
                </c:pt>
                <c:pt idx="104">
                  <c:v>516</c:v>
                </c:pt>
                <c:pt idx="105">
                  <c:v>519</c:v>
                </c:pt>
                <c:pt idx="106">
                  <c:v>523</c:v>
                </c:pt>
                <c:pt idx="107">
                  <c:v>528</c:v>
                </c:pt>
                <c:pt idx="108">
                  <c:v>533</c:v>
                </c:pt>
                <c:pt idx="109">
                  <c:v>541</c:v>
                </c:pt>
                <c:pt idx="110">
                  <c:v>550</c:v>
                </c:pt>
                <c:pt idx="111">
                  <c:v>558</c:v>
                </c:pt>
                <c:pt idx="112">
                  <c:v>567</c:v>
                </c:pt>
                <c:pt idx="113">
                  <c:v>570</c:v>
                </c:pt>
                <c:pt idx="114">
                  <c:v>573</c:v>
                </c:pt>
                <c:pt idx="115">
                  <c:v>576</c:v>
                </c:pt>
                <c:pt idx="116">
                  <c:v>581</c:v>
                </c:pt>
                <c:pt idx="117">
                  <c:v>586</c:v>
                </c:pt>
                <c:pt idx="118">
                  <c:v>593</c:v>
                </c:pt>
                <c:pt idx="119">
                  <c:v>599</c:v>
                </c:pt>
                <c:pt idx="120">
                  <c:v>607</c:v>
                </c:pt>
                <c:pt idx="121">
                  <c:v>613</c:v>
                </c:pt>
                <c:pt idx="122">
                  <c:v>620</c:v>
                </c:pt>
                <c:pt idx="123">
                  <c:v>626</c:v>
                </c:pt>
                <c:pt idx="124">
                  <c:v>632</c:v>
                </c:pt>
                <c:pt idx="125">
                  <c:v>639</c:v>
                </c:pt>
                <c:pt idx="126">
                  <c:v>647</c:v>
                </c:pt>
                <c:pt idx="127">
                  <c:v>654</c:v>
                </c:pt>
                <c:pt idx="128">
                  <c:v>662</c:v>
                </c:pt>
                <c:pt idx="129">
                  <c:v>669</c:v>
                </c:pt>
                <c:pt idx="130">
                  <c:v>675</c:v>
                </c:pt>
                <c:pt idx="131">
                  <c:v>681</c:v>
                </c:pt>
                <c:pt idx="132">
                  <c:v>688</c:v>
                </c:pt>
                <c:pt idx="133">
                  <c:v>694</c:v>
                </c:pt>
                <c:pt idx="134">
                  <c:v>699</c:v>
                </c:pt>
                <c:pt idx="135">
                  <c:v>706</c:v>
                </c:pt>
                <c:pt idx="136">
                  <c:v>713</c:v>
                </c:pt>
                <c:pt idx="137">
                  <c:v>724</c:v>
                </c:pt>
                <c:pt idx="138">
                  <c:v>735</c:v>
                </c:pt>
                <c:pt idx="139">
                  <c:v>746</c:v>
                </c:pt>
                <c:pt idx="140">
                  <c:v>757</c:v>
                </c:pt>
                <c:pt idx="141">
                  <c:v>769</c:v>
                </c:pt>
                <c:pt idx="142">
                  <c:v>779</c:v>
                </c:pt>
                <c:pt idx="143">
                  <c:v>784</c:v>
                </c:pt>
                <c:pt idx="144">
                  <c:v>790</c:v>
                </c:pt>
                <c:pt idx="145">
                  <c:v>798</c:v>
                </c:pt>
                <c:pt idx="146">
                  <c:v>802</c:v>
                </c:pt>
                <c:pt idx="147">
                  <c:v>806</c:v>
                </c:pt>
                <c:pt idx="148">
                  <c:v>810</c:v>
                </c:pt>
                <c:pt idx="149">
                  <c:v>817</c:v>
                </c:pt>
                <c:pt idx="150">
                  <c:v>826</c:v>
                </c:pt>
                <c:pt idx="151">
                  <c:v>833</c:v>
                </c:pt>
                <c:pt idx="152">
                  <c:v>839</c:v>
                </c:pt>
                <c:pt idx="153">
                  <c:v>849</c:v>
                </c:pt>
                <c:pt idx="154">
                  <c:v>858</c:v>
                </c:pt>
                <c:pt idx="155">
                  <c:v>869</c:v>
                </c:pt>
                <c:pt idx="156">
                  <c:v>876</c:v>
                </c:pt>
                <c:pt idx="157">
                  <c:v>883</c:v>
                </c:pt>
                <c:pt idx="158">
                  <c:v>893</c:v>
                </c:pt>
                <c:pt idx="159">
                  <c:v>903</c:v>
                </c:pt>
                <c:pt idx="160">
                  <c:v>914</c:v>
                </c:pt>
                <c:pt idx="161">
                  <c:v>925</c:v>
                </c:pt>
                <c:pt idx="162">
                  <c:v>932</c:v>
                </c:pt>
                <c:pt idx="163">
                  <c:v>941</c:v>
                </c:pt>
                <c:pt idx="164">
                  <c:v>946</c:v>
                </c:pt>
                <c:pt idx="165">
                  <c:v>951</c:v>
                </c:pt>
                <c:pt idx="166">
                  <c:v>956</c:v>
                </c:pt>
                <c:pt idx="167">
                  <c:v>963</c:v>
                </c:pt>
                <c:pt idx="168">
                  <c:v>973</c:v>
                </c:pt>
                <c:pt idx="169">
                  <c:v>982</c:v>
                </c:pt>
                <c:pt idx="170">
                  <c:v>987</c:v>
                </c:pt>
                <c:pt idx="171">
                  <c:v>992</c:v>
                </c:pt>
                <c:pt idx="172">
                  <c:v>996</c:v>
                </c:pt>
                <c:pt idx="173">
                  <c:v>1000</c:v>
                </c:pt>
              </c:numCache>
            </c:numRef>
          </c:cat>
          <c:val>
            <c:numRef>
              <c:f>'밸런스 곡선'!$C$5:$C$178</c:f>
              <c:numCache>
                <c:formatCode>0.00</c:formatCode>
                <c:ptCount val="174"/>
                <c:pt idx="0">
                  <c:v>0.76</c:v>
                </c:pt>
                <c:pt idx="1">
                  <c:v>1.25</c:v>
                </c:pt>
                <c:pt idx="2">
                  <c:v>2.15</c:v>
                </c:pt>
                <c:pt idx="3">
                  <c:v>2.84</c:v>
                </c:pt>
                <c:pt idx="4">
                  <c:v>3.61</c:v>
                </c:pt>
                <c:pt idx="5">
                  <c:v>4.92</c:v>
                </c:pt>
                <c:pt idx="6">
                  <c:v>6.41</c:v>
                </c:pt>
                <c:pt idx="7">
                  <c:v>8.66</c:v>
                </c:pt>
                <c:pt idx="8">
                  <c:v>9.91</c:v>
                </c:pt>
                <c:pt idx="9">
                  <c:v>11.92</c:v>
                </c:pt>
                <c:pt idx="10">
                  <c:v>14.12</c:v>
                </c:pt>
                <c:pt idx="11">
                  <c:v>17.32</c:v>
                </c:pt>
                <c:pt idx="12">
                  <c:v>19.03</c:v>
                </c:pt>
                <c:pt idx="13">
                  <c:v>21.76</c:v>
                </c:pt>
                <c:pt idx="14">
                  <c:v>24.66</c:v>
                </c:pt>
                <c:pt idx="15">
                  <c:v>27.74</c:v>
                </c:pt>
                <c:pt idx="16">
                  <c:v>33.27</c:v>
                </c:pt>
                <c:pt idx="17">
                  <c:v>41.84</c:v>
                </c:pt>
                <c:pt idx="18">
                  <c:v>51.37</c:v>
                </c:pt>
                <c:pt idx="19">
                  <c:v>60.3</c:v>
                </c:pt>
                <c:pt idx="20">
                  <c:v>65.04</c:v>
                </c:pt>
                <c:pt idx="21">
                  <c:v>68.29</c:v>
                </c:pt>
                <c:pt idx="22">
                  <c:v>73.32</c:v>
                </c:pt>
                <c:pt idx="23">
                  <c:v>80.31</c:v>
                </c:pt>
                <c:pt idx="24">
                  <c:v>91.37</c:v>
                </c:pt>
                <c:pt idx="25">
                  <c:v>95.22</c:v>
                </c:pt>
                <c:pt idx="26">
                  <c:v>101.13</c:v>
                </c:pt>
                <c:pt idx="27">
                  <c:v>105.18</c:v>
                </c:pt>
                <c:pt idx="28">
                  <c:v>111.39</c:v>
                </c:pt>
                <c:pt idx="29">
                  <c:v>115.63</c:v>
                </c:pt>
                <c:pt idx="30">
                  <c:v>122.14</c:v>
                </c:pt>
                <c:pt idx="31">
                  <c:v>138.01</c:v>
                </c:pt>
                <c:pt idx="32">
                  <c:v>142.72</c:v>
                </c:pt>
                <c:pt idx="33">
                  <c:v>152.39</c:v>
                </c:pt>
                <c:pt idx="34">
                  <c:v>162.36</c:v>
                </c:pt>
                <c:pt idx="35">
                  <c:v>175.28</c:v>
                </c:pt>
                <c:pt idx="36">
                  <c:v>180.58</c:v>
                </c:pt>
                <c:pt idx="37">
                  <c:v>188.69</c:v>
                </c:pt>
                <c:pt idx="38">
                  <c:v>208.28</c:v>
                </c:pt>
                <c:pt idx="39">
                  <c:v>219.92</c:v>
                </c:pt>
                <c:pt idx="40">
                  <c:v>241.03</c:v>
                </c:pt>
                <c:pt idx="41">
                  <c:v>256.7</c:v>
                </c:pt>
                <c:pt idx="42">
                  <c:v>269.6</c:v>
                </c:pt>
                <c:pt idx="43">
                  <c:v>276.16</c:v>
                </c:pt>
                <c:pt idx="44">
                  <c:v>289.53</c:v>
                </c:pt>
                <c:pt idx="45">
                  <c:v>303.21</c:v>
                </c:pt>
                <c:pt idx="46">
                  <c:v>320.75</c:v>
                </c:pt>
                <c:pt idx="47">
                  <c:v>338.79</c:v>
                </c:pt>
                <c:pt idx="48">
                  <c:v>364.87</c:v>
                </c:pt>
                <c:pt idx="49">
                  <c:v>380.2</c:v>
                </c:pt>
                <c:pt idx="50">
                  <c:v>395.85</c:v>
                </c:pt>
                <c:pt idx="51">
                  <c:v>415.86</c:v>
                </c:pt>
                <c:pt idx="52">
                  <c:v>428.1</c:v>
                </c:pt>
                <c:pt idx="53">
                  <c:v>436.36</c:v>
                </c:pt>
                <c:pt idx="54">
                  <c:v>448.89</c:v>
                </c:pt>
                <c:pt idx="55">
                  <c:v>470.18</c:v>
                </c:pt>
                <c:pt idx="56">
                  <c:v>491.96</c:v>
                </c:pt>
                <c:pt idx="57">
                  <c:v>523.28</c:v>
                </c:pt>
                <c:pt idx="58">
                  <c:v>555.57</c:v>
                </c:pt>
                <c:pt idx="59">
                  <c:v>588.81</c:v>
                </c:pt>
                <c:pt idx="60">
                  <c:v>623.03</c:v>
                </c:pt>
                <c:pt idx="61">
                  <c:v>658.21</c:v>
                </c:pt>
                <c:pt idx="62">
                  <c:v>699.6</c:v>
                </c:pt>
                <c:pt idx="63">
                  <c:v>726.11</c:v>
                </c:pt>
                <c:pt idx="64">
                  <c:v>753.11</c:v>
                </c:pt>
                <c:pt idx="65">
                  <c:v>786.16</c:v>
                </c:pt>
                <c:pt idx="66">
                  <c:v>808.58</c:v>
                </c:pt>
                <c:pt idx="67">
                  <c:v>837.06</c:v>
                </c:pt>
                <c:pt idx="68">
                  <c:v>866.03</c:v>
                </c:pt>
                <c:pt idx="69">
                  <c:v>889.56</c:v>
                </c:pt>
                <c:pt idx="70">
                  <c:v>913.41</c:v>
                </c:pt>
                <c:pt idx="71">
                  <c:v>937.57</c:v>
                </c:pt>
                <c:pt idx="72">
                  <c:v>974.4</c:v>
                </c:pt>
                <c:pt idx="73">
                  <c:v>1011.94</c:v>
                </c:pt>
                <c:pt idx="74">
                  <c:v>1056.64</c:v>
                </c:pt>
                <c:pt idx="75">
                  <c:v>1102.3</c:v>
                </c:pt>
                <c:pt idx="76">
                  <c:v>1128.83</c:v>
                </c:pt>
                <c:pt idx="77">
                  <c:v>1162.43</c:v>
                </c:pt>
                <c:pt idx="78">
                  <c:v>1203.4</c:v>
                </c:pt>
                <c:pt idx="79">
                  <c:v>1252.09</c:v>
                </c:pt>
                <c:pt idx="80">
                  <c:v>1301.75</c:v>
                </c:pt>
                <c:pt idx="81">
                  <c:v>1352.37</c:v>
                </c:pt>
                <c:pt idx="82">
                  <c:v>1403.97</c:v>
                </c:pt>
                <c:pt idx="83">
                  <c:v>1464.11</c:v>
                </c:pt>
                <c:pt idx="84">
                  <c:v>1510.04</c:v>
                </c:pt>
                <c:pt idx="85">
                  <c:v>1533.27</c:v>
                </c:pt>
                <c:pt idx="86">
                  <c:v>1556.69</c:v>
                </c:pt>
                <c:pt idx="87">
                  <c:v>1612</c:v>
                </c:pt>
                <c:pt idx="88">
                  <c:v>1676.4</c:v>
                </c:pt>
                <c:pt idx="89">
                  <c:v>1742.05</c:v>
                </c:pt>
                <c:pt idx="90">
                  <c:v>1775.36</c:v>
                </c:pt>
                <c:pt idx="91">
                  <c:v>1842.91</c:v>
                </c:pt>
                <c:pt idx="92">
                  <c:v>1903.05</c:v>
                </c:pt>
                <c:pt idx="93">
                  <c:v>1964.15</c:v>
                </c:pt>
                <c:pt idx="94">
                  <c:v>1999.5</c:v>
                </c:pt>
                <c:pt idx="95">
                  <c:v>2053.12</c:v>
                </c:pt>
                <c:pt idx="96">
                  <c:v>2125.71</c:v>
                </c:pt>
                <c:pt idx="97">
                  <c:v>2208.89</c:v>
                </c:pt>
                <c:pt idx="98">
                  <c:v>2236.97</c:v>
                </c:pt>
                <c:pt idx="99">
                  <c:v>2331.84</c:v>
                </c:pt>
                <c:pt idx="100">
                  <c:v>2409.16</c:v>
                </c:pt>
                <c:pt idx="101">
                  <c:v>2487.75</c:v>
                </c:pt>
                <c:pt idx="102">
                  <c:v>2557.54</c:v>
                </c:pt>
                <c:pt idx="103">
                  <c:v>2628.3</c:v>
                </c:pt>
                <c:pt idx="104">
                  <c:v>2700.02</c:v>
                </c:pt>
                <c:pt idx="105">
                  <c:v>2731.06</c:v>
                </c:pt>
                <c:pt idx="106">
                  <c:v>2772.71</c:v>
                </c:pt>
                <c:pt idx="107">
                  <c:v>2825.22</c:v>
                </c:pt>
                <c:pt idx="108">
                  <c:v>2878.23</c:v>
                </c:pt>
                <c:pt idx="109">
                  <c:v>2964.06</c:v>
                </c:pt>
                <c:pt idx="110">
                  <c:v>3062.13</c:v>
                </c:pt>
                <c:pt idx="111">
                  <c:v>3150.64</c:v>
                </c:pt>
                <c:pt idx="112">
                  <c:v>3251.72</c:v>
                </c:pt>
                <c:pt idx="113">
                  <c:v>3285.77</c:v>
                </c:pt>
                <c:pt idx="114">
                  <c:v>3319.99</c:v>
                </c:pt>
                <c:pt idx="115">
                  <c:v>3354.39</c:v>
                </c:pt>
                <c:pt idx="116">
                  <c:v>3412.13</c:v>
                </c:pt>
                <c:pt idx="117">
                  <c:v>3470.35</c:v>
                </c:pt>
                <c:pt idx="118">
                  <c:v>3552.69</c:v>
                </c:pt>
                <c:pt idx="119">
                  <c:v>3624.04</c:v>
                </c:pt>
                <c:pt idx="120">
                  <c:v>3720.27</c:v>
                </c:pt>
                <c:pt idx="121">
                  <c:v>3793.27</c:v>
                </c:pt>
                <c:pt idx="122">
                  <c:v>3879.34</c:v>
                </c:pt>
                <c:pt idx="123">
                  <c:v>3953.88</c:v>
                </c:pt>
                <c:pt idx="124">
                  <c:v>4029.13</c:v>
                </c:pt>
                <c:pt idx="125">
                  <c:v>4117.81</c:v>
                </c:pt>
                <c:pt idx="126">
                  <c:v>4220.35</c:v>
                </c:pt>
                <c:pt idx="127">
                  <c:v>4311.1</c:v>
                </c:pt>
                <c:pt idx="128">
                  <c:v>4416</c:v>
                </c:pt>
                <c:pt idx="129">
                  <c:v>4508.83</c:v>
                </c:pt>
                <c:pt idx="130">
                  <c:v>4589.16</c:v>
                </c:pt>
                <c:pt idx="131">
                  <c:v>4670.2</c:v>
                </c:pt>
                <c:pt idx="132">
                  <c:v>4765.64</c:v>
                </c:pt>
                <c:pt idx="133">
                  <c:v>4848.21</c:v>
                </c:pt>
                <c:pt idx="134">
                  <c:v>4917.57</c:v>
                </c:pt>
                <c:pt idx="135">
                  <c:v>5015.49</c:v>
                </c:pt>
                <c:pt idx="136">
                  <c:v>5114.38</c:v>
                </c:pt>
                <c:pt idx="137">
                  <c:v>5271.73</c:v>
                </c:pt>
                <c:pt idx="138">
                  <c:v>5431.47</c:v>
                </c:pt>
                <c:pt idx="139">
                  <c:v>5593.58</c:v>
                </c:pt>
                <c:pt idx="140">
                  <c:v>5758.08</c:v>
                </c:pt>
                <c:pt idx="141">
                  <c:v>5940.26</c:v>
                </c:pt>
                <c:pt idx="142">
                  <c:v>6094.23</c:v>
                </c:pt>
                <c:pt idx="143">
                  <c:v>6171.96</c:v>
                </c:pt>
                <c:pt idx="144">
                  <c:v>6265.89</c:v>
                </c:pt>
                <c:pt idx="145">
                  <c:v>6392.22</c:v>
                </c:pt>
                <c:pt idx="146">
                  <c:v>6455.86</c:v>
                </c:pt>
                <c:pt idx="147">
                  <c:v>6519.81</c:v>
                </c:pt>
                <c:pt idx="148">
                  <c:v>6584.09</c:v>
                </c:pt>
                <c:pt idx="149">
                  <c:v>6697.32</c:v>
                </c:pt>
                <c:pt idx="150">
                  <c:v>6844.32</c:v>
                </c:pt>
                <c:pt idx="151">
                  <c:v>6959.76</c:v>
                </c:pt>
                <c:pt idx="152">
                  <c:v>7059.47</c:v>
                </c:pt>
                <c:pt idx="153">
                  <c:v>7227.24</c:v>
                </c:pt>
                <c:pt idx="154">
                  <c:v>7379.92</c:v>
                </c:pt>
                <c:pt idx="155">
                  <c:v>7568.69</c:v>
                </c:pt>
                <c:pt idx="156">
                  <c:v>7690.05</c:v>
                </c:pt>
                <c:pt idx="157">
                  <c:v>7812.39</c:v>
                </c:pt>
                <c:pt idx="158">
                  <c:v>7988.82</c:v>
                </c:pt>
                <c:pt idx="159">
                  <c:v>8167.23</c:v>
                </c:pt>
                <c:pt idx="160">
                  <c:v>8365.75</c:v>
                </c:pt>
                <c:pt idx="161">
                  <c:v>8566.66</c:v>
                </c:pt>
                <c:pt idx="162">
                  <c:v>8695.75</c:v>
                </c:pt>
                <c:pt idx="163">
                  <c:v>8863.14</c:v>
                </c:pt>
                <c:pt idx="164">
                  <c:v>8956.82</c:v>
                </c:pt>
                <c:pt idx="165">
                  <c:v>9051</c:v>
                </c:pt>
                <c:pt idx="166">
                  <c:v>9145.67</c:v>
                </c:pt>
                <c:pt idx="167">
                  <c:v>9279.03</c:v>
                </c:pt>
                <c:pt idx="168">
                  <c:v>9471.23</c:v>
                </c:pt>
                <c:pt idx="169">
                  <c:v>9645.89</c:v>
                </c:pt>
                <c:pt idx="170">
                  <c:v>9743.61</c:v>
                </c:pt>
                <c:pt idx="171">
                  <c:v>9841.83</c:v>
                </c:pt>
                <c:pt idx="172">
                  <c:v>9920.76</c:v>
                </c:pt>
                <c:pt idx="173">
                  <c:v>10000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일반 몬스터 30체 대비 보스전 소요시간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일반 몬스터 30체</c:v>
          </c:tx>
          <c:cat>
            <c:strRef>
              <c:f>'보스 설계 요약'!$C$5:$C$9</c:f>
              <c:strCache>
                <c:ptCount val="5"/>
                <c:pt idx="0">
                  <c:v>닫힌 문지기</c:v>
                </c:pt>
                <c:pt idx="1">
                  <c:v>폭력의 순환체</c:v>
                </c:pt>
                <c:pt idx="2">
                  <c:v>갈채를 먹는 자</c:v>
                </c:pt>
                <c:pt idx="3">
                  <c:v>남겨진 친구</c:v>
                </c:pt>
                <c:pt idx="4">
                  <c:v>선의 계량자</c:v>
                </c:pt>
              </c:strCache>
            </c:strRef>
          </c:cat>
          <c:val>
            <c:numRef>
              <c:f>'보스 설계 요약'!$K$5:$K$9</c:f>
              <c:numCache>
                <c:formatCode>0</c:formatCode>
                <c:ptCount val="5"/>
                <c:pt idx="0">
                  <c:v>600</c:v>
                </c:pt>
                <c:pt idx="1">
                  <c:v>750</c:v>
                </c:pt>
                <c:pt idx="2">
                  <c:v>780</c:v>
                </c:pt>
                <c:pt idx="3">
                  <c:v>840</c:v>
                </c:pt>
                <c:pt idx="4">
                  <c:v>960</c:v>
                </c:pt>
              </c:numCache>
            </c:numRef>
          </c:val>
        </c:ser>
        <c:ser>
          <c:idx val="1"/>
          <c:order val="1"/>
          <c:tx>
            <c:v>보스전</c:v>
          </c:tx>
          <c:cat>
            <c:strRef>
              <c:f>'보스 설계 요약'!$C$5:$C$9</c:f>
              <c:strCache>
                <c:ptCount val="5"/>
                <c:pt idx="0">
                  <c:v>닫힌 문지기</c:v>
                </c:pt>
                <c:pt idx="1">
                  <c:v>폭력의 순환체</c:v>
                </c:pt>
                <c:pt idx="2">
                  <c:v>갈채를 먹는 자</c:v>
                </c:pt>
                <c:pt idx="3">
                  <c:v>남겨진 친구</c:v>
                </c:pt>
                <c:pt idx="4">
                  <c:v>선의 계량자</c:v>
                </c:pt>
              </c:strCache>
            </c:strRef>
          </c:cat>
          <c:val>
            <c:numRef>
              <c:f>'보스 설계 요약'!$L$5:$L$9</c:f>
              <c:numCache>
                <c:formatCode>0</c:formatCode>
                <c:ptCount val="5"/>
                <c:pt idx="0">
                  <c:v>180</c:v>
                </c:pt>
                <c:pt idx="1">
                  <c:v>300</c:v>
                </c:pt>
                <c:pt idx="2">
                  <c:v>330</c:v>
                </c:pt>
                <c:pt idx="3">
                  <c:v>360</c:v>
                </c:pt>
                <c:pt idx="4">
                  <c:v>420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>
      <xdr:nvSpPr>
        <xdr:cNvPr id="1" name="밸런스팩터_0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716000" y="9601200"/>
          <a:ext cx="5334000" cy="5334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퀘스트 동선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레벨디자인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오브젝트 배치</a:t>
          </a:r>
          <a:endParaRPr/>
        </a:p>
      </xdr:txBody>
    </xdr:sp>
    <xdr:clientData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>
      <xdr:nvSpPr>
        <xdr:cNvPr id="2" name="밸런스팩터_0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982200" y="13296900"/>
          <a:ext cx="4381500" cy="4381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공원 쓰레기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개수·배치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분리수거 규칙</a:t>
          </a:r>
          <a:endParaRPr/>
        </a:p>
      </xdr:txBody>
    </xdr:sp>
    <xdr:clientData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>
      <xdr:nvSpPr>
        <xdr:cNvPr id="3" name="밸런스팩터_0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9545300" y="10172700"/>
          <a:ext cx="4381500" cy="4381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선의 감소량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자아 마모도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회복 수단</a:t>
          </a:r>
          <a:endParaRPr/>
        </a:p>
      </xdr:txBody>
    </xdr:sp>
    <xdr:clientData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>
      <xdr:nvSpPr>
        <xdr:cNvPr id="4" name="밸런스팩터_0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802350" y="5638800"/>
          <a:ext cx="4095750" cy="4095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몬스터 개수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배치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공격 판정</a:t>
          </a:r>
          <a:endParaRPr/>
        </a:p>
      </xdr:txBody>
    </xdr:sp>
    <xdr:clientData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>
      <xdr:nvSpPr>
        <xdr:cNvPr id="5" name="밸런스팩터_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953500" y="9048750"/>
          <a:ext cx="3905250" cy="3905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이벤트 템포</a:t>
          </a:r>
          <a:endParaRPr/>
        </a:p>
      </xdr:txBody>
    </xdr:sp>
    <xdr:clientData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>
      <xdr:nvSpPr>
        <xdr:cNvPr id="6" name="밸런스팩터_0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773400" y="3657600"/>
          <a:ext cx="2857500" cy="2857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PC 이동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>
      <xdr:nvSpPr>
        <xdr:cNvPr id="7" name="밸런스팩터_0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993100" y="2933700"/>
          <a:ext cx="2571750" cy="2571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달리기 속도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지속시간</a:t>
          </a:r>
          <a:endParaRPr/>
        </a:p>
      </xdr:txBody>
    </xdr:sp>
    <xdr:clientData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>
      <xdr:nvSpPr>
        <xdr:cNvPr id="8" name="밸런스팩터_0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4726902" y="3057525"/>
          <a:ext cx="2762250" cy="2771775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맵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크기</a:t>
          </a:r>
          <a:endParaRPr/>
        </a:p>
      </xdr:txBody>
    </xdr:sp>
    <xdr:clientData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>
      <xdr:nvSpPr>
        <xdr:cNvPr id="9" name="밸런스팩터_0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962900" y="1685925"/>
          <a:ext cx="2667000" cy="2676525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카메라 시야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가시성</a:t>
          </a:r>
          <a:endParaRPr/>
        </a:p>
      </xdr:txBody>
    </xdr:sp>
    <xdr:clientData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>
      <xdr:nvSpPr>
        <xdr:cNvPr id="10" name="밸런스팩터_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172200" y="8305800"/>
          <a:ext cx="2667000" cy="2667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트리거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위치</a:t>
          </a:r>
          <a:endParaRPr/>
        </a:p>
      </xdr:txBody>
    </xdr:sp>
    <xdr:clientData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>
      <xdr:nvSpPr>
        <xdr:cNvPr id="11" name="밸런스팩터_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858000" y="12172949"/>
          <a:ext cx="2667000" cy="2667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상호작용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범위</a:t>
          </a:r>
          <a:endParaRPr/>
        </a:p>
      </xdr:txBody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>
      <xdr:nvSpPr>
        <xdr:cNvPr id="12" name="밸런스팩터_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972800" y="2743200"/>
          <a:ext cx="2667000" cy="2667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목표 표시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>
      <xdr:nvSpPr>
        <xdr:cNvPr id="13" name="밸런스팩터_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686800" y="6229350"/>
          <a:ext cx="2381250" cy="2381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NPC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밀도</a:t>
          </a:r>
          <a:endParaRPr/>
        </a:p>
      </xdr:txBody>
    </xdr:sp>
    <xdr:clientData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>
      <xdr:nvSpPr>
        <xdr:cNvPr id="14" name="밸런스팩터_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734300" y="161544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미니게임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제한 시간</a:t>
          </a:r>
          <a:endParaRPr/>
        </a:p>
      </xdr:txBody>
    </xdr:sp>
    <xdr:clientData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>
      <xdr:nvSpPr>
        <xdr:cNvPr id="15" name="밸런스팩터_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649451" y="152400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미션 실패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패널티</a:t>
          </a:r>
          <a:endParaRPr/>
        </a:p>
      </xdr:txBody>
    </xdr:sp>
    <xdr:clientData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>
      <xdr:nvSpPr>
        <xdr:cNvPr id="16" name="밸런스팩터_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982949" y="70104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칭찬·보상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빈도</a:t>
          </a:r>
          <a:endParaRPr/>
        </a:p>
      </xdr:txBody>
    </xdr:sp>
    <xdr:clientData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>
      <xdr:nvSpPr>
        <xdr:cNvPr id="17" name="밸런스팩터_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868400" y="18288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체크포인트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간격</a:t>
          </a:r>
          <a:endParaRPr/>
        </a:p>
      </xdr:txBody>
    </xdr:sp>
    <xdr:clientData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>
      <xdr:nvSpPr>
        <xdr:cNvPr id="18" name="밸런스팩터_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7830800" y="184404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선택지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영향도</a:t>
          </a:r>
          <a:endParaRPr/>
        </a:p>
      </xdr:txBody>
    </xdr:sp>
    <xdr:clientData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>
      <xdr:nvSpPr>
        <xdr:cNvPr id="19" name="밸런스팩터_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355302" y="6153150"/>
          <a:ext cx="2571750" cy="2571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보스 패턴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>
      <xdr:nvSpPr>
        <xdr:cNvPr id="20" name="밸런스팩터_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963150" y="177927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퍼즐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>
      <xdr:nvSpPr>
        <xdr:cNvPr id="21" name="밸런스팩터_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850600" y="91059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균열 발생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타이밍</a:t>
          </a:r>
          <a:endParaRPr/>
        </a:p>
      </xdr:txBody>
    </xdr:sp>
    <xdr:clientData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>
      <xdr:nvSpPr>
        <xdr:cNvPr id="22" name="밸런스팩터_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638550" y="4429125"/>
          <a:ext cx="2381250" cy="2390775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회색 후드 NPC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구분 난도</a:t>
          </a:r>
          <a:endParaRPr/>
        </a:p>
      </xdr:txBody>
    </xdr:sp>
    <xdr:clientData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>
      <xdr:nvSpPr>
        <xdr:cNvPr id="23" name="밸런스팩터_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790950" y="101346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편의점 재고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연출 타이밍</a:t>
          </a:r>
          <a:endParaRPr/>
        </a:p>
      </xdr:txBody>
    </xdr:sp>
    <xdr:clientData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>
      <xdr:nvSpPr>
        <xdr:cNvPr id="24" name="밸런스팩터_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467100" y="7353300"/>
          <a:ext cx="2476500" cy="24765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물류 트럭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이동 속도</a:t>
          </a:r>
          <a:endParaRPr/>
        </a:p>
      </xdr:txBody>
    </xdr:sp>
    <xdr:clientData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>
      <xdr:nvSpPr>
        <xdr:cNvPr id="25" name="밸런스팩터_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629400" y="4476750"/>
          <a:ext cx="2286000" cy="228600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오픈런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경쟁</a:t>
          </a:r>
          <a:endParaRPr/>
        </a:p>
      </xdr:txBody>
    </xdr:sp>
    <xdr:clientData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>
      <xdr:nvSpPr>
        <xdr:cNvPr id="26" name="밸런스팩터_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573500" y="990600"/>
          <a:ext cx="2381250" cy="2381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사운드·시각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경고 강도</a:t>
          </a:r>
          <a:endParaRPr/>
        </a:p>
      </xdr:txBody>
    </xdr:sp>
    <xdr:clientData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>
      <xdr:nvSpPr>
        <xdr:cNvPr id="27" name="밸런스팩터_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7430750" y="14230349"/>
          <a:ext cx="3905250" cy="3905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대화 길이</a:t>
          </a:r>
          <a:endParaRPr/>
        </a:p>
      </xdr:txBody>
    </xdr:sp>
    <xdr:clientData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>
      <xdr:nvSpPr>
        <xdr:cNvPr id="28" name="밸런스팩터_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849100" y="5619750"/>
          <a:ext cx="3895725" cy="3905250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연출 밀도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3fb1aaf5e7490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a849908556420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bc4502f87694b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2e2a4c6963d144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2266480ee591423f" /></Relationships>
</file>

<file path=xl/worksheets/sheet1.xml><?xml version="1.0" encoding="utf-8"?>
<x:worksheet xmlns:x="http://schemas.openxmlformats.org/spreadsheetml/2006/main">
  <x:sheetFormatPr defaultColWidth="9" defaultRowHeight="13.5"/>
  <x:cols>
    <x:col min="1" max="1" width="13.875" style="20" customWidth="1"/>
    <x:col min="2" max="2" width="14.125" style="106" customWidth="1"/>
    <x:col min="3" max="3" width="13.125" style="106" customWidth="1"/>
    <x:col min="4" max="4" width="13.375" style="106" customWidth="1"/>
    <x:col min="5" max="5" width="42.625" style="20" customWidth="1"/>
    <x:col min="6" max="6" width="47.625" style="20" customWidth="1"/>
    <x:col min="7" max="7" width="47.5" style="20" customWidth="1"/>
    <x:col min="8" max="8" width="36.875" style="20" customWidth="1"/>
    <x:col min="9" max="9" width="11.875" style="106" customWidth="1"/>
    <x:col min="10" max="10" width="25" style="20" customWidth="1"/>
    <x:col min="11" max="11" width="39.625" style="106" customWidth="1"/>
    <x:col min="12" max="12" width="18.625" style="106" customWidth="1"/>
    <x:col min="13" max="13" width="27.75" style="20" customWidth="1"/>
    <x:col min="14" max="14" width="18.75" style="106" customWidth="1"/>
    <x:col min="15" max="15" width="24.75" style="20" customWidth="1"/>
    <x:col min="16" max="16" width="19.75" style="106" customWidth="1"/>
    <x:col min="17" max="17" width="18.875" style="106" customWidth="1"/>
    <x:col min="18" max="18" width="16" style="106" customWidth="1"/>
    <x:col min="19" max="19" width="15" style="106" customWidth="1"/>
    <x:col min="20" max="20" width="12" style="102" customWidth="1"/>
    <x:col min="21" max="21" width="14" style="122" customWidth="1"/>
    <x:col min="22" max="22" width="32" style="122" customWidth="1"/>
    <x:col min="23" max="23" width="15" style="102" customWidth="1"/>
    <x:col min="24" max="25" width="15" style="124" customWidth="1"/>
    <x:col min="26" max="26" width="14.75" style="106" customWidth="1"/>
    <x:col min="27" max="27" width="13" style="106" customWidth="1"/>
    <x:col min="28" max="29" width="18" style="126" customWidth="1"/>
    <x:col min="30" max="30" width="18.875" style="20" customWidth="1"/>
    <x:col min="31" max="16384" width="9" style="20" customWidth="0"/>
  </x:cols>
  <x:sheetData>
    <x:row r="1" s="84" customFormat="1">
      <x:c r="B1" s="102"/>
      <x:c r="C1" s="102"/>
      <x:c r="D1" s="102"/>
      <x:c r="I1" s="102"/>
      <x:c r="K1" s="102"/>
      <x:c r="L1" s="102"/>
      <x:c r="N1" s="102"/>
      <x:c r="P1" s="102"/>
      <x:c r="Q1" s="102" t="s">
        <x:v>0</x:v>
      </x:c>
      <x:c r="R1" s="102" t="s">
        <x:v>1</x:v>
      </x:c>
      <x:c r="S1" s="102"/>
      <x:c r="T1" s="102"/>
      <x:c r="U1" s="122"/>
      <x:c r="V1" s="122"/>
      <x:c r="W1" s="102"/>
      <x:c r="X1" s="122"/>
      <x:c r="Y1" s="122"/>
      <x:c r="Z1" s="102"/>
      <x:c r="AA1" s="102"/>
      <x:c r="AB1" s="125"/>
      <x:c r="AC1" s="125"/>
    </x:row>
    <x:row r="2" s="84" customFormat="1">
      <x:c r="B2" s="102"/>
      <x:c r="C2" s="102"/>
      <x:c r="D2" s="102"/>
      <x:c r="I2" s="102"/>
      <x:c r="K2" s="102"/>
      <x:c r="L2" s="102"/>
      <x:c r="M2" s="85" t="s">
        <x:v>2</x:v>
      </x:c>
      <x:c r="N2" s="102"/>
      <x:c r="P2" s="102"/>
      <x:c r="Q2" s="114">
        <x:v>0.98499999999999999</x:v>
      </x:c>
      <x:c r="R2" s="114">
        <x:v>15</x:v>
      </x:c>
      <x:c r="S2" s="102"/>
      <x:c r="T2" s="102"/>
      <x:c r="U2" s="122"/>
      <x:c r="V2" s="122"/>
      <x:c r="W2" s="102"/>
      <x:c r="X2" s="122"/>
      <x:c r="Y2" s="122"/>
      <x:c r="Z2" s="102"/>
      <x:c r="AA2" s="102"/>
      <x:c r="AB2" s="125"/>
      <x:c r="AC2" s="125"/>
    </x:row>
    <x:row r="3" s="84" customFormat="1">
      <x:c r="B3" s="102"/>
      <x:c r="C3" s="102"/>
      <x:c r="D3" s="102"/>
      <x:c r="I3" s="102"/>
      <x:c r="K3" s="102"/>
      <x:c r="L3" s="102"/>
      <x:c r="N3" s="102"/>
      <x:c r="P3" s="102"/>
      <x:c r="Q3" s="114" t="n">
        <x:f>Q2/100</x:f>
        <x:v>0.00985</x:v>
      </x:c>
      <x:c r="R3" s="114" t="n">
        <x:f>R2/100</x:f>
        <x:v>0.15</x:v>
      </x:c>
      <x:c r="S3" s="119"/>
      <x:c r="T3" s="119"/>
      <x:c r="U3" s="119"/>
      <x:c r="V3" s="119"/>
      <x:c r="W3" s="119"/>
      <x:c r="X3" s="119"/>
      <x:c r="Y3" s="119"/>
      <x:c r="Z3" s="102"/>
      <x:c r="AA3" s="102"/>
      <x:c r="AB3" s="125"/>
      <x:c r="AC3" s="125"/>
    </x:row>
    <x:row r="4" s="94" customFormat="1" ht="56.099998474121094" customHeight="1">
      <x:c r="A4" s="93" t="s">
        <x:v>3</x:v>
      </x:c>
      <x:c r="B4" s="93" t="s">
        <x:v>4</x:v>
      </x:c>
      <x:c r="C4" s="93" t="s">
        <x:v>5</x:v>
      </x:c>
      <x:c r="D4" s="93" t="s">
        <x:v>6</x:v>
      </x:c>
      <x:c r="E4" s="93" t="s">
        <x:v>7</x:v>
      </x:c>
      <x:c r="F4" s="93" t="s">
        <x:v>8</x:v>
      </x:c>
      <x:c r="G4" s="93" t="s">
        <x:v>9</x:v>
      </x:c>
      <x:c r="H4" s="93" t="s">
        <x:v>10</x:v>
      </x:c>
      <x:c r="I4" s="93" t="s">
        <x:v>11</x:v>
      </x:c>
      <x:c r="J4" s="93" t="s">
        <x:v>12</x:v>
      </x:c>
      <x:c r="K4" s="93" t="s">
        <x:v>13</x:v>
      </x:c>
      <x:c r="L4" s="93" t="s">
        <x:v>14</x:v>
      </x:c>
      <x:c r="M4" s="93" t="s">
        <x:v>15</x:v>
      </x:c>
      <x:c r="N4" s="95" t="s">
        <x:v>16</x:v>
      </x:c>
      <x:c r="O4" s="95" t="s">
        <x:v>17</x:v>
      </x:c>
      <x:c r="P4" s="95" t="s">
        <x:v>18</x:v>
      </x:c>
      <x:c r="Q4" s="95" t="s">
        <x:v>19</x:v>
      </x:c>
      <x:c r="R4" s="96" t="s">
        <x:v>20</x:v>
      </x:c>
      <x:c r="S4" s="97" t="s">
        <x:v>21</x:v>
      </x:c>
      <x:c r="T4" s="96" t="s">
        <x:v>22</x:v>
      </x:c>
      <x:c r="U4" s="96" t="s">
        <x:v>23</x:v>
      </x:c>
      <x:c r="V4" s="96" t="s">
        <x:v>24</x:v>
      </x:c>
      <x:c r="W4" s="95" t="s">
        <x:v>25</x:v>
      </x:c>
      <x:c r="X4" s="95" t="s">
        <x:v>26</x:v>
      </x:c>
      <x:c r="Y4" s="95" t="s">
        <x:v>27</x:v>
      </x:c>
      <x:c r="Z4" s="95" t="s">
        <x:v>28</x:v>
      </x:c>
      <x:c r="AA4" s="95" t="s">
        <x:v>29</x:v>
      </x:c>
      <x:c r="AB4" s="95" t="s">
        <x:v>30</x:v>
      </x:c>
      <x:c r="AC4" s="95" t="s">
        <x:v>31</x:v>
      </x:c>
      <x:c r="AD4" s="93"/>
    </x:row>
    <x:row r="5" s="84" customFormat="1" ht="65.0999984741211" customHeight="1">
      <x:c r="A5" s="90" t="s">
        <x:v>32</x:v>
      </x:c>
      <x:c r="B5" s="103">
        <x:v>1</x:v>
      </x:c>
      <x:c r="C5" s="103">
        <x:v>1</x:v>
      </x:c>
      <x:c r="D5" s="103">
        <x:v>8</x:v>
      </x:c>
      <x:c r="E5" s="90" t="s">
        <x:v>33</x:v>
      </x:c>
      <x:c r="F5" s="90" t="s">
        <x:v>34</x:v>
      </x:c>
      <x:c r="G5" s="90" t="s">
        <x:v>35</x:v>
      </x:c>
      <x:c r="H5" s="90" t="s">
        <x:v>36</x:v>
      </x:c>
      <x:c r="I5" s="103">
        <x:v>1</x:v>
      </x:c>
      <x:c r="J5" s="90" t="s">
        <x:v>37</x:v>
      </x:c>
      <x:c r="K5" s="107" t="s">
        <x:v>38</x:v>
      </x:c>
      <x:c r="L5" s="107" t="s">
        <x:v>39</x:v>
      </x:c>
      <x:c r="M5" s="90" t="s">
        <x:v>40</x:v>
      </x:c>
      <x:c r="N5" s="109" t="n">
        <x:f>(IFERROR(VALUE(LEFT(L5,FIND("분",L5)-1))*60,0)+IFERROR(VALUE(TRIM(MID(L5,IFERROR(FIND("분",L5),0)+1,IFERROR(FIND("초",L5),LEN(L5)+1)-IFERROR(FIND("분",L5),0)-1))),0))/86400</x:f>
        <x:v>0.0010416666666666667</x:v>
      </x:c>
      <x:c r="O5" s="90" t="s">
        <x:v>41</x:v>
      </x:c>
      <x:c r="P5" s="111" t="n">
        <x:f>Q5</x:f>
        <x:v>4</x:v>
      </x:c>
      <x:c r="Q5" s="111">
        <x:v>4</x:v>
      </x:c>
      <x:c r="R5" s="115" t="n">
        <x:f t="shared" ref="R5:R36" si="0">ROUND($Q$3*P5*P5+$R$3*P5,2)</x:f>
        <x:v>0.76</x:v>
      </x:c>
      <x:c r="S5" s="103" t="s">
        <x:v>42</x:v>
      </x:c>
      <x:c r="T5" s="111" t="s">
        <x:v>43</x:v>
      </x:c>
      <x:c r="U5" s="111" t="s">
        <x:v>43</x:v>
      </x:c>
      <x:c r="V5" s="103" t="s">
        <x:v>43</x:v>
      </x:c>
      <x:c r="W5" s="164" t="n">
        <x:v>0.0012152777777777778</x:v>
      </x:c>
      <x:c r="X5" s="164" t="n">
        <x:v>0.001099537037037037</x:v>
      </x:c>
      <x:c r="Y5" s="164" t="n">
        <x:v>0.0010416666666666667</x:v>
      </x:c>
      <x:c r="Z5" s="111"/>
      <x:c r="AA5" s="111"/>
      <x:c r="AB5" s="111"/>
      <x:c r="AC5" s="111"/>
      <x:c r="AD5" s="91"/>
    </x:row>
    <x:row r="6" ht="65.0999984741211" customHeight="1">
      <x:c r="A6" s="87" t="s">
        <x:v>32</x:v>
      </x:c>
      <x:c r="B6" s="104">
        <x:v>2</x:v>
      </x:c>
      <x:c r="C6" s="104">
        <x:v>1</x:v>
      </x:c>
      <x:c r="D6" s="104">
        <x:v>3</x:v>
      </x:c>
      <x:c r="E6" s="87" t="s">
        <x:v>44</x:v>
      </x:c>
      <x:c r="F6" s="87" t="s">
        <x:v>45</x:v>
      </x:c>
      <x:c r="G6" s="87" t="s">
        <x:v>46</x:v>
      </x:c>
      <x:c r="H6" s="87" t="s">
        <x:v>47</x:v>
      </x:c>
      <x:c r="I6" s="104">
        <x:v>1</x:v>
      </x:c>
      <x:c r="J6" s="87" t="s">
        <x:v>48</x:v>
      </x:c>
      <x:c r="K6" s="108" t="s">
        <x:v>38</x:v>
      </x:c>
      <x:c r="L6" s="108" t="s">
        <x:v>49</x:v>
      </x:c>
      <x:c r="M6" s="87" t="s">
        <x:v>50</x:v>
      </x:c>
      <x:c r="N6" s="110" t="n">
        <x:f>N5+(IFERROR(VALUE(LEFT(L6,FIND("분",L6)-1))*60,0)+IFERROR(VALUE(TRIM(MID(L6,IFERROR(FIND("분",L6),0)+1,IFERROR(FIND("초",L6),LEN(L6)+1)-IFERROR(FIND("분",L6),0)-1))),0))/86400</x:f>
        <x:v>0.0012731481481481483</x:v>
      </x:c>
      <x:c r="O6" s="87" t="s">
        <x:v>41</x:v>
      </x:c>
      <x:c r="P6" s="112" t="n">
        <x:f t="shared" ref="P6:P37" si="1">P5+Q6</x:f>
        <x:v>6</x:v>
      </x:c>
      <x:c r="Q6" s="112">
        <x:v>2</x:v>
      </x:c>
      <x:c r="R6" s="116">
        <x:f t="shared" si="0"/>
        <x:v>1.25</x:v>
      </x:c>
      <x:c r="S6" s="104" t="s">
        <x:v>42</x:v>
      </x:c>
      <x:c r="T6" s="112" t="s">
        <x:v>43</x:v>
      </x:c>
      <x:c r="U6" s="112" t="s">
        <x:v>43</x:v>
      </x:c>
      <x:c r="V6" s="104" t="s">
        <x:v>43</x:v>
      </x:c>
      <x:c r="W6" s="165" t="n">
        <x:v>0.00028935185185185184</x:v>
      </x:c>
      <x:c r="X6" s="165" t="n">
        <x:v>0.00028935185185185184</x:v>
      </x:c>
      <x:c r="Y6" s="165" t="n">
        <x:v>0.0002314814814814815</x:v>
      </x:c>
      <x:c r="Z6" s="112"/>
      <x:c r="AA6" s="112"/>
      <x:c r="AB6" s="112"/>
      <x:c r="AC6" s="112"/>
      <x:c r="AD6" s="86"/>
    </x:row>
    <x:row r="7" ht="65.0999984741211" customHeight="1">
      <x:c r="A7" s="87" t="s">
        <x:v>32</x:v>
      </x:c>
      <x:c r="B7" s="104">
        <x:v>3</x:v>
      </x:c>
      <x:c r="C7" s="104">
        <x:v>1</x:v>
      </x:c>
      <x:c r="D7" s="104">
        <x:v>5</x:v>
      </x:c>
      <x:c r="E7" s="87" t="s">
        <x:v>51</x:v>
      </x:c>
      <x:c r="F7" s="87" t="s">
        <x:v>52</x:v>
      </x:c>
      <x:c r="G7" s="87" t="s">
        <x:v>53</x:v>
      </x:c>
      <x:c r="H7" s="87" t="s">
        <x:v>54</x:v>
      </x:c>
      <x:c r="I7" s="104">
        <x:v>1</x:v>
      </x:c>
      <x:c r="J7" s="87" t="s">
        <x:v>55</x:v>
      </x:c>
      <x:c r="K7" s="108" t="s">
        <x:v>38</x:v>
      </x:c>
      <x:c r="L7" s="108" t="s">
        <x:v>56</x:v>
      </x:c>
      <x:c r="M7" s="87" t="s">
        <x:v>57</x:v>
      </x:c>
      <x:c r="N7" s="110" t="n">
        <x:f t="shared" ref="N7:N37" si="2">N6+(IFERROR(VALUE(LEFT(L7,FIND("분",L7)-1))*60,0)+IFERROR(VALUE(TRIM(MID(L7,IFERROR(FIND("분",L7),0)+1,IFERROR(FIND("초",L7),LEN(L7)+1)-IFERROR(FIND("분",L7),0)-1))),0))/86400</x:f>
        <x:v>0.001967592592592593</x:v>
      </x:c>
      <x:c r="O7" s="87" t="s">
        <x:v>41</x:v>
      </x:c>
      <x:c r="P7" s="112">
        <x:f t="shared" si="1"/>
        <x:v>9</x:v>
      </x:c>
      <x:c r="Q7" s="112">
        <x:v>3</x:v>
      </x:c>
      <x:c r="R7" s="116">
        <x:f t="shared" si="0"/>
        <x:v>2.15</x:v>
      </x:c>
      <x:c r="S7" s="104" t="s">
        <x:v>42</x:v>
      </x:c>
      <x:c r="T7" s="112" t="s">
        <x:v>43</x:v>
      </x:c>
      <x:c r="U7" s="112" t="s">
        <x:v>43</x:v>
      </x:c>
      <x:c r="V7" s="104" t="s">
        <x:v>43</x:v>
      </x:c>
      <x:c r="W7" s="165" t="n">
        <x:v>0.0008101851851851852</x:v>
      </x:c>
      <x:c r="X7" s="165" t="n">
        <x:v>0.0007523148148148148</x:v>
      </x:c>
      <x:c r="Y7" s="165" t="n">
        <x:v>0.0006944444444444445</x:v>
      </x:c>
      <x:c r="Z7" s="112"/>
      <x:c r="AA7" s="112"/>
      <x:c r="AB7" s="112"/>
      <x:c r="AC7" s="112"/>
      <x:c r="AD7" s="86"/>
    </x:row>
    <x:row r="8" ht="65.0999984741211" customHeight="1">
      <x:c r="A8" s="87" t="s">
        <x:v>32</x:v>
      </x:c>
      <x:c r="B8" s="104">
        <x:v>4</x:v>
      </x:c>
      <x:c r="C8" s="104">
        <x:v>1</x:v>
      </x:c>
      <x:c r="D8" s="104">
        <x:v>3</x:v>
      </x:c>
      <x:c r="E8" s="87" t="s">
        <x:v>58</x:v>
      </x:c>
      <x:c r="F8" s="87" t="s">
        <x:v>59</x:v>
      </x:c>
      <x:c r="G8" s="87" t="s">
        <x:v>60</x:v>
      </x:c>
      <x:c r="H8" s="87" t="s">
        <x:v>61</x:v>
      </x:c>
      <x:c r="I8" s="104">
        <x:v>4</x:v>
      </x:c>
      <x:c r="J8" s="87" t="s">
        <x:v>62</x:v>
      </x:c>
      <x:c r="K8" s="108" t="s">
        <x:v>38</x:v>
      </x:c>
      <x:c r="L8" s="108" t="s">
        <x:v>63</x:v>
      </x:c>
      <x:c r="M8" s="87" t="s">
        <x:v>64</x:v>
      </x:c>
      <x:c r="N8" s="110" t="n">
        <x:f t="shared" si="2">N7+(IFERROR(VALUE(LEFT(L8,FIND("분",L8)-1))*60,0)+IFERROR(VALUE(TRIM(MID(L8,IFERROR(FIND("분",L8),0)+1,IFERROR(FIND("초",L8),LEN(L8)+1)-IFERROR(FIND("분",L8),0)-1))),0))/86400</x:f>
        <x:v>0.0024305555555555556</x:v>
      </x:c>
      <x:c r="O8" s="87" t="s">
        <x:v>41</x:v>
      </x:c>
      <x:c r="P8" s="112">
        <x:f t="shared" si="1"/>
        <x:v>11</x:v>
      </x:c>
      <x:c r="Q8" s="112">
        <x:v>2</x:v>
      </x:c>
      <x:c r="R8" s="116">
        <x:f t="shared" si="0"/>
        <x:v>2.84</x:v>
      </x:c>
      <x:c r="S8" s="104" t="s">
        <x:v>42</x:v>
      </x:c>
      <x:c r="T8" s="112" t="s">
        <x:v>43</x:v>
      </x:c>
      <x:c r="U8" s="112" t="s">
        <x:v>43</x:v>
      </x:c>
      <x:c r="V8" s="104" t="s">
        <x:v>43</x:v>
      </x:c>
      <x:c r="W8" s="165" t="n">
        <x:v>0.0005787037037037037</x:v>
      </x:c>
      <x:c r="X8" s="165" t="n">
        <x:v>0.0005208333333333333</x:v>
      </x:c>
      <x:c r="Y8" s="165" t="n">
        <x:v>0.000462962962962963</x:v>
      </x:c>
      <x:c r="Z8" s="112"/>
      <x:c r="AA8" s="112"/>
      <x:c r="AB8" s="112"/>
      <x:c r="AC8" s="112"/>
      <x:c r="AD8" s="86"/>
    </x:row>
    <x:row r="9" ht="65.0999984741211" customHeight="1">
      <x:c r="A9" s="87" t="s">
        <x:v>32</x:v>
      </x:c>
      <x:c r="B9" s="104">
        <x:v>5</x:v>
      </x:c>
      <x:c r="C9" s="104">
        <x:v>1</x:v>
      </x:c>
      <x:c r="D9" s="104">
        <x:v>3</x:v>
      </x:c>
      <x:c r="E9" s="87" t="s">
        <x:v>65</x:v>
      </x:c>
      <x:c r="F9" s="87" t="s">
        <x:v>66</x:v>
      </x:c>
      <x:c r="G9" s="87" t="s">
        <x:v>67</x:v>
      </x:c>
      <x:c r="H9" s="87" t="s">
        <x:v>68</x:v>
      </x:c>
      <x:c r="I9" s="104">
        <x:v>1</x:v>
      </x:c>
      <x:c r="J9" s="87" t="s">
        <x:v>69</x:v>
      </x:c>
      <x:c r="K9" s="108" t="s">
        <x:v>38</x:v>
      </x:c>
      <x:c r="L9" s="108" t="s">
        <x:v>70</x:v>
      </x:c>
      <x:c r="M9" s="87" t="s">
        <x:v>71</x:v>
      </x:c>
      <x:c r="N9" s="110" t="n">
        <x:f t="shared" si="2">N8+(IFERROR(VALUE(LEFT(L9,FIND("분",L9)-1))*60,0)+IFERROR(VALUE(TRIM(MID(L9,IFERROR(FIND("분",L9),0)+1,IFERROR(FIND("초",L9),LEN(L9)+1)-IFERROR(FIND("분",L9),0)-1))),0))/86400</x:f>
        <x:v>0.002777777777777778</x:v>
      </x:c>
      <x:c r="O9" s="87" t="s">
        <x:v>41</x:v>
      </x:c>
      <x:c r="P9" s="112">
        <x:f t="shared" si="1"/>
        <x:v>13</x:v>
      </x:c>
      <x:c r="Q9" s="112">
        <x:v>2</x:v>
      </x:c>
      <x:c r="R9" s="116">
        <x:f t="shared" si="0"/>
        <x:v>3.61</x:v>
      </x:c>
      <x:c r="S9" s="104" t="s">
        <x:v>42</x:v>
      </x:c>
      <x:c r="T9" s="112" t="s">
        <x:v>43</x:v>
      </x:c>
      <x:c r="U9" s="112" t="s">
        <x:v>43</x:v>
      </x:c>
      <x:c r="V9" s="104" t="s">
        <x:v>43</x:v>
      </x:c>
      <x:c r="W9" s="165" t="n">
        <x:v>0.0004050925925925926</x:v>
      </x:c>
      <x:c r="X9" s="165" t="n">
        <x:v>0.0004050925925925926</x:v>
      </x:c>
      <x:c r="Y9" s="165" t="n">
        <x:v>0.00034722222222222224</x:v>
      </x:c>
      <x:c r="Z9" s="112"/>
      <x:c r="AA9" s="112"/>
      <x:c r="AB9" s="112"/>
      <x:c r="AC9" s="112"/>
      <x:c r="AD9" s="86"/>
    </x:row>
    <x:row r="10" ht="65.0999984741211" customHeight="1">
      <x:c r="A10" s="87" t="s">
        <x:v>32</x:v>
      </x:c>
      <x:c r="B10" s="104">
        <x:v>6</x:v>
      </x:c>
      <x:c r="C10" s="104">
        <x:v>1</x:v>
      </x:c>
      <x:c r="D10" s="104">
        <x:v>5</x:v>
      </x:c>
      <x:c r="E10" s="87" t="s">
        <x:v>72</x:v>
      </x:c>
      <x:c r="F10" s="87" t="s">
        <x:v>73</x:v>
      </x:c>
      <x:c r="G10" s="87" t="s">
        <x:v>74</x:v>
      </x:c>
      <x:c r="H10" s="87" t="s">
        <x:v>75</x:v>
      </x:c>
      <x:c r="I10" s="104">
        <x:v>1</x:v>
      </x:c>
      <x:c r="J10" s="87" t="s">
        <x:v>76</x:v>
      </x:c>
      <x:c r="K10" s="108" t="s">
        <x:v>38</x:v>
      </x:c>
      <x:c r="L10" s="108" t="s">
        <x:v>49</x:v>
      </x:c>
      <x:c r="M10" s="87" t="s">
        <x:v>77</x:v>
      </x:c>
      <x:c r="N10" s="110" t="n">
        <x:f t="shared" si="2">N9+(IFERROR(VALUE(LEFT(L10,FIND("분",L10)-1))*60,0)+IFERROR(VALUE(TRIM(MID(L10,IFERROR(FIND("분",L10),0)+1,IFERROR(FIND("초",L10),LEN(L10)+1)-IFERROR(FIND("분",L10),0)-1))),0))/86400</x:f>
        <x:v>0.0030092592592592593</x:v>
      </x:c>
      <x:c r="O10" s="87" t="s">
        <x:v>41</x:v>
      </x:c>
      <x:c r="P10" s="112">
        <x:f t="shared" si="1"/>
        <x:v>16</x:v>
      </x:c>
      <x:c r="Q10" s="112">
        <x:v>3</x:v>
      </x:c>
      <x:c r="R10" s="116">
        <x:f t="shared" si="0"/>
        <x:v>4.92</x:v>
      </x:c>
      <x:c r="S10" s="104" t="s">
        <x:v>42</x:v>
      </x:c>
      <x:c r="T10" s="112" t="s">
        <x:v>43</x:v>
      </x:c>
      <x:c r="U10" s="112" t="s">
        <x:v>43</x:v>
      </x:c>
      <x:c r="V10" s="104" t="s">
        <x:v>43</x:v>
      </x:c>
      <x:c r="W10" s="165" t="n">
        <x:v>0.00028935185185185184</x:v>
      </x:c>
      <x:c r="X10" s="165" t="n">
        <x:v>0.00028935185185185184</x:v>
      </x:c>
      <x:c r="Y10" s="165" t="n">
        <x:v>0.0002314814814814815</x:v>
      </x:c>
      <x:c r="Z10" s="112"/>
      <x:c r="AA10" s="112"/>
      <x:c r="AB10" s="112"/>
      <x:c r="AC10" s="112"/>
      <x:c r="AD10" s="86"/>
    </x:row>
    <x:row r="11" ht="65.0999984741211" customHeight="1">
      <x:c r="A11" s="87" t="s">
        <x:v>32</x:v>
      </x:c>
      <x:c r="B11" s="104">
        <x:v>7</x:v>
      </x:c>
      <x:c r="C11" s="104">
        <x:v>2</x:v>
      </x:c>
      <x:c r="D11" s="104">
        <x:v>5</x:v>
      </x:c>
      <x:c r="E11" s="87" t="s">
        <x:v>78</x:v>
      </x:c>
      <x:c r="F11" s="87" t="s">
        <x:v>66</x:v>
      </x:c>
      <x:c r="G11" s="87" t="s">
        <x:v>79</x:v>
      </x:c>
      <x:c r="H11" s="87" t="s">
        <x:v>80</x:v>
      </x:c>
      <x:c r="I11" s="104">
        <x:v>1</x:v>
      </x:c>
      <x:c r="J11" s="87" t="s">
        <x:v>81</x:v>
      </x:c>
      <x:c r="K11" s="108" t="s">
        <x:v>38</x:v>
      </x:c>
      <x:c r="L11" s="108" t="s">
        <x:v>82</x:v>
      </x:c>
      <x:c r="M11" s="87" t="s">
        <x:v>71</x:v>
      </x:c>
      <x:c r="N11" s="110" t="n">
        <x:f t="shared" si="2">N10+(IFERROR(VALUE(LEFT(L11,FIND("분",L11)-1))*60,0)+IFERROR(VALUE(TRIM(MID(L11,IFERROR(FIND("분",L11),0)+1,IFERROR(FIND("초",L11),LEN(L11)+1)-IFERROR(FIND("분",L11),0)-1))),0))/86400</x:f>
        <x:v>0.0038773148148148148</x:v>
      </x:c>
      <x:c r="O11" s="87" t="s">
        <x:v>83</x:v>
      </x:c>
      <x:c r="P11" s="112">
        <x:f t="shared" si="1"/>
        <x:v>19</x:v>
      </x:c>
      <x:c r="Q11" s="112">
        <x:v>3</x:v>
      </x:c>
      <x:c r="R11" s="116">
        <x:f t="shared" si="0"/>
        <x:v>6.41</x:v>
      </x:c>
      <x:c r="S11" s="104" t="s">
        <x:v>42</x:v>
      </x:c>
      <x:c r="T11" s="112" t="s">
        <x:v>43</x:v>
      </x:c>
      <x:c r="U11" s="112" t="s">
        <x:v>43</x:v>
      </x:c>
      <x:c r="V11" s="104" t="s">
        <x:v>43</x:v>
      </x:c>
      <x:c r="W11" s="165" t="n">
        <x:v>0.0010416666666666667</x:v>
      </x:c>
      <x:c r="X11" s="165" t="n">
        <x:v>0.000925925925925926</x:v>
      </x:c>
      <x:c r="Y11" s="165" t="n">
        <x:v>0.0008680555555555555</x:v>
      </x:c>
      <x:c r="Z11" s="112"/>
      <x:c r="AA11" s="112"/>
      <x:c r="AB11" s="112"/>
      <x:c r="AC11" s="112"/>
      <x:c r="AD11" s="86"/>
    </x:row>
    <x:row r="12" ht="65.0999984741211" customHeight="1">
      <x:c r="A12" s="87" t="s">
        <x:v>32</x:v>
      </x:c>
      <x:c r="B12" s="104">
        <x:v>8</x:v>
      </x:c>
      <x:c r="C12" s="104">
        <x:v>2</x:v>
      </x:c>
      <x:c r="D12" s="104">
        <x:v>6</x:v>
      </x:c>
      <x:c r="E12" s="87" t="s">
        <x:v>84</x:v>
      </x:c>
      <x:c r="F12" s="87" t="s">
        <x:v>85</x:v>
      </x:c>
      <x:c r="G12" s="87" t="s">
        <x:v>86</x:v>
      </x:c>
      <x:c r="H12" s="87" t="s">
        <x:v>87</x:v>
      </x:c>
      <x:c r="I12" s="104">
        <x:v>4</x:v>
      </x:c>
      <x:c r="J12" s="87" t="s">
        <x:v>88</x:v>
      </x:c>
      <x:c r="K12" s="108" t="s">
        <x:v>38</x:v>
      </x:c>
      <x:c r="L12" s="108" t="s">
        <x:v>39</x:v>
      </x:c>
      <x:c r="M12" s="87" t="s">
        <x:v>89</x:v>
      </x:c>
      <x:c r="N12" s="110" t="n">
        <x:f t="shared" si="2">N11+(IFERROR(VALUE(LEFT(L12,FIND("분",L12)-1))*60,0)+IFERROR(VALUE(TRIM(MID(L12,IFERROR(FIND("분",L12),0)+1,IFERROR(FIND("초",L12),LEN(L12)+1)-IFERROR(FIND("분",L12),0)-1))),0))/86400</x:f>
        <x:v>0.004918981481481482</x:v>
      </x:c>
      <x:c r="O12" s="87" t="s">
        <x:v>83</x:v>
      </x:c>
      <x:c r="P12" s="112">
        <x:f t="shared" si="1"/>
        <x:v>23</x:v>
      </x:c>
      <x:c r="Q12" s="112">
        <x:v>4</x:v>
      </x:c>
      <x:c r="R12" s="116">
        <x:f t="shared" si="0"/>
        <x:v>8.66</x:v>
      </x:c>
      <x:c r="S12" s="104" t="s">
        <x:v>42</x:v>
      </x:c>
      <x:c r="T12" s="112" t="s">
        <x:v>43</x:v>
      </x:c>
      <x:c r="U12" s="112" t="s">
        <x:v>43</x:v>
      </x:c>
      <x:c r="V12" s="104" t="s">
        <x:v>43</x:v>
      </x:c>
      <x:c r="W12" s="165" t="n">
        <x:v>0.0012152777777777778</x:v>
      </x:c>
      <x:c r="X12" s="165" t="n">
        <x:v>0.001099537037037037</x:v>
      </x:c>
      <x:c r="Y12" s="165" t="n">
        <x:v>0.0010416666666666667</x:v>
      </x:c>
      <x:c r="Z12" s="112"/>
      <x:c r="AA12" s="112"/>
      <x:c r="AB12" s="112"/>
      <x:c r="AC12" s="112"/>
      <x:c r="AD12" s="86"/>
    </x:row>
    <x:row r="13" ht="65.0999984741211" customHeight="1">
      <x:c r="A13" s="87" t="s">
        <x:v>32</x:v>
      </x:c>
      <x:c r="B13" s="104">
        <x:v>9</x:v>
      </x:c>
      <x:c r="C13" s="104">
        <x:v>1</x:v>
      </x:c>
      <x:c r="D13" s="104">
        <x:v>5</x:v>
      </x:c>
      <x:c r="E13" s="87" t="s">
        <x:v>90</x:v>
      </x:c>
      <x:c r="F13" s="87" t="s">
        <x:v>73</x:v>
      </x:c>
      <x:c r="G13" s="87" t="s">
        <x:v>91</x:v>
      </x:c>
      <x:c r="H13" s="87" t="s">
        <x:v>92</x:v>
      </x:c>
      <x:c r="I13" s="104">
        <x:v>2</x:v>
      </x:c>
      <x:c r="J13" s="87" t="s">
        <x:v>93</x:v>
      </x:c>
      <x:c r="K13" s="108" t="s">
        <x:v>38</x:v>
      </x:c>
      <x:c r="L13" s="108" t="s">
        <x:v>94</x:v>
      </x:c>
      <x:c r="M13" s="87" t="s">
        <x:v>77</x:v>
      </x:c>
      <x:c r="N13" s="110" t="n">
        <x:f t="shared" si="2">N12+(IFERROR(VALUE(LEFT(L13,FIND("분",L13)-1))*60,0)+IFERROR(VALUE(TRIM(MID(L13,IFERROR(FIND("분",L13),0)+1,IFERROR(FIND("초",L13),LEN(L13)+1)-IFERROR(FIND("분",L13),0)-1))),0))/86400</x:f>
        <x:v>0.005324074074074074</x:v>
      </x:c>
      <x:c r="O13" s="87" t="s">
        <x:v>83</x:v>
      </x:c>
      <x:c r="P13" s="112">
        <x:f t="shared" si="1"/>
        <x:v>25</x:v>
      </x:c>
      <x:c r="Q13" s="112">
        <x:v>2</x:v>
      </x:c>
      <x:c r="R13" s="116">
        <x:f t="shared" si="0"/>
        <x:v>9.91</x:v>
      </x:c>
      <x:c r="S13" s="104" t="s">
        <x:v>42</x:v>
      </x:c>
      <x:c r="T13" s="112" t="s">
        <x:v>43</x:v>
      </x:c>
      <x:c r="U13" s="112" t="s">
        <x:v>43</x:v>
      </x:c>
      <x:c r="V13" s="104" t="s">
        <x:v>43</x:v>
      </x:c>
      <x:c r="W13" s="165" t="n">
        <x:v>0.0005208333333333333</x:v>
      </x:c>
      <x:c r="X13" s="165" t="n">
        <x:v>0.000462962962962963</x:v>
      </x:c>
      <x:c r="Y13" s="165" t="n">
        <x:v>0.0004050925925925926</x:v>
      </x:c>
      <x:c r="Z13" s="112"/>
      <x:c r="AA13" s="112"/>
      <x:c r="AB13" s="112"/>
      <x:c r="AC13" s="112"/>
      <x:c r="AD13" s="86"/>
    </x:row>
    <x:row r="14" ht="65.0999984741211" customHeight="1">
      <x:c r="A14" s="87" t="s">
        <x:v>32</x:v>
      </x:c>
      <x:c r="B14" s="104">
        <x:v>10</x:v>
      </x:c>
      <x:c r="C14" s="104">
        <x:v>1</x:v>
      </x:c>
      <x:c r="D14" s="104">
        <x:v>6</x:v>
      </x:c>
      <x:c r="E14" s="87" t="s">
        <x:v>95</x:v>
      </x:c>
      <x:c r="F14" s="87" t="s">
        <x:v>52</x:v>
      </x:c>
      <x:c r="G14" s="87" t="s">
        <x:v>53</x:v>
      </x:c>
      <x:c r="H14" s="87" t="s">
        <x:v>96</x:v>
      </x:c>
      <x:c r="I14" s="104">
        <x:v>1</x:v>
      </x:c>
      <x:c r="J14" s="87" t="s">
        <x:v>97</x:v>
      </x:c>
      <x:c r="K14" s="108" t="s">
        <x:v>38</x:v>
      </x:c>
      <x:c r="L14" s="108" t="s">
        <x:v>82</x:v>
      </x:c>
      <x:c r="M14" s="87" t="s">
        <x:v>57</x:v>
      </x:c>
      <x:c r="N14" s="110" t="n">
        <x:f t="shared" si="2">N13+(IFERROR(VALUE(LEFT(L14,FIND("분",L14)-1))*60,0)+IFERROR(VALUE(TRIM(MID(L14,IFERROR(FIND("분",L14),0)+1,IFERROR(FIND("초",L14),LEN(L14)+1)-IFERROR(FIND("분",L14),0)-1))),0))/86400</x:f>
        <x:v>0.006192129629629629</x:v>
      </x:c>
      <x:c r="O14" s="87" t="s">
        <x:v>83</x:v>
      </x:c>
      <x:c r="P14" s="112">
        <x:f t="shared" si="1"/>
        <x:v>28</x:v>
      </x:c>
      <x:c r="Q14" s="112">
        <x:v>3</x:v>
      </x:c>
      <x:c r="R14" s="116">
        <x:f t="shared" si="0"/>
        <x:v>11.92</x:v>
      </x:c>
      <x:c r="S14" s="104" t="s">
        <x:v>42</x:v>
      </x:c>
      <x:c r="T14" s="112" t="s">
        <x:v>43</x:v>
      </x:c>
      <x:c r="U14" s="112" t="s">
        <x:v>43</x:v>
      </x:c>
      <x:c r="V14" s="104" t="s">
        <x:v>43</x:v>
      </x:c>
      <x:c r="W14" s="165" t="n">
        <x:v>0.0010416666666666667</x:v>
      </x:c>
      <x:c r="X14" s="165" t="n">
        <x:v>0.000925925925925926</x:v>
      </x:c>
      <x:c r="Y14" s="165" t="n">
        <x:v>0.0008680555555555555</x:v>
      </x:c>
      <x:c r="Z14" s="112"/>
      <x:c r="AA14" s="112"/>
      <x:c r="AB14" s="112"/>
      <x:c r="AC14" s="112"/>
      <x:c r="AD14" s="86"/>
    </x:row>
    <x:row r="15" ht="65.0999984741211" customHeight="1">
      <x:c r="A15" s="87" t="s">
        <x:v>32</x:v>
      </x:c>
      <x:c r="B15" s="104">
        <x:v>11</x:v>
      </x:c>
      <x:c r="C15" s="104">
        <x:v>2</x:v>
      </x:c>
      <x:c r="D15" s="104">
        <x:v>5</x:v>
      </x:c>
      <x:c r="E15" s="87" t="s">
        <x:v>98</x:v>
      </x:c>
      <x:c r="F15" s="87" t="s">
        <x:v>66</x:v>
      </x:c>
      <x:c r="G15" s="87" t="s">
        <x:v>99</x:v>
      </x:c>
      <x:c r="H15" s="87" t="s">
        <x:v>80</x:v>
      </x:c>
      <x:c r="I15" s="104">
        <x:v>1</x:v>
      </x:c>
      <x:c r="J15" s="87" t="s">
        <x:v>100</x:v>
      </x:c>
      <x:c r="K15" s="108" t="s">
        <x:v>38</x:v>
      </x:c>
      <x:c r="L15" s="108" t="s">
        <x:v>39</x:v>
      </x:c>
      <x:c r="M15" s="87" t="s">
        <x:v>71</x:v>
      </x:c>
      <x:c r="N15" s="110" t="n">
        <x:f t="shared" si="2">N14+(IFERROR(VALUE(LEFT(L15,FIND("분",L15)-1))*60,0)+IFERROR(VALUE(TRIM(MID(L15,IFERROR(FIND("분",L15),0)+1,IFERROR(FIND("초",L15),LEN(L15)+1)-IFERROR(FIND("분",L15),0)-1))),0))/86400</x:f>
        <x:v>0.0072337962962962955</x:v>
      </x:c>
      <x:c r="O15" s="87" t="s">
        <x:v>101</x:v>
      </x:c>
      <x:c r="P15" s="112">
        <x:f t="shared" si="1"/>
        <x:v>31</x:v>
      </x:c>
      <x:c r="Q15" s="112">
        <x:v>3</x:v>
      </x:c>
      <x:c r="R15" s="116">
        <x:f t="shared" si="0"/>
        <x:v>14.12</x:v>
      </x:c>
      <x:c r="S15" s="104" t="s">
        <x:v>42</x:v>
      </x:c>
      <x:c r="T15" s="112" t="s">
        <x:v>43</x:v>
      </x:c>
      <x:c r="U15" s="112" t="s">
        <x:v>43</x:v>
      </x:c>
      <x:c r="V15" s="104" t="s">
        <x:v>43</x:v>
      </x:c>
      <x:c r="W15" s="165" t="n">
        <x:v>0.0012152777777777778</x:v>
      </x:c>
      <x:c r="X15" s="165" t="n">
        <x:v>0.001099537037037037</x:v>
      </x:c>
      <x:c r="Y15" s="165" t="n">
        <x:v>0.0010416666666666667</x:v>
      </x:c>
      <x:c r="Z15" s="112"/>
      <x:c r="AA15" s="112"/>
      <x:c r="AB15" s="112"/>
      <x:c r="AC15" s="112"/>
      <x:c r="AD15" s="86"/>
    </x:row>
    <x:row r="16" ht="65.0999984741211" customHeight="1">
      <x:c r="A16" s="87" t="s">
        <x:v>32</x:v>
      </x:c>
      <x:c r="B16" s="104">
        <x:v>12</x:v>
      </x:c>
      <x:c r="C16" s="104">
        <x:v>2</x:v>
      </x:c>
      <x:c r="D16" s="104">
        <x:v>6</x:v>
      </x:c>
      <x:c r="E16" s="87" t="s">
        <x:v>102</x:v>
      </x:c>
      <x:c r="F16" s="87" t="s">
        <x:v>85</x:v>
      </x:c>
      <x:c r="G16" s="87" t="s">
        <x:v>103</x:v>
      </x:c>
      <x:c r="H16" s="87" t="s">
        <x:v>87</x:v>
      </x:c>
      <x:c r="I16" s="104">
        <x:v>5</x:v>
      </x:c>
      <x:c r="J16" s="87" t="s">
        <x:v>104</x:v>
      </x:c>
      <x:c r="K16" s="108" t="s">
        <x:v>38</x:v>
      </x:c>
      <x:c r="L16" s="108" t="s">
        <x:v>105</x:v>
      </x:c>
      <x:c r="M16" s="87" t="s">
        <x:v>89</x:v>
      </x:c>
      <x:c r="N16" s="110" t="n">
        <x:f t="shared" si="2">N15+(IFERROR(VALUE(LEFT(L16,FIND("분",L16)-1))*60,0)+IFERROR(VALUE(TRIM(MID(L16,IFERROR(FIND("분",L16),0)+1,IFERROR(FIND("초",L16),LEN(L16)+1)-IFERROR(FIND("분",L16),0)-1))),0))/86400</x:f>
        <x:v>0.008506944444444444</x:v>
      </x:c>
      <x:c r="O16" s="87" t="s">
        <x:v>101</x:v>
      </x:c>
      <x:c r="P16" s="112">
        <x:f t="shared" si="1"/>
        <x:v>35</x:v>
      </x:c>
      <x:c r="Q16" s="112">
        <x:v>4</x:v>
      </x:c>
      <x:c r="R16" s="116">
        <x:f t="shared" si="0"/>
        <x:v>17.32</x:v>
      </x:c>
      <x:c r="S16" s="104" t="s">
        <x:v>42</x:v>
      </x:c>
      <x:c r="T16" s="112" t="s">
        <x:v>43</x:v>
      </x:c>
      <x:c r="U16" s="112" t="s">
        <x:v>43</x:v>
      </x:c>
      <x:c r="V16" s="104" t="s">
        <x:v>43</x:v>
      </x:c>
      <x:c r="W16" s="165" t="n">
        <x:v>0.0015046296296296296</x:v>
      </x:c>
      <x:c r="X16" s="165" t="n">
        <x:v>0.001388888888888889</x:v>
      </x:c>
      <x:c r="Y16" s="165" t="n">
        <x:v>0.0012731481481481483</x:v>
      </x:c>
      <x:c r="Z16" s="112"/>
      <x:c r="AA16" s="112"/>
      <x:c r="AB16" s="112"/>
      <x:c r="AC16" s="112"/>
      <x:c r="AD16" s="86"/>
    </x:row>
    <x:row r="17" ht="65.0999984741211" customHeight="1">
      <x:c r="A17" s="87" t="s">
        <x:v>32</x:v>
      </x:c>
      <x:c r="B17" s="104">
        <x:v>13</x:v>
      </x:c>
      <x:c r="C17" s="104">
        <x:v>1</x:v>
      </x:c>
      <x:c r="D17" s="104">
        <x:v>5</x:v>
      </x:c>
      <x:c r="E17" s="87" t="s">
        <x:v>106</x:v>
      </x:c>
      <x:c r="F17" s="87" t="s">
        <x:v>107</x:v>
      </x:c>
      <x:c r="G17" s="87" t="s">
        <x:v>108</x:v>
      </x:c>
      <x:c r="H17" s="87" t="s">
        <x:v>109</x:v>
      </x:c>
      <x:c r="I17" s="104">
        <x:v>3</x:v>
      </x:c>
      <x:c r="J17" s="87" t="s">
        <x:v>110</x:v>
      </x:c>
      <x:c r="K17" s="108" t="s">
        <x:v>111</x:v>
      </x:c>
      <x:c r="L17" s="108" t="s">
        <x:v>112</x:v>
      </x:c>
      <x:c r="M17" s="87" t="s">
        <x:v>113</x:v>
      </x:c>
      <x:c r="N17" s="110" t="n">
        <x:f t="shared" si="2">N16+(IFERROR(VALUE(LEFT(L17,FIND("분",L17)-1))*60,0)+IFERROR(VALUE(TRIM(MID(L17,IFERROR(FIND("분",L17),0)+1,IFERROR(FIND("초",L17),LEN(L17)+1)-IFERROR(FIND("분",L17),0)-1))),0))/86400</x:f>
        <x:v>0.009085648148148148</x:v>
      </x:c>
      <x:c r="O17" s="87" t="s">
        <x:v>101</x:v>
      </x:c>
      <x:c r="P17" s="112">
        <x:f t="shared" si="1"/>
        <x:v>37</x:v>
      </x:c>
      <x:c r="Q17" s="112">
        <x:v>2</x:v>
      </x:c>
      <x:c r="R17" s="116">
        <x:f t="shared" si="0"/>
        <x:v>19.03</x:v>
      </x:c>
      <x:c r="S17" s="104" t="s">
        <x:v>42</x:v>
      </x:c>
      <x:c r="T17" s="112" t="s">
        <x:v>43</x:v>
      </x:c>
      <x:c r="U17" s="112" t="s">
        <x:v>43</x:v>
      </x:c>
      <x:c r="V17" s="104" t="s">
        <x:v>43</x:v>
      </x:c>
      <x:c r="W17" s="165" t="n">
        <x:v>0.0006944444444444445</x:v>
      </x:c>
      <x:c r="X17" s="165" t="n">
        <x:v>0.0006365740740740741</x:v>
      </x:c>
      <x:c r="Y17" s="165" t="n">
        <x:v>0.0005787037037037037</x:v>
      </x:c>
      <x:c r="Z17" s="112"/>
      <x:c r="AA17" s="112"/>
      <x:c r="AB17" s="112"/>
      <x:c r="AC17" s="112"/>
      <x:c r="AD17" s="86"/>
    </x:row>
    <x:row r="18" ht="65.0999984741211" customHeight="1">
      <x:c r="A18" s="87" t="s">
        <x:v>32</x:v>
      </x:c>
      <x:c r="B18" s="104">
        <x:v>14</x:v>
      </x:c>
      <x:c r="C18" s="104">
        <x:v>2</x:v>
      </x:c>
      <x:c r="D18" s="104">
        <x:v>5</x:v>
      </x:c>
      <x:c r="E18" s="87" t="s">
        <x:v>114</x:v>
      </x:c>
      <x:c r="F18" s="87" t="s">
        <x:v>66</x:v>
      </x:c>
      <x:c r="G18" s="87" t="s">
        <x:v>115</x:v>
      </x:c>
      <x:c r="H18" s="87" t="s">
        <x:v>80</x:v>
      </x:c>
      <x:c r="I18" s="104">
        <x:v>1</x:v>
      </x:c>
      <x:c r="J18" s="87" t="s">
        <x:v>116</x:v>
      </x:c>
      <x:c r="K18" s="108" t="s">
        <x:v>38</x:v>
      </x:c>
      <x:c r="L18" s="108" t="s">
        <x:v>117</x:v>
      </x:c>
      <x:c r="M18" s="87" t="s">
        <x:v>71</x:v>
      </x:c>
      <x:c r="N18" s="110" t="n">
        <x:f t="shared" si="2">N17+(IFERROR(VALUE(LEFT(L18,FIND("분",L18)-1))*60,0)+IFERROR(VALUE(TRIM(MID(L18,IFERROR(FIND("분",L18),0)+1,IFERROR(FIND("초",L18),LEN(L18)+1)-IFERROR(FIND("분",L18),0)-1))),0))/86400</x:f>
        <x:v>0.010474537037037037</x:v>
      </x:c>
      <x:c r="O18" s="87" t="s">
        <x:v>118</x:v>
      </x:c>
      <x:c r="P18" s="112">
        <x:f t="shared" si="1"/>
        <x:v>40</x:v>
      </x:c>
      <x:c r="Q18" s="112">
        <x:v>3</x:v>
      </x:c>
      <x:c r="R18" s="116">
        <x:f t="shared" si="0"/>
        <x:v>21.76</x:v>
      </x:c>
      <x:c r="S18" s="104" t="s">
        <x:v>42</x:v>
      </x:c>
      <x:c r="T18" s="112" t="s">
        <x:v>43</x:v>
      </x:c>
      <x:c r="U18" s="112" t="s">
        <x:v>43</x:v>
      </x:c>
      <x:c r="V18" s="104" t="s">
        <x:v>43</x:v>
      </x:c>
      <x:c r="W18" s="165" t="n">
        <x:v>0.0016203703703703703</x:v>
      </x:c>
      <x:c r="X18" s="165" t="n">
        <x:v>0.0015046296296296296</x:v>
      </x:c>
      <x:c r="Y18" s="165" t="n">
        <x:v>0.001388888888888889</x:v>
      </x:c>
      <x:c r="Z18" s="112"/>
      <x:c r="AA18" s="112"/>
      <x:c r="AB18" s="112"/>
      <x:c r="AC18" s="112"/>
      <x:c r="AD18" s="86"/>
    </x:row>
    <x:row r="19" ht="65.0999984741211" customHeight="1">
      <x:c r="A19" s="87" t="s">
        <x:v>32</x:v>
      </x:c>
      <x:c r="B19" s="104">
        <x:v>15</x:v>
      </x:c>
      <x:c r="C19" s="104">
        <x:v>2</x:v>
      </x:c>
      <x:c r="D19" s="104">
        <x:v>5</x:v>
      </x:c>
      <x:c r="E19" s="87" t="s">
        <x:v>119</x:v>
      </x:c>
      <x:c r="F19" s="87" t="s">
        <x:v>107</x:v>
      </x:c>
      <x:c r="G19" s="87" t="s">
        <x:v>108</x:v>
      </x:c>
      <x:c r="H19" s="87" t="s">
        <x:v>109</x:v>
      </x:c>
      <x:c r="I19" s="104">
        <x:v>3</x:v>
      </x:c>
      <x:c r="J19" s="87" t="s">
        <x:v>120</x:v>
      </x:c>
      <x:c r="K19" s="108" t="s">
        <x:v>111</x:v>
      </x:c>
      <x:c r="L19" s="108" t="s">
        <x:v>121</x:v>
      </x:c>
      <x:c r="M19" s="87" t="s">
        <x:v>113</x:v>
      </x:c>
      <x:c r="N19" s="110" t="n">
        <x:f t="shared" si="2">N18+(IFERROR(VALUE(LEFT(L19,FIND("분",L19)-1))*60,0)+IFERROR(VALUE(TRIM(MID(L19,IFERROR(FIND("분",L19),0)+1,IFERROR(FIND("초",L19),LEN(L19)+1)-IFERROR(FIND("분",L19),0)-1))),0))/86400</x:f>
        <x:v>0.011400462962962963</x:v>
      </x:c>
      <x:c r="O19" s="87" t="s">
        <x:v>118</x:v>
      </x:c>
      <x:c r="P19" s="112">
        <x:f t="shared" si="1"/>
        <x:v>43</x:v>
      </x:c>
      <x:c r="Q19" s="112">
        <x:v>3</x:v>
      </x:c>
      <x:c r="R19" s="116">
        <x:f t="shared" si="0"/>
        <x:v>24.66</x:v>
      </x:c>
      <x:c r="S19" s="104" t="s">
        <x:v>42</x:v>
      </x:c>
      <x:c r="T19" s="112" t="s">
        <x:v>43</x:v>
      </x:c>
      <x:c r="U19" s="112" t="s">
        <x:v>43</x:v>
      </x:c>
      <x:c r="V19" s="104" t="s">
        <x:v>43</x:v>
      </x:c>
      <x:c r="W19" s="165" t="n">
        <x:v>0.001099537037037037</x:v>
      </x:c>
      <x:c r="X19" s="165" t="n">
        <x:v>0.0009837962962962962</x:v>
      </x:c>
      <x:c r="Y19" s="165" t="n">
        <x:v>0.000925925925925926</x:v>
      </x:c>
      <x:c r="Z19" s="112"/>
      <x:c r="AA19" s="112"/>
      <x:c r="AB19" s="112"/>
      <x:c r="AC19" s="112"/>
      <x:c r="AD19" s="86"/>
    </x:row>
    <x:row r="20" ht="65.0999984741211" customHeight="1">
      <x:c r="A20" s="87" t="s">
        <x:v>32</x:v>
      </x:c>
      <x:c r="B20" s="104">
        <x:v>16</x:v>
      </x:c>
      <x:c r="C20" s="104">
        <x:v>1</x:v>
      </x:c>
      <x:c r="D20" s="104">
        <x:v>7</x:v>
      </x:c>
      <x:c r="E20" s="87" t="s">
        <x:v>122</x:v>
      </x:c>
      <x:c r="F20" s="87" t="s">
        <x:v>123</x:v>
      </x:c>
      <x:c r="G20" s="87" t="s">
        <x:v>124</x:v>
      </x:c>
      <x:c r="H20" s="87" t="s">
        <x:v>125</x:v>
      </x:c>
      <x:c r="I20" s="104">
        <x:v>1</x:v>
      </x:c>
      <x:c r="J20" s="87" t="s">
        <x:v>126</x:v>
      </x:c>
      <x:c r="K20" s="108" t="s">
        <x:v>127</x:v>
      </x:c>
      <x:c r="L20" s="108" t="s">
        <x:v>128</x:v>
      </x:c>
      <x:c r="M20" s="87" t="s">
        <x:v>129</x:v>
      </x:c>
      <x:c r="N20" s="110" t="n">
        <x:f t="shared" si="2">N19+(IFERROR(VALUE(LEFT(L20,FIND("분",L20)-1))*60,0)+IFERROR(VALUE(TRIM(MID(L20,IFERROR(FIND("분",L20),0)+1,IFERROR(FIND("초",L20),LEN(L20)+1)-IFERROR(FIND("분",L20),0)-1))),0))/86400</x:f>
        <x:v>0.011689814814814814</x:v>
      </x:c>
      <x:c r="O20" s="87" t="s">
        <x:v>118</x:v>
      </x:c>
      <x:c r="P20" s="112">
        <x:f t="shared" si="1"/>
        <x:v>46</x:v>
      </x:c>
      <x:c r="Q20" s="112">
        <x:v>3</x:v>
      </x:c>
      <x:c r="R20" s="116">
        <x:f t="shared" si="0"/>
        <x:v>27.74</x:v>
      </x:c>
      <x:c r="S20" s="104" t="s">
        <x:v>42</x:v>
      </x:c>
      <x:c r="T20" s="112" t="s">
        <x:v>43</x:v>
      </x:c>
      <x:c r="U20" s="112" t="s">
        <x:v>43</x:v>
      </x:c>
      <x:c r="V20" s="104" t="s">
        <x:v>43</x:v>
      </x:c>
      <x:c r="W20" s="165" t="n">
        <x:v>0.00034722222222222224</x:v>
      </x:c>
      <x:c r="X20" s="165" t="n">
        <x:v>0.00034722222222222224</x:v>
      </x:c>
      <x:c r="Y20" s="165" t="n">
        <x:v>0.00028935185185185184</x:v>
      </x:c>
      <x:c r="Z20" s="112"/>
      <x:c r="AA20" s="112"/>
      <x:c r="AB20" s="112"/>
      <x:c r="AC20" s="112"/>
      <x:c r="AD20" s="86"/>
    </x:row>
    <x:row r="21" ht="65.0999984741211" customHeight="1">
      <x:c r="A21" s="87" t="s">
        <x:v>32</x:v>
      </x:c>
      <x:c r="B21" s="104">
        <x:v>17</x:v>
      </x:c>
      <x:c r="C21" s="104">
        <x:v>3</x:v>
      </x:c>
      <x:c r="D21" s="104">
        <x:v>7</x:v>
      </x:c>
      <x:c r="E21" s="87" t="s">
        <x:v>130</x:v>
      </x:c>
      <x:c r="F21" s="87" t="s">
        <x:v>131</x:v>
      </x:c>
      <x:c r="G21" s="87" t="s">
        <x:v>132</x:v>
      </x:c>
      <x:c r="H21" s="87" t="s">
        <x:v>133</x:v>
      </x:c>
      <x:c r="I21" s="104">
        <x:v>3</x:v>
      </x:c>
      <x:c r="J21" s="87" t="s">
        <x:v>134</x:v>
      </x:c>
      <x:c r="K21" s="108" t="s">
        <x:v>135</x:v>
      </x:c>
      <x:c r="L21" s="108" t="s">
        <x:v>136</x:v>
      </x:c>
      <x:c r="M21" s="87" t="s">
        <x:v>137</x:v>
      </x:c>
      <x:c r="N21" s="110" t="n">
        <x:f t="shared" si="2">N20+(IFERROR(VALUE(LEFT(L21,FIND("분",L21)-1))*60,0)+IFERROR(VALUE(TRIM(MID(L21,IFERROR(FIND("분",L21),0)+1,IFERROR(FIND("초",L21),LEN(L21)+1)-IFERROR(FIND("분",L21),0)-1))),0))/86400</x:f>
        <x:v>0.012499999999999999</x:v>
      </x:c>
      <x:c r="O21" s="87" t="s">
        <x:v>138</x:v>
      </x:c>
      <x:c r="P21" s="112">
        <x:f t="shared" si="1"/>
        <x:v>51</x:v>
      </x:c>
      <x:c r="Q21" s="112">
        <x:v>5</x:v>
      </x:c>
      <x:c r="R21" s="116">
        <x:f t="shared" si="0"/>
        <x:v>33.270000000000003</x:v>
      </x:c>
      <x:c r="S21" s="104" t="s">
        <x:v>42</x:v>
      </x:c>
      <x:c r="T21" s="112" t="s">
        <x:v>43</x:v>
      </x:c>
      <x:c r="U21" s="112" t="s">
        <x:v>43</x:v>
      </x:c>
      <x:c r="V21" s="104" t="s">
        <x:v>43</x:v>
      </x:c>
      <x:c r="W21" s="165" t="n">
        <x:v>0.001099537037037037</x:v>
      </x:c>
      <x:c r="X21" s="165" t="n">
        <x:v>0.0009837962962962962</x:v>
      </x:c>
      <x:c r="Y21" s="165" t="n">
        <x:v>0.0008101851851851852</x:v>
      </x:c>
      <x:c r="Z21" s="112"/>
      <x:c r="AA21" s="112"/>
      <x:c r="AB21" s="112"/>
      <x:c r="AC21" s="112"/>
      <x:c r="AD21" s="86"/>
    </x:row>
    <x:row r="22" ht="65.0999984741211" customHeight="1">
      <x:c r="A22" s="87" t="s">
        <x:v>32</x:v>
      </x:c>
      <x:c r="B22" s="104">
        <x:v>18</x:v>
      </x:c>
      <x:c r="C22" s="104">
        <x:v>5</x:v>
      </x:c>
      <x:c r="D22" s="104">
        <x:v>8</x:v>
      </x:c>
      <x:c r="E22" s="87" t="s">
        <x:v>139</x:v>
      </x:c>
      <x:c r="F22" s="87" t="s">
        <x:v>140</x:v>
      </x:c>
      <x:c r="G22" s="87" t="s">
        <x:v>141</x:v>
      </x:c>
      <x:c r="H22" s="87" t="s">
        <x:v>142</x:v>
      </x:c>
      <x:c r="I22" s="104">
        <x:v>1</x:v>
      </x:c>
      <x:c r="J22" s="87" t="s">
        <x:v>143</x:v>
      </x:c>
      <x:c r="K22" s="108" t="s">
        <x:v>144</x:v>
      </x:c>
      <x:c r="L22" s="108" t="s">
        <x:v>117</x:v>
      </x:c>
      <x:c r="M22" s="87" t="s">
        <x:v>145</x:v>
      </x:c>
      <x:c r="N22" s="110" t="n">
        <x:f t="shared" si="2">N21+(IFERROR(VALUE(LEFT(L22,FIND("분",L22)-1))*60,0)+IFERROR(VALUE(TRIM(MID(L22,IFERROR(FIND("분",L22),0)+1,IFERROR(FIND("초",L22),LEN(L22)+1)-IFERROR(FIND("분",L22),0)-1))),0))/86400</x:f>
        <x:v>0.013888888888888888</x:v>
      </x:c>
      <x:c r="O22" s="87" t="s">
        <x:v>138</x:v>
      </x:c>
      <x:c r="P22" s="112">
        <x:f t="shared" si="1"/>
        <x:v>58</x:v>
      </x:c>
      <x:c r="Q22" s="112">
        <x:v>7</x:v>
      </x:c>
      <x:c r="R22" s="116">
        <x:f t="shared" si="0"/>
        <x:v>41.84</x:v>
      </x:c>
      <x:c r="S22" s="104" t="s">
        <x:v>42</x:v>
      </x:c>
      <x:c r="T22" s="112" t="s">
        <x:v>43</x:v>
      </x:c>
      <x:c r="U22" s="112" t="s">
        <x:v>43</x:v>
      </x:c>
      <x:c r="V22" s="104" t="s">
        <x:v>43</x:v>
      </x:c>
      <x:c r="W22" s="165" t="n">
        <x:v>0.0022569444444444442</x:v>
      </x:c>
      <x:c r="X22" s="165" t="n">
        <x:v>0.001851851851851852</x:v>
      </x:c>
      <x:c r="Y22" s="165" t="n">
        <x:v>0.001388888888888889</x:v>
      </x:c>
      <x:c r="Z22" s="112"/>
      <x:c r="AA22" s="112"/>
      <x:c r="AB22" s="112"/>
      <x:c r="AC22" s="112"/>
      <x:c r="AD22" s="86"/>
    </x:row>
    <x:row r="23" ht="65.0999984741211" customHeight="1">
      <x:c r="A23" s="87" t="s">
        <x:v>32</x:v>
      </x:c>
      <x:c r="B23" s="104">
        <x:v>19</x:v>
      </x:c>
      <x:c r="C23" s="104">
        <x:v>5</x:v>
      </x:c>
      <x:c r="D23" s="104">
        <x:v>8</x:v>
      </x:c>
      <x:c r="E23" s="87" t="s">
        <x:v>146</x:v>
      </x:c>
      <x:c r="F23" s="87" t="s">
        <x:v>147</x:v>
      </x:c>
      <x:c r="G23" s="87" t="s">
        <x:v>148</x:v>
      </x:c>
      <x:c r="H23" s="87" t="s">
        <x:v>149</x:v>
      </x:c>
      <x:c r="I23" s="104">
        <x:v>6</x:v>
      </x:c>
      <x:c r="J23" s="87" t="s">
        <x:v>150</x:v>
      </x:c>
      <x:c r="K23" s="108" t="s">
        <x:v>151</x:v>
      </x:c>
      <x:c r="L23" s="108" t="s">
        <x:v>121</x:v>
      </x:c>
      <x:c r="M23" s="87" t="s">
        <x:v>152</x:v>
      </x:c>
      <x:c r="N23" s="110" t="n">
        <x:f t="shared" si="2">N22+(IFERROR(VALUE(LEFT(L23,FIND("분",L23)-1))*60,0)+IFERROR(VALUE(TRIM(MID(L23,IFERROR(FIND("분",L23),0)+1,IFERROR(FIND("초",L23),LEN(L23)+1)-IFERROR(FIND("분",L23),0)-1))),0))/86400</x:f>
        <x:v>0.014814814814814814</x:v>
      </x:c>
      <x:c r="O23" s="87" t="s">
        <x:v>138</x:v>
      </x:c>
      <x:c r="P23" s="112">
        <x:f t="shared" si="1"/>
        <x:v>65</x:v>
      </x:c>
      <x:c r="Q23" s="112">
        <x:v>7</x:v>
      </x:c>
      <x:c r="R23" s="116">
        <x:f t="shared" si="0"/>
        <x:v>51.37</x:v>
      </x:c>
      <x:c r="S23" s="104" t="s">
        <x:v>42</x:v>
      </x:c>
      <x:c r="T23" s="112" t="s">
        <x:v>43</x:v>
      </x:c>
      <x:c r="U23" s="112" t="s">
        <x:v>43</x:v>
      </x:c>
      <x:c r="V23" s="104" t="s">
        <x:v>43</x:v>
      </x:c>
      <x:c r="W23" s="165" t="n">
        <x:v>0.0015046296296296296</x:v>
      </x:c>
      <x:c r="X23" s="165" t="n">
        <x:v>0.0012152777777777778</x:v>
      </x:c>
      <x:c r="Y23" s="165" t="n">
        <x:v>0.000925925925925926</x:v>
      </x:c>
      <x:c r="Z23" s="112"/>
      <x:c r="AA23" s="112"/>
      <x:c r="AB23" s="112"/>
      <x:c r="AC23" s="112"/>
      <x:c r="AD23" s="86"/>
    </x:row>
    <x:row r="24" ht="65.0999984741211" customHeight="1">
      <x:c r="A24" s="87" t="s">
        <x:v>32</x:v>
      </x:c>
      <x:c r="B24" s="104">
        <x:v>20</x:v>
      </x:c>
      <x:c r="C24" s="104">
        <x:v>4</x:v>
      </x:c>
      <x:c r="D24" s="104">
        <x:v>7</x:v>
      </x:c>
      <x:c r="E24" s="87" t="s">
        <x:v>153</x:v>
      </x:c>
      <x:c r="F24" s="87" t="s">
        <x:v>154</x:v>
      </x:c>
      <x:c r="G24" s="87" t="s">
        <x:v>155</x:v>
      </x:c>
      <x:c r="H24" s="87" t="s">
        <x:v>156</x:v>
      </x:c>
      <x:c r="I24" s="104">
        <x:v>4</x:v>
      </x:c>
      <x:c r="J24" s="87" t="s">
        <x:v>157</x:v>
      </x:c>
      <x:c r="K24" s="108" t="s">
        <x:v>158</x:v>
      </x:c>
      <x:c r="L24" s="108" t="s">
        <x:v>159</x:v>
      </x:c>
      <x:c r="M24" s="87" t="s">
        <x:v>160</x:v>
      </x:c>
      <x:c r="N24" s="110" t="n">
        <x:f t="shared" si="2">N23+(IFERROR(VALUE(LEFT(L24,FIND("분",L24)-1))*60,0)+IFERROR(VALUE(TRIM(MID(L24,IFERROR(FIND("분",L24),0)+1,IFERROR(FIND("초",L24),LEN(L24)+1)-IFERROR(FIND("분",L24),0)-1))),0))/86400</x:f>
        <x:v>0.01597222222222222</x:v>
      </x:c>
      <x:c r="O24" s="87" t="s">
        <x:v>138</x:v>
      </x:c>
      <x:c r="P24" s="112">
        <x:f t="shared" si="1"/>
        <x:v>71</x:v>
      </x:c>
      <x:c r="Q24" s="112">
        <x:v>6</x:v>
      </x:c>
      <x:c r="R24" s="116">
        <x:f t="shared" si="0"/>
        <x:v>60.3</x:v>
      </x:c>
      <x:c r="S24" s="104" t="s">
        <x:v>42</x:v>
      </x:c>
      <x:c r="T24" s="112" t="s">
        <x:v>43</x:v>
      </x:c>
      <x:c r="U24" s="112" t="s">
        <x:v>43</x:v>
      </x:c>
      <x:c r="V24" s="104" t="s">
        <x:v>43</x:v>
      </x:c>
      <x:c r="W24" s="165" t="n">
        <x:v>0.0015625</x:v>
      </x:c>
      <x:c r="X24" s="165" t="n">
        <x:v>0.0013310185185185185</x:v>
      </x:c>
      <x:c r="Y24" s="165" t="n">
        <x:v>0.0011574074074074073</x:v>
      </x:c>
      <x:c r="Z24" s="112"/>
      <x:c r="AA24" s="112"/>
      <x:c r="AB24" s="112"/>
      <x:c r="AC24" s="112"/>
      <x:c r="AD24" s="86"/>
    </x:row>
    <x:row r="25" ht="65.0999984741211" customHeight="1">
      <x:c r="A25" s="87" t="s">
        <x:v>32</x:v>
      </x:c>
      <x:c r="B25" s="104">
        <x:v>21</x:v>
      </x:c>
      <x:c r="C25" s="104">
        <x:v>2</x:v>
      </x:c>
      <x:c r="D25" s="104">
        <x:v>5</x:v>
      </x:c>
      <x:c r="E25" s="87" t="s">
        <x:v>161</x:v>
      </x:c>
      <x:c r="F25" s="87" t="s">
        <x:v>107</x:v>
      </x:c>
      <x:c r="G25" s="87" t="s">
        <x:v>108</x:v>
      </x:c>
      <x:c r="H25" s="87" t="s">
        <x:v>162</x:v>
      </x:c>
      <x:c r="I25" s="104">
        <x:v>3</x:v>
      </x:c>
      <x:c r="J25" s="87" t="s">
        <x:v>163</x:v>
      </x:c>
      <x:c r="K25" s="108" t="s">
        <x:v>111</x:v>
      </x:c>
      <x:c r="L25" s="108" t="s">
        <x:v>164</x:v>
      </x:c>
      <x:c r="M25" s="87" t="s">
        <x:v>113</x:v>
      </x:c>
      <x:c r="N25" s="110" t="n">
        <x:f t="shared" si="2">N24+(IFERROR(VALUE(LEFT(L25,FIND("분",L25)-1))*60,0)+IFERROR(VALUE(TRIM(MID(L25,IFERROR(FIND("분",L25),0)+1,IFERROR(FIND("초",L25),LEN(L25)+1)-IFERROR(FIND("분",L25),0)-1))),0))/86400</x:f>
        <x:v>0.016608796296296295</x:v>
      </x:c>
      <x:c r="O25" s="87" t="s">
        <x:v>138</x:v>
      </x:c>
      <x:c r="P25" s="112">
        <x:f t="shared" si="1"/>
        <x:v>74</x:v>
      </x:c>
      <x:c r="Q25" s="112">
        <x:v>3</x:v>
      </x:c>
      <x:c r="R25" s="116">
        <x:f t="shared" si="0"/>
        <x:v>65.040000000000006</x:v>
      </x:c>
      <x:c r="S25" s="104" t="s">
        <x:v>42</x:v>
      </x:c>
      <x:c r="T25" s="112" t="s">
        <x:v>43</x:v>
      </x:c>
      <x:c r="U25" s="112" t="s">
        <x:v>43</x:v>
      </x:c>
      <x:c r="V25" s="104" t="s">
        <x:v>43</x:v>
      </x:c>
      <x:c r="W25" s="165" t="n">
        <x:v>0.0007523148148148148</x:v>
      </x:c>
      <x:c r="X25" s="165" t="n">
        <x:v>0.0006944444444444445</x:v>
      </x:c>
      <x:c r="Y25" s="165" t="n">
        <x:v>0.0006365740740740741</x:v>
      </x:c>
      <x:c r="Z25" s="112"/>
      <x:c r="AA25" s="112"/>
      <x:c r="AB25" s="112"/>
      <x:c r="AC25" s="112"/>
      <x:c r="AD25" s="86"/>
    </x:row>
    <x:row r="26" ht="65.0999984741211" customHeight="1">
      <x:c r="A26" s="87" t="s">
        <x:v>32</x:v>
      </x:c>
      <x:c r="B26" s="104">
        <x:v>22</x:v>
      </x:c>
      <x:c r="C26" s="104">
        <x:v>1</x:v>
      </x:c>
      <x:c r="D26" s="104">
        <x:v>5</x:v>
      </x:c>
      <x:c r="E26" s="87" t="s">
        <x:v>165</x:v>
      </x:c>
      <x:c r="F26" s="87" t="s">
        <x:v>52</x:v>
      </x:c>
      <x:c r="G26" s="87" t="s">
        <x:v>53</x:v>
      </x:c>
      <x:c r="H26" s="87" t="s">
        <x:v>96</x:v>
      </x:c>
      <x:c r="I26" s="104">
        <x:v>1</x:v>
      </x:c>
      <x:c r="J26" s="87" t="s">
        <x:v>166</x:v>
      </x:c>
      <x:c r="K26" s="108" t="s">
        <x:v>38</x:v>
      </x:c>
      <x:c r="L26" s="108" t="s">
        <x:v>136</x:v>
      </x:c>
      <x:c r="M26" s="87" t="s">
        <x:v>57</x:v>
      </x:c>
      <x:c r="N26" s="110" t="n">
        <x:f t="shared" si="2">N25+(IFERROR(VALUE(LEFT(L26,FIND("분",L26)-1))*60,0)+IFERROR(VALUE(TRIM(MID(L26,IFERROR(FIND("분",L26),0)+1,IFERROR(FIND("초",L26),LEN(L26)+1)-IFERROR(FIND("분",L26),0)-1))),0))/86400</x:f>
        <x:v>0.01741898148148148</x:v>
      </x:c>
      <x:c r="O26" s="87" t="s">
        <x:v>138</x:v>
      </x:c>
      <x:c r="P26" s="112">
        <x:f t="shared" si="1"/>
        <x:v>76</x:v>
      </x:c>
      <x:c r="Q26" s="112">
        <x:v>2</x:v>
      </x:c>
      <x:c r="R26" s="116">
        <x:f t="shared" si="0"/>
        <x:v>68.290000000000006</x:v>
      </x:c>
      <x:c r="S26" s="104" t="s">
        <x:v>42</x:v>
      </x:c>
      <x:c r="T26" s="112" t="s">
        <x:v>43</x:v>
      </x:c>
      <x:c r="U26" s="112" t="s">
        <x:v>43</x:v>
      </x:c>
      <x:c r="V26" s="104" t="s">
        <x:v>43</x:v>
      </x:c>
      <x:c r="W26" s="165" t="n">
        <x:v>0.0009837962962962962</x:v>
      </x:c>
      <x:c r="X26" s="165" t="n">
        <x:v>0.0008680555555555555</x:v>
      </x:c>
      <x:c r="Y26" s="165" t="n">
        <x:v>0.0008101851851851852</x:v>
      </x:c>
      <x:c r="Z26" s="112"/>
      <x:c r="AA26" s="112"/>
      <x:c r="AB26" s="112"/>
      <x:c r="AC26" s="112"/>
      <x:c r="AD26" s="86"/>
    </x:row>
    <x:row r="27" ht="65.0999984741211" customHeight="1">
      <x:c r="A27" s="87" t="s">
        <x:v>32</x:v>
      </x:c>
      <x:c r="B27" s="104">
        <x:v>23</x:v>
      </x:c>
      <x:c r="C27" s="104">
        <x:v>2</x:v>
      </x:c>
      <x:c r="D27" s="104">
        <x:v>5</x:v>
      </x:c>
      <x:c r="E27" s="87" t="s">
        <x:v>167</x:v>
      </x:c>
      <x:c r="F27" s="87" t="s">
        <x:v>66</x:v>
      </x:c>
      <x:c r="G27" s="87" t="s">
        <x:v>168</x:v>
      </x:c>
      <x:c r="H27" s="87" t="s">
        <x:v>80</x:v>
      </x:c>
      <x:c r="I27" s="104">
        <x:v>1</x:v>
      </x:c>
      <x:c r="J27" s="87" t="s">
        <x:v>169</x:v>
      </x:c>
      <x:c r="K27" s="108" t="s">
        <x:v>38</x:v>
      </x:c>
      <x:c r="L27" s="108" t="s">
        <x:v>170</x:v>
      </x:c>
      <x:c r="M27" s="87" t="s">
        <x:v>71</x:v>
      </x:c>
      <x:c r="N27" s="110" t="n">
        <x:f t="shared" si="2">N26+(IFERROR(VALUE(LEFT(L27,FIND("분",L27)-1))*60,0)+IFERROR(VALUE(TRIM(MID(L27,IFERROR(FIND("분",L27),0)+1,IFERROR(FIND("초",L27),LEN(L27)+1)-IFERROR(FIND("분",L27),0)-1))),0))/86400</x:f>
        <x:v>0.01915509259259259</x:v>
      </x:c>
      <x:c r="O27" s="87" t="s">
        <x:v>171</x:v>
      </x:c>
      <x:c r="P27" s="112">
        <x:f t="shared" si="1"/>
        <x:v>79</x:v>
      </x:c>
      <x:c r="Q27" s="112">
        <x:v>3</x:v>
      </x:c>
      <x:c r="R27" s="116">
        <x:f t="shared" si="0"/>
        <x:v>73.319999999999993</x:v>
      </x:c>
      <x:c r="S27" s="104" t="s">
        <x:v>42</x:v>
      </x:c>
      <x:c r="T27" s="112" t="s">
        <x:v>43</x:v>
      </x:c>
      <x:c r="U27" s="112" t="s">
        <x:v>43</x:v>
      </x:c>
      <x:c r="V27" s="104" t="s">
        <x:v>43</x:v>
      </x:c>
      <x:c r="W27" s="165" t="n">
        <x:v>0.002025462962962963</x:v>
      </x:c>
      <x:c r="X27" s="165" t="n">
        <x:v>0.001851851851851852</x:v>
      </x:c>
      <x:c r="Y27" s="165" t="n">
        <x:v>0.001736111111111111</x:v>
      </x:c>
      <x:c r="Z27" s="112"/>
      <x:c r="AA27" s="112"/>
      <x:c r="AB27" s="112"/>
      <x:c r="AC27" s="112"/>
      <x:c r="AD27" s="86"/>
    </x:row>
    <x:row r="28" ht="65.0999984741211" customHeight="1">
      <x:c r="A28" s="87" t="s">
        <x:v>32</x:v>
      </x:c>
      <x:c r="B28" s="104">
        <x:v>24</x:v>
      </x:c>
      <x:c r="C28" s="104">
        <x:v>2</x:v>
      </x:c>
      <x:c r="D28" s="104">
        <x:v>7</x:v>
      </x:c>
      <x:c r="E28" s="87" t="s">
        <x:v>172</x:v>
      </x:c>
      <x:c r="F28" s="87" t="s">
        <x:v>173</x:v>
      </x:c>
      <x:c r="G28" s="87" t="s">
        <x:v>174</x:v>
      </x:c>
      <x:c r="H28" s="87" t="s">
        <x:v>175</x:v>
      </x:c>
      <x:c r="I28" s="104">
        <x:v>3</x:v>
      </x:c>
      <x:c r="J28" s="87" t="s">
        <x:v>176</x:v>
      </x:c>
      <x:c r="K28" s="108" t="s">
        <x:v>38</x:v>
      </x:c>
      <x:c r="L28" s="108" t="s">
        <x:v>39</x:v>
      </x:c>
      <x:c r="M28" s="87" t="s">
        <x:v>177</x:v>
      </x:c>
      <x:c r="N28" s="110" t="n">
        <x:f t="shared" si="2">N27+(IFERROR(VALUE(LEFT(L28,FIND("분",L28)-1))*60,0)+IFERROR(VALUE(TRIM(MID(L28,IFERROR(FIND("분",L28),0)+1,IFERROR(FIND("초",L28),LEN(L28)+1)-IFERROR(FIND("분",L28),0)-1))),0))/86400</x:f>
        <x:v>0.020196759259259258</x:v>
      </x:c>
      <x:c r="O28" s="87" t="s">
        <x:v>171</x:v>
      </x:c>
      <x:c r="P28" s="112">
        <x:f t="shared" si="1"/>
        <x:v>83</x:v>
      </x:c>
      <x:c r="Q28" s="112">
        <x:v>4</x:v>
      </x:c>
      <x:c r="R28" s="116">
        <x:f t="shared" si="0"/>
        <x:v>80.31</x:v>
      </x:c>
      <x:c r="S28" s="104" t="s">
        <x:v>42</x:v>
      </x:c>
      <x:c r="T28" s="112" t="s">
        <x:v>43</x:v>
      </x:c>
      <x:c r="U28" s="112" t="s">
        <x:v>43</x:v>
      </x:c>
      <x:c r="V28" s="104" t="s">
        <x:v>43</x:v>
      </x:c>
      <x:c r="W28" s="165" t="n">
        <x:v>0.0012152777777777778</x:v>
      </x:c>
      <x:c r="X28" s="165" t="n">
        <x:v>0.001099537037037037</x:v>
      </x:c>
      <x:c r="Y28" s="165" t="n">
        <x:v>0.0010416666666666667</x:v>
      </x:c>
      <x:c r="Z28" s="112"/>
      <x:c r="AA28" s="112"/>
      <x:c r="AB28" s="112"/>
      <x:c r="AC28" s="112"/>
      <x:c r="AD28" s="86"/>
    </x:row>
    <x:row r="29" ht="65.0999984741211" customHeight="1">
      <x:c r="A29" s="87" t="s">
        <x:v>32</x:v>
      </x:c>
      <x:c r="B29" s="104">
        <x:v>25</x:v>
      </x:c>
      <x:c r="C29" s="104">
        <x:v>3</x:v>
      </x:c>
      <x:c r="D29" s="104">
        <x:v>8</x:v>
      </x:c>
      <x:c r="E29" s="87" t="s">
        <x:v>178</x:v>
      </x:c>
      <x:c r="F29" s="87" t="s">
        <x:v>179</x:v>
      </x:c>
      <x:c r="G29" s="87" t="s">
        <x:v>180</x:v>
      </x:c>
      <x:c r="H29" s="87" t="s">
        <x:v>181</x:v>
      </x:c>
      <x:c r="I29" s="104">
        <x:v>4</x:v>
      </x:c>
      <x:c r="J29" s="87" t="s">
        <x:v>182</x:v>
      </x:c>
      <x:c r="K29" s="108" t="s">
        <x:v>183</x:v>
      </x:c>
      <x:c r="L29" s="108" t="s">
        <x:v>117</x:v>
      </x:c>
      <x:c r="M29" s="87" t="s">
        <x:v>184</x:v>
      </x:c>
      <x:c r="N29" s="110" t="n">
        <x:f t="shared" si="2">N28+(IFERROR(VALUE(LEFT(L29,FIND("분",L29)-1))*60,0)+IFERROR(VALUE(TRIM(MID(L29,IFERROR(FIND("분",L29),0)+1,IFERROR(FIND("초",L29),LEN(L29)+1)-IFERROR(FIND("분",L29),0)-1))),0))/86400</x:f>
        <x:v>0.021585648148148145</x:v>
      </x:c>
      <x:c r="O29" s="87" t="s">
        <x:v>171</x:v>
      </x:c>
      <x:c r="P29" s="112">
        <x:f t="shared" si="1"/>
        <x:v>89</x:v>
      </x:c>
      <x:c r="Q29" s="112">
        <x:v>6</x:v>
      </x:c>
      <x:c r="R29" s="116">
        <x:f t="shared" si="0"/>
        <x:v>91.37</x:v>
      </x:c>
      <x:c r="S29" s="104" t="s">
        <x:v>42</x:v>
      </x:c>
      <x:c r="T29" s="112" t="s">
        <x:v>43</x:v>
      </x:c>
      <x:c r="U29" s="112" t="s">
        <x:v>43</x:v>
      </x:c>
      <x:c r="V29" s="104" t="s">
        <x:v>43</x:v>
      </x:c>
      <x:c r="W29" s="165" t="n">
        <x:v>0.0019097222222222222</x:v>
      </x:c>
      <x:c r="X29" s="165" t="n">
        <x:v>0.0016203703703703703</x:v>
      </x:c>
      <x:c r="Y29" s="165" t="n">
        <x:v>0.001388888888888889</x:v>
      </x:c>
      <x:c r="Z29" s="112"/>
      <x:c r="AA29" s="112"/>
      <x:c r="AB29" s="112"/>
      <x:c r="AC29" s="112"/>
      <x:c r="AD29" s="86"/>
    </x:row>
    <x:row r="30" ht="65.0999984741211" customHeight="1">
      <x:c r="A30" s="87" t="s">
        <x:v>32</x:v>
      </x:c>
      <x:c r="B30" s="104">
        <x:v>26</x:v>
      </x:c>
      <x:c r="C30" s="104">
        <x:v>1</x:v>
      </x:c>
      <x:c r="D30" s="104">
        <x:v>5</x:v>
      </x:c>
      <x:c r="E30" s="87" t="s">
        <x:v>185</x:v>
      </x:c>
      <x:c r="F30" s="87" t="s">
        <x:v>107</x:v>
      </x:c>
      <x:c r="G30" s="87" t="s">
        <x:v>108</x:v>
      </x:c>
      <x:c r="H30" s="87" t="s">
        <x:v>109</x:v>
      </x:c>
      <x:c r="I30" s="104">
        <x:v>3</x:v>
      </x:c>
      <x:c r="J30" s="87" t="s">
        <x:v>186</x:v>
      </x:c>
      <x:c r="K30" s="108" t="s">
        <x:v>111</x:v>
      </x:c>
      <x:c r="L30" s="108" t="s">
        <x:v>187</x:v>
      </x:c>
      <x:c r="M30" s="87" t="s">
        <x:v>113</x:v>
      </x:c>
      <x:c r="N30" s="110" t="n">
        <x:f t="shared" si="2">N29+(IFERROR(VALUE(LEFT(L30,FIND("분",L30)-1))*60,0)+IFERROR(VALUE(TRIM(MID(L30,IFERROR(FIND("분",L30),0)+1,IFERROR(FIND("초",L30),LEN(L30)+1)-IFERROR(FIND("분",L30),0)-1))),0))/86400</x:f>
        <x:v>0.02233796296296296</x:v>
      </x:c>
      <x:c r="O30" s="87" t="s">
        <x:v>171</x:v>
      </x:c>
      <x:c r="P30" s="112">
        <x:f t="shared" si="1"/>
        <x:v>91</x:v>
      </x:c>
      <x:c r="Q30" s="112">
        <x:v>2</x:v>
      </x:c>
      <x:c r="R30" s="116">
        <x:f t="shared" si="0"/>
        <x:v>95.22</x:v>
      </x:c>
      <x:c r="S30" s="104" t="s">
        <x:v>42</x:v>
      </x:c>
      <x:c r="T30" s="112" t="s">
        <x:v>43</x:v>
      </x:c>
      <x:c r="U30" s="112" t="s">
        <x:v>43</x:v>
      </x:c>
      <x:c r="V30" s="104" t="s">
        <x:v>43</x:v>
      </x:c>
      <x:c r="W30" s="165" t="n">
        <x:v>0.0008680555555555555</x:v>
      </x:c>
      <x:c r="X30" s="165" t="n">
        <x:v>0.0008101851851851852</x:v>
      </x:c>
      <x:c r="Y30" s="165" t="n">
        <x:v>0.0007523148148148148</x:v>
      </x:c>
      <x:c r="Z30" s="112"/>
      <x:c r="AA30" s="112"/>
      <x:c r="AB30" s="112"/>
      <x:c r="AC30" s="112"/>
      <x:c r="AD30" s="86"/>
    </x:row>
    <x:row r="31" ht="65.0999984741211" customHeight="1">
      <x:c r="A31" s="87" t="s">
        <x:v>32</x:v>
      </x:c>
      <x:c r="B31" s="104">
        <x:v>27</x:v>
      </x:c>
      <x:c r="C31" s="104">
        <x:v>2</x:v>
      </x:c>
      <x:c r="D31" s="104">
        <x:v>5</x:v>
      </x:c>
      <x:c r="E31" s="87" t="s">
        <x:v>188</x:v>
      </x:c>
      <x:c r="F31" s="87" t="s">
        <x:v>66</x:v>
      </x:c>
      <x:c r="G31" s="87" t="s">
        <x:v>189</x:v>
      </x:c>
      <x:c r="H31" s="87" t="s">
        <x:v>80</x:v>
      </x:c>
      <x:c r="I31" s="104">
        <x:v>1</x:v>
      </x:c>
      <x:c r="J31" s="87" t="s">
        <x:v>190</x:v>
      </x:c>
      <x:c r="K31" s="108" t="s">
        <x:v>38</x:v>
      </x:c>
      <x:c r="L31" s="108" t="s">
        <x:v>105</x:v>
      </x:c>
      <x:c r="M31" s="87" t="s">
        <x:v>71</x:v>
      </x:c>
      <x:c r="N31" s="110" t="n">
        <x:f t="shared" si="2">N30+(IFERROR(VALUE(LEFT(L31,FIND("분",L31)-1))*60,0)+IFERROR(VALUE(TRIM(MID(L31,IFERROR(FIND("분",L31),0)+1,IFERROR(FIND("초",L31),LEN(L31)+1)-IFERROR(FIND("분",L31),0)-1))),0))/86400</x:f>
        <x:v>0.023611111111111107</x:v>
      </x:c>
      <x:c r="O31" s="87" t="s">
        <x:v>191</x:v>
      </x:c>
      <x:c r="P31" s="112">
        <x:f t="shared" si="1"/>
        <x:v>94</x:v>
      </x:c>
      <x:c r="Q31" s="112">
        <x:v>3</x:v>
      </x:c>
      <x:c r="R31" s="116">
        <x:f t="shared" si="0"/>
        <x:v>101.13</x:v>
      </x:c>
      <x:c r="S31" s="104" t="s">
        <x:v>42</x:v>
      </x:c>
      <x:c r="T31" s="112" t="s">
        <x:v>43</x:v>
      </x:c>
      <x:c r="U31" s="112" t="s">
        <x:v>43</x:v>
      </x:c>
      <x:c r="V31" s="104" t="s">
        <x:v>43</x:v>
      </x:c>
      <x:c r="W31" s="165" t="n">
        <x:v>0.0015046296296296296</x:v>
      </x:c>
      <x:c r="X31" s="165" t="n">
        <x:v>0.001388888888888889</x:v>
      </x:c>
      <x:c r="Y31" s="165" t="n">
        <x:v>0.0012731481481481483</x:v>
      </x:c>
      <x:c r="Z31" s="112"/>
      <x:c r="AA31" s="112"/>
      <x:c r="AB31" s="112"/>
      <x:c r="AC31" s="112"/>
      <x:c r="AD31" s="86"/>
    </x:row>
    <x:row r="32" ht="65.0999984741211" customHeight="1">
      <x:c r="A32" s="87" t="s">
        <x:v>192</x:v>
      </x:c>
      <x:c r="B32" s="104">
        <x:v>28</x:v>
      </x:c>
      <x:c r="C32" s="104">
        <x:v>1</x:v>
      </x:c>
      <x:c r="D32" s="104">
        <x:v>5</x:v>
      </x:c>
      <x:c r="E32" s="87" t="s">
        <x:v>193</x:v>
      </x:c>
      <x:c r="F32" s="87" t="s">
        <x:v>173</x:v>
      </x:c>
      <x:c r="G32" s="87" t="s">
        <x:v>194</x:v>
      </x:c>
      <x:c r="H32" s="87" t="s">
        <x:v>195</x:v>
      </x:c>
      <x:c r="I32" s="104">
        <x:v>4</x:v>
      </x:c>
      <x:c r="J32" s="87" t="s">
        <x:v>176</x:v>
      </x:c>
      <x:c r="K32" s="108" t="s">
        <x:v>38</x:v>
      </x:c>
      <x:c r="L32" s="108" t="s">
        <x:v>82</x:v>
      </x:c>
      <x:c r="M32" s="87" t="s">
        <x:v>177</x:v>
      </x:c>
      <x:c r="N32" s="110" t="n">
        <x:f t="shared" si="2">N31+(IFERROR(VALUE(LEFT(L32,FIND("분",L32)-1))*60,0)+IFERROR(VALUE(TRIM(MID(L32,IFERROR(FIND("분",L32),0)+1,IFERROR(FIND("초",L32),LEN(L32)+1)-IFERROR(FIND("분",L32),0)-1))),0))/86400</x:f>
        <x:v>0.024479166666666663</x:v>
      </x:c>
      <x:c r="O32" s="87" t="s">
        <x:v>196</x:v>
      </x:c>
      <x:c r="P32" s="112">
        <x:f t="shared" si="1"/>
        <x:v>96</x:v>
      </x:c>
      <x:c r="Q32" s="112">
        <x:v>2</x:v>
      </x:c>
      <x:c r="R32" s="116">
        <x:f t="shared" si="0"/>
        <x:v>105.18</x:v>
      </x:c>
      <x:c r="S32" s="104" t="s">
        <x:v>42</x:v>
      </x:c>
      <x:c r="T32" s="112" t="s">
        <x:v>43</x:v>
      </x:c>
      <x:c r="U32" s="112" t="s">
        <x:v>43</x:v>
      </x:c>
      <x:c r="V32" s="104" t="s">
        <x:v>43</x:v>
      </x:c>
      <x:c r="W32" s="165" t="n">
        <x:v>0.0010416666666666667</x:v>
      </x:c>
      <x:c r="X32" s="165" t="n">
        <x:v>0.000925925925925926</x:v>
      </x:c>
      <x:c r="Y32" s="165" t="n">
        <x:v>0.0008680555555555555</x:v>
      </x:c>
      <x:c r="Z32" s="112"/>
      <x:c r="AA32" s="112"/>
      <x:c r="AB32" s="112"/>
      <x:c r="AC32" s="112"/>
      <x:c r="AD32" s="86"/>
    </x:row>
    <x:row r="33" ht="65.0999984741211" customHeight="1">
      <x:c r="A33" s="87" t="s">
        <x:v>192</x:v>
      </x:c>
      <x:c r="B33" s="104">
        <x:v>29</x:v>
      </x:c>
      <x:c r="C33" s="104">
        <x:v>1</x:v>
      </x:c>
      <x:c r="D33" s="104">
        <x:v>6</x:v>
      </x:c>
      <x:c r="E33" s="87" t="s">
        <x:v>197</x:v>
      </x:c>
      <x:c r="F33" s="87" t="s">
        <x:v>198</x:v>
      </x:c>
      <x:c r="G33" s="87" t="s">
        <x:v>199</x:v>
      </x:c>
      <x:c r="H33" s="87" t="s">
        <x:v>200</x:v>
      </x:c>
      <x:c r="I33" s="104">
        <x:v>1</x:v>
      </x:c>
      <x:c r="J33" s="87" t="s">
        <x:v>201</x:v>
      </x:c>
      <x:c r="K33" s="108" t="s">
        <x:v>38</x:v>
      </x:c>
      <x:c r="L33" s="108" t="s">
        <x:v>94</x:v>
      </x:c>
      <x:c r="M33" s="87" t="s">
        <x:v>202</x:v>
      </x:c>
      <x:c r="N33" s="110" t="n">
        <x:f t="shared" si="2">N32+(IFERROR(VALUE(LEFT(L33,FIND("분",L33)-1))*60,0)+IFERROR(VALUE(TRIM(MID(L33,IFERROR(FIND("분",L33),0)+1,IFERROR(FIND("초",L33),LEN(L33)+1)-IFERROR(FIND("분",L33),0)-1))),0))/86400</x:f>
        <x:v>0.024884259259259255</x:v>
      </x:c>
      <x:c r="O33" s="87" t="s">
        <x:v>196</x:v>
      </x:c>
      <x:c r="P33" s="112">
        <x:f t="shared" si="1"/>
        <x:v>99</x:v>
      </x:c>
      <x:c r="Q33" s="112">
        <x:v>3</x:v>
      </x:c>
      <x:c r="R33" s="116">
        <x:f t="shared" si="0"/>
        <x:v>111.39</x:v>
      </x:c>
      <x:c r="S33" s="104" t="s">
        <x:v>42</x:v>
      </x:c>
      <x:c r="T33" s="112" t="s">
        <x:v>43</x:v>
      </x:c>
      <x:c r="U33" s="112" t="s">
        <x:v>43</x:v>
      </x:c>
      <x:c r="V33" s="104" t="s">
        <x:v>43</x:v>
      </x:c>
      <x:c r="W33" s="165" t="n">
        <x:v>0.0005208333333333333</x:v>
      </x:c>
      <x:c r="X33" s="165" t="n">
        <x:v>0.000462962962962963</x:v>
      </x:c>
      <x:c r="Y33" s="165" t="n">
        <x:v>0.0004050925925925926</x:v>
      </x:c>
      <x:c r="Z33" s="112"/>
      <x:c r="AA33" s="112"/>
      <x:c r="AB33" s="112"/>
      <x:c r="AC33" s="112"/>
      <x:c r="AD33" s="86"/>
    </x:row>
    <x:row r="34" ht="65.0999984741211" customHeight="1">
      <x:c r="A34" s="87" t="s">
        <x:v>192</x:v>
      </x:c>
      <x:c r="B34" s="104">
        <x:v>30</x:v>
      </x:c>
      <x:c r="C34" s="104">
        <x:v>1</x:v>
      </x:c>
      <x:c r="D34" s="104">
        <x:v>5</x:v>
      </x:c>
      <x:c r="E34" s="87" t="s">
        <x:v>203</x:v>
      </x:c>
      <x:c r="F34" s="87" t="s">
        <x:v>204</x:v>
      </x:c>
      <x:c r="G34" s="87" t="s">
        <x:v>205</x:v>
      </x:c>
      <x:c r="H34" s="87" t="s">
        <x:v>206</x:v>
      </x:c>
      <x:c r="I34" s="104">
        <x:v>1</x:v>
      </x:c>
      <x:c r="J34" s="87" t="s">
        <x:v>207</x:v>
      </x:c>
      <x:c r="K34" s="108" t="s">
        <x:v>38</x:v>
      </x:c>
      <x:c r="L34" s="108" t="s">
        <x:v>208</x:v>
      </x:c>
      <x:c r="M34" s="87" t="s">
        <x:v>209</x:v>
      </x:c>
      <x:c r="N34" s="110" t="n">
        <x:f t="shared" si="2">N33+(IFERROR(VALUE(LEFT(L34,FIND("분",L34)-1))*60,0)+IFERROR(VALUE(TRIM(MID(L34,IFERROR(FIND("분",L34),0)+1,IFERROR(FIND("초",L34),LEN(L34)+1)-IFERROR(FIND("분",L34),0)-1))),0))/86400</x:f>
        <x:v>0.02540509259259259</x:v>
      </x:c>
      <x:c r="O34" s="87" t="s">
        <x:v>196</x:v>
      </x:c>
      <x:c r="P34" s="112">
        <x:f t="shared" si="1"/>
        <x:v>101</x:v>
      </x:c>
      <x:c r="Q34" s="112">
        <x:v>2</x:v>
      </x:c>
      <x:c r="R34" s="116">
        <x:f t="shared" si="0"/>
        <x:v>115.63</x:v>
      </x:c>
      <x:c r="S34" s="104" t="s">
        <x:v>42</x:v>
      </x:c>
      <x:c r="T34" s="112" t="s">
        <x:v>43</x:v>
      </x:c>
      <x:c r="U34" s="112" t="s">
        <x:v>43</x:v>
      </x:c>
      <x:c r="V34" s="104" t="s">
        <x:v>43</x:v>
      </x:c>
      <x:c r="W34" s="165" t="n">
        <x:v>0.0006365740740740741</x:v>
      </x:c>
      <x:c r="X34" s="165" t="n">
        <x:v>0.0005787037037037037</x:v>
      </x:c>
      <x:c r="Y34" s="165" t="n">
        <x:v>0.0005208333333333333</x:v>
      </x:c>
      <x:c r="Z34" s="112"/>
      <x:c r="AA34" s="112"/>
      <x:c r="AB34" s="112"/>
      <x:c r="AC34" s="112"/>
      <x:c r="AD34" s="86"/>
    </x:row>
    <x:row r="35" ht="65.0999984741211" customHeight="1">
      <x:c r="A35" s="87" t="s">
        <x:v>192</x:v>
      </x:c>
      <x:c r="B35" s="104">
        <x:v>31</x:v>
      </x:c>
      <x:c r="C35" s="104">
        <x:v>2</x:v>
      </x:c>
      <x:c r="D35" s="104">
        <x:v>5</x:v>
      </x:c>
      <x:c r="E35" s="87" t="s">
        <x:v>210</x:v>
      </x:c>
      <x:c r="F35" s="87" t="s">
        <x:v>85</x:v>
      </x:c>
      <x:c r="G35" s="87" t="s">
        <x:v>211</x:v>
      </x:c>
      <x:c r="H35" s="87" t="s">
        <x:v>87</x:v>
      </x:c>
      <x:c r="I35" s="104">
        <x:v>4</x:v>
      </x:c>
      <x:c r="J35" s="87" t="s">
        <x:v>212</x:v>
      </x:c>
      <x:c r="K35" s="108" t="s">
        <x:v>38</x:v>
      </x:c>
      <x:c r="L35" s="108" t="s">
        <x:v>213</x:v>
      </x:c>
      <x:c r="M35" s="87" t="s">
        <x:v>89</x:v>
      </x:c>
      <x:c r="N35" s="110" t="n">
        <x:f t="shared" si="2">N34+(IFERROR(VALUE(LEFT(L35,FIND("분",L35)-1))*60,0)+IFERROR(VALUE(TRIM(MID(L35,IFERROR(FIND("분",L35),0)+1,IFERROR(FIND("초",L35),LEN(L35)+1)-IFERROR(FIND("분",L35),0)-1))),0))/86400</x:f>
        <x:v>0.026388888888888885</x:v>
      </x:c>
      <x:c r="O35" s="87" t="s">
        <x:v>196</x:v>
      </x:c>
      <x:c r="P35" s="112">
        <x:f t="shared" si="1"/>
        <x:v>104</x:v>
      </x:c>
      <x:c r="Q35" s="112">
        <x:v>3</x:v>
      </x:c>
      <x:c r="R35" s="116">
        <x:f t="shared" si="0"/>
        <x:v>122.14</x:v>
      </x:c>
      <x:c r="S35" s="104" t="s">
        <x:v>42</x:v>
      </x:c>
      <x:c r="T35" s="112" t="s">
        <x:v>43</x:v>
      </x:c>
      <x:c r="U35" s="112" t="s">
        <x:v>43</x:v>
      </x:c>
      <x:c r="V35" s="104" t="s">
        <x:v>43</x:v>
      </x:c>
      <x:c r="W35" s="165" t="n">
        <x:v>0.0011574074074074073</x:v>
      </x:c>
      <x:c r="X35" s="165" t="n">
        <x:v>0.0010416666666666667</x:v>
      </x:c>
      <x:c r="Y35" s="165" t="n">
        <x:v>0.0009837962962962962</x:v>
      </x:c>
      <x:c r="Z35" s="112"/>
      <x:c r="AA35" s="112"/>
      <x:c r="AB35" s="112"/>
      <x:c r="AC35" s="112"/>
      <x:c r="AD35" s="86"/>
    </x:row>
    <x:row r="36" ht="65.0999984741211" customHeight="1">
      <x:c r="A36" s="87" t="s">
        <x:v>192</x:v>
      </x:c>
      <x:c r="B36" s="104">
        <x:v>32</x:v>
      </x:c>
      <x:c r="C36" s="104">
        <x:v>4</x:v>
      </x:c>
      <x:c r="D36" s="104">
        <x:v>8</x:v>
      </x:c>
      <x:c r="E36" s="87" t="s">
        <x:v>214</x:v>
      </x:c>
      <x:c r="F36" s="87" t="s">
        <x:v>215</x:v>
      </x:c>
      <x:c r="G36" s="87" t="s">
        <x:v>216</x:v>
      </x:c>
      <x:c r="H36" s="87" t="s">
        <x:v>217</x:v>
      </x:c>
      <x:c r="I36" s="104">
        <x:v>3</x:v>
      </x:c>
      <x:c r="J36" s="87" t="s">
        <x:v>218</x:v>
      </x:c>
      <x:c r="K36" s="108" t="s">
        <x:v>219</x:v>
      </x:c>
      <x:c r="L36" s="108" t="s">
        <x:v>121</x:v>
      </x:c>
      <x:c r="M36" s="87" t="s">
        <x:v>220</x:v>
      </x:c>
      <x:c r="N36" s="110" t="n">
        <x:f t="shared" si="2">N35+(IFERROR(VALUE(LEFT(L36,FIND("분",L36)-1))*60,0)+IFERROR(VALUE(TRIM(MID(L36,IFERROR(FIND("분",L36),0)+1,IFERROR(FIND("초",L36),LEN(L36)+1)-IFERROR(FIND("분",L36),0)-1))),0))/86400</x:f>
        <x:v>0.027314814814814813</x:v>
      </x:c>
      <x:c r="O36" s="87" t="s">
        <x:v>196</x:v>
      </x:c>
      <x:c r="P36" s="112">
        <x:f t="shared" si="1"/>
        <x:v>111</x:v>
      </x:c>
      <x:c r="Q36" s="112">
        <x:v>7</x:v>
      </x:c>
      <x:c r="R36" s="116">
        <x:f t="shared" si="0"/>
        <x:v>138.01</x:v>
      </x:c>
      <x:c r="S36" s="104" t="s">
        <x:v>42</x:v>
      </x:c>
      <x:c r="T36" s="112" t="s">
        <x:v>43</x:v>
      </x:c>
      <x:c r="U36" s="112" t="s">
        <x:v>43</x:v>
      </x:c>
      <x:c r="V36" s="104" t="s">
        <x:v>43</x:v>
      </x:c>
      <x:c r="W36" s="165" t="n">
        <x:v>0.0012731481481481483</x:v>
      </x:c>
      <x:c r="X36" s="165" t="n">
        <x:v>0.001099537037037037</x:v>
      </x:c>
      <x:c r="Y36" s="165" t="n">
        <x:v>0.000925925925925926</x:v>
      </x:c>
      <x:c r="Z36" s="112"/>
      <x:c r="AA36" s="112"/>
      <x:c r="AB36" s="112"/>
      <x:c r="AC36" s="112"/>
      <x:c r="AD36" s="86"/>
    </x:row>
    <x:row r="37" ht="65.0999984741211" customHeight="1">
      <x:c r="A37" s="87" t="s">
        <x:v>192</x:v>
      </x:c>
      <x:c r="B37" s="104">
        <x:v>33</x:v>
      </x:c>
      <x:c r="C37" s="104">
        <x:v>1</x:v>
      </x:c>
      <x:c r="D37" s="104">
        <x:v>5</x:v>
      </x:c>
      <x:c r="E37" s="87" t="s">
        <x:v>221</x:v>
      </x:c>
      <x:c r="F37" s="87" t="s">
        <x:v>222</x:v>
      </x:c>
      <x:c r="G37" s="87" t="s">
        <x:v>223</x:v>
      </x:c>
      <x:c r="H37" s="87" t="s">
        <x:v>224</x:v>
      </x:c>
      <x:c r="I37" s="104">
        <x:v>3</x:v>
      </x:c>
      <x:c r="J37" s="87" t="s">
        <x:v>225</x:v>
      </x:c>
      <x:c r="K37" s="108" t="s">
        <x:v>38</x:v>
      </x:c>
      <x:c r="L37" s="108" t="s">
        <x:v>164</x:v>
      </x:c>
      <x:c r="M37" s="87" t="s">
        <x:v>226</x:v>
      </x:c>
      <x:c r="N37" s="110" t="n">
        <x:f t="shared" si="2">N36+(IFERROR(VALUE(LEFT(L37,FIND("분",L37)-1))*60,0)+IFERROR(VALUE(TRIM(MID(L37,IFERROR(FIND("분",L37),0)+1,IFERROR(FIND("초",L37),LEN(L37)+1)-IFERROR(FIND("분",L37),0)-1))),0))/86400</x:f>
        <x:v>0.027951388888888887</x:v>
      </x:c>
      <x:c r="O37" s="87" t="s">
        <x:v>196</x:v>
      </x:c>
      <x:c r="P37" s="112">
        <x:f t="shared" si="1"/>
        <x:v>113</x:v>
      </x:c>
      <x:c r="Q37" s="112">
        <x:v>2</x:v>
      </x:c>
      <x:c r="R37" s="116" t="n">
        <x:f t="shared" ref="R37:R68" si="3">ROUND($Q$3*P37*P37+$R$3*P37,2)</x:f>
        <x:v>142.72</x:v>
      </x:c>
      <x:c r="S37" s="104" t="s">
        <x:v>42</x:v>
      </x:c>
      <x:c r="T37" s="112" t="s">
        <x:v>43</x:v>
      </x:c>
      <x:c r="U37" s="112" t="s">
        <x:v>43</x:v>
      </x:c>
      <x:c r="V37" s="104" t="s">
        <x:v>43</x:v>
      </x:c>
      <x:c r="W37" s="165" t="n">
        <x:v>0.0007523148148148148</x:v>
      </x:c>
      <x:c r="X37" s="165" t="n">
        <x:v>0.0006944444444444445</x:v>
      </x:c>
      <x:c r="Y37" s="165" t="n">
        <x:v>0.0006365740740740741</x:v>
      </x:c>
      <x:c r="Z37" s="112"/>
      <x:c r="AA37" s="112"/>
      <x:c r="AB37" s="112"/>
      <x:c r="AC37" s="112"/>
      <x:c r="AD37" s="86"/>
    </x:row>
    <x:row r="38" ht="65.0999984741211" customHeight="1">
      <x:c r="A38" s="87" t="s">
        <x:v>192</x:v>
      </x:c>
      <x:c r="B38" s="104">
        <x:v>34</x:v>
      </x:c>
      <x:c r="C38" s="104">
        <x:v>2</x:v>
      </x:c>
      <x:c r="D38" s="104">
        <x:v>6</x:v>
      </x:c>
      <x:c r="E38" s="87" t="s">
        <x:v>227</x:v>
      </x:c>
      <x:c r="F38" s="87" t="s">
        <x:v>228</x:v>
      </x:c>
      <x:c r="G38" s="87" t="s">
        <x:v>229</x:v>
      </x:c>
      <x:c r="H38" s="87" t="s">
        <x:v>230</x:v>
      </x:c>
      <x:c r="I38" s="104">
        <x:v>8</x:v>
      </x:c>
      <x:c r="J38" s="87" t="s">
        <x:v>231</x:v>
      </x:c>
      <x:c r="K38" s="108" t="s">
        <x:v>232</x:v>
      </x:c>
      <x:c r="L38" s="108" t="s">
        <x:v>233</x:v>
      </x:c>
      <x:c r="M38" s="87" t="s">
        <x:v>234</x:v>
      </x:c>
      <x:c r="N38" s="110" t="n">
        <x:f t="shared" ref="N38:N69" si="4">N37+(IFERROR(VALUE(LEFT(L38,FIND("분",L38)-1))*60,0)+IFERROR(VALUE(TRIM(MID(L38,IFERROR(FIND("분",L38),0)+1,IFERROR(FIND("초",L38),LEN(L38)+1)-IFERROR(FIND("분",L38),0)-1))),0))/86400</x:f>
        <x:v>0.03003472222222222</x:v>
      </x:c>
      <x:c r="O38" s="87" t="s">
        <x:v>196</x:v>
      </x:c>
      <x:c r="P38" s="112" t="n">
        <x:f t="shared" ref="P38:P69" si="5">P37+Q38</x:f>
        <x:v>117</x:v>
      </x:c>
      <x:c r="Q38" s="112">
        <x:v>4</x:v>
      </x:c>
      <x:c r="R38" s="116">
        <x:f t="shared" si="3"/>
        <x:v>152.38999999999999</x:v>
      </x:c>
      <x:c r="S38" s="104" t="s">
        <x:v>42</x:v>
      </x:c>
      <x:c r="T38" s="112" t="s">
        <x:v>43</x:v>
      </x:c>
      <x:c r="U38" s="112" t="s">
        <x:v>43</x:v>
      </x:c>
      <x:c r="V38" s="104" t="s">
        <x:v>43</x:v>
      </x:c>
      <x:c r="W38" s="165" t="n">
        <x:v>0.0024305555555555556</x:v>
      </x:c>
      <x:c r="X38" s="165" t="n">
        <x:v>0.002199074074074074</x:v>
      </x:c>
      <x:c r="Y38" s="165" t="n">
        <x:v>0.0020833333333333333</x:v>
      </x:c>
      <x:c r="Z38" s="112"/>
      <x:c r="AA38" s="112"/>
      <x:c r="AB38" s="112"/>
      <x:c r="AC38" s="112"/>
      <x:c r="AD38" s="86"/>
    </x:row>
    <x:row r="39" ht="65.0999984741211" customHeight="1">
      <x:c r="A39" s="87" t="s">
        <x:v>192</x:v>
      </x:c>
      <x:c r="B39" s="104">
        <x:v>35</x:v>
      </x:c>
      <x:c r="C39" s="104">
        <x:v>2</x:v>
      </x:c>
      <x:c r="D39" s="104">
        <x:v>6</x:v>
      </x:c>
      <x:c r="E39" s="87" t="s">
        <x:v>235</x:v>
      </x:c>
      <x:c r="F39" s="87" t="s">
        <x:v>228</x:v>
      </x:c>
      <x:c r="G39" s="87" t="s">
        <x:v>236</x:v>
      </x:c>
      <x:c r="H39" s="87" t="s">
        <x:v>230</x:v>
      </x:c>
      <x:c r="I39" s="104">
        <x:v>7</x:v>
      </x:c>
      <x:c r="J39" s="87" t="s">
        <x:v>237</x:v>
      </x:c>
      <x:c r="K39" s="108" t="s">
        <x:v>232</x:v>
      </x:c>
      <x:c r="L39" s="108" t="s">
        <x:v>238</x:v>
      </x:c>
      <x:c r="M39" s="87" t="s">
        <x:v>234</x:v>
      </x:c>
      <x:c r="N39" s="110" t="n">
        <x:f t="shared" si="4">N38+(IFERROR(VALUE(LEFT(L39,FIND("분",L39)-1))*60,0)+IFERROR(VALUE(TRIM(MID(L39,IFERROR(FIND("분",L39),0)+1,IFERROR(FIND("초",L39),LEN(L39)+1)-IFERROR(FIND("분",L39),0)-1))),0))/86400</x:f>
        <x:v>0.031886574074074074</x:v>
      </x:c>
      <x:c r="O39" s="87" t="s">
        <x:v>196</x:v>
      </x:c>
      <x:c r="P39" s="112">
        <x:f t="shared" si="5"/>
        <x:v>121</x:v>
      </x:c>
      <x:c r="Q39" s="112">
        <x:v>4</x:v>
      </x:c>
      <x:c r="R39" s="116">
        <x:f t="shared" si="3"/>
        <x:v>162.36000000000001</x:v>
      </x:c>
      <x:c r="S39" s="104" t="s">
        <x:v>42</x:v>
      </x:c>
      <x:c r="T39" s="112" t="s">
        <x:v>43</x:v>
      </x:c>
      <x:c r="U39" s="112" t="s">
        <x:v>43</x:v>
      </x:c>
      <x:c r="V39" s="104" t="s">
        <x:v>43</x:v>
      </x:c>
      <x:c r="W39" s="165" t="n">
        <x:v>0.0021412037037037038</x:v>
      </x:c>
      <x:c r="X39" s="165" t="n">
        <x:v>0.0019675925925925924</x:v>
      </x:c>
      <x:c r="Y39" s="165" t="n">
        <x:v>0.001851851851851852</x:v>
      </x:c>
      <x:c r="Z39" s="112"/>
      <x:c r="AA39" s="112"/>
      <x:c r="AB39" s="112"/>
      <x:c r="AC39" s="112"/>
      <x:c r="AD39" s="86"/>
    </x:row>
    <x:row r="40" ht="65.0999984741211" customHeight="1">
      <x:c r="A40" s="87" t="s">
        <x:v>192</x:v>
      </x:c>
      <x:c r="B40" s="104">
        <x:v>36</x:v>
      </x:c>
      <x:c r="C40" s="104">
        <x:v>3</x:v>
      </x:c>
      <x:c r="D40" s="104">
        <x:v>6</x:v>
      </x:c>
      <x:c r="E40" s="87" t="s">
        <x:v>239</x:v>
      </x:c>
      <x:c r="F40" s="87" t="s">
        <x:v>228</x:v>
      </x:c>
      <x:c r="G40" s="87" t="s">
        <x:v>240</x:v>
      </x:c>
      <x:c r="H40" s="87" t="s">
        <x:v>241</x:v>
      </x:c>
      <x:c r="I40" s="104">
        <x:v>6</x:v>
      </x:c>
      <x:c r="J40" s="87" t="s">
        <x:v>242</x:v>
      </x:c>
      <x:c r="K40" s="108" t="s">
        <x:v>232</x:v>
      </x:c>
      <x:c r="L40" s="108" t="s">
        <x:v>170</x:v>
      </x:c>
      <x:c r="M40" s="87" t="s">
        <x:v>234</x:v>
      </x:c>
      <x:c r="N40" s="110" t="n">
        <x:f t="shared" si="4">N39+(IFERROR(VALUE(LEFT(L40,FIND("분",L40)-1))*60,0)+IFERROR(VALUE(TRIM(MID(L40,IFERROR(FIND("분",L40),0)+1,IFERROR(FIND("초",L40),LEN(L40)+1)-IFERROR(FIND("분",L40),0)-1))),0))/86400</x:f>
        <x:v>0.033622685185185186</x:v>
      </x:c>
      <x:c r="O40" s="87" t="s">
        <x:v>196</x:v>
      </x:c>
      <x:c r="P40" s="112">
        <x:f t="shared" si="5"/>
        <x:v>126</x:v>
      </x:c>
      <x:c r="Q40" s="112">
        <x:v>5</x:v>
      </x:c>
      <x:c r="R40" s="116">
        <x:f t="shared" si="3"/>
        <x:v>175.28</x:v>
      </x:c>
      <x:c r="S40" s="104" t="s">
        <x:v>42</x:v>
      </x:c>
      <x:c r="T40" s="112" t="s">
        <x:v>43</x:v>
      </x:c>
      <x:c r="U40" s="112" t="s">
        <x:v>43</x:v>
      </x:c>
      <x:c r="V40" s="104" t="s">
        <x:v>43</x:v>
      </x:c>
      <x:c r="W40" s="165" t="n">
        <x:v>0.002372685185185185</x:v>
      </x:c>
      <x:c r="X40" s="165" t="n">
        <x:v>0.002025462962962963</x:v>
      </x:c>
      <x:c r="Y40" s="165" t="n">
        <x:v>0.001736111111111111</x:v>
      </x:c>
      <x:c r="Z40" s="112"/>
      <x:c r="AA40" s="112"/>
      <x:c r="AB40" s="112"/>
      <x:c r="AC40" s="112"/>
      <x:c r="AD40" s="86"/>
    </x:row>
    <x:row r="41" ht="65.0999984741211" customHeight="1">
      <x:c r="A41" s="87" t="s">
        <x:v>192</x:v>
      </x:c>
      <x:c r="B41" s="104">
        <x:v>37</x:v>
      </x:c>
      <x:c r="C41" s="104">
        <x:v>1</x:v>
      </x:c>
      <x:c r="D41" s="104">
        <x:v>5</x:v>
      </x:c>
      <x:c r="E41" s="87" t="s">
        <x:v>243</x:v>
      </x:c>
      <x:c r="F41" s="87" t="s">
        <x:v>52</x:v>
      </x:c>
      <x:c r="G41" s="87" t="s">
        <x:v>53</x:v>
      </x:c>
      <x:c r="H41" s="87" t="s">
        <x:v>96</x:v>
      </x:c>
      <x:c r="I41" s="104">
        <x:v>1</x:v>
      </x:c>
      <x:c r="J41" s="87" t="s">
        <x:v>244</x:v>
      </x:c>
      <x:c r="K41" s="108" t="s">
        <x:v>38</x:v>
      </x:c>
      <x:c r="L41" s="108" t="s">
        <x:v>39</x:v>
      </x:c>
      <x:c r="M41" s="87" t="s">
        <x:v>57</x:v>
      </x:c>
      <x:c r="N41" s="110" t="n">
        <x:f t="shared" si="4">N40+(IFERROR(VALUE(LEFT(L41,FIND("분",L41)-1))*60,0)+IFERROR(VALUE(TRIM(MID(L41,IFERROR(FIND("분",L41),0)+1,IFERROR(FIND("초",L41),LEN(L41)+1)-IFERROR(FIND("분",L41),0)-1))),0))/86400</x:f>
        <x:v>0.034664351851851856</x:v>
      </x:c>
      <x:c r="O41" s="87" t="s">
        <x:v>196</x:v>
      </x:c>
      <x:c r="P41" s="112">
        <x:f t="shared" si="5"/>
        <x:v>128</x:v>
      </x:c>
      <x:c r="Q41" s="112">
        <x:v>2</x:v>
      </x:c>
      <x:c r="R41" s="116">
        <x:f t="shared" si="3"/>
        <x:v>180.58</x:v>
      </x:c>
      <x:c r="S41" s="104" t="s">
        <x:v>42</x:v>
      </x:c>
      <x:c r="T41" s="112" t="s">
        <x:v>43</x:v>
      </x:c>
      <x:c r="U41" s="112" t="s">
        <x:v>43</x:v>
      </x:c>
      <x:c r="V41" s="104" t="s">
        <x:v>43</x:v>
      </x:c>
      <x:c r="W41" s="165" t="n">
        <x:v>0.0012152777777777778</x:v>
      </x:c>
      <x:c r="X41" s="165" t="n">
        <x:v>0.001099537037037037</x:v>
      </x:c>
      <x:c r="Y41" s="165" t="n">
        <x:v>0.0010416666666666667</x:v>
      </x:c>
      <x:c r="Z41" s="112"/>
      <x:c r="AA41" s="112"/>
      <x:c r="AB41" s="112"/>
      <x:c r="AC41" s="112"/>
      <x:c r="AD41" s="86"/>
    </x:row>
    <x:row r="42" ht="65.0999984741211" customHeight="1">
      <x:c r="A42" s="87" t="s">
        <x:v>192</x:v>
      </x:c>
      <x:c r="B42" s="104">
        <x:v>38</x:v>
      </x:c>
      <x:c r="C42" s="104">
        <x:v>2</x:v>
      </x:c>
      <x:c r="D42" s="104">
        <x:v>5</x:v>
      </x:c>
      <x:c r="E42" s="87" t="s">
        <x:v>245</x:v>
      </x:c>
      <x:c r="F42" s="87" t="s">
        <x:v>246</x:v>
      </x:c>
      <x:c r="G42" s="87" t="s">
        <x:v>247</x:v>
      </x:c>
      <x:c r="H42" s="87" t="s">
        <x:v>248</x:v>
      </x:c>
      <x:c r="I42" s="104">
        <x:v>4</x:v>
      </x:c>
      <x:c r="J42" s="87" t="s">
        <x:v>249</x:v>
      </x:c>
      <x:c r="K42" s="108" t="s">
        <x:v>38</x:v>
      </x:c>
      <x:c r="L42" s="108" t="s">
        <x:v>250</x:v>
      </x:c>
      <x:c r="M42" s="87" t="s">
        <x:v>251</x:v>
      </x:c>
      <x:c r="N42" s="110" t="n">
        <x:f t="shared" si="4">N41+(IFERROR(VALUE(LEFT(L42,FIND("분",L42)-1))*60,0)+IFERROR(VALUE(TRIM(MID(L42,IFERROR(FIND("분",L42),0)+1,IFERROR(FIND("초",L42),LEN(L42)+1)-IFERROR(FIND("분",L42),0)-1))),0))/86400</x:f>
        <x:v>0.036284722222222225</x:v>
      </x:c>
      <x:c r="O42" s="87" t="s">
        <x:v>196</x:v>
      </x:c>
      <x:c r="P42" s="112">
        <x:f t="shared" si="5"/>
        <x:v>131</x:v>
      </x:c>
      <x:c r="Q42" s="112">
        <x:v>3</x:v>
      </x:c>
      <x:c r="R42" s="116">
        <x:f t="shared" si="3"/>
        <x:v>188.69</x:v>
      </x:c>
      <x:c r="S42" s="104" t="s">
        <x:v>42</x:v>
      </x:c>
      <x:c r="T42" s="112" t="s">
        <x:v>43</x:v>
      </x:c>
      <x:c r="U42" s="112" t="s">
        <x:v>43</x:v>
      </x:c>
      <x:c r="V42" s="104" t="s">
        <x:v>43</x:v>
      </x:c>
      <x:c r="W42" s="165" t="n">
        <x:v>0.0019097222222222222</x:v>
      </x:c>
      <x:c r="X42" s="165" t="n">
        <x:v>0.001736111111111111</x:v>
      </x:c>
      <x:c r="Y42" s="165" t="n">
        <x:v>0.0016203703703703703</x:v>
      </x:c>
      <x:c r="Z42" s="112"/>
      <x:c r="AA42" s="112"/>
      <x:c r="AB42" s="112"/>
      <x:c r="AC42" s="112"/>
      <x:c r="AD42" s="86"/>
    </x:row>
    <x:row r="43" ht="65.0999984741211" customHeight="1">
      <x:c r="A43" s="87" t="s">
        <x:v>192</x:v>
      </x:c>
      <x:c r="B43" s="104">
        <x:v>39</x:v>
      </x:c>
      <x:c r="C43" s="104">
        <x:v>4</x:v>
      </x:c>
      <x:c r="D43" s="104">
        <x:v>8</x:v>
      </x:c>
      <x:c r="E43" s="87" t="s">
        <x:v>252</x:v>
      </x:c>
      <x:c r="F43" s="87" t="s">
        <x:v>253</x:v>
      </x:c>
      <x:c r="G43" s="87" t="s">
        <x:v>254</x:v>
      </x:c>
      <x:c r="H43" s="87" t="s">
        <x:v>255</x:v>
      </x:c>
      <x:c r="I43" s="104">
        <x:v>12</x:v>
      </x:c>
      <x:c r="J43" s="87" t="s">
        <x:v>256</x:v>
      </x:c>
      <x:c r="K43" s="108" t="s">
        <x:v>257</x:v>
      </x:c>
      <x:c r="L43" s="108" t="s">
        <x:v>117</x:v>
      </x:c>
      <x:c r="M43" s="87" t="s">
        <x:v>258</x:v>
      </x:c>
      <x:c r="N43" s="110" t="n">
        <x:f t="shared" si="4">N42+(IFERROR(VALUE(LEFT(L43,FIND("분",L43)-1))*60,0)+IFERROR(VALUE(TRIM(MID(L43,IFERROR(FIND("분",L43),0)+1,IFERROR(FIND("초",L43),LEN(L43)+1)-IFERROR(FIND("분",L43),0)-1))),0))/86400</x:f>
        <x:v>0.037673611111111116</x:v>
      </x:c>
      <x:c r="O43" s="87" t="s">
        <x:v>196</x:v>
      </x:c>
      <x:c r="P43" s="112">
        <x:f t="shared" si="5"/>
        <x:v>138</x:v>
      </x:c>
      <x:c r="Q43" s="112">
        <x:v>7</x:v>
      </x:c>
      <x:c r="R43" s="116">
        <x:f t="shared" si="3"/>
        <x:v>208.28</x:v>
      </x:c>
      <x:c r="S43" s="104" t="s">
        <x:v>42</x:v>
      </x:c>
      <x:c r="T43" s="112" t="s">
        <x:v>43</x:v>
      </x:c>
      <x:c r="U43" s="112" t="s">
        <x:v>43</x:v>
      </x:c>
      <x:c r="V43" s="104" t="s">
        <x:v>43</x:v>
      </x:c>
      <x:c r="W43" s="165" t="n">
        <x:v>0.0019097222222222222</x:v>
      </x:c>
      <x:c r="X43" s="165" t="n">
        <x:v>0.0016203703703703703</x:v>
      </x:c>
      <x:c r="Y43" s="165" t="n">
        <x:v>0.001388888888888889</x:v>
      </x:c>
      <x:c r="Z43" s="112"/>
      <x:c r="AA43" s="112"/>
      <x:c r="AB43" s="112"/>
      <x:c r="AC43" s="112"/>
      <x:c r="AD43" s="86"/>
    </x:row>
    <x:row r="44" ht="65.0999984741211" customHeight="1">
      <x:c r="A44" s="87" t="s">
        <x:v>192</x:v>
      </x:c>
      <x:c r="B44" s="104">
        <x:v>40</x:v>
      </x:c>
      <x:c r="C44" s="104">
        <x:v>2</x:v>
      </x:c>
      <x:c r="D44" s="104">
        <x:v>6</x:v>
      </x:c>
      <x:c r="E44" s="87" t="s">
        <x:v>259</x:v>
      </x:c>
      <x:c r="F44" s="87" t="s">
        <x:v>260</x:v>
      </x:c>
      <x:c r="G44" s="87" t="s">
        <x:v>261</x:v>
      </x:c>
      <x:c r="H44" s="87" t="s">
        <x:v>262</x:v>
      </x:c>
      <x:c r="I44" s="104">
        <x:v>3</x:v>
      </x:c>
      <x:c r="J44" s="87" t="s">
        <x:v>263</x:v>
      </x:c>
      <x:c r="K44" s="108" t="s">
        <x:v>264</x:v>
      </x:c>
      <x:c r="L44" s="108" t="s">
        <x:v>82</x:v>
      </x:c>
      <x:c r="M44" s="87" t="s">
        <x:v>265</x:v>
      </x:c>
      <x:c r="N44" s="110" t="n">
        <x:f t="shared" si="4">N43+(IFERROR(VALUE(LEFT(L44,FIND("분",L44)-1))*60,0)+IFERROR(VALUE(TRIM(MID(L44,IFERROR(FIND("분",L44),0)+1,IFERROR(FIND("초",L44),LEN(L44)+1)-IFERROR(FIND("분",L44),0)-1))),0))/86400</x:f>
        <x:v>0.03854166666666667</x:v>
      </x:c>
      <x:c r="O44" s="87" t="s">
        <x:v>196</x:v>
      </x:c>
      <x:c r="P44" s="112">
        <x:f t="shared" si="5"/>
        <x:v>142</x:v>
      </x:c>
      <x:c r="Q44" s="112">
        <x:v>4</x:v>
      </x:c>
      <x:c r="R44" s="116">
        <x:f t="shared" si="3"/>
        <x:v>219.92</x:v>
      </x:c>
      <x:c r="S44" s="104" t="s">
        <x:v>42</x:v>
      </x:c>
      <x:c r="T44" s="112" t="s">
        <x:v>43</x:v>
      </x:c>
      <x:c r="U44" s="112" t="s">
        <x:v>43</x:v>
      </x:c>
      <x:c r="V44" s="104" t="s">
        <x:v>43</x:v>
      </x:c>
      <x:c r="W44" s="165" t="n">
        <x:v>0.0010416666666666667</x:v>
      </x:c>
      <x:c r="X44" s="165" t="n">
        <x:v>0.000925925925925926</x:v>
      </x:c>
      <x:c r="Y44" s="165" t="n">
        <x:v>0.0008680555555555555</x:v>
      </x:c>
      <x:c r="Z44" s="112"/>
      <x:c r="AA44" s="112"/>
      <x:c r="AB44" s="112"/>
      <x:c r="AC44" s="112"/>
      <x:c r="AD44" s="86"/>
    </x:row>
    <x:row r="45" ht="65.0999984741211" customHeight="1">
      <x:c r="A45" s="87" t="s">
        <x:v>192</x:v>
      </x:c>
      <x:c r="B45" s="104">
        <x:v>41</x:v>
      </x:c>
      <x:c r="C45" s="104">
        <x:v>4</x:v>
      </x:c>
      <x:c r="D45" s="104">
        <x:v>8</x:v>
      </x:c>
      <x:c r="E45" s="87" t="s">
        <x:v>266</x:v>
      </x:c>
      <x:c r="F45" s="87" t="s">
        <x:v>267</x:v>
      </x:c>
      <x:c r="G45" s="87" t="s">
        <x:v>268</x:v>
      </x:c>
      <x:c r="H45" s="87" t="s">
        <x:v>269</x:v>
      </x:c>
      <x:c r="I45" s="104">
        <x:v>4</x:v>
      </x:c>
      <x:c r="J45" s="87" t="s">
        <x:v>270</x:v>
      </x:c>
      <x:c r="K45" s="108" t="s">
        <x:v>271</x:v>
      </x:c>
      <x:c r="L45" s="108" t="s">
        <x:v>117</x:v>
      </x:c>
      <x:c r="M45" s="87" t="s">
        <x:v>272</x:v>
      </x:c>
      <x:c r="N45" s="110" t="n">
        <x:f t="shared" si="4">N44+(IFERROR(VALUE(LEFT(L45,FIND("분",L45)-1))*60,0)+IFERROR(VALUE(TRIM(MID(L45,IFERROR(FIND("분",L45),0)+1,IFERROR(FIND("초",L45),LEN(L45)+1)-IFERROR(FIND("분",L45),0)-1))),0))/86400</x:f>
        <x:v>0.03993055555555556</x:v>
      </x:c>
      <x:c r="O45" s="87" t="s">
        <x:v>196</x:v>
      </x:c>
      <x:c r="P45" s="112">
        <x:f t="shared" si="5"/>
        <x:v>149</x:v>
      </x:c>
      <x:c r="Q45" s="112">
        <x:v>7</x:v>
      </x:c>
      <x:c r="R45" s="116">
        <x:f t="shared" si="3"/>
        <x:v>241.03</x:v>
      </x:c>
      <x:c r="S45" s="104" t="s">
        <x:v>42</x:v>
      </x:c>
      <x:c r="T45" s="112" t="s">
        <x:v>43</x:v>
      </x:c>
      <x:c r="U45" s="112" t="s">
        <x:v>43</x:v>
      </x:c>
      <x:c r="V45" s="104" t="s">
        <x:v>43</x:v>
      </x:c>
      <x:c r="W45" s="165" t="n">
        <x:v>0.0019097222222222222</x:v>
      </x:c>
      <x:c r="X45" s="165" t="n">
        <x:v>0.0016203703703703703</x:v>
      </x:c>
      <x:c r="Y45" s="165" t="n">
        <x:v>0.001388888888888889</x:v>
      </x:c>
      <x:c r="Z45" s="112"/>
      <x:c r="AA45" s="112"/>
      <x:c r="AB45" s="112"/>
      <x:c r="AC45" s="112"/>
      <x:c r="AD45" s="86"/>
    </x:row>
    <x:row r="46" ht="65.0999984741211" customHeight="1">
      <x:c r="A46" s="87" t="s">
        <x:v>192</x:v>
      </x:c>
      <x:c r="B46" s="104">
        <x:v>42</x:v>
      </x:c>
      <x:c r="C46" s="104">
        <x:v>3</x:v>
      </x:c>
      <x:c r="D46" s="104">
        <x:v>7</x:v>
      </x:c>
      <x:c r="E46" s="87" t="s">
        <x:v>273</x:v>
      </x:c>
      <x:c r="F46" s="87" t="s">
        <x:v>274</x:v>
      </x:c>
      <x:c r="G46" s="87" t="s">
        <x:v>275</x:v>
      </x:c>
      <x:c r="H46" s="87" t="s">
        <x:v>276</x:v>
      </x:c>
      <x:c r="I46" s="104">
        <x:v>5</x:v>
      </x:c>
      <x:c r="J46" s="87" t="s">
        <x:v>277</x:v>
      </x:c>
      <x:c r="K46" s="108" t="s">
        <x:v>38</x:v>
      </x:c>
      <x:c r="L46" s="108" t="s">
        <x:v>278</x:v>
      </x:c>
      <x:c r="M46" s="87" t="s">
        <x:v>279</x:v>
      </x:c>
      <x:c r="N46" s="110" t="n">
        <x:f t="shared" si="4">N45+(IFERROR(VALUE(LEFT(L46,FIND("분",L46)-1))*60,0)+IFERROR(VALUE(TRIM(MID(L46,IFERROR(FIND("분",L46),0)+1,IFERROR(FIND("초",L46),LEN(L46)+1)-IFERROR(FIND("분",L46),0)-1))),0))/86400</x:f>
        <x:v>0.04189814814814815</x:v>
      </x:c>
      <x:c r="O46" s="87" t="s">
        <x:v>196</x:v>
      </x:c>
      <x:c r="P46" s="112">
        <x:f t="shared" si="5"/>
        <x:v>154</x:v>
      </x:c>
      <x:c r="Q46" s="112">
        <x:v>5</x:v>
      </x:c>
      <x:c r="R46" s="116">
        <x:f t="shared" si="3"/>
        <x:v>256.7</x:v>
      </x:c>
      <x:c r="S46" s="104" t="s">
        <x:v>42</x:v>
      </x:c>
      <x:c r="T46" s="112" t="s">
        <x:v>43</x:v>
      </x:c>
      <x:c r="U46" s="112" t="s">
        <x:v>43</x:v>
      </x:c>
      <x:c r="V46" s="104" t="s">
        <x:v>43</x:v>
      </x:c>
      <x:c r="W46" s="165" t="n">
        <x:v>0.002662037037037037</x:v>
      </x:c>
      <x:c r="X46" s="165" t="n">
        <x:v>0.0023148148148148147</x:v>
      </x:c>
      <x:c r="Y46" s="165" t="n">
        <x:v>0.0019675925925925924</x:v>
      </x:c>
      <x:c r="Z46" s="112"/>
      <x:c r="AA46" s="112"/>
      <x:c r="AB46" s="112"/>
      <x:c r="AC46" s="112"/>
      <x:c r="AD46" s="86"/>
    </x:row>
    <x:row r="47" ht="65.0999984741211" customHeight="1">
      <x:c r="A47" s="87" t="s">
        <x:v>192</x:v>
      </x:c>
      <x:c r="B47" s="104">
        <x:v>43</x:v>
      </x:c>
      <x:c r="C47" s="104">
        <x:v>1</x:v>
      </x:c>
      <x:c r="D47" s="104">
        <x:v>8</x:v>
      </x:c>
      <x:c r="E47" s="87" t="s">
        <x:v>280</x:v>
      </x:c>
      <x:c r="F47" s="87" t="s">
        <x:v>281</x:v>
      </x:c>
      <x:c r="G47" s="87" t="s">
        <x:v>282</x:v>
      </x:c>
      <x:c r="H47" s="87" t="s">
        <x:v>283</x:v>
      </x:c>
      <x:c r="I47" s="104">
        <x:v>2</x:v>
      </x:c>
      <x:c r="J47" s="87" t="s">
        <x:v>284</x:v>
      </x:c>
      <x:c r="K47" s="108" t="s">
        <x:v>285</x:v>
      </x:c>
      <x:c r="L47" s="108" t="s">
        <x:v>136</x:v>
      </x:c>
      <x:c r="M47" s="87" t="s">
        <x:v>286</x:v>
      </x:c>
      <x:c r="N47" s="110" t="n">
        <x:f t="shared" si="4">N46+(IFERROR(VALUE(LEFT(L47,FIND("분",L47)-1))*60,0)+IFERROR(VALUE(TRIM(MID(L47,IFERROR(FIND("분",L47),0)+1,IFERROR(FIND("초",L47),LEN(L47)+1)-IFERROR(FIND("분",L47),0)-1))),0))/86400</x:f>
        <x:v>0.042708333333333334</x:v>
      </x:c>
      <x:c r="O47" s="87" t="s">
        <x:v>196</x:v>
      </x:c>
      <x:c r="P47" s="112">
        <x:f t="shared" si="5"/>
        <x:v>158</x:v>
      </x:c>
      <x:c r="Q47" s="112">
        <x:v>4</x:v>
      </x:c>
      <x:c r="R47" s="116">
        <x:f t="shared" si="3"/>
        <x:v>269.60000000000002</x:v>
      </x:c>
      <x:c r="S47" s="104" t="s">
        <x:v>42</x:v>
      </x:c>
      <x:c r="T47" s="112" t="s">
        <x:v>43</x:v>
      </x:c>
      <x:c r="U47" s="112" t="s">
        <x:v>43</x:v>
      </x:c>
      <x:c r="V47" s="104" t="s">
        <x:v>43</x:v>
      </x:c>
      <x:c r="W47" s="165" t="n">
        <x:v>0.0009837962962962962</x:v>
      </x:c>
      <x:c r="X47" s="165" t="n">
        <x:v>0.0008680555555555555</x:v>
      </x:c>
      <x:c r="Y47" s="165" t="n">
        <x:v>0.0008101851851851852</x:v>
      </x:c>
      <x:c r="Z47" s="112"/>
      <x:c r="AA47" s="112"/>
      <x:c r="AB47" s="112"/>
      <x:c r="AC47" s="112"/>
      <x:c r="AD47" s="86"/>
    </x:row>
    <x:row r="48" ht="65.0999984741211" customHeight="1">
      <x:c r="A48" s="87" t="s">
        <x:v>192</x:v>
      </x:c>
      <x:c r="B48" s="104">
        <x:v>44</x:v>
      </x:c>
      <x:c r="C48" s="104">
        <x:v>1</x:v>
      </x:c>
      <x:c r="D48" s="104">
        <x:v>5</x:v>
      </x:c>
      <x:c r="E48" s="87" t="s">
        <x:v>287</x:v>
      </x:c>
      <x:c r="F48" s="87" t="s">
        <x:v>288</x:v>
      </x:c>
      <x:c r="G48" s="87" t="s">
        <x:v>289</x:v>
      </x:c>
      <x:c r="H48" s="87" t="s">
        <x:v>290</x:v>
      </x:c>
      <x:c r="I48" s="104">
        <x:v>4</x:v>
      </x:c>
      <x:c r="J48" s="87" t="s">
        <x:v>291</x:v>
      </x:c>
      <x:c r="K48" s="108" t="s">
        <x:v>292</x:v>
      </x:c>
      <x:c r="L48" s="108" t="s">
        <x:v>39</x:v>
      </x:c>
      <x:c r="M48" s="87" t="s">
        <x:v>293</x:v>
      </x:c>
      <x:c r="N48" s="110" t="n">
        <x:f t="shared" si="4">N47+(IFERROR(VALUE(LEFT(L48,FIND("분",L48)-1))*60,0)+IFERROR(VALUE(TRIM(MID(L48,IFERROR(FIND("분",L48),0)+1,IFERROR(FIND("초",L48),LEN(L48)+1)-IFERROR(FIND("분",L48),0)-1))),0))/86400</x:f>
        <x:v>0.043750000000000004</x:v>
      </x:c>
      <x:c r="O48" s="87" t="s">
        <x:v>196</x:v>
      </x:c>
      <x:c r="P48" s="112">
        <x:f t="shared" si="5"/>
        <x:v>160</x:v>
      </x:c>
      <x:c r="Q48" s="112">
        <x:v>2</x:v>
      </x:c>
      <x:c r="R48" s="116">
        <x:f t="shared" si="3"/>
        <x:v>276.16000000000003</x:v>
      </x:c>
      <x:c r="S48" s="104" t="s">
        <x:v>42</x:v>
      </x:c>
      <x:c r="T48" s="112" t="s">
        <x:v>43</x:v>
      </x:c>
      <x:c r="U48" s="112" t="s">
        <x:v>43</x:v>
      </x:c>
      <x:c r="V48" s="104" t="s">
        <x:v>43</x:v>
      </x:c>
      <x:c r="W48" s="165" t="n">
        <x:v>0.0012152777777777778</x:v>
      </x:c>
      <x:c r="X48" s="165" t="n">
        <x:v>0.001099537037037037</x:v>
      </x:c>
      <x:c r="Y48" s="165" t="n">
        <x:v>0.0010416666666666667</x:v>
      </x:c>
      <x:c r="Z48" s="112"/>
      <x:c r="AA48" s="112"/>
      <x:c r="AB48" s="112"/>
      <x:c r="AC48" s="112"/>
      <x:c r="AD48" s="86"/>
    </x:row>
    <x:row r="49" ht="65.0999984741211" customHeight="1">
      <x:c r="A49" s="87" t="s">
        <x:v>192</x:v>
      </x:c>
      <x:c r="B49" s="104">
        <x:v>45</x:v>
      </x:c>
      <x:c r="C49" s="104">
        <x:v>2</x:v>
      </x:c>
      <x:c r="D49" s="104">
        <x:v>6</x:v>
      </x:c>
      <x:c r="E49" s="87" t="s">
        <x:v>294</x:v>
      </x:c>
      <x:c r="F49" s="87" t="s">
        <x:v>66</x:v>
      </x:c>
      <x:c r="G49" s="87" t="s">
        <x:v>295</x:v>
      </x:c>
      <x:c r="H49" s="87" t="s">
        <x:v>80</x:v>
      </x:c>
      <x:c r="I49" s="104">
        <x:v>1</x:v>
      </x:c>
      <x:c r="J49" s="87" t="s">
        <x:v>296</x:v>
      </x:c>
      <x:c r="K49" s="108" t="s">
        <x:v>38</x:v>
      </x:c>
      <x:c r="L49" s="108" t="s">
        <x:v>82</x:v>
      </x:c>
      <x:c r="M49" s="87" t="s">
        <x:v>71</x:v>
      </x:c>
      <x:c r="N49" s="110" t="n">
        <x:f t="shared" si="4">N48+(IFERROR(VALUE(LEFT(L49,FIND("분",L49)-1))*60,0)+IFERROR(VALUE(TRIM(MID(L49,IFERROR(FIND("분",L49),0)+1,IFERROR(FIND("초",L49),LEN(L49)+1)-IFERROR(FIND("분",L49),0)-1))),0))/86400</x:f>
        <x:v>0.04461805555555556</x:v>
      </x:c>
      <x:c r="O49" s="87" t="s">
        <x:v>297</x:v>
      </x:c>
      <x:c r="P49" s="112">
        <x:f t="shared" si="5"/>
        <x:v>164</x:v>
      </x:c>
      <x:c r="Q49" s="112">
        <x:v>4</x:v>
      </x:c>
      <x:c r="R49" s="116">
        <x:f t="shared" si="3"/>
        <x:v>289.52999999999997</x:v>
      </x:c>
      <x:c r="S49" s="104" t="s">
        <x:v>42</x:v>
      </x:c>
      <x:c r="T49" s="112" t="s">
        <x:v>43</x:v>
      </x:c>
      <x:c r="U49" s="112" t="s">
        <x:v>43</x:v>
      </x:c>
      <x:c r="V49" s="104" t="s">
        <x:v>43</x:v>
      </x:c>
      <x:c r="W49" s="165" t="n">
        <x:v>0.0010416666666666667</x:v>
      </x:c>
      <x:c r="X49" s="165" t="n">
        <x:v>0.000925925925925926</x:v>
      </x:c>
      <x:c r="Y49" s="165" t="n">
        <x:v>0.0008680555555555555</x:v>
      </x:c>
      <x:c r="Z49" s="112"/>
      <x:c r="AA49" s="112"/>
      <x:c r="AB49" s="112"/>
      <x:c r="AC49" s="112"/>
      <x:c r="AD49" s="86"/>
    </x:row>
    <x:row r="50" ht="65.0999984741211" customHeight="1">
      <x:c r="A50" s="87" t="s">
        <x:v>192</x:v>
      </x:c>
      <x:c r="B50" s="104">
        <x:v>46</x:v>
      </x:c>
      <x:c r="C50" s="104">
        <x:v>2</x:v>
      </x:c>
      <x:c r="D50" s="104">
        <x:v>6</x:v>
      </x:c>
      <x:c r="E50" s="87" t="s">
        <x:v>298</x:v>
      </x:c>
      <x:c r="F50" s="87" t="s">
        <x:v>299</x:v>
      </x:c>
      <x:c r="G50" s="87" t="s">
        <x:v>300</x:v>
      </x:c>
      <x:c r="H50" s="87" t="s">
        <x:v>301</x:v>
      </x:c>
      <x:c r="I50" s="104">
        <x:v>8</x:v>
      </x:c>
      <x:c r="J50" s="87" t="s">
        <x:v>302</x:v>
      </x:c>
      <x:c r="K50" s="108" t="s">
        <x:v>303</x:v>
      </x:c>
      <x:c r="L50" s="108" t="s">
        <x:v>250</x:v>
      </x:c>
      <x:c r="M50" s="87" t="s">
        <x:v>304</x:v>
      </x:c>
      <x:c r="N50" s="110" t="n">
        <x:f t="shared" si="4">N49+(IFERROR(VALUE(LEFT(L50,FIND("분",L50)-1))*60,0)+IFERROR(VALUE(TRIM(MID(L50,IFERROR(FIND("분",L50),0)+1,IFERROR(FIND("초",L50),LEN(L50)+1)-IFERROR(FIND("분",L50),0)-1))),0))/86400</x:f>
        <x:v>0.046238425925925926</x:v>
      </x:c>
      <x:c r="O50" s="87" t="s">
        <x:v>297</x:v>
      </x:c>
      <x:c r="P50" s="112">
        <x:f t="shared" si="5"/>
        <x:v>168</x:v>
      </x:c>
      <x:c r="Q50" s="112">
        <x:v>4</x:v>
      </x:c>
      <x:c r="R50" s="116">
        <x:f t="shared" si="3"/>
        <x:v>303.20999999999998</x:v>
      </x:c>
      <x:c r="S50" s="104" t="s">
        <x:v>42</x:v>
      </x:c>
      <x:c r="T50" s="112" t="s">
        <x:v>43</x:v>
      </x:c>
      <x:c r="U50" s="112" t="s">
        <x:v>43</x:v>
      </x:c>
      <x:c r="V50" s="104" t="s">
        <x:v>43</x:v>
      </x:c>
      <x:c r="W50" s="165" t="n">
        <x:v>0.0019097222222222222</x:v>
      </x:c>
      <x:c r="X50" s="165" t="n">
        <x:v>0.001736111111111111</x:v>
      </x:c>
      <x:c r="Y50" s="165" t="n">
        <x:v>0.0016203703703703703</x:v>
      </x:c>
      <x:c r="Z50" s="112"/>
      <x:c r="AA50" s="112"/>
      <x:c r="AB50" s="112"/>
      <x:c r="AC50" s="112"/>
      <x:c r="AD50" s="86"/>
    </x:row>
    <x:row r="51" ht="65.0999984741211" customHeight="1">
      <x:c r="A51" s="87" t="s">
        <x:v>192</x:v>
      </x:c>
      <x:c r="B51" s="104">
        <x:v>47</x:v>
      </x:c>
      <x:c r="C51" s="104">
        <x:v>3</x:v>
      </x:c>
      <x:c r="D51" s="104">
        <x:v>7</x:v>
      </x:c>
      <x:c r="E51" s="87" t="s">
        <x:v>305</x:v>
      </x:c>
      <x:c r="F51" s="87" t="s">
        <x:v>299</x:v>
      </x:c>
      <x:c r="G51" s="87" t="s">
        <x:v>306</x:v>
      </x:c>
      <x:c r="H51" s="87" t="s">
        <x:v>307</x:v>
      </x:c>
      <x:c r="I51" s="104">
        <x:v>10</x:v>
      </x:c>
      <x:c r="J51" s="87" t="s">
        <x:v>308</x:v>
      </x:c>
      <x:c r="K51" s="108" t="s">
        <x:v>303</x:v>
      </x:c>
      <x:c r="L51" s="108" t="s">
        <x:v>233</x:v>
      </x:c>
      <x:c r="M51" s="87" t="s">
        <x:v>304</x:v>
      </x:c>
      <x:c r="N51" s="110" t="n">
        <x:f t="shared" si="4">N50+(IFERROR(VALUE(LEFT(L51,FIND("분",L51)-1))*60,0)+IFERROR(VALUE(TRIM(MID(L51,IFERROR(FIND("분",L51),0)+1,IFERROR(FIND("초",L51),LEN(L51)+1)-IFERROR(FIND("분",L51),0)-1))),0))/86400</x:f>
        <x:v>0.04832175925925926</x:v>
      </x:c>
      <x:c r="O51" s="87" t="s">
        <x:v>297</x:v>
      </x:c>
      <x:c r="P51" s="112">
        <x:f t="shared" si="5"/>
        <x:v>173</x:v>
      </x:c>
      <x:c r="Q51" s="112">
        <x:v>5</x:v>
      </x:c>
      <x:c r="R51" s="116">
        <x:f t="shared" si="3"/>
        <x:v>320.75</x:v>
      </x:c>
      <x:c r="S51" s="104" t="s">
        <x:v>42</x:v>
      </x:c>
      <x:c r="T51" s="112" t="s">
        <x:v>43</x:v>
      </x:c>
      <x:c r="U51" s="112" t="s">
        <x:v>43</x:v>
      </x:c>
      <x:c r="V51" s="104" t="s">
        <x:v>43</x:v>
      </x:c>
      <x:c r="W51" s="165" t="n">
        <x:v>0.0028356481481481483</x:v>
      </x:c>
      <x:c r="X51" s="165" t="n">
        <x:v>0.0024305555555555556</x:v>
      </x:c>
      <x:c r="Y51" s="165" t="n">
        <x:v>0.0020833333333333333</x:v>
      </x:c>
      <x:c r="Z51" s="112"/>
      <x:c r="AA51" s="112"/>
      <x:c r="AB51" s="112"/>
      <x:c r="AC51" s="112"/>
      <x:c r="AD51" s="86"/>
    </x:row>
    <x:row r="52" ht="65.0999984741211" customHeight="1">
      <x:c r="A52" s="87" t="s">
        <x:v>192</x:v>
      </x:c>
      <x:c r="B52" s="104">
        <x:v>48</x:v>
      </x:c>
      <x:c r="C52" s="104">
        <x:v>3</x:v>
      </x:c>
      <x:c r="D52" s="104">
        <x:v>7</x:v>
      </x:c>
      <x:c r="E52" s="87" t="s">
        <x:v>309</x:v>
      </x:c>
      <x:c r="F52" s="87" t="s">
        <x:v>299</x:v>
      </x:c>
      <x:c r="G52" s="87" t="s">
        <x:v>310</x:v>
      </x:c>
      <x:c r="H52" s="87" t="s">
        <x:v>311</x:v>
      </x:c>
      <x:c r="I52" s="104">
        <x:v>6</x:v>
      </x:c>
      <x:c r="J52" s="87" t="s">
        <x:v>312</x:v>
      </x:c>
      <x:c r="K52" s="108" t="s">
        <x:v>303</x:v>
      </x:c>
      <x:c r="L52" s="108" t="s">
        <x:v>238</x:v>
      </x:c>
      <x:c r="M52" s="87" t="s">
        <x:v>304</x:v>
      </x:c>
      <x:c r="N52" s="110" t="n">
        <x:f t="shared" si="4">N51+(IFERROR(VALUE(LEFT(L52,FIND("분",L52)-1))*60,0)+IFERROR(VALUE(TRIM(MID(L52,IFERROR(FIND("분",L52),0)+1,IFERROR(FIND("초",L52),LEN(L52)+1)-IFERROR(FIND("분",L52),0)-1))),0))/86400</x:f>
        <x:v>0.05017361111111111</x:v>
      </x:c>
      <x:c r="O52" s="87" t="s">
        <x:v>297</x:v>
      </x:c>
      <x:c r="P52" s="112">
        <x:f t="shared" si="5"/>
        <x:v>178</x:v>
      </x:c>
      <x:c r="Q52" s="112">
        <x:v>5</x:v>
      </x:c>
      <x:c r="R52" s="116">
        <x:f t="shared" si="3"/>
        <x:v>338.79</x:v>
      </x:c>
      <x:c r="S52" s="104" t="s">
        <x:v>42</x:v>
      </x:c>
      <x:c r="T52" s="112" t="s">
        <x:v>43</x:v>
      </x:c>
      <x:c r="U52" s="112" t="s">
        <x:v>43</x:v>
      </x:c>
      <x:c r="V52" s="104" t="s">
        <x:v>43</x:v>
      </x:c>
      <x:c r="W52" s="165" t="n">
        <x:v>0.0025462962962962965</x:v>
      </x:c>
      <x:c r="X52" s="165" t="n">
        <x:v>0.0021412037037037038</x:v>
      </x:c>
      <x:c r="Y52" s="165" t="n">
        <x:v>0.001851851851851852</x:v>
      </x:c>
      <x:c r="Z52" s="112"/>
      <x:c r="AA52" s="112"/>
      <x:c r="AB52" s="112"/>
      <x:c r="AC52" s="112"/>
      <x:c r="AD52" s="86"/>
    </x:row>
    <x:row r="53" ht="65.0999984741211" customHeight="1">
      <x:c r="A53" s="87" t="s">
        <x:v>192</x:v>
      </x:c>
      <x:c r="B53" s="104">
        <x:v>49</x:v>
      </x:c>
      <x:c r="C53" s="104">
        <x:v>5</x:v>
      </x:c>
      <x:c r="D53" s="104">
        <x:v>8</x:v>
      </x:c>
      <x:c r="E53" s="87" t="s">
        <x:v>313</x:v>
      </x:c>
      <x:c r="F53" s="87" t="s">
        <x:v>314</x:v>
      </x:c>
      <x:c r="G53" s="87" t="s">
        <x:v>315</x:v>
      </x:c>
      <x:c r="H53" s="87" t="s">
        <x:v>316</x:v>
      </x:c>
      <x:c r="I53" s="104">
        <x:v>10</x:v>
      </x:c>
      <x:c r="J53" s="87" t="s">
        <x:v>317</x:v>
      </x:c>
      <x:c r="K53" s="108" t="s">
        <x:v>318</x:v>
      </x:c>
      <x:c r="L53" s="108" t="s">
        <x:v>159</x:v>
      </x:c>
      <x:c r="M53" s="87" t="s">
        <x:v>319</x:v>
      </x:c>
      <x:c r="N53" s="110" t="n">
        <x:f t="shared" si="4">N52+(IFERROR(VALUE(LEFT(L53,FIND("분",L53)-1))*60,0)+IFERROR(VALUE(TRIM(MID(L53,IFERROR(FIND("분",L53),0)+1,IFERROR(FIND("초",L53),LEN(L53)+1)-IFERROR(FIND("분",L53),0)-1))),0))/86400</x:f>
        <x:v>0.05133101851851852</x:v>
      </x:c>
      <x:c r="O53" s="87" t="s">
        <x:v>297</x:v>
      </x:c>
      <x:c r="P53" s="112">
        <x:f t="shared" si="5"/>
        <x:v>185</x:v>
      </x:c>
      <x:c r="Q53" s="112">
        <x:v>7</x:v>
      </x:c>
      <x:c r="R53" s="116">
        <x:f t="shared" si="3"/>
        <x:v>364.87</x:v>
      </x:c>
      <x:c r="S53" s="104" t="s">
        <x:v>42</x:v>
      </x:c>
      <x:c r="T53" s="112" t="s">
        <x:v>43</x:v>
      </x:c>
      <x:c r="U53" s="112" t="s">
        <x:v>43</x:v>
      </x:c>
      <x:c r="V53" s="104" t="s">
        <x:v>43</x:v>
      </x:c>
      <x:c r="W53" s="165" t="n">
        <x:v>0.001851851851851852</x:v>
      </x:c>
      <x:c r="X53" s="165" t="n">
        <x:v>0.0015046296296296296</x:v>
      </x:c>
      <x:c r="Y53" s="165" t="n">
        <x:v>0.0011574074074074073</x:v>
      </x:c>
      <x:c r="Z53" s="112"/>
      <x:c r="AA53" s="112"/>
      <x:c r="AB53" s="112"/>
      <x:c r="AC53" s="112"/>
      <x:c r="AD53" s="86"/>
    </x:row>
    <x:row r="54" ht="65.0999984741211" customHeight="1">
      <x:c r="A54" s="87" t="s">
        <x:v>192</x:v>
      </x:c>
      <x:c r="B54" s="104">
        <x:v>50</x:v>
      </x:c>
      <x:c r="C54" s="104">
        <x:v>2</x:v>
      </x:c>
      <x:c r="D54" s="104">
        <x:v>7</x:v>
      </x:c>
      <x:c r="E54" s="87" t="s">
        <x:v>320</x:v>
      </x:c>
      <x:c r="F54" s="87" t="s">
        <x:v>288</x:v>
      </x:c>
      <x:c r="G54" s="87" t="s">
        <x:v>321</x:v>
      </x:c>
      <x:c r="H54" s="87" t="s">
        <x:v>290</x:v>
      </x:c>
      <x:c r="I54" s="104">
        <x:v>3</x:v>
      </x:c>
      <x:c r="J54" s="87" t="s">
        <x:v>291</x:v>
      </x:c>
      <x:c r="K54" s="108" t="s">
        <x:v>292</x:v>
      </x:c>
      <x:c r="L54" s="108" t="s">
        <x:v>136</x:v>
      </x:c>
      <x:c r="M54" s="87" t="s">
        <x:v>293</x:v>
      </x:c>
      <x:c r="N54" s="110" t="n">
        <x:f t="shared" si="4">N53+(IFERROR(VALUE(LEFT(L54,FIND("분",L54)-1))*60,0)+IFERROR(VALUE(TRIM(MID(L54,IFERROR(FIND("분",L54),0)+1,IFERROR(FIND("초",L54),LEN(L54)+1)-IFERROR(FIND("분",L54),0)-1))),0))/86400</x:f>
        <x:v>0.052141203703703703</x:v>
      </x:c>
      <x:c r="O54" s="87" t="s">
        <x:v>297</x:v>
      </x:c>
      <x:c r="P54" s="112">
        <x:f t="shared" si="5"/>
        <x:v>189</x:v>
      </x:c>
      <x:c r="Q54" s="112">
        <x:v>4</x:v>
      </x:c>
      <x:c r="R54" s="116">
        <x:f t="shared" si="3"/>
        <x:v>380.2</x:v>
      </x:c>
      <x:c r="S54" s="104" t="s">
        <x:v>42</x:v>
      </x:c>
      <x:c r="T54" s="112" t="s">
        <x:v>43</x:v>
      </x:c>
      <x:c r="U54" s="112" t="s">
        <x:v>43</x:v>
      </x:c>
      <x:c r="V54" s="104" t="s">
        <x:v>43</x:v>
      </x:c>
      <x:c r="W54" s="165" t="n">
        <x:v>0.0009837962962962962</x:v>
      </x:c>
      <x:c r="X54" s="165" t="n">
        <x:v>0.0008680555555555555</x:v>
      </x:c>
      <x:c r="Y54" s="165" t="n">
        <x:v>0.0008101851851851852</x:v>
      </x:c>
      <x:c r="Z54" s="112"/>
      <x:c r="AA54" s="112"/>
      <x:c r="AB54" s="112"/>
      <x:c r="AC54" s="112"/>
      <x:c r="AD54" s="86"/>
    </x:row>
    <x:row r="55" ht="65.0999984741211" customHeight="1">
      <x:c r="A55" s="87" t="s">
        <x:v>192</x:v>
      </x:c>
      <x:c r="B55" s="104">
        <x:v>51</x:v>
      </x:c>
      <x:c r="C55" s="104">
        <x:v>1</x:v>
      </x:c>
      <x:c r="D55" s="104">
        <x:v>9</x:v>
      </x:c>
      <x:c r="E55" s="87" t="s">
        <x:v>322</x:v>
      </x:c>
      <x:c r="F55" s="87" t="s">
        <x:v>198</x:v>
      </x:c>
      <x:c r="G55" s="87" t="s">
        <x:v>323</x:v>
      </x:c>
      <x:c r="H55" s="87" t="s">
        <x:v>200</x:v>
      </x:c>
      <x:c r="I55" s="104">
        <x:v>1</x:v>
      </x:c>
      <x:c r="J55" s="87" t="s">
        <x:v>201</x:v>
      </x:c>
      <x:c r="K55" s="108" t="s">
        <x:v>38</x:v>
      </x:c>
      <x:c r="L55" s="108" t="s">
        <x:v>112</x:v>
      </x:c>
      <x:c r="M55" s="87" t="s">
        <x:v>202</x:v>
      </x:c>
      <x:c r="N55" s="110" t="n">
        <x:f t="shared" si="4">N54+(IFERROR(VALUE(LEFT(L55,FIND("분",L55)-1))*60,0)+IFERROR(VALUE(TRIM(MID(L55,IFERROR(FIND("분",L55),0)+1,IFERROR(FIND("초",L55),LEN(L55)+1)-IFERROR(FIND("분",L55),0)-1))),0))/86400</x:f>
        <x:v>0.05271990740740741</x:v>
      </x:c>
      <x:c r="O55" s="87" t="s">
        <x:v>324</x:v>
      </x:c>
      <x:c r="P55" s="112">
        <x:f t="shared" si="5"/>
        <x:v>193</x:v>
      </x:c>
      <x:c r="Q55" s="112">
        <x:v>4</x:v>
      </x:c>
      <x:c r="R55" s="116">
        <x:f t="shared" si="3"/>
        <x:v>395.85</x:v>
      </x:c>
      <x:c r="S55" s="104" t="s">
        <x:v>42</x:v>
      </x:c>
      <x:c r="T55" s="112" t="s">
        <x:v>43</x:v>
      </x:c>
      <x:c r="U55" s="112" t="s">
        <x:v>43</x:v>
      </x:c>
      <x:c r="V55" s="104" t="s">
        <x:v>43</x:v>
      </x:c>
      <x:c r="W55" s="165" t="n">
        <x:v>0.0006944444444444445</x:v>
      </x:c>
      <x:c r="X55" s="165" t="n">
        <x:v>0.0006365740740740741</x:v>
      </x:c>
      <x:c r="Y55" s="165" t="n">
        <x:v>0.0005787037037037037</x:v>
      </x:c>
      <x:c r="Z55" s="112"/>
      <x:c r="AA55" s="112"/>
      <x:c r="AB55" s="112"/>
      <x:c r="AC55" s="112"/>
      <x:c r="AD55" s="86"/>
    </x:row>
    <x:row r="56" ht="65.0999984741211" customHeight="1">
      <x:c r="A56" s="87" t="s">
        <x:v>192</x:v>
      </x:c>
      <x:c r="B56" s="104">
        <x:v>52</x:v>
      </x:c>
      <x:c r="C56" s="104">
        <x:v>2</x:v>
      </x:c>
      <x:c r="D56" s="104">
        <x:v>9</x:v>
      </x:c>
      <x:c r="E56" s="87" t="s">
        <x:v>325</x:v>
      </x:c>
      <x:c r="F56" s="87" t="s">
        <x:v>173</x:v>
      </x:c>
      <x:c r="G56" s="87" t="s">
        <x:v>326</x:v>
      </x:c>
      <x:c r="H56" s="87" t="s">
        <x:v>327</x:v>
      </x:c>
      <x:c r="I56" s="104">
        <x:v>3</x:v>
      </x:c>
      <x:c r="J56" s="87" t="s">
        <x:v>176</x:v>
      </x:c>
      <x:c r="K56" s="108" t="s">
        <x:v>38</x:v>
      </x:c>
      <x:c r="L56" s="108" t="s">
        <x:v>328</x:v>
      </x:c>
      <x:c r="M56" s="87" t="s">
        <x:v>177</x:v>
      </x:c>
      <x:c r="N56" s="110" t="n">
        <x:f t="shared" si="4">N55+(IFERROR(VALUE(LEFT(L56,FIND("분",L56)-1))*60,0)+IFERROR(VALUE(TRIM(MID(L56,IFERROR(FIND("분",L56),0)+1,IFERROR(FIND("초",L56),LEN(L56)+1)-IFERROR(FIND("분",L56),0)-1))),0))/86400</x:f>
        <x:v>0.05381944444444445</x:v>
      </x:c>
      <x:c r="O56" s="87" t="s">
        <x:v>324</x:v>
      </x:c>
      <x:c r="P56" s="112">
        <x:f t="shared" si="5"/>
        <x:v>198</x:v>
      </x:c>
      <x:c r="Q56" s="112">
        <x:v>5</x:v>
      </x:c>
      <x:c r="R56" s="116">
        <x:f t="shared" si="3"/>
        <x:v>415.86</x:v>
      </x:c>
      <x:c r="S56" s="104" t="s">
        <x:v>42</x:v>
      </x:c>
      <x:c r="T56" s="112" t="s">
        <x:v>43</x:v>
      </x:c>
      <x:c r="U56" s="112" t="s">
        <x:v>43</x:v>
      </x:c>
      <x:c r="V56" s="104" t="s">
        <x:v>43</x:v>
      </x:c>
      <x:c r="W56" s="165" t="n">
        <x:v>0.0012731481481481483</x:v>
      </x:c>
      <x:c r="X56" s="165" t="n">
        <x:v>0.0011574074074074073</x:v>
      </x:c>
      <x:c r="Y56" s="165" t="n">
        <x:v>0.001099537037037037</x:v>
      </x:c>
      <x:c r="Z56" s="112"/>
      <x:c r="AA56" s="112"/>
      <x:c r="AB56" s="112"/>
      <x:c r="AC56" s="112"/>
      <x:c r="AD56" s="86"/>
    </x:row>
    <x:row r="57" ht="65.0999984741211" customHeight="1">
      <x:c r="A57" s="87" t="s">
        <x:v>192</x:v>
      </x:c>
      <x:c r="B57" s="104">
        <x:v>53</x:v>
      </x:c>
      <x:c r="C57" s="104">
        <x:v>2</x:v>
      </x:c>
      <x:c r="D57" s="104">
        <x:v>5</x:v>
      </x:c>
      <x:c r="E57" s="87" t="s">
        <x:v>329</x:v>
      </x:c>
      <x:c r="F57" s="87" t="s">
        <x:v>66</x:v>
      </x:c>
      <x:c r="G57" s="87" t="s">
        <x:v>330</x:v>
      </x:c>
      <x:c r="H57" s="87" t="s">
        <x:v>80</x:v>
      </x:c>
      <x:c r="I57" s="104">
        <x:v>1</x:v>
      </x:c>
      <x:c r="J57" s="87" t="s">
        <x:v>331</x:v>
      </x:c>
      <x:c r="K57" s="108" t="s">
        <x:v>38</x:v>
      </x:c>
      <x:c r="L57" s="108" t="s">
        <x:v>117</x:v>
      </x:c>
      <x:c r="M57" s="87" t="s">
        <x:v>71</x:v>
      </x:c>
      <x:c r="N57" s="110" t="n">
        <x:f t="shared" si="4">N56+(IFERROR(VALUE(LEFT(L57,FIND("분",L57)-1))*60,0)+IFERROR(VALUE(TRIM(MID(L57,IFERROR(FIND("분",L57),0)+1,IFERROR(FIND("초",L57),LEN(L57)+1)-IFERROR(FIND("분",L57),0)-1))),0))/86400</x:f>
        <x:v>0.05520833333333334</x:v>
      </x:c>
      <x:c r="O57" s="87" t="s">
        <x:v>332</x:v>
      </x:c>
      <x:c r="P57" s="112">
        <x:f t="shared" si="5"/>
        <x:v>201</x:v>
      </x:c>
      <x:c r="Q57" s="112">
        <x:v>3</x:v>
      </x:c>
      <x:c r="R57" s="116">
        <x:f t="shared" si="3"/>
        <x:v>428.1</x:v>
      </x:c>
      <x:c r="S57" s="104" t="s">
        <x:v>42</x:v>
      </x:c>
      <x:c r="T57" s="112" t="s">
        <x:v>43</x:v>
      </x:c>
      <x:c r="U57" s="112" t="s">
        <x:v>43</x:v>
      </x:c>
      <x:c r="V57" s="104" t="s">
        <x:v>43</x:v>
      </x:c>
      <x:c r="W57" s="165" t="n">
        <x:v>0.0016203703703703703</x:v>
      </x:c>
      <x:c r="X57" s="165" t="n">
        <x:v>0.0015046296296296296</x:v>
      </x:c>
      <x:c r="Y57" s="165" t="n">
        <x:v>0.001388888888888889</x:v>
      </x:c>
      <x:c r="Z57" s="112"/>
      <x:c r="AA57" s="112"/>
      <x:c r="AB57" s="112"/>
      <x:c r="AC57" s="112"/>
      <x:c r="AD57" s="86"/>
    </x:row>
    <x:row r="58" ht="65.0999984741211" customHeight="1">
      <x:c r="A58" s="87" t="s">
        <x:v>192</x:v>
      </x:c>
      <x:c r="B58" s="104">
        <x:v>54</x:v>
      </x:c>
      <x:c r="C58" s="104">
        <x:v>1</x:v>
      </x:c>
      <x:c r="D58" s="104">
        <x:v>5</x:v>
      </x:c>
      <x:c r="E58" s="87" t="s">
        <x:v>333</x:v>
      </x:c>
      <x:c r="F58" s="87" t="s">
        <x:v>334</x:v>
      </x:c>
      <x:c r="G58" s="87" t="s">
        <x:v>335</x:v>
      </x:c>
      <x:c r="H58" s="87" t="s">
        <x:v>336</x:v>
      </x:c>
      <x:c r="I58" s="104">
        <x:v>1</x:v>
      </x:c>
      <x:c r="J58" s="87" t="s">
        <x:v>337</x:v>
      </x:c>
      <x:c r="K58" s="108" t="s">
        <x:v>38</x:v>
      </x:c>
      <x:c r="L58" s="108" t="s">
        <x:v>94</x:v>
      </x:c>
      <x:c r="M58" s="87" t="s">
        <x:v>338</x:v>
      </x:c>
      <x:c r="N58" s="110" t="n">
        <x:f t="shared" si="4">N57+(IFERROR(VALUE(LEFT(L58,FIND("분",L58)-1))*60,0)+IFERROR(VALUE(TRIM(MID(L58,IFERROR(FIND("분",L58),0)+1,IFERROR(FIND("초",L58),LEN(L58)+1)-IFERROR(FIND("분",L58),0)-1))),0))/86400</x:f>
        <x:v>0.055613425925925934</x:v>
      </x:c>
      <x:c r="O58" s="87" t="s">
        <x:v>332</x:v>
      </x:c>
      <x:c r="P58" s="112">
        <x:f t="shared" si="5"/>
        <x:v>203</x:v>
      </x:c>
      <x:c r="Q58" s="112">
        <x:v>2</x:v>
      </x:c>
      <x:c r="R58" s="116">
        <x:f t="shared" si="3"/>
        <x:v>436.36</x:v>
      </x:c>
      <x:c r="S58" s="104" t="s">
        <x:v>42</x:v>
      </x:c>
      <x:c r="T58" s="112" t="s">
        <x:v>43</x:v>
      </x:c>
      <x:c r="U58" s="112" t="s">
        <x:v>43</x:v>
      </x:c>
      <x:c r="V58" s="104" t="s">
        <x:v>43</x:v>
      </x:c>
      <x:c r="W58" s="165" t="n">
        <x:v>0.0005208333333333333</x:v>
      </x:c>
      <x:c r="X58" s="165" t="n">
        <x:v>0.000462962962962963</x:v>
      </x:c>
      <x:c r="Y58" s="165" t="n">
        <x:v>0.0004050925925925926</x:v>
      </x:c>
      <x:c r="Z58" s="112"/>
      <x:c r="AA58" s="112"/>
      <x:c r="AB58" s="112"/>
      <x:c r="AC58" s="112"/>
      <x:c r="AD58" s="86"/>
    </x:row>
    <x:row r="59" ht="65.0999984741211" customHeight="1">
      <x:c r="A59" s="87" t="s">
        <x:v>339</x:v>
      </x:c>
      <x:c r="B59" s="104">
        <x:v>55</x:v>
      </x:c>
      <x:c r="C59" s="104">
        <x:v>1</x:v>
      </x:c>
      <x:c r="D59" s="104">
        <x:v>6</x:v>
      </x:c>
      <x:c r="E59" s="87" t="s">
        <x:v>340</x:v>
      </x:c>
      <x:c r="F59" s="87" t="s">
        <x:v>341</x:v>
      </x:c>
      <x:c r="G59" s="87" t="s">
        <x:v>342</x:v>
      </x:c>
      <x:c r="H59" s="87" t="s">
        <x:v>343</x:v>
      </x:c>
      <x:c r="I59" s="104">
        <x:v>2</x:v>
      </x:c>
      <x:c r="J59" s="87" t="s">
        <x:v>344</x:v>
      </x:c>
      <x:c r="K59" s="108" t="s">
        <x:v>38</x:v>
      </x:c>
      <x:c r="L59" s="108" t="s">
        <x:v>63</x:v>
      </x:c>
      <x:c r="M59" s="87" t="s">
        <x:v>345</x:v>
      </x:c>
      <x:c r="N59" s="110" t="n">
        <x:f t="shared" si="4">N58+(IFERROR(VALUE(LEFT(L59,FIND("분",L59)-1))*60,0)+IFERROR(VALUE(TRIM(MID(L59,IFERROR(FIND("분",L59),0)+1,IFERROR(FIND("초",L59),LEN(L59)+1)-IFERROR(FIND("분",L59),0)-1))),0))/86400</x:f>
        <x:v>0.0560763888888889</x:v>
      </x:c>
      <x:c r="O59" s="87" t="s">
        <x:v>346</x:v>
      </x:c>
      <x:c r="P59" s="112">
        <x:f t="shared" si="5"/>
        <x:v>206</x:v>
      </x:c>
      <x:c r="Q59" s="112">
        <x:v>3</x:v>
      </x:c>
      <x:c r="R59" s="116">
        <x:f t="shared" si="3"/>
        <x:v>448.89</x:v>
      </x:c>
      <x:c r="S59" s="104" t="s">
        <x:v>42</x:v>
      </x:c>
      <x:c r="T59" s="112" t="s">
        <x:v>43</x:v>
      </x:c>
      <x:c r="U59" s="112" t="s">
        <x:v>43</x:v>
      </x:c>
      <x:c r="V59" s="104" t="s">
        <x:v>43</x:v>
      </x:c>
      <x:c r="W59" s="165" t="n">
        <x:v>0.0005787037037037037</x:v>
      </x:c>
      <x:c r="X59" s="165" t="n">
        <x:v>0.0005208333333333333</x:v>
      </x:c>
      <x:c r="Y59" s="165" t="n">
        <x:v>0.000462962962962963</x:v>
      </x:c>
      <x:c r="Z59" s="112"/>
      <x:c r="AA59" s="112"/>
      <x:c r="AB59" s="112"/>
      <x:c r="AC59" s="112"/>
      <x:c r="AD59" s="86"/>
    </x:row>
    <x:row r="60" ht="65.0999984741211" customHeight="1">
      <x:c r="A60" s="87" t="s">
        <x:v>339</x:v>
      </x:c>
      <x:c r="B60" s="104">
        <x:v>56</x:v>
      </x:c>
      <x:c r="C60" s="104">
        <x:v>2</x:v>
      </x:c>
      <x:c r="D60" s="104">
        <x:v>8</x:v>
      </x:c>
      <x:c r="E60" s="87" t="s">
        <x:v>347</x:v>
      </x:c>
      <x:c r="F60" s="87" t="s">
        <x:v>52</x:v>
      </x:c>
      <x:c r="G60" s="87" t="s">
        <x:v>53</x:v>
      </x:c>
      <x:c r="H60" s="87" t="s">
        <x:v>348</x:v>
      </x:c>
      <x:c r="I60" s="104">
        <x:v>3</x:v>
      </x:c>
      <x:c r="J60" s="87" t="s">
        <x:v>349</x:v>
      </x:c>
      <x:c r="K60" s="108" t="s">
        <x:v>38</x:v>
      </x:c>
      <x:c r="L60" s="108" t="s">
        <x:v>136</x:v>
      </x:c>
      <x:c r="M60" s="87" t="s">
        <x:v>57</x:v>
      </x:c>
      <x:c r="N60" s="110" t="n">
        <x:f t="shared" si="4">N59+(IFERROR(VALUE(LEFT(L60,FIND("분",L60)-1))*60,0)+IFERROR(VALUE(TRIM(MID(L60,IFERROR(FIND("분",L60),0)+1,IFERROR(FIND("초",L60),LEN(L60)+1)-IFERROR(FIND("분",L60),0)-1))),0))/86400</x:f>
        <x:v>0.05688657407407408</x:v>
      </x:c>
      <x:c r="O60" s="87" t="s">
        <x:v>346</x:v>
      </x:c>
      <x:c r="P60" s="112">
        <x:f t="shared" si="5"/>
        <x:v>211</x:v>
      </x:c>
      <x:c r="Q60" s="112">
        <x:v>5</x:v>
      </x:c>
      <x:c r="R60" s="116">
        <x:f t="shared" si="3"/>
        <x:v>470.18</x:v>
      </x:c>
      <x:c r="S60" s="104" t="s">
        <x:v>42</x:v>
      </x:c>
      <x:c r="T60" s="112" t="s">
        <x:v>43</x:v>
      </x:c>
      <x:c r="U60" s="112" t="s">
        <x:v>43</x:v>
      </x:c>
      <x:c r="V60" s="104" t="s">
        <x:v>43</x:v>
      </x:c>
      <x:c r="W60" s="165" t="n">
        <x:v>0.0009837962962962962</x:v>
      </x:c>
      <x:c r="X60" s="165" t="n">
        <x:v>0.0008680555555555555</x:v>
      </x:c>
      <x:c r="Y60" s="165" t="n">
        <x:v>0.0008101851851851852</x:v>
      </x:c>
      <x:c r="Z60" s="112"/>
      <x:c r="AA60" s="112"/>
      <x:c r="AB60" s="112"/>
      <x:c r="AC60" s="112"/>
      <x:c r="AD60" s="86"/>
    </x:row>
    <x:row r="61" ht="65.0999984741211" customHeight="1">
      <x:c r="A61" s="87" t="s">
        <x:v>339</x:v>
      </x:c>
      <x:c r="B61" s="104">
        <x:v>57</x:v>
      </x:c>
      <x:c r="C61" s="104">
        <x:v>3</x:v>
      </x:c>
      <x:c r="D61" s="104">
        <x:v>7</x:v>
      </x:c>
      <x:c r="E61" s="87" t="s">
        <x:v>350</x:v>
      </x:c>
      <x:c r="F61" s="87" t="s">
        <x:v>351</x:v>
      </x:c>
      <x:c r="G61" s="87" t="s">
        <x:v>352</x:v>
      </x:c>
      <x:c r="H61" s="87" t="s">
        <x:v>353</x:v>
      </x:c>
      <x:c r="I61" s="104">
        <x:v>5</x:v>
      </x:c>
      <x:c r="J61" s="87" t="s">
        <x:v>354</x:v>
      </x:c>
      <x:c r="K61" s="108" t="s">
        <x:v>355</x:v>
      </x:c>
      <x:c r="L61" s="108" t="s">
        <x:v>117</x:v>
      </x:c>
      <x:c r="M61" s="87" t="s">
        <x:v>356</x:v>
      </x:c>
      <x:c r="N61" s="110" t="n">
        <x:f t="shared" si="4">N60+(IFERROR(VALUE(LEFT(L61,FIND("분",L61)-1))*60,0)+IFERROR(VALUE(TRIM(MID(L61,IFERROR(FIND("분",L61),0)+1,IFERROR(FIND("초",L61),LEN(L61)+1)-IFERROR(FIND("분",L61),0)-1))),0))/86400</x:f>
        <x:v>0.05827546296296297</x:v>
      </x:c>
      <x:c r="O61" s="87" t="s">
        <x:v>346</x:v>
      </x:c>
      <x:c r="P61" s="112">
        <x:f t="shared" si="5"/>
        <x:v>216</x:v>
      </x:c>
      <x:c r="Q61" s="112">
        <x:v>5</x:v>
      </x:c>
      <x:c r="R61" s="116">
        <x:f t="shared" si="3"/>
        <x:v>491.96</x:v>
      </x:c>
      <x:c r="S61" s="104" t="s">
        <x:v>42</x:v>
      </x:c>
      <x:c r="T61" s="112" t="s">
        <x:v>43</x:v>
      </x:c>
      <x:c r="U61" s="112" t="s">
        <x:v>43</x:v>
      </x:c>
      <x:c r="V61" s="104" t="s">
        <x:v>43</x:v>
      </x:c>
      <x:c r="W61" s="165" t="n">
        <x:v>0.0019097222222222222</x:v>
      </x:c>
      <x:c r="X61" s="165" t="n">
        <x:v>0.0016203703703703703</x:v>
      </x:c>
      <x:c r="Y61" s="165" t="n">
        <x:v>0.001388888888888889</x:v>
      </x:c>
      <x:c r="Z61" s="112"/>
      <x:c r="AA61" s="112"/>
      <x:c r="AB61" s="112"/>
      <x:c r="AC61" s="112"/>
      <x:c r="AD61" s="86"/>
    </x:row>
    <x:row r="62" ht="65.0999984741211" customHeight="1">
      <x:c r="A62" s="87" t="s">
        <x:v>339</x:v>
      </x:c>
      <x:c r="B62" s="104">
        <x:v>58</x:v>
      </x:c>
      <x:c r="C62" s="104">
        <x:v>4</x:v>
      </x:c>
      <x:c r="D62" s="104">
        <x:v>9</x:v>
      </x:c>
      <x:c r="E62" s="87" t="s">
        <x:v>357</x:v>
      </x:c>
      <x:c r="F62" s="87" t="s">
        <x:v>358</x:v>
      </x:c>
      <x:c r="G62" s="87" t="s">
        <x:v>359</x:v>
      </x:c>
      <x:c r="H62" s="87" t="s">
        <x:v>360</x:v>
      </x:c>
      <x:c r="I62" s="104">
        <x:v>3</x:v>
      </x:c>
      <x:c r="J62" s="87" t="s">
        <x:v>361</x:v>
      </x:c>
      <x:c r="K62" s="108" t="s">
        <x:v>362</x:v>
      </x:c>
      <x:c r="L62" s="108" t="s">
        <x:v>238</x:v>
      </x:c>
      <x:c r="M62" s="87" t="s">
        <x:v>363</x:v>
      </x:c>
      <x:c r="N62" s="110" t="n">
        <x:f t="shared" si="4">N61+(IFERROR(VALUE(LEFT(L62,FIND("분",L62)-1))*60,0)+IFERROR(VALUE(TRIM(MID(L62,IFERROR(FIND("분",L62),0)+1,IFERROR(FIND("초",L62),LEN(L62)+1)-IFERROR(FIND("분",L62),0)-1))),0))/86400</x:f>
        <x:v>0.06012731481481483</x:v>
      </x:c>
      <x:c r="O62" s="87" t="s">
        <x:v>346</x:v>
      </x:c>
      <x:c r="P62" s="112">
        <x:f t="shared" si="5"/>
        <x:v>223</x:v>
      </x:c>
      <x:c r="Q62" s="112">
        <x:v>7</x:v>
      </x:c>
      <x:c r="R62" s="116">
        <x:f t="shared" si="3"/>
        <x:v>523.28</x:v>
      </x:c>
      <x:c r="S62" s="104" t="s">
        <x:v>42</x:v>
      </x:c>
      <x:c r="T62" s="112" t="s">
        <x:v>43</x:v>
      </x:c>
      <x:c r="U62" s="112" t="s">
        <x:v>43</x:v>
      </x:c>
      <x:c r="V62" s="104" t="s">
        <x:v>43</x:v>
      </x:c>
      <x:c r="W62" s="165" t="n">
        <x:v>0.0025462962962962965</x:v>
      </x:c>
      <x:c r="X62" s="165" t="n">
        <x:v>0.0021412037037037038</x:v>
      </x:c>
      <x:c r="Y62" s="165" t="n">
        <x:v>0.001851851851851852</x:v>
      </x:c>
      <x:c r="Z62" s="112"/>
      <x:c r="AA62" s="112"/>
      <x:c r="AB62" s="112"/>
      <x:c r="AC62" s="112"/>
      <x:c r="AD62" s="86"/>
    </x:row>
    <x:row r="63" ht="65.0999984741211" customHeight="1">
      <x:c r="A63" s="87" t="s">
        <x:v>339</x:v>
      </x:c>
      <x:c r="B63" s="104">
        <x:v>59</x:v>
      </x:c>
      <x:c r="C63" s="104">
        <x:v>4</x:v>
      </x:c>
      <x:c r="D63" s="104">
        <x:v>8</x:v>
      </x:c>
      <x:c r="E63" s="87" t="s">
        <x:v>364</x:v>
      </x:c>
      <x:c r="F63" s="87" t="s">
        <x:v>365</x:v>
      </x:c>
      <x:c r="G63" s="87" t="s">
        <x:v>366</x:v>
      </x:c>
      <x:c r="H63" s="87" t="s">
        <x:v>367</x:v>
      </x:c>
      <x:c r="I63" s="104">
        <x:v>1</x:v>
      </x:c>
      <x:c r="J63" s="87" t="s">
        <x:v>368</x:v>
      </x:c>
      <x:c r="K63" s="108" t="s">
        <x:v>369</x:v>
      </x:c>
      <x:c r="L63" s="108" t="s">
        <x:v>328</x:v>
      </x:c>
      <x:c r="M63" s="87" t="s">
        <x:v>370</x:v>
      </x:c>
      <x:c r="N63" s="110" t="n">
        <x:f t="shared" si="4">N62+(IFERROR(VALUE(LEFT(L63,FIND("분",L63)-1))*60,0)+IFERROR(VALUE(TRIM(MID(L63,IFERROR(FIND("분",L63),0)+1,IFERROR(FIND("초",L63),LEN(L63)+1)-IFERROR(FIND("분",L63),0)-1))),0))/86400</x:f>
        <x:v>0.061226851851851866</x:v>
      </x:c>
      <x:c r="O63" s="87" t="s">
        <x:v>371</x:v>
      </x:c>
      <x:c r="P63" s="112">
        <x:f t="shared" si="5"/>
        <x:v>230</x:v>
      </x:c>
      <x:c r="Q63" s="112">
        <x:v>7</x:v>
      </x:c>
      <x:c r="R63" s="116">
        <x:f t="shared" si="3"/>
        <x:v>555.57000000000005</x:v>
      </x:c>
      <x:c r="S63" s="104" t="s">
        <x:v>42</x:v>
      </x:c>
      <x:c r="T63" s="112" t="s">
        <x:v>43</x:v>
      </x:c>
      <x:c r="U63" s="112" t="s">
        <x:v>43</x:v>
      </x:c>
      <x:c r="V63" s="104" t="s">
        <x:v>43</x:v>
      </x:c>
      <x:c r="W63" s="165" t="n">
        <x:v>0.0015046296296296296</x:v>
      </x:c>
      <x:c r="X63" s="165" t="n">
        <x:v>0.0012731481481481483</x:v>
      </x:c>
      <x:c r="Y63" s="165" t="n">
        <x:v>0.001099537037037037</x:v>
      </x:c>
      <x:c r="Z63" s="112"/>
      <x:c r="AA63" s="112"/>
      <x:c r="AB63" s="112"/>
      <x:c r="AC63" s="112"/>
      <x:c r="AD63" s="86"/>
    </x:row>
    <x:row r="64" ht="65.0999984741211" customHeight="1">
      <x:c r="A64" s="87" t="s">
        <x:v>339</x:v>
      </x:c>
      <x:c r="B64" s="104">
        <x:v>60</x:v>
      </x:c>
      <x:c r="C64" s="104">
        <x:v>5</x:v>
      </x:c>
      <x:c r="D64" s="104">
        <x:v>9</x:v>
      </x:c>
      <x:c r="E64" s="87" t="s">
        <x:v>372</x:v>
      </x:c>
      <x:c r="F64" s="87" t="s">
        <x:v>373</x:v>
      </x:c>
      <x:c r="G64" s="87" t="s">
        <x:v>374</x:v>
      </x:c>
      <x:c r="H64" s="87" t="s">
        <x:v>375</x:v>
      </x:c>
      <x:c r="I64" s="104">
        <x:v>3</x:v>
      </x:c>
      <x:c r="J64" s="87" t="s">
        <x:v>376</x:v>
      </x:c>
      <x:c r="K64" s="108" t="s">
        <x:v>377</x:v>
      </x:c>
      <x:c r="L64" s="108" t="s">
        <x:v>233</x:v>
      </x:c>
      <x:c r="M64" s="87" t="s">
        <x:v>378</x:v>
      </x:c>
      <x:c r="N64" s="110" t="n">
        <x:f t="shared" si="4">N63+(IFERROR(VALUE(LEFT(L64,FIND("분",L64)-1))*60,0)+IFERROR(VALUE(TRIM(MID(L64,IFERROR(FIND("분",L64),0)+1,IFERROR(FIND("초",L64),LEN(L64)+1)-IFERROR(FIND("분",L64),0)-1))),0))/86400</x:f>
        <x:v>0.0633101851851852</x:v>
      </x:c>
      <x:c r="O64" s="87" t="s">
        <x:v>371</x:v>
      </x:c>
      <x:c r="P64" s="112">
        <x:f t="shared" si="5"/>
        <x:v>237</x:v>
      </x:c>
      <x:c r="Q64" s="112">
        <x:v>7</x:v>
      </x:c>
      <x:c r="R64" s="116">
        <x:f t="shared" si="3"/>
        <x:v>588.80999999999995</x:v>
      </x:c>
      <x:c r="S64" s="104" t="s">
        <x:v>42</x:v>
      </x:c>
      <x:c r="T64" s="112" t="s">
        <x:v>43</x:v>
      </x:c>
      <x:c r="U64" s="112" t="s">
        <x:v>43</x:v>
      </x:c>
      <x:c r="V64" s="104" t="s">
        <x:v>43</x:v>
      </x:c>
      <x:c r="W64" s="165" t="n">
        <x:v>0.0033564814814814816</x:v>
      </x:c>
      <x:c r="X64" s="165" t="n">
        <x:v>0.0027199074074074074</x:v>
      </x:c>
      <x:c r="Y64" s="165" t="n">
        <x:v>0.0020833333333333333</x:v>
      </x:c>
      <x:c r="Z64" s="112"/>
      <x:c r="AA64" s="112"/>
      <x:c r="AB64" s="112"/>
      <x:c r="AC64" s="112"/>
      <x:c r="AD64" s="86"/>
    </x:row>
    <x:row r="65" ht="65.0999984741211" customHeight="1">
      <x:c r="A65" s="87" t="s">
        <x:v>339</x:v>
      </x:c>
      <x:c r="B65" s="104">
        <x:v>61</x:v>
      </x:c>
      <x:c r="C65" s="104">
        <x:v>5</x:v>
      </x:c>
      <x:c r="D65" s="104">
        <x:v>9</x:v>
      </x:c>
      <x:c r="E65" s="87" t="s">
        <x:v>379</x:v>
      </x:c>
      <x:c r="F65" s="87" t="s">
        <x:v>380</x:v>
      </x:c>
      <x:c r="G65" s="87" t="s">
        <x:v>381</x:v>
      </x:c>
      <x:c r="H65" s="87" t="s">
        <x:v>382</x:v>
      </x:c>
      <x:c r="I65" s="104">
        <x:v>1</x:v>
      </x:c>
      <x:c r="J65" s="87" t="s">
        <x:v>383</x:v>
      </x:c>
      <x:c r="K65" s="108" t="s">
        <x:v>384</x:v>
      </x:c>
      <x:c r="L65" s="108" t="s">
        <x:v>250</x:v>
      </x:c>
      <x:c r="M65" s="87" t="s">
        <x:v>385</x:v>
      </x:c>
      <x:c r="N65" s="110" t="n">
        <x:f t="shared" si="4">N64+(IFERROR(VALUE(LEFT(L65,FIND("분",L65)-1))*60,0)+IFERROR(VALUE(TRIM(MID(L65,IFERROR(FIND("분",L65),0)+1,IFERROR(FIND("초",L65),LEN(L65)+1)-IFERROR(FIND("분",L65),0)-1))),0))/86400</x:f>
        <x:v>0.06493055555555557</x:v>
      </x:c>
      <x:c r="O65" s="87" t="s">
        <x:v>371</x:v>
      </x:c>
      <x:c r="P65" s="112">
        <x:f t="shared" si="5"/>
        <x:v>244</x:v>
      </x:c>
      <x:c r="Q65" s="112">
        <x:v>7</x:v>
      </x:c>
      <x:c r="R65" s="116">
        <x:f t="shared" si="3"/>
        <x:v>623.03</x:v>
      </x:c>
      <x:c r="S65" s="104" t="s">
        <x:v>42</x:v>
      </x:c>
      <x:c r="T65" s="112" t="s">
        <x:v>43</x:v>
      </x:c>
      <x:c r="U65" s="112" t="s">
        <x:v>43</x:v>
      </x:c>
      <x:c r="V65" s="104" t="s">
        <x:v>43</x:v>
      </x:c>
      <x:c r="W65" s="165" t="n">
        <x:v>0.0026041666666666665</x:v>
      </x:c>
      <x:c r="X65" s="165" t="n">
        <x:v>0.0021412037037037038</x:v>
      </x:c>
      <x:c r="Y65" s="165" t="n">
        <x:v>0.0016203703703703703</x:v>
      </x:c>
      <x:c r="Z65" s="112"/>
      <x:c r="AA65" s="112"/>
      <x:c r="AB65" s="112"/>
      <x:c r="AC65" s="112"/>
      <x:c r="AD65" s="86"/>
    </x:row>
    <x:row r="66" ht="65.0999984741211" customHeight="1">
      <x:c r="A66" s="87" t="s">
        <x:v>339</x:v>
      </x:c>
      <x:c r="B66" s="104">
        <x:v>62</x:v>
      </x:c>
      <x:c r="C66" s="104">
        <x:v>4</x:v>
      </x:c>
      <x:c r="D66" s="104">
        <x:v>8</x:v>
      </x:c>
      <x:c r="E66" s="87" t="s">
        <x:v>386</x:v>
      </x:c>
      <x:c r="F66" s="87" t="s">
        <x:v>66</x:v>
      </x:c>
      <x:c r="G66" s="87" t="s">
        <x:v>387</x:v>
      </x:c>
      <x:c r="H66" s="87" t="s">
        <x:v>388</x:v>
      </x:c>
      <x:c r="I66" s="104">
        <x:v>1</x:v>
      </x:c>
      <x:c r="J66" s="87" t="s">
        <x:v>389</x:v>
      </x:c>
      <x:c r="K66" s="108" t="s">
        <x:v>38</x:v>
      </x:c>
      <x:c r="L66" s="108" t="s">
        <x:v>170</x:v>
      </x:c>
      <x:c r="M66" s="87" t="s">
        <x:v>71</x:v>
      </x:c>
      <x:c r="N66" s="110" t="n">
        <x:f t="shared" si="4">N65+(IFERROR(VALUE(LEFT(L66,FIND("분",L66)-1))*60,0)+IFERROR(VALUE(TRIM(MID(L66,IFERROR(FIND("분",L66),0)+1,IFERROR(FIND("초",L66),LEN(L66)+1)-IFERROR(FIND("분",L66),0)-1))),0))/86400</x:f>
        <x:v>0.06666666666666668</x:v>
      </x:c>
      <x:c r="O66" s="87" t="s">
        <x:v>371</x:v>
      </x:c>
      <x:c r="P66" s="112">
        <x:f t="shared" si="5"/>
        <x:v>251</x:v>
      </x:c>
      <x:c r="Q66" s="112">
        <x:v>7</x:v>
      </x:c>
      <x:c r="R66" s="116">
        <x:f t="shared" si="3"/>
        <x:v>658.21</x:v>
      </x:c>
      <x:c r="S66" s="104" t="s">
        <x:v>42</x:v>
      </x:c>
      <x:c r="T66" s="112" t="s">
        <x:v>43</x:v>
      </x:c>
      <x:c r="U66" s="112" t="s">
        <x:v>43</x:v>
      </x:c>
      <x:c r="V66" s="104" t="s">
        <x:v>43</x:v>
      </x:c>
      <x:c r="W66" s="165" t="n">
        <x:v>0.002372685185185185</x:v>
      </x:c>
      <x:c r="X66" s="165" t="n">
        <x:v>0.002025462962962963</x:v>
      </x:c>
      <x:c r="Y66" s="165" t="n">
        <x:v>0.001736111111111111</x:v>
      </x:c>
      <x:c r="Z66" s="112"/>
      <x:c r="AA66" s="112"/>
      <x:c r="AB66" s="112"/>
      <x:c r="AC66" s="112"/>
      <x:c r="AD66" s="86"/>
    </x:row>
    <x:row r="67" ht="65.0999984741211" customHeight="1">
      <x:c r="A67" s="87" t="s">
        <x:v>339</x:v>
      </x:c>
      <x:c r="B67" s="104">
        <x:v>63</x:v>
      </x:c>
      <x:c r="C67" s="104">
        <x:v>6</x:v>
      </x:c>
      <x:c r="D67" s="104">
        <x:v>9</x:v>
      </x:c>
      <x:c r="E67" s="87" t="s">
        <x:v>390</x:v>
      </x:c>
      <x:c r="F67" s="87" t="s">
        <x:v>391</x:v>
      </x:c>
      <x:c r="G67" s="87" t="s">
        <x:v>392</x:v>
      </x:c>
      <x:c r="H67" s="87" t="s">
        <x:v>393</x:v>
      </x:c>
      <x:c r="I67" s="104">
        <x:v>4</x:v>
      </x:c>
      <x:c r="J67" s="87" t="s">
        <x:v>394</x:v>
      </x:c>
      <x:c r="K67" s="108" t="s">
        <x:v>395</x:v>
      </x:c>
      <x:c r="L67" s="108" t="s">
        <x:v>170</x:v>
      </x:c>
      <x:c r="M67" s="87" t="s">
        <x:v>396</x:v>
      </x:c>
      <x:c r="N67" s="110" t="n">
        <x:f t="shared" si="4">N66+(IFERROR(VALUE(LEFT(L67,FIND("분",L67)-1))*60,0)+IFERROR(VALUE(TRIM(MID(L67,IFERROR(FIND("분",L67),0)+1,IFERROR(FIND("초",L67),LEN(L67)+1)-IFERROR(FIND("분",L67),0)-1))),0))/86400</x:f>
        <x:v>0.06840277777777778</x:v>
      </x:c>
      <x:c r="O67" s="87" t="s">
        <x:v>371</x:v>
      </x:c>
      <x:c r="P67" s="112">
        <x:f t="shared" si="5"/>
        <x:v>259</x:v>
      </x:c>
      <x:c r="Q67" s="112">
        <x:v>8</x:v>
      </x:c>
      <x:c r="R67" s="116">
        <x:f t="shared" si="3"/>
        <x:v>699.6</x:v>
      </x:c>
      <x:c r="S67" s="104" t="s">
        <x:v>397</x:v>
      </x:c>
      <x:c r="T67" s="112">
        <x:v>3</x:v>
      </x:c>
      <x:c r="U67" s="112">
        <x:v>150</x:v>
      </x:c>
      <x:c r="V67" s="104" t="s">
        <x:v>398</x:v>
      </x:c>
      <x:c r="W67" s="165" t="n">
        <x:v>0.002777777777777778</x:v>
      </x:c>
      <x:c r="X67" s="165" t="n">
        <x:v>0.0022569444444444442</x:v>
      </x:c>
      <x:c r="Y67" s="165" t="n">
        <x:v>0.001736111111111111</x:v>
      </x:c>
      <x:c r="Z67" s="112"/>
      <x:c r="AA67" s="112"/>
      <x:c r="AB67" s="112"/>
      <x:c r="AC67" s="112"/>
      <x:c r="AD67" s="86"/>
    </x:row>
    <x:row r="68" ht="65.0999984741211" customHeight="1">
      <x:c r="A68" s="87" t="s">
        <x:v>339</x:v>
      </x:c>
      <x:c r="B68" s="104">
        <x:v>64</x:v>
      </x:c>
      <x:c r="C68" s="104">
        <x:v>2</x:v>
      </x:c>
      <x:c r="D68" s="104">
        <x:v>9</x:v>
      </x:c>
      <x:c r="E68" s="87" t="s">
        <x:v>399</x:v>
      </x:c>
      <x:c r="F68" s="87" t="s">
        <x:v>400</x:v>
      </x:c>
      <x:c r="G68" s="87" t="s">
        <x:v>401</x:v>
      </x:c>
      <x:c r="H68" s="87" t="s">
        <x:v>402</x:v>
      </x:c>
      <x:c r="I68" s="104">
        <x:v>1</x:v>
      </x:c>
      <x:c r="J68" s="87" t="s">
        <x:v>403</x:v>
      </x:c>
      <x:c r="K68" s="108" t="s">
        <x:v>404</x:v>
      </x:c>
      <x:c r="L68" s="108" t="s">
        <x:v>208</x:v>
      </x:c>
      <x:c r="M68" s="87" t="s">
        <x:v>405</x:v>
      </x:c>
      <x:c r="N68" s="110" t="n">
        <x:f t="shared" si="4">N67+(IFERROR(VALUE(LEFT(L68,FIND("분",L68)-1))*60,0)+IFERROR(VALUE(TRIM(MID(L68,IFERROR(FIND("분",L68),0)+1,IFERROR(FIND("초",L68),LEN(L68)+1)-IFERROR(FIND("분",L68),0)-1))),0))/86400</x:f>
        <x:v>0.06892361111111112</x:v>
      </x:c>
      <x:c r="O68" s="87" t="s">
        <x:v>371</x:v>
      </x:c>
      <x:c r="P68" s="112">
        <x:f t="shared" si="5"/>
        <x:v>264</x:v>
      </x:c>
      <x:c r="Q68" s="112">
        <x:v>5</x:v>
      </x:c>
      <x:c r="R68" s="116">
        <x:f t="shared" si="3"/>
        <x:v>726.11</x:v>
      </x:c>
      <x:c r="S68" s="104" t="s">
        <x:v>406</x:v>
      </x:c>
      <x:c r="T68" s="112">
        <x:v>2</x:v>
      </x:c>
      <x:c r="U68" s="112">
        <x:v>45</x:v>
      </x:c>
      <x:c r="V68" s="104" t="s">
        <x:v>407</x:v>
      </x:c>
      <x:c r="W68" s="165" t="n">
        <x:v>0.0005787037037037037</x:v>
      </x:c>
      <x:c r="X68" s="165" t="n">
        <x:v>0.0005787037037037037</x:v>
      </x:c>
      <x:c r="Y68" s="165" t="n">
        <x:v>0.0005208333333333333</x:v>
      </x:c>
      <x:c r="Z68" s="112"/>
      <x:c r="AA68" s="112"/>
      <x:c r="AB68" s="112"/>
      <x:c r="AC68" s="112"/>
      <x:c r="AD68" s="86"/>
    </x:row>
    <x:row r="69" ht="65.0999984741211" customHeight="1">
      <x:c r="A69" s="87" t="s">
        <x:v>339</x:v>
      </x:c>
      <x:c r="B69" s="104">
        <x:v>65</x:v>
      </x:c>
      <x:c r="C69" s="104">
        <x:v>2</x:v>
      </x:c>
      <x:c r="D69" s="104">
        <x:v>8</x:v>
      </x:c>
      <x:c r="E69" s="87" t="s">
        <x:v>408</x:v>
      </x:c>
      <x:c r="F69" s="87" t="s">
        <x:v>52</x:v>
      </x:c>
      <x:c r="G69" s="87" t="s">
        <x:v>53</x:v>
      </x:c>
      <x:c r="H69" s="87" t="s">
        <x:v>348</x:v>
      </x:c>
      <x:c r="I69" s="104">
        <x:v>2</x:v>
      </x:c>
      <x:c r="J69" s="87" t="s">
        <x:v>409</x:v>
      </x:c>
      <x:c r="K69" s="108" t="s">
        <x:v>38</x:v>
      </x:c>
      <x:c r="L69" s="108" t="s">
        <x:v>121</x:v>
      </x:c>
      <x:c r="M69" s="87" t="s">
        <x:v>57</x:v>
      </x:c>
      <x:c r="N69" s="110" t="n">
        <x:f t="shared" si="4">N68+(IFERROR(VALUE(LEFT(L69,FIND("분",L69)-1))*60,0)+IFERROR(VALUE(TRIM(MID(L69,IFERROR(FIND("분",L69),0)+1,IFERROR(FIND("초",L69),LEN(L69)+1)-IFERROR(FIND("분",L69),0)-1))),0))/86400</x:f>
        <x:v>0.06984953703703704</x:v>
      </x:c>
      <x:c r="O69" s="87" t="s">
        <x:v>371</x:v>
      </x:c>
      <x:c r="P69" s="112">
        <x:f t="shared" si="5"/>
        <x:v>269</x:v>
      </x:c>
      <x:c r="Q69" s="112">
        <x:v>5</x:v>
      </x:c>
      <x:c r="R69" s="116" t="n">
        <x:f t="shared" ref="R69:R100" si="6">ROUND($Q$3*P69*P69+$R$3*P69,2)</x:f>
        <x:v>753.11</x:v>
      </x:c>
      <x:c r="S69" s="104" t="s">
        <x:v>42</x:v>
      </x:c>
      <x:c r="T69" s="112" t="s">
        <x:v>43</x:v>
      </x:c>
      <x:c r="U69" s="112" t="s">
        <x:v>43</x:v>
      </x:c>
      <x:c r="V69" s="104" t="s">
        <x:v>43</x:v>
      </x:c>
      <x:c r="W69" s="165" t="n">
        <x:v>0.001099537037037037</x:v>
      </x:c>
      <x:c r="X69" s="165" t="n">
        <x:v>0.0009837962962962962</x:v>
      </x:c>
      <x:c r="Y69" s="165" t="n">
        <x:v>0.000925925925925926</x:v>
      </x:c>
      <x:c r="Z69" s="112"/>
      <x:c r="AA69" s="112"/>
      <x:c r="AB69" s="112"/>
      <x:c r="AC69" s="112"/>
      <x:c r="AD69" s="86"/>
    </x:row>
    <x:row r="70" ht="65.0999984741211" customHeight="1">
      <x:c r="A70" s="87" t="s">
        <x:v>339</x:v>
      </x:c>
      <x:c r="B70" s="104">
        <x:v>66</x:v>
      </x:c>
      <x:c r="C70" s="104">
        <x:v>3</x:v>
      </x:c>
      <x:c r="D70" s="104">
        <x:v>8</x:v>
      </x:c>
      <x:c r="E70" s="87" t="s">
        <x:v>410</x:v>
      </x:c>
      <x:c r="F70" s="87" t="s">
        <x:v>66</x:v>
      </x:c>
      <x:c r="G70" s="87" t="s">
        <x:v>411</x:v>
      </x:c>
      <x:c r="H70" s="87" t="s">
        <x:v>412</x:v>
      </x:c>
      <x:c r="I70" s="104">
        <x:v>1</x:v>
      </x:c>
      <x:c r="J70" s="87" t="s">
        <x:v>413</x:v>
      </x:c>
      <x:c r="K70" s="108" t="s">
        <x:v>38</x:v>
      </x:c>
      <x:c r="L70" s="108" t="s">
        <x:v>117</x:v>
      </x:c>
      <x:c r="M70" s="87" t="s">
        <x:v>71</x:v>
      </x:c>
      <x:c r="N70" s="110" t="n">
        <x:f t="shared" ref="N70:N101" si="7">N69+(IFERROR(VALUE(LEFT(L70,FIND("분",L70)-1))*60,0)+IFERROR(VALUE(TRIM(MID(L70,IFERROR(FIND("분",L70),0)+1,IFERROR(FIND("초",L70),LEN(L70)+1)-IFERROR(FIND("분",L70),0)-1))),0))/86400</x:f>
        <x:v>0.07123842592592593</x:v>
      </x:c>
      <x:c r="O70" s="87" t="s">
        <x:v>414</x:v>
      </x:c>
      <x:c r="P70" s="112" t="n">
        <x:f t="shared" ref="P70:P101" si="8">P69+Q70</x:f>
        <x:v>275</x:v>
      </x:c>
      <x:c r="Q70" s="112">
        <x:v>6</x:v>
      </x:c>
      <x:c r="R70" s="116">
        <x:f t="shared" si="6"/>
        <x:v>786.16</x:v>
      </x:c>
      <x:c r="S70" s="104" t="s">
        <x:v>42</x:v>
      </x:c>
      <x:c r="T70" s="112" t="s">
        <x:v>43</x:v>
      </x:c>
      <x:c r="U70" s="112" t="s">
        <x:v>43</x:v>
      </x:c>
      <x:c r="V70" s="104" t="s">
        <x:v>43</x:v>
      </x:c>
      <x:c r="W70" s="165" t="n">
        <x:v>0.0019097222222222222</x:v>
      </x:c>
      <x:c r="X70" s="165" t="n">
        <x:v>0.0016203703703703703</x:v>
      </x:c>
      <x:c r="Y70" s="165" t="n">
        <x:v>0.001388888888888889</x:v>
      </x:c>
      <x:c r="Z70" s="112"/>
      <x:c r="AA70" s="112"/>
      <x:c r="AB70" s="112"/>
      <x:c r="AC70" s="112"/>
      <x:c r="AD70" s="86"/>
    </x:row>
    <x:row r="71" ht="65.0999984741211" customHeight="1">
      <x:c r="A71" s="87" t="s">
        <x:v>339</x:v>
      </x:c>
      <x:c r="B71" s="104">
        <x:v>67</x:v>
      </x:c>
      <x:c r="C71" s="104">
        <x:v>1</x:v>
      </x:c>
      <x:c r="D71" s="104">
        <x:v>8</x:v>
      </x:c>
      <x:c r="E71" s="87" t="s">
        <x:v>415</x:v>
      </x:c>
      <x:c r="F71" s="87" t="s">
        <x:v>52</x:v>
      </x:c>
      <x:c r="G71" s="87" t="s">
        <x:v>53</x:v>
      </x:c>
      <x:c r="H71" s="87" t="s">
        <x:v>96</x:v>
      </x:c>
      <x:c r="I71" s="104">
        <x:v>2</x:v>
      </x:c>
      <x:c r="J71" s="87" t="s">
        <x:v>416</x:v>
      </x:c>
      <x:c r="K71" s="108" t="s">
        <x:v>38</x:v>
      </x:c>
      <x:c r="L71" s="108" t="s">
        <x:v>105</x:v>
      </x:c>
      <x:c r="M71" s="87" t="s">
        <x:v>57</x:v>
      </x:c>
      <x:c r="N71" s="110" t="n">
        <x:f t="shared" si="7">N70+(IFERROR(VALUE(LEFT(L71,FIND("분",L71)-1))*60,0)+IFERROR(VALUE(TRIM(MID(L71,IFERROR(FIND("분",L71),0)+1,IFERROR(FIND("초",L71),LEN(L71)+1)-IFERROR(FIND("분",L71),0)-1))),0))/86400</x:f>
        <x:v>0.07251157407407408</x:v>
      </x:c>
      <x:c r="O71" s="87" t="s">
        <x:v>414</x:v>
      </x:c>
      <x:c r="P71" s="112">
        <x:f t="shared" si="8"/>
        <x:v>279</x:v>
      </x:c>
      <x:c r="Q71" s="112">
        <x:v>4</x:v>
      </x:c>
      <x:c r="R71" s="116">
        <x:f t="shared" si="6"/>
        <x:v>808.58</x:v>
      </x:c>
      <x:c r="S71" s="104" t="s">
        <x:v>42</x:v>
      </x:c>
      <x:c r="T71" s="112" t="s">
        <x:v>43</x:v>
      </x:c>
      <x:c r="U71" s="112" t="s">
        <x:v>43</x:v>
      </x:c>
      <x:c r="V71" s="104" t="s">
        <x:v>43</x:v>
      </x:c>
      <x:c r="W71" s="165" t="n">
        <x:v>0.0015046296296296296</x:v>
      </x:c>
      <x:c r="X71" s="165" t="n">
        <x:v>0.001388888888888889</x:v>
      </x:c>
      <x:c r="Y71" s="165" t="n">
        <x:v>0.0012731481481481483</x:v>
      </x:c>
      <x:c r="Z71" s="112"/>
      <x:c r="AA71" s="112"/>
      <x:c r="AB71" s="112"/>
      <x:c r="AC71" s="112"/>
      <x:c r="AD71" s="86"/>
    </x:row>
    <x:row r="72" ht="65.0999984741211" customHeight="1">
      <x:c r="A72" s="87" t="s">
        <x:v>339</x:v>
      </x:c>
      <x:c r="B72" s="104">
        <x:v>68</x:v>
      </x:c>
      <x:c r="C72" s="104">
        <x:v>2</x:v>
      </x:c>
      <x:c r="D72" s="104">
        <x:v>8</x:v>
      </x:c>
      <x:c r="E72" s="87" t="s">
        <x:v>417</x:v>
      </x:c>
      <x:c r="F72" s="87" t="s">
        <x:v>418</x:v>
      </x:c>
      <x:c r="G72" s="87" t="s">
        <x:v>419</x:v>
      </x:c>
      <x:c r="H72" s="87" t="s">
        <x:v>420</x:v>
      </x:c>
      <x:c r="I72" s="104">
        <x:v>3</x:v>
      </x:c>
      <x:c r="J72" s="87" t="s">
        <x:v>421</x:v>
      </x:c>
      <x:c r="K72" s="108" t="s">
        <x:v>422</x:v>
      </x:c>
      <x:c r="L72" s="108" t="s">
        <x:v>159</x:v>
      </x:c>
      <x:c r="M72" s="87" t="s">
        <x:v>423</x:v>
      </x:c>
      <x:c r="N72" s="110" t="n">
        <x:f t="shared" si="7">N71+(IFERROR(VALUE(LEFT(L72,FIND("분",L72)-1))*60,0)+IFERROR(VALUE(TRIM(MID(L72,IFERROR(FIND("분",L72),0)+1,IFERROR(FIND("초",L72),LEN(L72)+1)-IFERROR(FIND("분",L72),0)-1))),0))/86400</x:f>
        <x:v>0.07366898148148149</x:v>
      </x:c>
      <x:c r="O72" s="87" t="s">
        <x:v>414</x:v>
      </x:c>
      <x:c r="P72" s="112">
        <x:f t="shared" si="8"/>
        <x:v>284</x:v>
      </x:c>
      <x:c r="Q72" s="112">
        <x:v>5</x:v>
      </x:c>
      <x:c r="R72" s="116">
        <x:f t="shared" si="6"/>
        <x:v>837.06</x:v>
      </x:c>
      <x:c r="S72" s="104" t="s">
        <x:v>42</x:v>
      </x:c>
      <x:c r="T72" s="112" t="s">
        <x:v>43</x:v>
      </x:c>
      <x:c r="U72" s="112" t="s">
        <x:v>43</x:v>
      </x:c>
      <x:c r="V72" s="104" t="s">
        <x:v>43</x:v>
      </x:c>
      <x:c r="W72" s="165" t="n">
        <x:v>0.0013310185185185185</x:v>
      </x:c>
      <x:c r="X72" s="165" t="n">
        <x:v>0.0012152777777777778</x:v>
      </x:c>
      <x:c r="Y72" s="165" t="n">
        <x:v>0.0011574074074074073</x:v>
      </x:c>
      <x:c r="Z72" s="112"/>
      <x:c r="AA72" s="112"/>
      <x:c r="AB72" s="112"/>
      <x:c r="AC72" s="112"/>
      <x:c r="AD72" s="86"/>
    </x:row>
    <x:row r="73" ht="65.0999984741211" customHeight="1">
      <x:c r="A73" s="87" t="s">
        <x:v>339</x:v>
      </x:c>
      <x:c r="B73" s="104">
        <x:v>69</x:v>
      </x:c>
      <x:c r="C73" s="104">
        <x:v>2</x:v>
      </x:c>
      <x:c r="D73" s="104">
        <x:v>9</x:v>
      </x:c>
      <x:c r="E73" s="87" t="s">
        <x:v>424</x:v>
      </x:c>
      <x:c r="F73" s="87" t="s">
        <x:v>418</x:v>
      </x:c>
      <x:c r="G73" s="87" t="s">
        <x:v>425</x:v>
      </x:c>
      <x:c r="H73" s="87" t="s">
        <x:v>426</x:v>
      </x:c>
      <x:c r="I73" s="104">
        <x:v>4</x:v>
      </x:c>
      <x:c r="J73" s="87" t="s">
        <x:v>421</x:v>
      </x:c>
      <x:c r="K73" s="108" t="s">
        <x:v>422</x:v>
      </x:c>
      <x:c r="L73" s="108" t="s">
        <x:v>427</x:v>
      </x:c>
      <x:c r="M73" s="87" t="s">
        <x:v>423</x:v>
      </x:c>
      <x:c r="N73" s="110" t="n">
        <x:f t="shared" si="7">N72+(IFERROR(VALUE(LEFT(L73,FIND("분",L73)-1))*60,0)+IFERROR(VALUE(TRIM(MID(L73,IFERROR(FIND("분",L73),0)+1,IFERROR(FIND("초",L73),LEN(L73)+1)-IFERROR(FIND("분",L73),0)-1))),0))/86400</x:f>
        <x:v>0.07517361111111112</x:v>
      </x:c>
      <x:c r="O73" s="87" t="s">
        <x:v>414</x:v>
      </x:c>
      <x:c r="P73" s="112">
        <x:f t="shared" si="8"/>
        <x:v>289</x:v>
      </x:c>
      <x:c r="Q73" s="112">
        <x:v>5</x:v>
      </x:c>
      <x:c r="R73" s="116">
        <x:f t="shared" si="6"/>
        <x:v>866.03</x:v>
      </x:c>
      <x:c r="S73" s="104" t="s">
        <x:v>42</x:v>
      </x:c>
      <x:c r="T73" s="112" t="s">
        <x:v>43</x:v>
      </x:c>
      <x:c r="U73" s="112" t="s">
        <x:v>43</x:v>
      </x:c>
      <x:c r="V73" s="104" t="s">
        <x:v>43</x:v>
      </x:c>
      <x:c r="W73" s="165" t="n">
        <x:v>0.001736111111111111</x:v>
      </x:c>
      <x:c r="X73" s="165" t="n">
        <x:v>0.0016203703703703703</x:v>
      </x:c>
      <x:c r="Y73" s="165" t="n">
        <x:v>0.0015046296296296296</x:v>
      </x:c>
      <x:c r="Z73" s="112"/>
      <x:c r="AA73" s="112"/>
      <x:c r="AB73" s="112"/>
      <x:c r="AC73" s="112"/>
      <x:c r="AD73" s="86"/>
    </x:row>
    <x:row r="74" ht="65.0999984741211" customHeight="1">
      <x:c r="A74" s="87" t="s">
        <x:v>339</x:v>
      </x:c>
      <x:c r="B74" s="104">
        <x:v>70</x:v>
      </x:c>
      <x:c r="C74" s="104">
        <x:v>1</x:v>
      </x:c>
      <x:c r="D74" s="104">
        <x:v>9</x:v>
      </x:c>
      <x:c r="E74" s="87" t="s">
        <x:v>428</x:v>
      </x:c>
      <x:c r="F74" s="87" t="s">
        <x:v>429</x:v>
      </x:c>
      <x:c r="G74" s="87" t="s">
        <x:v>430</x:v>
      </x:c>
      <x:c r="H74" s="87" t="s">
        <x:v>431</x:v>
      </x:c>
      <x:c r="I74" s="104">
        <x:v>3</x:v>
      </x:c>
      <x:c r="J74" s="87" t="s">
        <x:v>432</x:v>
      </x:c>
      <x:c r="K74" s="108" t="s">
        <x:v>38</x:v>
      </x:c>
      <x:c r="L74" s="108" t="s">
        <x:v>117</x:v>
      </x:c>
      <x:c r="M74" s="87" t="s">
        <x:v>433</x:v>
      </x:c>
      <x:c r="N74" s="110" t="n">
        <x:f t="shared" si="7">N73+(IFERROR(VALUE(LEFT(L74,FIND("분",L74)-1))*60,0)+IFERROR(VALUE(TRIM(MID(L74,IFERROR(FIND("분",L74),0)+1,IFERROR(FIND("초",L74),LEN(L74)+1)-IFERROR(FIND("분",L74),0)-1))),0))/86400</x:f>
        <x:v>0.0765625</x:v>
      </x:c>
      <x:c r="O74" s="87" t="s">
        <x:v>414</x:v>
      </x:c>
      <x:c r="P74" s="112">
        <x:f t="shared" si="8"/>
        <x:v>293</x:v>
      </x:c>
      <x:c r="Q74" s="112">
        <x:v>4</x:v>
      </x:c>
      <x:c r="R74" s="116">
        <x:f t="shared" si="6"/>
        <x:v>889.56</x:v>
      </x:c>
      <x:c r="S74" s="104" t="s">
        <x:v>42</x:v>
      </x:c>
      <x:c r="T74" s="112" t="s">
        <x:v>43</x:v>
      </x:c>
      <x:c r="U74" s="112" t="s">
        <x:v>43</x:v>
      </x:c>
      <x:c r="V74" s="104" t="s">
        <x:v>43</x:v>
      </x:c>
      <x:c r="W74" s="165" t="n">
        <x:v>0.0016203703703703703</x:v>
      </x:c>
      <x:c r="X74" s="165" t="n">
        <x:v>0.0015046296296296296</x:v>
      </x:c>
      <x:c r="Y74" s="165" t="n">
        <x:v>0.001388888888888889</x:v>
      </x:c>
      <x:c r="Z74" s="112"/>
      <x:c r="AA74" s="112"/>
      <x:c r="AB74" s="112"/>
      <x:c r="AC74" s="112"/>
      <x:c r="AD74" s="86"/>
    </x:row>
    <x:row r="75" ht="65.0999984741211" customHeight="1">
      <x:c r="A75" s="87" t="s">
        <x:v>339</x:v>
      </x:c>
      <x:c r="B75" s="104">
        <x:v>71</x:v>
      </x:c>
      <x:c r="C75" s="104">
        <x:v>1</x:v>
      </x:c>
      <x:c r="D75" s="104">
        <x:v>8</x:v>
      </x:c>
      <x:c r="E75" s="87" t="s">
        <x:v>434</x:v>
      </x:c>
      <x:c r="F75" s="87" t="s">
        <x:v>435</x:v>
      </x:c>
      <x:c r="G75" s="87" t="s">
        <x:v>436</x:v>
      </x:c>
      <x:c r="H75" s="87" t="s">
        <x:v>437</x:v>
      </x:c>
      <x:c r="I75" s="104">
        <x:v>2</x:v>
      </x:c>
      <x:c r="J75" s="87" t="s">
        <x:v>438</x:v>
      </x:c>
      <x:c r="K75" s="108" t="s">
        <x:v>38</x:v>
      </x:c>
      <x:c r="L75" s="108" t="s">
        <x:v>159</x:v>
      </x:c>
      <x:c r="M75" s="87" t="s">
        <x:v>439</x:v>
      </x:c>
      <x:c r="N75" s="110" t="n">
        <x:f t="shared" si="7">N74+(IFERROR(VALUE(LEFT(L75,FIND("분",L75)-1))*60,0)+IFERROR(VALUE(TRIM(MID(L75,IFERROR(FIND("분",L75),0)+1,IFERROR(FIND("초",L75),LEN(L75)+1)-IFERROR(FIND("분",L75),0)-1))),0))/86400</x:f>
        <x:v>0.07771990740740742</x:v>
      </x:c>
      <x:c r="O75" s="87" t="s">
        <x:v>414</x:v>
      </x:c>
      <x:c r="P75" s="112">
        <x:f t="shared" si="8"/>
        <x:v>297</x:v>
      </x:c>
      <x:c r="Q75" s="112">
        <x:v>4</x:v>
      </x:c>
      <x:c r="R75" s="116">
        <x:f t="shared" si="6"/>
        <x:v>913.41</x:v>
      </x:c>
      <x:c r="S75" s="104" t="s">
        <x:v>42</x:v>
      </x:c>
      <x:c r="T75" s="112" t="s">
        <x:v>43</x:v>
      </x:c>
      <x:c r="U75" s="112" t="s">
        <x:v>43</x:v>
      </x:c>
      <x:c r="V75" s="104" t="s">
        <x:v>43</x:v>
      </x:c>
      <x:c r="W75" s="165" t="n">
        <x:v>0.0013310185185185185</x:v>
      </x:c>
      <x:c r="X75" s="165" t="n">
        <x:v>0.0012152777777777778</x:v>
      </x:c>
      <x:c r="Y75" s="165" t="n">
        <x:v>0.0011574074074074073</x:v>
      </x:c>
      <x:c r="Z75" s="112"/>
      <x:c r="AA75" s="112"/>
      <x:c r="AB75" s="112"/>
      <x:c r="AC75" s="112"/>
      <x:c r="AD75" s="86"/>
    </x:row>
    <x:row r="76" ht="65.0999984741211" customHeight="1">
      <x:c r="A76" s="87" t="s">
        <x:v>339</x:v>
      </x:c>
      <x:c r="B76" s="104">
        <x:v>72</x:v>
      </x:c>
      <x:c r="C76" s="104">
        <x:v>1</x:v>
      </x:c>
      <x:c r="D76" s="104">
        <x:v>8</x:v>
      </x:c>
      <x:c r="E76" s="87" t="s">
        <x:v>440</x:v>
      </x:c>
      <x:c r="F76" s="87" t="s">
        <x:v>441</x:v>
      </x:c>
      <x:c r="G76" s="87" t="s">
        <x:v>442</x:v>
      </x:c>
      <x:c r="H76" s="87" t="s">
        <x:v>443</x:v>
      </x:c>
      <x:c r="I76" s="104">
        <x:v>2</x:v>
      </x:c>
      <x:c r="J76" s="87" t="s">
        <x:v>444</x:v>
      </x:c>
      <x:c r="K76" s="108" t="s">
        <x:v>38</x:v>
      </x:c>
      <x:c r="L76" s="108" t="s">
        <x:v>121</x:v>
      </x:c>
      <x:c r="M76" s="87" t="s">
        <x:v>445</x:v>
      </x:c>
      <x:c r="N76" s="110" t="n">
        <x:f t="shared" si="7">N75+(IFERROR(VALUE(LEFT(L76,FIND("분",L76)-1))*60,0)+IFERROR(VALUE(TRIM(MID(L76,IFERROR(FIND("분",L76),0)+1,IFERROR(FIND("초",L76),LEN(L76)+1)-IFERROR(FIND("분",L76),0)-1))),0))/86400</x:f>
        <x:v>0.07864583333333335</x:v>
      </x:c>
      <x:c r="O76" s="87" t="s">
        <x:v>446</x:v>
      </x:c>
      <x:c r="P76" s="112">
        <x:f t="shared" si="8"/>
        <x:v>301</x:v>
      </x:c>
      <x:c r="Q76" s="112">
        <x:v>4</x:v>
      </x:c>
      <x:c r="R76" s="116">
        <x:f t="shared" si="6"/>
        <x:v>937.57</x:v>
      </x:c>
      <x:c r="S76" s="104" t="s">
        <x:v>42</x:v>
      </x:c>
      <x:c r="T76" s="112" t="s">
        <x:v>43</x:v>
      </x:c>
      <x:c r="U76" s="112" t="s">
        <x:v>43</x:v>
      </x:c>
      <x:c r="V76" s="104" t="s">
        <x:v>43</x:v>
      </x:c>
      <x:c r="W76" s="165" t="n">
        <x:v>0.001099537037037037</x:v>
      </x:c>
      <x:c r="X76" s="165" t="n">
        <x:v>0.0009837962962962962</x:v>
      </x:c>
      <x:c r="Y76" s="165" t="n">
        <x:v>0.000925925925925926</x:v>
      </x:c>
      <x:c r="Z76" s="112"/>
      <x:c r="AA76" s="112"/>
      <x:c r="AB76" s="112"/>
      <x:c r="AC76" s="112"/>
      <x:c r="AD76" s="86"/>
    </x:row>
    <x:row r="77" ht="65.0999984741211" customHeight="1">
      <x:c r="A77" s="87" t="s">
        <x:v>339</x:v>
      </x:c>
      <x:c r="B77" s="104">
        <x:v>73</x:v>
      </x:c>
      <x:c r="C77" s="104">
        <x:v>4</x:v>
      </x:c>
      <x:c r="D77" s="104">
        <x:v>7</x:v>
      </x:c>
      <x:c r="E77" s="87" t="s">
        <x:v>447</x:v>
      </x:c>
      <x:c r="F77" s="87" t="s">
        <x:v>66</x:v>
      </x:c>
      <x:c r="G77" s="87" t="s">
        <x:v>448</x:v>
      </x:c>
      <x:c r="H77" s="87" t="s">
        <x:v>388</x:v>
      </x:c>
      <x:c r="I77" s="104">
        <x:v>1</x:v>
      </x:c>
      <x:c r="J77" s="87" t="s">
        <x:v>449</x:v>
      </x:c>
      <x:c r="K77" s="108" t="s">
        <x:v>38</x:v>
      </x:c>
      <x:c r="L77" s="108" t="s">
        <x:v>250</x:v>
      </x:c>
      <x:c r="M77" s="87" t="s">
        <x:v>71</x:v>
      </x:c>
      <x:c r="N77" s="110" t="n">
        <x:f t="shared" si="7">N76+(IFERROR(VALUE(LEFT(L77,FIND("분",L77)-1))*60,0)+IFERROR(VALUE(TRIM(MID(L77,IFERROR(FIND("분",L77),0)+1,IFERROR(FIND("초",L77),LEN(L77)+1)-IFERROR(FIND("분",L77),0)-1))),0))/86400</x:f>
        <x:v>0.08026620370370371</x:v>
      </x:c>
      <x:c r="O77" s="87" t="s">
        <x:v>446</x:v>
      </x:c>
      <x:c r="P77" s="112">
        <x:f t="shared" si="8"/>
        <x:v>307</x:v>
      </x:c>
      <x:c r="Q77" s="112">
        <x:v>6</x:v>
      </x:c>
      <x:c r="R77" s="116">
        <x:f t="shared" si="6"/>
        <x:v>974.4</x:v>
      </x:c>
      <x:c r="S77" s="104" t="s">
        <x:v>42</x:v>
      </x:c>
      <x:c r="T77" s="112" t="s">
        <x:v>43</x:v>
      </x:c>
      <x:c r="U77" s="112" t="s">
        <x:v>43</x:v>
      </x:c>
      <x:c r="V77" s="104" t="s">
        <x:v>43</x:v>
      </x:c>
      <x:c r="W77" s="165" t="n">
        <x:v>0.002199074074074074</x:v>
      </x:c>
      <x:c r="X77" s="165" t="n">
        <x:v>0.0019097222222222222</x:v>
      </x:c>
      <x:c r="Y77" s="165" t="n">
        <x:v>0.0016203703703703703</x:v>
      </x:c>
      <x:c r="Z77" s="112"/>
      <x:c r="AA77" s="112"/>
      <x:c r="AB77" s="112"/>
      <x:c r="AC77" s="112"/>
      <x:c r="AD77" s="86"/>
    </x:row>
    <x:row r="78" ht="65.0999984741211" customHeight="1">
      <x:c r="A78" s="87" t="s">
        <x:v>339</x:v>
      </x:c>
      <x:c r="B78" s="104">
        <x:v>74</x:v>
      </x:c>
      <x:c r="C78" s="104">
        <x:v>4</x:v>
      </x:c>
      <x:c r="D78" s="104">
        <x:v>7</x:v>
      </x:c>
      <x:c r="E78" s="87" t="s">
        <x:v>450</x:v>
      </x:c>
      <x:c r="F78" s="87" t="s">
        <x:v>451</x:v>
      </x:c>
      <x:c r="G78" s="87" t="s">
        <x:v>452</x:v>
      </x:c>
      <x:c r="H78" s="87" t="s">
        <x:v>453</x:v>
      </x:c>
      <x:c r="I78" s="104">
        <x:v>4</x:v>
      </x:c>
      <x:c r="J78" s="87" t="s">
        <x:v>454</x:v>
      </x:c>
      <x:c r="K78" s="108" t="s">
        <x:v>455</x:v>
      </x:c>
      <x:c r="L78" s="108" t="s">
        <x:v>233</x:v>
      </x:c>
      <x:c r="M78" s="87" t="s">
        <x:v>456</x:v>
      </x:c>
      <x:c r="N78" s="110" t="n">
        <x:f t="shared" si="7">N77+(IFERROR(VALUE(LEFT(L78,FIND("분",L78)-1))*60,0)+IFERROR(VALUE(TRIM(MID(L78,IFERROR(FIND("분",L78),0)+1,IFERROR(FIND("초",L78),LEN(L78)+1)-IFERROR(FIND("분",L78),0)-1))),0))/86400</x:f>
        <x:v>0.08234953703703705</x:v>
      </x:c>
      <x:c r="O78" s="87" t="s">
        <x:v>446</x:v>
      </x:c>
      <x:c r="P78" s="112">
        <x:f t="shared" si="8"/>
        <x:v>313</x:v>
      </x:c>
      <x:c r="Q78" s="112">
        <x:v>6</x:v>
      </x:c>
      <x:c r="R78" s="116">
        <x:f t="shared" si="6"/>
        <x:v>1011.94</x:v>
      </x:c>
      <x:c r="S78" s="104" t="s">
        <x:v>42</x:v>
      </x:c>
      <x:c r="T78" s="112" t="s">
        <x:v>43</x:v>
      </x:c>
      <x:c r="U78" s="112" t="s">
        <x:v>43</x:v>
      </x:c>
      <x:c r="V78" s="104" t="s">
        <x:v>43</x:v>
      </x:c>
      <x:c r="W78" s="165" t="n">
        <x:v>0.0028356481481481483</x:v>
      </x:c>
      <x:c r="X78" s="165" t="n">
        <x:v>0.0024305555555555556</x:v>
      </x:c>
      <x:c r="Y78" s="165" t="n">
        <x:v>0.0020833333333333333</x:v>
      </x:c>
      <x:c r="Z78" s="112"/>
      <x:c r="AA78" s="112"/>
      <x:c r="AB78" s="112"/>
      <x:c r="AC78" s="112"/>
      <x:c r="AD78" s="86"/>
    </x:row>
    <x:row r="79" ht="65.0999984741211" customHeight="1">
      <x:c r="A79" s="87" t="s">
        <x:v>339</x:v>
      </x:c>
      <x:c r="B79" s="104">
        <x:v>75</x:v>
      </x:c>
      <x:c r="C79" s="104">
        <x:v>5</x:v>
      </x:c>
      <x:c r="D79" s="104">
        <x:v>7</x:v>
      </x:c>
      <x:c r="E79" s="87" t="s">
        <x:v>457</x:v>
      </x:c>
      <x:c r="F79" s="87" t="s">
        <x:v>458</x:v>
      </x:c>
      <x:c r="G79" s="87" t="s">
        <x:v>459</x:v>
      </x:c>
      <x:c r="H79" s="87" t="s">
        <x:v>460</x:v>
      </x:c>
      <x:c r="I79" s="104">
        <x:v>6</x:v>
      </x:c>
      <x:c r="J79" s="87" t="s">
        <x:v>461</x:v>
      </x:c>
      <x:c r="K79" s="108" t="s">
        <x:v>462</x:v>
      </x:c>
      <x:c r="L79" s="108" t="s">
        <x:v>463</x:v>
      </x:c>
      <x:c r="M79" s="87" t="s">
        <x:v>464</x:v>
      </x:c>
      <x:c r="N79" s="110" t="n">
        <x:f t="shared" si="7">N78+(IFERROR(VALUE(LEFT(L79,FIND("분",L79)-1))*60,0)+IFERROR(VALUE(TRIM(MID(L79,IFERROR(FIND("분",L79),0)+1,IFERROR(FIND("초",L79),LEN(L79)+1)-IFERROR(FIND("분",L79),0)-1))),0))/86400</x:f>
        <x:v>0.08466435185185187</x:v>
      </x:c>
      <x:c r="O79" s="87" t="s">
        <x:v>446</x:v>
      </x:c>
      <x:c r="P79" s="112">
        <x:f t="shared" si="8"/>
        <x:v>320</x:v>
      </x:c>
      <x:c r="Q79" s="112">
        <x:v>7</x:v>
      </x:c>
      <x:c r="R79" s="116">
        <x:f t="shared" si="6"/>
        <x:v>1056.6400000000001</x:v>
      </x:c>
      <x:c r="S79" s="104" t="s">
        <x:v>42</x:v>
      </x:c>
      <x:c r="T79" s="112" t="s">
        <x:v>43</x:v>
      </x:c>
      <x:c r="U79" s="112" t="s">
        <x:v>43</x:v>
      </x:c>
      <x:c r="V79" s="104" t="s">
        <x:v>43</x:v>
      </x:c>
      <x:c r="W79" s="165" t="n">
        <x:v>0.003703703703703704</x:v>
      </x:c>
      <x:c r="X79" s="165" t="n">
        <x:v>0.0030092592592592593</x:v>
      </x:c>
      <x:c r="Y79" s="165" t="n">
        <x:v>0.0023148148148148147</x:v>
      </x:c>
      <x:c r="Z79" s="112"/>
      <x:c r="AA79" s="112"/>
      <x:c r="AB79" s="112"/>
      <x:c r="AC79" s="112"/>
      <x:c r="AD79" s="86"/>
    </x:row>
    <x:row r="80" ht="65.0999984741211" customHeight="1">
      <x:c r="A80" s="87" t="s">
        <x:v>339</x:v>
      </x:c>
      <x:c r="B80" s="104">
        <x:v>76</x:v>
      </x:c>
      <x:c r="C80" s="104">
        <x:v>6</x:v>
      </x:c>
      <x:c r="D80" s="104">
        <x:v>7</x:v>
      </x:c>
      <x:c r="E80" s="87" t="s">
        <x:v>465</x:v>
      </x:c>
      <x:c r="F80" s="87" t="s">
        <x:v>466</x:v>
      </x:c>
      <x:c r="G80" s="87" t="s">
        <x:v>467</x:v>
      </x:c>
      <x:c r="H80" s="87" t="s">
        <x:v>468</x:v>
      </x:c>
      <x:c r="I80" s="104">
        <x:v>5</x:v>
      </x:c>
      <x:c r="J80" s="87" t="s">
        <x:v>469</x:v>
      </x:c>
      <x:c r="K80" s="108" t="s">
        <x:v>470</x:v>
      </x:c>
      <x:c r="L80" s="108" t="s">
        <x:v>471</x:v>
      </x:c>
      <x:c r="M80" s="87" t="s">
        <x:v>472</x:v>
      </x:c>
      <x:c r="N80" s="110" t="n">
        <x:f t="shared" si="7">N79+(IFERROR(VALUE(LEFT(L80,FIND("분",L80)-1))*60,0)+IFERROR(VALUE(TRIM(MID(L80,IFERROR(FIND("분",L80),0)+1,IFERROR(FIND("초",L80),LEN(L80)+1)-IFERROR(FIND("분",L80),0)-1))),0))/86400</x:f>
        <x:v>0.08686342592592594</x:v>
      </x:c>
      <x:c r="O80" s="87" t="s">
        <x:v>446</x:v>
      </x:c>
      <x:c r="P80" s="112">
        <x:f t="shared" si="8"/>
        <x:v>327</x:v>
      </x:c>
      <x:c r="Q80" s="112">
        <x:v>7</x:v>
      </x:c>
      <x:c r="R80" s="116">
        <x:f t="shared" si="6"/>
        <x:v>1102.3</x:v>
      </x:c>
      <x:c r="S80" s="104" t="s">
        <x:v>42</x:v>
      </x:c>
      <x:c r="T80" s="112" t="s">
        <x:v>43</x:v>
      </x:c>
      <x:c r="U80" s="112" t="s">
        <x:v>43</x:v>
      </x:c>
      <x:c r="V80" s="104" t="s">
        <x:v>43</x:v>
      </x:c>
      <x:c r="W80" s="165" t="n">
        <x:v>0.0035300925925925925</x:v>
      </x:c>
      <x:c r="X80" s="165" t="n">
        <x:v>0.0028935185185185184</x:v>
      </x:c>
      <x:c r="Y80" s="165" t="n">
        <x:v>0.002199074074074074</x:v>
      </x:c>
      <x:c r="Z80" s="112"/>
      <x:c r="AA80" s="112"/>
      <x:c r="AB80" s="112"/>
      <x:c r="AC80" s="112"/>
      <x:c r="AD80" s="86"/>
    </x:row>
    <x:row r="81" ht="65.0999984741211" customHeight="1">
      <x:c r="A81" s="87" t="s">
        <x:v>339</x:v>
      </x:c>
      <x:c r="B81" s="104">
        <x:v>77</x:v>
      </x:c>
      <x:c r="C81" s="104">
        <x:v>2</x:v>
      </x:c>
      <x:c r="D81" s="104">
        <x:v>6</x:v>
      </x:c>
      <x:c r="E81" s="87" t="s">
        <x:v>473</x:v>
      </x:c>
      <x:c r="F81" s="87" t="s">
        <x:v>474</x:v>
      </x:c>
      <x:c r="G81" s="87" t="s">
        <x:v>475</x:v>
      </x:c>
      <x:c r="H81" s="87" t="s">
        <x:v>476</x:v>
      </x:c>
      <x:c r="I81" s="104">
        <x:v>3</x:v>
      </x:c>
      <x:c r="J81" s="87" t="s">
        <x:v>477</x:v>
      </x:c>
      <x:c r="K81" s="108" t="s">
        <x:v>38</x:v>
      </x:c>
      <x:c r="L81" s="108" t="s">
        <x:v>136</x:v>
      </x:c>
      <x:c r="M81" s="87" t="s">
        <x:v>478</x:v>
      </x:c>
      <x:c r="N81" s="110" t="n">
        <x:f t="shared" si="7">N80+(IFERROR(VALUE(LEFT(L81,FIND("분",L81)-1))*60,0)+IFERROR(VALUE(TRIM(MID(L81,IFERROR(FIND("분",L81),0)+1,IFERROR(FIND("초",L81),LEN(L81)+1)-IFERROR(FIND("분",L81),0)-1))),0))/86400</x:f>
        <x:v>0.08767361111111113</x:v>
      </x:c>
      <x:c r="O81" s="87" t="s">
        <x:v>446</x:v>
      </x:c>
      <x:c r="P81" s="112">
        <x:f t="shared" si="8"/>
        <x:v>331</x:v>
      </x:c>
      <x:c r="Q81" s="112">
        <x:v>4</x:v>
      </x:c>
      <x:c r="R81" s="116">
        <x:f t="shared" si="6"/>
        <x:v>1128.83</x:v>
      </x:c>
      <x:c r="S81" s="104" t="s">
        <x:v>42</x:v>
      </x:c>
      <x:c r="T81" s="112" t="s">
        <x:v>43</x:v>
      </x:c>
      <x:c r="U81" s="112" t="s">
        <x:v>43</x:v>
      </x:c>
      <x:c r="V81" s="104" t="s">
        <x:v>43</x:v>
      </x:c>
      <x:c r="W81" s="165" t="n">
        <x:v>0.0009837962962962962</x:v>
      </x:c>
      <x:c r="X81" s="165" t="n">
        <x:v>0.0008680555555555555</x:v>
      </x:c>
      <x:c r="Y81" s="165" t="n">
        <x:v>0.0008101851851851852</x:v>
      </x:c>
      <x:c r="Z81" s="112"/>
      <x:c r="AA81" s="112"/>
      <x:c r="AB81" s="112"/>
      <x:c r="AC81" s="112"/>
      <x:c r="AD81" s="86"/>
    </x:row>
    <x:row r="82" ht="65.0999984741211" customHeight="1">
      <x:c r="A82" s="87" t="s">
        <x:v>339</x:v>
      </x:c>
      <x:c r="B82" s="104">
        <x:v>78</x:v>
      </x:c>
      <x:c r="C82" s="104">
        <x:v>3</x:v>
      </x:c>
      <x:c r="D82" s="104">
        <x:v>7</x:v>
      </x:c>
      <x:c r="E82" s="87" t="s">
        <x:v>479</x:v>
      </x:c>
      <x:c r="F82" s="87" t="s">
        <x:v>480</x:v>
      </x:c>
      <x:c r="G82" s="87" t="s">
        <x:v>481</x:v>
      </x:c>
      <x:c r="H82" s="87" t="s">
        <x:v>482</x:v>
      </x:c>
      <x:c r="I82" s="104">
        <x:v>5</x:v>
      </x:c>
      <x:c r="J82" s="87" t="s">
        <x:v>483</x:v>
      </x:c>
      <x:c r="K82" s="108" t="s">
        <x:v>484</x:v>
      </x:c>
      <x:c r="L82" s="108" t="s">
        <x:v>121</x:v>
      </x:c>
      <x:c r="M82" s="87" t="s">
        <x:v>485</x:v>
      </x:c>
      <x:c r="N82" s="110" t="n">
        <x:f t="shared" si="7">N81+(IFERROR(VALUE(LEFT(L82,FIND("분",L82)-1))*60,0)+IFERROR(VALUE(TRIM(MID(L82,IFERROR(FIND("분",L82),0)+1,IFERROR(FIND("초",L82),LEN(L82)+1)-IFERROR(FIND("분",L82),0)-1))),0))/86400</x:f>
        <x:v>0.08859953703703706</x:v>
      </x:c>
      <x:c r="O82" s="87" t="s">
        <x:v>446</x:v>
      </x:c>
      <x:c r="P82" s="112">
        <x:f t="shared" si="8"/>
        <x:v>336</x:v>
      </x:c>
      <x:c r="Q82" s="112">
        <x:v>5</x:v>
      </x:c>
      <x:c r="R82" s="116">
        <x:f t="shared" si="6"/>
        <x:v>1162.43</x:v>
      </x:c>
      <x:c r="S82" s="104" t="s">
        <x:v>486</x:v>
      </x:c>
      <x:c r="T82" s="112">
        <x:v>2</x:v>
      </x:c>
      <x:c r="U82" s="112">
        <x:v>80</x:v>
      </x:c>
      <x:c r="V82" s="104" t="s">
        <x:v>487</x:v>
      </x:c>
      <x:c r="W82" s="165" t="n">
        <x:v>0.0012731481481481483</x:v>
      </x:c>
      <x:c r="X82" s="165" t="n">
        <x:v>0.001099537037037037</x:v>
      </x:c>
      <x:c r="Y82" s="165" t="n">
        <x:v>0.000925925925925926</x:v>
      </x:c>
      <x:c r="Z82" s="112"/>
      <x:c r="AA82" s="112"/>
      <x:c r="AB82" s="112"/>
      <x:c r="AC82" s="112"/>
      <x:c r="AD82" s="86"/>
    </x:row>
    <x:row r="83" ht="65.0999984741211" customHeight="1">
      <x:c r="A83" s="87" t="s">
        <x:v>339</x:v>
      </x:c>
      <x:c r="B83" s="104">
        <x:v>79</x:v>
      </x:c>
      <x:c r="C83" s="104">
        <x:v>4</x:v>
      </x:c>
      <x:c r="D83" s="104">
        <x:v>7</x:v>
      </x:c>
      <x:c r="E83" s="87" t="s">
        <x:v>488</x:v>
      </x:c>
      <x:c r="F83" s="87" t="s">
        <x:v>489</x:v>
      </x:c>
      <x:c r="G83" s="87" t="s">
        <x:v>490</x:v>
      </x:c>
      <x:c r="H83" s="87" t="s">
        <x:v>491</x:v>
      </x:c>
      <x:c r="I83" s="104">
        <x:v>3</x:v>
      </x:c>
      <x:c r="J83" s="87" t="s">
        <x:v>492</x:v>
      </x:c>
      <x:c r="K83" s="108" t="s">
        <x:v>493</x:v>
      </x:c>
      <x:c r="L83" s="108" t="s">
        <x:v>39</x:v>
      </x:c>
      <x:c r="M83" s="87" t="s">
        <x:v>494</x:v>
      </x:c>
      <x:c r="N83" s="110" t="n">
        <x:f t="shared" si="7">N82+(IFERROR(VALUE(LEFT(L83,FIND("분",L83)-1))*60,0)+IFERROR(VALUE(TRIM(MID(L83,IFERROR(FIND("분",L83),0)+1,IFERROR(FIND("초",L83),LEN(L83)+1)-IFERROR(FIND("분",L83),0)-1))),0))/86400</x:f>
        <x:v>0.08964120370370372</x:v>
      </x:c>
      <x:c r="O83" s="87" t="s">
        <x:v>446</x:v>
      </x:c>
      <x:c r="P83" s="112">
        <x:f t="shared" si="8"/>
        <x:v>342</x:v>
      </x:c>
      <x:c r="Q83" s="112">
        <x:v>6</x:v>
      </x:c>
      <x:c r="R83" s="116">
        <x:f t="shared" si="6"/>
        <x:v>1203.4000000000001</x:v>
      </x:c>
      <x:c r="S83" s="104" t="s">
        <x:v>486</x:v>
      </x:c>
      <x:c r="T83" s="112">
        <x:v>3</x:v>
      </x:c>
      <x:c r="U83" s="112">
        <x:v>90</x:v>
      </x:c>
      <x:c r="V83" s="104" t="s">
        <x:v>495</x:v>
      </x:c>
      <x:c r="W83" s="165" t="n">
        <x:v>0.0014467592592592592</x:v>
      </x:c>
      <x:c r="X83" s="165" t="n">
        <x:v>0.0012152777777777778</x:v>
      </x:c>
      <x:c r="Y83" s="165" t="n">
        <x:v>0.0010416666666666667</x:v>
      </x:c>
      <x:c r="Z83" s="112"/>
      <x:c r="AA83" s="112"/>
      <x:c r="AB83" s="112"/>
      <x:c r="AC83" s="112"/>
      <x:c r="AD83" s="86"/>
    </x:row>
    <x:row r="84" ht="65.0999984741211" customHeight="1">
      <x:c r="A84" s="87" t="s">
        <x:v>339</x:v>
      </x:c>
      <x:c r="B84" s="104">
        <x:v>80</x:v>
      </x:c>
      <x:c r="C84" s="104">
        <x:v>5</x:v>
      </x:c>
      <x:c r="D84" s="104">
        <x:v>8</x:v>
      </x:c>
      <x:c r="E84" s="87" t="s">
        <x:v>496</x:v>
      </x:c>
      <x:c r="F84" s="87" t="s">
        <x:v>497</x:v>
      </x:c>
      <x:c r="G84" s="87" t="s">
        <x:v>498</x:v>
      </x:c>
      <x:c r="H84" s="87" t="s">
        <x:v>499</x:v>
      </x:c>
      <x:c r="I84" s="104">
        <x:v>2</x:v>
      </x:c>
      <x:c r="J84" s="87" t="s">
        <x:v>500</x:v>
      </x:c>
      <x:c r="K84" s="108" t="s">
        <x:v>501</x:v>
      </x:c>
      <x:c r="L84" s="108" t="s">
        <x:v>159</x:v>
      </x:c>
      <x:c r="M84" s="87" t="s">
        <x:v>502</x:v>
      </x:c>
      <x:c r="N84" s="110" t="n">
        <x:f t="shared" si="7">N83+(IFERROR(VALUE(LEFT(L84,FIND("분",L84)-1))*60,0)+IFERROR(VALUE(TRIM(MID(L84,IFERROR(FIND("분",L84),0)+1,IFERROR(FIND("초",L84),LEN(L84)+1)-IFERROR(FIND("분",L84),0)-1))),0))/86400</x:f>
        <x:v>0.09079861111111114</x:v>
      </x:c>
      <x:c r="O84" s="87" t="s">
        <x:v>446</x:v>
      </x:c>
      <x:c r="P84" s="112">
        <x:f t="shared" si="8"/>
        <x:v>349</x:v>
      </x:c>
      <x:c r="Q84" s="112">
        <x:v>7</x:v>
      </x:c>
      <x:c r="R84" s="116">
        <x:f t="shared" si="6"/>
        <x:v>1252.0899999999999</x:v>
      </x:c>
      <x:c r="S84" s="104" t="s">
        <x:v>486</x:v>
      </x:c>
      <x:c r="T84" s="112">
        <x:v>4</x:v>
      </x:c>
      <x:c r="U84" s="112">
        <x:v>100</x:v>
      </x:c>
      <x:c r="V84" s="104" t="s">
        <x:v>503</x:v>
      </x:c>
      <x:c r="W84" s="165" t="n">
        <x:v>0.001851851851851852</x:v>
      </x:c>
      <x:c r="X84" s="165" t="n">
        <x:v>0.0015046296296296296</x:v>
      </x:c>
      <x:c r="Y84" s="165" t="n">
        <x:v>0.0011574074074074073</x:v>
      </x:c>
      <x:c r="Z84" s="112"/>
      <x:c r="AA84" s="112"/>
      <x:c r="AB84" s="112"/>
      <x:c r="AC84" s="112"/>
      <x:c r="AD84" s="86"/>
    </x:row>
    <x:row r="85" ht="65.0999984741211" customHeight="1">
      <x:c r="A85" s="87" t="s">
        <x:v>339</x:v>
      </x:c>
      <x:c r="B85" s="104">
        <x:v>81</x:v>
      </x:c>
      <x:c r="C85" s="104">
        <x:v>4</x:v>
      </x:c>
      <x:c r="D85" s="104">
        <x:v>9</x:v>
      </x:c>
      <x:c r="E85" s="87" t="s">
        <x:v>504</x:v>
      </x:c>
      <x:c r="F85" s="87" t="s">
        <x:v>505</x:v>
      </x:c>
      <x:c r="G85" s="87" t="s">
        <x:v>506</x:v>
      </x:c>
      <x:c r="H85" s="87" t="s">
        <x:v>507</x:v>
      </x:c>
      <x:c r="I85" s="104">
        <x:v>5</x:v>
      </x:c>
      <x:c r="J85" s="87" t="s">
        <x:v>508</x:v>
      </x:c>
      <x:c r="K85" s="108" t="s">
        <x:v>509</x:v>
      </x:c>
      <x:c r="L85" s="108" t="s">
        <x:v>136</x:v>
      </x:c>
      <x:c r="M85" s="87" t="s">
        <x:v>510</x:v>
      </x:c>
      <x:c r="N85" s="110" t="n">
        <x:f t="shared" si="7">N84+(IFERROR(VALUE(LEFT(L85,FIND("분",L85)-1))*60,0)+IFERROR(VALUE(TRIM(MID(L85,IFERROR(FIND("분",L85),0)+1,IFERROR(FIND("초",L85),LEN(L85)+1)-IFERROR(FIND("분",L85),0)-1))),0))/86400</x:f>
        <x:v>0.09160879629629633</x:v>
      </x:c>
      <x:c r="O85" s="87" t="s">
        <x:v>446</x:v>
      </x:c>
      <x:c r="P85" s="112">
        <x:f t="shared" si="8"/>
        <x:v>356</x:v>
      </x:c>
      <x:c r="Q85" s="112">
        <x:v>7</x:v>
      </x:c>
      <x:c r="R85" s="116">
        <x:f t="shared" si="6"/>
        <x:v>1301.75</x:v>
      </x:c>
      <x:c r="S85" s="104" t="s">
        <x:v>486</x:v>
      </x:c>
      <x:c r="T85" s="112">
        <x:v>3</x:v>
      </x:c>
      <x:c r="U85" s="112">
        <x:v>70</x:v>
      </x:c>
      <x:c r="V85" s="104" t="s">
        <x:v>511</x:v>
      </x:c>
      <x:c r="W85" s="165" t="n">
        <x:v>0.001099537037037037</x:v>
      </x:c>
      <x:c r="X85" s="165" t="n">
        <x:v>0.0009837962962962962</x:v>
      </x:c>
      <x:c r="Y85" s="165" t="n">
        <x:v>0.0008101851851851852</x:v>
      </x:c>
      <x:c r="Z85" s="112"/>
      <x:c r="AA85" s="112"/>
      <x:c r="AB85" s="112"/>
      <x:c r="AC85" s="112"/>
      <x:c r="AD85" s="86"/>
    </x:row>
    <x:row r="86" ht="65.0999984741211" customHeight="1">
      <x:c r="A86" s="87" t="s">
        <x:v>339</x:v>
      </x:c>
      <x:c r="B86" s="104">
        <x:v>82</x:v>
      </x:c>
      <x:c r="C86" s="104">
        <x:v>5</x:v>
      </x:c>
      <x:c r="D86" s="104">
        <x:v>9</x:v>
      </x:c>
      <x:c r="E86" s="87" t="s">
        <x:v>512</x:v>
      </x:c>
      <x:c r="F86" s="87" t="s">
        <x:v>513</x:v>
      </x:c>
      <x:c r="G86" s="87" t="s">
        <x:v>514</x:v>
      </x:c>
      <x:c r="H86" s="87" t="s">
        <x:v>515</x:v>
      </x:c>
      <x:c r="I86" s="104">
        <x:v>4</x:v>
      </x:c>
      <x:c r="J86" s="87" t="s">
        <x:v>516</x:v>
      </x:c>
      <x:c r="K86" s="108" t="s">
        <x:v>517</x:v>
      </x:c>
      <x:c r="L86" s="108" t="s">
        <x:v>39</x:v>
      </x:c>
      <x:c r="M86" s="87" t="s">
        <x:v>518</x:v>
      </x:c>
      <x:c r="N86" s="110" t="n">
        <x:f t="shared" si="7">N85+(IFERROR(VALUE(LEFT(L86,FIND("분",L86)-1))*60,0)+IFERROR(VALUE(TRIM(MID(L86,IFERROR(FIND("분",L86),0)+1,IFERROR(FIND("초",L86),LEN(L86)+1)-IFERROR(FIND("분",L86),0)-1))),0))/86400</x:f>
        <x:v>0.09265046296296299</x:v>
      </x:c>
      <x:c r="O86" s="87" t="s">
        <x:v>446</x:v>
      </x:c>
      <x:c r="P86" s="112">
        <x:f t="shared" si="8"/>
        <x:v>363</x:v>
      </x:c>
      <x:c r="Q86" s="112">
        <x:v>7</x:v>
      </x:c>
      <x:c r="R86" s="116">
        <x:f t="shared" si="6"/>
        <x:v>1352.37</x:v>
      </x:c>
      <x:c r="S86" s="104" t="s">
        <x:v>42</x:v>
      </x:c>
      <x:c r="T86" s="112" t="s">
        <x:v>43</x:v>
      </x:c>
      <x:c r="U86" s="112" t="s">
        <x:v>43</x:v>
      </x:c>
      <x:c r="V86" s="104" t="s">
        <x:v>43</x:v>
      </x:c>
      <x:c r="W86" s="165" t="n">
        <x:v>0.0016782407407407408</x:v>
      </x:c>
      <x:c r="X86" s="165" t="n">
        <x:v>0.001388888888888889</x:v>
      </x:c>
      <x:c r="Y86" s="165" t="n">
        <x:v>0.0010416666666666667</x:v>
      </x:c>
      <x:c r="Z86" s="112"/>
      <x:c r="AA86" s="112"/>
      <x:c r="AB86" s="112"/>
      <x:c r="AC86" s="112"/>
      <x:c r="AD86" s="86"/>
    </x:row>
    <x:row r="87" ht="65.0999984741211" customHeight="1">
      <x:c r="A87" s="87" t="s">
        <x:v>339</x:v>
      </x:c>
      <x:c r="B87" s="104">
        <x:v>83</x:v>
      </x:c>
      <x:c r="C87" s="104">
        <x:v>5</x:v>
      </x:c>
      <x:c r="D87" s="104">
        <x:v>9</x:v>
      </x:c>
      <x:c r="E87" s="87" t="s">
        <x:v>519</x:v>
      </x:c>
      <x:c r="F87" s="87" t="s">
        <x:v>520</x:v>
      </x:c>
      <x:c r="G87" s="87" t="s">
        <x:v>521</x:v>
      </x:c>
      <x:c r="H87" s="87" t="s">
        <x:v>522</x:v>
      </x:c>
      <x:c r="I87" s="104">
        <x:v>3</x:v>
      </x:c>
      <x:c r="J87" s="87" t="s">
        <x:v>523</x:v>
      </x:c>
      <x:c r="K87" s="108" t="s">
        <x:v>524</x:v>
      </x:c>
      <x:c r="L87" s="108" t="s">
        <x:v>121</x:v>
      </x:c>
      <x:c r="M87" s="87" t="s">
        <x:v>525</x:v>
      </x:c>
      <x:c r="N87" s="110" t="n">
        <x:f t="shared" si="7">N86+(IFERROR(VALUE(LEFT(L87,FIND("분",L87)-1))*60,0)+IFERROR(VALUE(TRIM(MID(L87,IFERROR(FIND("분",L87),0)+1,IFERROR(FIND("초",L87),LEN(L87)+1)-IFERROR(FIND("분",L87),0)-1))),0))/86400</x:f>
        <x:v>0.09357638888888892</x:v>
      </x:c>
      <x:c r="O87" s="87" t="s">
        <x:v>446</x:v>
      </x:c>
      <x:c r="P87" s="112">
        <x:f t="shared" si="8"/>
        <x:v>370</x:v>
      </x:c>
      <x:c r="Q87" s="112">
        <x:v>7</x:v>
      </x:c>
      <x:c r="R87" s="116">
        <x:f t="shared" si="6"/>
        <x:v>1403.97</x:v>
      </x:c>
      <x:c r="S87" s="104" t="s">
        <x:v>42</x:v>
      </x:c>
      <x:c r="T87" s="112" t="s">
        <x:v>43</x:v>
      </x:c>
      <x:c r="U87" s="112" t="s">
        <x:v>43</x:v>
      </x:c>
      <x:c r="V87" s="104" t="s">
        <x:v>43</x:v>
      </x:c>
      <x:c r="W87" s="165" t="n">
        <x:v>0.0015046296296296296</x:v>
      </x:c>
      <x:c r="X87" s="165" t="n">
        <x:v>0.0012152777777777778</x:v>
      </x:c>
      <x:c r="Y87" s="165" t="n">
        <x:v>0.000925925925925926</x:v>
      </x:c>
      <x:c r="Z87" s="112"/>
      <x:c r="AA87" s="112"/>
      <x:c r="AB87" s="112"/>
      <x:c r="AC87" s="112"/>
      <x:c r="AD87" s="86"/>
    </x:row>
    <x:row r="88" ht="65.0999984741211" customHeight="1">
      <x:c r="A88" s="87" t="s">
        <x:v>339</x:v>
      </x:c>
      <x:c r="B88" s="104">
        <x:v>84</x:v>
      </x:c>
      <x:c r="C88" s="104">
        <x:v>6</x:v>
      </x:c>
      <x:c r="D88" s="104">
        <x:v>9</x:v>
      </x:c>
      <x:c r="E88" s="87" t="s">
        <x:v>526</x:v>
      </x:c>
      <x:c r="F88" s="87" t="s">
        <x:v>527</x:v>
      </x:c>
      <x:c r="G88" s="87" t="s">
        <x:v>528</x:v>
      </x:c>
      <x:c r="H88" s="87" t="s">
        <x:v>529</x:v>
      </x:c>
      <x:c r="I88" s="104">
        <x:v>3</x:v>
      </x:c>
      <x:c r="J88" s="87" t="s">
        <x:v>530</x:v>
      </x:c>
      <x:c r="K88" s="108" t="s">
        <x:v>531</x:v>
      </x:c>
      <x:c r="L88" s="108" t="s">
        <x:v>532</x:v>
      </x:c>
      <x:c r="M88" s="87" t="s">
        <x:v>533</x:v>
      </x:c>
      <x:c r="N88" s="110" t="n">
        <x:f t="shared" si="7">N87+(IFERROR(VALUE(LEFT(L88,FIND("분",L88)-1))*60,0)+IFERROR(VALUE(TRIM(MID(L88,IFERROR(FIND("분",L88),0)+1,IFERROR(FIND("초",L88),LEN(L88)+1)-IFERROR(FIND("분",L88),0)-1))),0))/86400</x:f>
        <x:v>0.09658564814814817</x:v>
      </x:c>
      <x:c r="O88" s="87" t="s">
        <x:v>446</x:v>
      </x:c>
      <x:c r="P88" s="112">
        <x:f t="shared" si="8"/>
        <x:v>378</x:v>
      </x:c>
      <x:c r="Q88" s="112">
        <x:v>8</x:v>
      </x:c>
      <x:c r="R88" s="116">
        <x:f t="shared" si="6"/>
        <x:v>1464.11</x:v>
      </x:c>
      <x:c r="S88" s="104" t="s">
        <x:v>534</x:v>
      </x:c>
      <x:c r="T88" s="112">
        <x:v>6</x:v>
      </x:c>
      <x:c r="U88" s="112">
        <x:v>260</x:v>
      </x:c>
      <x:c r="V88" s="104" t="s">
        <x:v>535</x:v>
      </x:c>
      <x:c r="W88" s="165" t="n">
        <x:v>0.004861111111111111</x:v>
      </x:c>
      <x:c r="X88" s="165" t="n">
        <x:v>0.003935185185185185</x:v>
      </x:c>
      <x:c r="Y88" s="165" t="n">
        <x:v>0.0030092592592592593</x:v>
      </x:c>
      <x:c r="Z88" s="112"/>
      <x:c r="AA88" s="112"/>
      <x:c r="AB88" s="112"/>
      <x:c r="AC88" s="112"/>
      <x:c r="AD88" s="86"/>
    </x:row>
    <x:row r="89" ht="65.0999984741211" customHeight="1">
      <x:c r="A89" s="87" t="s">
        <x:v>339</x:v>
      </x:c>
      <x:c r="B89" s="104">
        <x:v>85</x:v>
      </x:c>
      <x:c r="C89" s="104">
        <x:v>3</x:v>
      </x:c>
      <x:c r="D89" s="104">
        <x:v>8</x:v>
      </x:c>
      <x:c r="E89" s="87" t="s">
        <x:v>536</x:v>
      </x:c>
      <x:c r="F89" s="87" t="s">
        <x:v>537</x:v>
      </x:c>
      <x:c r="G89" s="87" t="s">
        <x:v>538</x:v>
      </x:c>
      <x:c r="H89" s="87" t="s">
        <x:v>539</x:v>
      </x:c>
      <x:c r="I89" s="104">
        <x:v>2</x:v>
      </x:c>
      <x:c r="J89" s="87" t="s">
        <x:v>540</x:v>
      </x:c>
      <x:c r="K89" s="108" t="s">
        <x:v>38</x:v>
      </x:c>
      <x:c r="L89" s="108" t="s">
        <x:v>56</x:v>
      </x:c>
      <x:c r="M89" s="87" t="s">
        <x:v>541</x:v>
      </x:c>
      <x:c r="N89" s="110" t="n">
        <x:f t="shared" si="7">N88+(IFERROR(VALUE(LEFT(L89,FIND("분",L89)-1))*60,0)+IFERROR(VALUE(TRIM(MID(L89,IFERROR(FIND("분",L89),0)+1,IFERROR(FIND("초",L89),LEN(L89)+1)-IFERROR(FIND("분",L89),0)-1))),0))/86400</x:f>
        <x:v>0.09728009259259261</x:v>
      </x:c>
      <x:c r="O89" s="87" t="s">
        <x:v>446</x:v>
      </x:c>
      <x:c r="P89" s="112">
        <x:f t="shared" si="8"/>
        <x:v>384</x:v>
      </x:c>
      <x:c r="Q89" s="112">
        <x:v>6</x:v>
      </x:c>
      <x:c r="R89" s="116">
        <x:f t="shared" si="6"/>
        <x:v>1510.04</x:v>
      </x:c>
      <x:c r="S89" s="104" t="s">
        <x:v>42</x:v>
      </x:c>
      <x:c r="T89" s="112" t="s">
        <x:v>43</x:v>
      </x:c>
      <x:c r="U89" s="112" t="s">
        <x:v>43</x:v>
      </x:c>
      <x:c r="V89" s="104" t="s">
        <x:v>43</x:v>
      </x:c>
      <x:c r="W89" s="165" t="n">
        <x:v>0.0009837962962962962</x:v>
      </x:c>
      <x:c r="X89" s="165" t="n">
        <x:v>0.0008101851851851852</x:v>
      </x:c>
      <x:c r="Y89" s="165" t="n">
        <x:v>0.0006944444444444445</x:v>
      </x:c>
      <x:c r="Z89" s="112"/>
      <x:c r="AA89" s="112"/>
      <x:c r="AB89" s="112"/>
      <x:c r="AC89" s="112"/>
      <x:c r="AD89" s="86"/>
    </x:row>
    <x:row r="90" ht="65.0999984741211" customHeight="1">
      <x:c r="A90" s="87" t="s">
        <x:v>339</x:v>
      </x:c>
      <x:c r="B90" s="104">
        <x:v>86</x:v>
      </x:c>
      <x:c r="C90" s="104">
        <x:v>1</x:v>
      </x:c>
      <x:c r="D90" s="104">
        <x:v>7</x:v>
      </x:c>
      <x:c r="E90" s="87" t="s">
        <x:v>542</x:v>
      </x:c>
      <x:c r="F90" s="87" t="s">
        <x:v>543</x:v>
      </x:c>
      <x:c r="G90" s="87" t="s">
        <x:v>544</x:v>
      </x:c>
      <x:c r="H90" s="87" t="s">
        <x:v>545</x:v>
      </x:c>
      <x:c r="I90" s="104">
        <x:v>2</x:v>
      </x:c>
      <x:c r="J90" s="87" t="s">
        <x:v>546</x:v>
      </x:c>
      <x:c r="K90" s="108" t="s">
        <x:v>547</x:v>
      </x:c>
      <x:c r="L90" s="108" t="s">
        <x:v>121</x:v>
      </x:c>
      <x:c r="M90" s="87" t="s">
        <x:v>548</x:v>
      </x:c>
      <x:c r="N90" s="110" t="n">
        <x:f t="shared" si="7">N89+(IFERROR(VALUE(LEFT(L90,FIND("분",L90)-1))*60,0)+IFERROR(VALUE(TRIM(MID(L90,IFERROR(FIND("분",L90),0)+1,IFERROR(FIND("초",L90),LEN(L90)+1)-IFERROR(FIND("분",L90),0)-1))),0))/86400</x:f>
        <x:v>0.09820601851851854</x:v>
      </x:c>
      <x:c r="O90" s="87" t="s">
        <x:v>446</x:v>
      </x:c>
      <x:c r="P90" s="112">
        <x:f t="shared" si="8"/>
        <x:v>387</x:v>
      </x:c>
      <x:c r="Q90" s="112">
        <x:v>3</x:v>
      </x:c>
      <x:c r="R90" s="116">
        <x:f t="shared" si="6"/>
        <x:v>1533.27</x:v>
      </x:c>
      <x:c r="S90" s="104" t="s">
        <x:v>42</x:v>
      </x:c>
      <x:c r="T90" s="112" t="s">
        <x:v>43</x:v>
      </x:c>
      <x:c r="U90" s="112" t="s">
        <x:v>43</x:v>
      </x:c>
      <x:c r="V90" s="104" t="s">
        <x:v>43</x:v>
      </x:c>
      <x:c r="W90" s="165" t="n">
        <x:v>0.001099537037037037</x:v>
      </x:c>
      <x:c r="X90" s="165" t="n">
        <x:v>0.0009837962962962962</x:v>
      </x:c>
      <x:c r="Y90" s="165" t="n">
        <x:v>0.000925925925925926</x:v>
      </x:c>
      <x:c r="Z90" s="112"/>
      <x:c r="AA90" s="112"/>
      <x:c r="AB90" s="112"/>
      <x:c r="AC90" s="112"/>
      <x:c r="AD90" s="86"/>
    </x:row>
    <x:row r="91" ht="65.0999984741211" customHeight="1">
      <x:c r="A91" s="87" t="s">
        <x:v>339</x:v>
      </x:c>
      <x:c r="B91" s="104">
        <x:v>87</x:v>
      </x:c>
      <x:c r="C91" s="104">
        <x:v>1</x:v>
      </x:c>
      <x:c r="D91" s="104">
        <x:v>7</x:v>
      </x:c>
      <x:c r="E91" s="87" t="s">
        <x:v>549</x:v>
      </x:c>
      <x:c r="F91" s="87" t="s">
        <x:v>550</x:v>
      </x:c>
      <x:c r="G91" s="87" t="s">
        <x:v>551</x:v>
      </x:c>
      <x:c r="H91" s="87" t="s">
        <x:v>552</x:v>
      </x:c>
      <x:c r="I91" s="104">
        <x:v>2</x:v>
      </x:c>
      <x:c r="J91" s="87" t="s">
        <x:v>553</x:v>
      </x:c>
      <x:c r="K91" s="108" t="s">
        <x:v>38</x:v>
      </x:c>
      <x:c r="L91" s="108" t="s">
        <x:v>112</x:v>
      </x:c>
      <x:c r="M91" s="87" t="s">
        <x:v>554</x:v>
      </x:c>
      <x:c r="N91" s="110" t="n">
        <x:f t="shared" si="7">N90+(IFERROR(VALUE(LEFT(L91,FIND("분",L91)-1))*60,0)+IFERROR(VALUE(TRIM(MID(L91,IFERROR(FIND("분",L91),0)+1,IFERROR(FIND("초",L91),LEN(L91)+1)-IFERROR(FIND("분",L91),0)-1))),0))/86400</x:f>
        <x:v>0.09878472222222225</x:v>
      </x:c>
      <x:c r="O91" s="87" t="s">
        <x:v>555</x:v>
      </x:c>
      <x:c r="P91" s="112">
        <x:f t="shared" si="8"/>
        <x:v>390</x:v>
      </x:c>
      <x:c r="Q91" s="112">
        <x:v>3</x:v>
      </x:c>
      <x:c r="R91" s="116">
        <x:f t="shared" si="6"/>
        <x:v>1556.69</x:v>
      </x:c>
      <x:c r="S91" s="104" t="s">
        <x:v>42</x:v>
      </x:c>
      <x:c r="T91" s="112" t="s">
        <x:v>43</x:v>
      </x:c>
      <x:c r="U91" s="112" t="s">
        <x:v>43</x:v>
      </x:c>
      <x:c r="V91" s="104" t="s">
        <x:v>43</x:v>
      </x:c>
      <x:c r="W91" s="165" t="n">
        <x:v>0.0006944444444444445</x:v>
      </x:c>
      <x:c r="X91" s="165" t="n">
        <x:v>0.0006365740740740741</x:v>
      </x:c>
      <x:c r="Y91" s="165" t="n">
        <x:v>0.0005787037037037037</x:v>
      </x:c>
      <x:c r="Z91" s="112"/>
      <x:c r="AA91" s="112"/>
      <x:c r="AB91" s="112"/>
      <x:c r="AC91" s="112"/>
      <x:c r="AD91" s="86"/>
    </x:row>
    <x:row r="92" ht="65.0999984741211" customHeight="1">
      <x:c r="A92" s="87" t="s">
        <x:v>339</x:v>
      </x:c>
      <x:c r="B92" s="104">
        <x:v>88</x:v>
      </x:c>
      <x:c r="C92" s="104">
        <x:v>4</x:v>
      </x:c>
      <x:c r="D92" s="104">
        <x:v>8</x:v>
      </x:c>
      <x:c r="E92" s="87" t="s">
        <x:v>556</x:v>
      </x:c>
      <x:c r="F92" s="87" t="s">
        <x:v>557</x:v>
      </x:c>
      <x:c r="G92" s="87" t="s">
        <x:v>558</x:v>
      </x:c>
      <x:c r="H92" s="87" t="s">
        <x:v>559</x:v>
      </x:c>
      <x:c r="I92" s="104">
        <x:v>5</x:v>
      </x:c>
      <x:c r="J92" s="87" t="s">
        <x:v>560</x:v>
      </x:c>
      <x:c r="K92" s="108" t="s">
        <x:v>561</x:v>
      </x:c>
      <x:c r="L92" s="108" t="s">
        <x:v>121</x:v>
      </x:c>
      <x:c r="M92" s="87" t="s">
        <x:v>562</x:v>
      </x:c>
      <x:c r="N92" s="110" t="n">
        <x:f t="shared" si="7">N91+(IFERROR(VALUE(LEFT(L92,FIND("분",L92)-1))*60,0)+IFERROR(VALUE(TRIM(MID(L92,IFERROR(FIND("분",L92),0)+1,IFERROR(FIND("초",L92),LEN(L92)+1)-IFERROR(FIND("분",L92),0)-1))),0))/86400</x:f>
        <x:v>0.09971064814814817</x:v>
      </x:c>
      <x:c r="O92" s="87" t="s">
        <x:v>555</x:v>
      </x:c>
      <x:c r="P92" s="112">
        <x:f t="shared" si="8"/>
        <x:v>397</x:v>
      </x:c>
      <x:c r="Q92" s="112">
        <x:v>7</x:v>
      </x:c>
      <x:c r="R92" s="116">
        <x:f t="shared" si="6"/>
        <x:v>1612</x:v>
      </x:c>
      <x:c r="S92" s="104" t="s">
        <x:v>42</x:v>
      </x:c>
      <x:c r="T92" s="112" t="s">
        <x:v>43</x:v>
      </x:c>
      <x:c r="U92" s="112" t="s">
        <x:v>43</x:v>
      </x:c>
      <x:c r="V92" s="104" t="s">
        <x:v>43</x:v>
      </x:c>
      <x:c r="W92" s="165" t="n">
        <x:v>0.0012731481481481483</x:v>
      </x:c>
      <x:c r="X92" s="165" t="n">
        <x:v>0.001099537037037037</x:v>
      </x:c>
      <x:c r="Y92" s="165" t="n">
        <x:v>0.000925925925925926</x:v>
      </x:c>
      <x:c r="Z92" s="112"/>
      <x:c r="AA92" s="112"/>
      <x:c r="AB92" s="112"/>
      <x:c r="AC92" s="112"/>
      <x:c r="AD92" s="86"/>
    </x:row>
    <x:row r="93" ht="65.0999984741211" customHeight="1">
      <x:c r="A93" s="87" t="s">
        <x:v>339</x:v>
      </x:c>
      <x:c r="B93" s="104">
        <x:v>89</x:v>
      </x:c>
      <x:c r="C93" s="104">
        <x:v>6</x:v>
      </x:c>
      <x:c r="D93" s="104">
        <x:v>9</x:v>
      </x:c>
      <x:c r="E93" s="87" t="s">
        <x:v>563</x:v>
      </x:c>
      <x:c r="F93" s="87" t="s">
        <x:v>564</x:v>
      </x:c>
      <x:c r="G93" s="87" t="s">
        <x:v>565</x:v>
      </x:c>
      <x:c r="H93" s="87" t="s">
        <x:v>566</x:v>
      </x:c>
      <x:c r="I93" s="104">
        <x:v>4</x:v>
      </x:c>
      <x:c r="J93" s="87" t="s">
        <x:v>567</x:v>
      </x:c>
      <x:c r="K93" s="108" t="s">
        <x:v>568</x:v>
      </x:c>
      <x:c r="L93" s="108" t="s">
        <x:v>39</x:v>
      </x:c>
      <x:c r="M93" s="87" t="s">
        <x:v>569</x:v>
      </x:c>
      <x:c r="N93" s="110" t="n">
        <x:f t="shared" si="7">N92+(IFERROR(VALUE(LEFT(L93,FIND("분",L93)-1))*60,0)+IFERROR(VALUE(TRIM(MID(L93,IFERROR(FIND("분",L93),0)+1,IFERROR(FIND("초",L93),LEN(L93)+1)-IFERROR(FIND("분",L93),0)-1))),0))/86400</x:f>
        <x:v>0.10075231481481484</x:v>
      </x:c>
      <x:c r="O93" s="87" t="s">
        <x:v>555</x:v>
      </x:c>
      <x:c r="P93" s="112">
        <x:f t="shared" si="8"/>
        <x:v>405</x:v>
      </x:c>
      <x:c r="Q93" s="112">
        <x:v>8</x:v>
      </x:c>
      <x:c r="R93" s="116">
        <x:f t="shared" si="6"/>
        <x:v>1676.4</x:v>
      </x:c>
      <x:c r="S93" s="104" t="s">
        <x:v>570</x:v>
      </x:c>
      <x:c r="T93" s="112">
        <x:v>5</x:v>
      </x:c>
      <x:c r="U93" s="112">
        <x:v>90</x:v>
      </x:c>
      <x:c r="V93" s="104" t="s">
        <x:v>571</x:v>
      </x:c>
      <x:c r="W93" s="165" t="n">
        <x:v>0.0016782407407407408</x:v>
      </x:c>
      <x:c r="X93" s="165" t="n">
        <x:v>0.001388888888888889</x:v>
      </x:c>
      <x:c r="Y93" s="165" t="n">
        <x:v>0.0010416666666666667</x:v>
      </x:c>
      <x:c r="Z93" s="112"/>
      <x:c r="AA93" s="112"/>
      <x:c r="AB93" s="112"/>
      <x:c r="AC93" s="112"/>
      <x:c r="AD93" s="86"/>
    </x:row>
    <x:row r="94" ht="65.0999984741211" customHeight="1">
      <x:c r="A94" s="87" t="s">
        <x:v>339</x:v>
      </x:c>
      <x:c r="B94" s="104">
        <x:v>90</x:v>
      </x:c>
      <x:c r="C94" s="104">
        <x:v>6</x:v>
      </x:c>
      <x:c r="D94" s="104">
        <x:v>9</x:v>
      </x:c>
      <x:c r="E94" s="87" t="s">
        <x:v>572</x:v>
      </x:c>
      <x:c r="F94" s="87" t="s">
        <x:v>573</x:v>
      </x:c>
      <x:c r="G94" s="87" t="s">
        <x:v>574</x:v>
      </x:c>
      <x:c r="H94" s="87" t="s">
        <x:v>575</x:v>
      </x:c>
      <x:c r="I94" s="104">
        <x:v>2</x:v>
      </x:c>
      <x:c r="J94" s="87" t="s">
        <x:v>576</x:v>
      </x:c>
      <x:c r="K94" s="108" t="s">
        <x:v>577</x:v>
      </x:c>
      <x:c r="L94" s="108" t="s">
        <x:v>94</x:v>
      </x:c>
      <x:c r="M94" s="87" t="s">
        <x:v>578</x:v>
      </x:c>
      <x:c r="N94" s="110" t="n">
        <x:f t="shared" si="7">N93+(IFERROR(VALUE(LEFT(L94,FIND("분",L94)-1))*60,0)+IFERROR(VALUE(TRIM(MID(L94,IFERROR(FIND("분",L94),0)+1,IFERROR(FIND("초",L94),LEN(L94)+1)-IFERROR(FIND("분",L94),0)-1))),0))/86400</x:f>
        <x:v>0.10115740740740743</x:v>
      </x:c>
      <x:c r="O94" s="87" t="s">
        <x:v>555</x:v>
      </x:c>
      <x:c r="P94" s="112">
        <x:f t="shared" si="8"/>
        <x:v>413</x:v>
      </x:c>
      <x:c r="Q94" s="112">
        <x:v>8</x:v>
      </x:c>
      <x:c r="R94" s="116">
        <x:f t="shared" si="6"/>
        <x:v>1742.05</x:v>
      </x:c>
      <x:c r="S94" s="104" t="str">
        <x:f t="shared" ref="S94:S97" si="9">"일반 몬스터"</x:f>
        <x:v>일반 몬스터</x:v>
      </x:c>
      <x:c r="T94" s="112">
        <x:v>5</x:v>
      </x:c>
      <x:c r="U94" s="112" t="n">
        <x:f t="shared" ref="U94:U97" si="10">35</x:f>
        <x:v>35</x:v>
      </x:c>
      <x:c r="V94" s="104" t="s">
        <x:v>579</x:v>
      </x:c>
      <x:c r="W94" s="165" t="n">
        <x:v>0.0006944444444444445</x:v>
      </x:c>
      <x:c r="X94" s="165" t="n">
        <x:v>0.0005787037037037037</x:v>
      </x:c>
      <x:c r="Y94" s="165" t="n">
        <x:v>0.0004050925925925926</x:v>
      </x:c>
      <x:c r="Z94" s="112" t="str">
        <x:f t="shared" ref="Z94:Z142" si="11">""</x:f>
      </x:c>
      <x:c r="AA94" s="112"/>
      <x:c r="AB94" s="112" t="str">
        <x:f t="shared" ref="AB94:AB142" si="12">""</x:f>
      </x:c>
      <x:c r="AC94" s="112"/>
      <x:c r="AD94" s="86"/>
    </x:row>
    <x:row r="95" ht="65.0999984741211" customHeight="1">
      <x:c r="A95" s="87" t="s">
        <x:v>339</x:v>
      </x:c>
      <x:c r="B95" s="104">
        <x:v>91</x:v>
      </x:c>
      <x:c r="C95" s="104">
        <x:v>3</x:v>
      </x:c>
      <x:c r="D95" s="104">
        <x:v>8</x:v>
      </x:c>
      <x:c r="E95" s="87" t="s">
        <x:v>580</x:v>
      </x:c>
      <x:c r="F95" s="87" t="s">
        <x:v>581</x:v>
      </x:c>
      <x:c r="G95" s="87" t="s">
        <x:v>582</x:v>
      </x:c>
      <x:c r="H95" s="87" t="s">
        <x:v>583</x:v>
      </x:c>
      <x:c r="I95" s="104">
        <x:v>3</x:v>
      </x:c>
      <x:c r="J95" s="87" t="s">
        <x:v>584</x:v>
      </x:c>
      <x:c r="K95" s="108" t="s">
        <x:v>38</x:v>
      </x:c>
      <x:c r="L95" s="108" t="s">
        <x:v>121</x:v>
      </x:c>
      <x:c r="M95" s="87" t="s">
        <x:v>585</x:v>
      </x:c>
      <x:c r="N95" s="110" t="n">
        <x:f t="shared" si="7">N94+(IFERROR(VALUE(LEFT(L95,FIND("분",L95)-1))*60,0)+IFERROR(VALUE(TRIM(MID(L95,IFERROR(FIND("분",L95),0)+1,IFERROR(FIND("초",L95),LEN(L95)+1)-IFERROR(FIND("분",L95),0)-1))),0))/86400</x:f>
        <x:v>0.10208333333333336</x:v>
      </x:c>
      <x:c r="O95" s="87" t="s">
        <x:v>586</x:v>
      </x:c>
      <x:c r="P95" s="112">
        <x:f t="shared" si="8"/>
        <x:v>417</x:v>
      </x:c>
      <x:c r="Q95" s="112">
        <x:v>4</x:v>
      </x:c>
      <x:c r="R95" s="116">
        <x:f t="shared" si="6"/>
        <x:v>1775.36</x:v>
      </x:c>
      <x:c r="S95" s="104" t="str">
        <x:f>"비전투"</x:f>
        <x:v>비전투</x:v>
      </x:c>
      <x:c r="T95" s="112" t="s">
        <x:v>43</x:v>
      </x:c>
      <x:c r="U95" s="112" t="str">
        <x:f>"—"</x:f>
        <x:v>—</x:v>
      </x:c>
      <x:c r="V95" s="104" t="s">
        <x:v>43</x:v>
      </x:c>
      <x:c r="W95" s="165" t="n">
        <x:v>0.0012731481481481483</x:v>
      </x:c>
      <x:c r="X95" s="165" t="n">
        <x:v>0.001099537037037037</x:v>
      </x:c>
      <x:c r="Y95" s="165" t="n">
        <x:v>0.000925925925925926</x:v>
      </x:c>
      <x:c r="Z95" s="112"/>
      <x:c r="AA95" s="112"/>
      <x:c r="AB95" s="112"/>
      <x:c r="AC95" s="112"/>
      <x:c r="AD95" s="86"/>
    </x:row>
    <x:row r="96" ht="65.0999984741211" customHeight="1">
      <x:c r="A96" s="87" t="s">
        <x:v>339</x:v>
      </x:c>
      <x:c r="B96" s="104">
        <x:v>92</x:v>
      </x:c>
      <x:c r="C96" s="104">
        <x:v>5</x:v>
      </x:c>
      <x:c r="D96" s="104">
        <x:v>9</x:v>
      </x:c>
      <x:c r="E96" s="88" t="s">
        <x:v>587</x:v>
      </x:c>
      <x:c r="F96" s="87" t="s">
        <x:v>588</x:v>
      </x:c>
      <x:c r="G96" s="87" t="s">
        <x:v>589</x:v>
      </x:c>
      <x:c r="H96" s="87" t="s">
        <x:v>590</x:v>
      </x:c>
      <x:c r="I96" s="104">
        <x:v>3</x:v>
      </x:c>
      <x:c r="J96" s="87" t="s">
        <x:v>591</x:v>
      </x:c>
      <x:c r="K96" s="108" t="s">
        <x:v>592</x:v>
      </x:c>
      <x:c r="L96" s="108" t="str">
        <x:v>1분 30초</x:v>
      </x:c>
      <x:c r="M96" s="87" t="s">
        <x:v>593</x:v>
      </x:c>
      <x:c r="N96" s="110" t="n">
        <x:f t="shared" si="7">N95+(IFERROR(VALUE(LEFT(L96,FIND("분",L96)-1))*60,0)+IFERROR(VALUE(TRIM(MID(L96,IFERROR(FIND("분",L96),0)+1,IFERROR(FIND("초",L96),LEN(L96)+1)-IFERROR(FIND("분",L96),0)-1))),0))/86400</x:f>
        <x:v>0.10312500000000002</x:v>
      </x:c>
      <x:c r="O96" s="88" t="s">
        <x:v>586</x:v>
      </x:c>
      <x:c r="P96" s="89">
        <x:f t="shared" si="8"/>
        <x:v>425</x:v>
      </x:c>
      <x:c r="Q96" s="89">
        <x:v>8</x:v>
      </x:c>
      <x:c r="R96" s="117">
        <x:f t="shared" si="6"/>
        <x:v>1842.91</x:v>
      </x:c>
      <x:c r="S96" s="120" t="str">
        <x:v>보스</x:v>
      </x:c>
      <x:c r="T96" s="89">
        <x:v>5</x:v>
      </x:c>
      <x:c r="U96" s="89" t="n">
        <x:v>90</x:v>
      </x:c>
      <x:c r="V96" s="120" t="s">
        <x:v>594</x:v>
      </x:c>
      <x:c r="W96" s="166" t="n">
        <x:v>0.0061342592592592594</x:v>
      </x:c>
      <x:c r="X96" s="166" t="n">
        <x:v>0.004976851851851852</x:v>
      </x:c>
      <x:c r="Y96" s="166" t="n">
        <x:v>0.0038194444444444443</x:v>
      </x:c>
      <x:c r="Z96" s="89" t="n">
        <x:v>750</x:v>
      </x:c>
      <x:c r="AA96" s="89" t="n">
        <x:v>3</x:v>
      </x:c>
      <x:c r="AB96" s="89" t="n">
        <x:v>210</x:v>
      </x:c>
      <x:c r="AC96" s="89" t="n">
        <x:v>120</x:v>
      </x:c>
      <x:c r="AD96" s="86"/>
    </x:row>
    <x:row r="97" ht="65.0999984741211" customHeight="1">
      <x:c r="A97" s="87" t="s">
        <x:v>339</x:v>
      </x:c>
      <x:c r="B97" s="104">
        <x:v>93</x:v>
      </x:c>
      <x:c r="C97" s="104">
        <x:v>4</x:v>
      </x:c>
      <x:c r="D97" s="104">
        <x:v>9</x:v>
      </x:c>
      <x:c r="E97" s="87" t="s">
        <x:v>595</x:v>
      </x:c>
      <x:c r="F97" s="87" t="s">
        <x:v>596</x:v>
      </x:c>
      <x:c r="G97" s="87" t="s">
        <x:v>597</x:v>
      </x:c>
      <x:c r="H97" s="87" t="s">
        <x:v>598</x:v>
      </x:c>
      <x:c r="I97" s="104">
        <x:v>3</x:v>
      </x:c>
      <x:c r="J97" s="87" t="s">
        <x:v>599</x:v>
      </x:c>
      <x:c r="K97" s="108" t="s">
        <x:v>600</x:v>
      </x:c>
      <x:c r="L97" s="108" t="str">
        <x:v>2분 30초</x:v>
      </x:c>
      <x:c r="M97" s="87" t="s">
        <x:v>601</x:v>
      </x:c>
      <x:c r="N97" s="110" t="n">
        <x:f t="shared" si="7">N96+(IFERROR(VALUE(LEFT(L97,FIND("분",L97)-1))*60,0)+IFERROR(VALUE(TRIM(MID(L97,IFERROR(FIND("분",L97),0)+1,IFERROR(FIND("초",L97),LEN(L97)+1)-IFERROR(FIND("분",L97),0)-1))),0))/86400</x:f>
        <x:v>0.10486111111111113</x:v>
      </x:c>
      <x:c r="O97" s="87" t="s">
        <x:v>586</x:v>
      </x:c>
      <x:c r="P97" s="112">
        <x:f t="shared" si="8"/>
        <x:v>432</x:v>
      </x:c>
      <x:c r="Q97" s="112">
        <x:v>7</x:v>
      </x:c>
      <x:c r="R97" s="116">
        <x:f t="shared" si="6"/>
        <x:v>1903.05</x:v>
      </x:c>
      <x:c r="S97" s="104" t="str">
        <x:f t="shared" si="9"/>
        <x:v>보스</x:v>
      </x:c>
      <x:c r="T97" s="112">
        <x:v>5</x:v>
      </x:c>
      <x:c r="U97" s="112" t="n">
        <x:f t="shared" si="10"/>
        <x:v>150</x:v>
      </x:c>
      <x:c r="V97" s="104" t="s">
        <x:v>602</x:v>
      </x:c>
      <x:c r="W97" s="165"/>
      <x:c r="X97" s="165"/>
      <x:c r="Y97" s="165"/>
      <x:c r="Z97" s="112">
        <x:f t="shared" si="11"/>
      </x:c>
      <x:c r="AA97" s="112"/>
      <x:c r="AB97" s="112">
        <x:f t="shared" si="12"/>
      </x:c>
      <x:c r="AC97" s="112"/>
      <x:c r="AD97" s="86"/>
    </x:row>
    <x:row r="98" ht="65.0999984741211" customHeight="1">
      <x:c r="A98" s="87" t="s">
        <x:v>339</x:v>
      </x:c>
      <x:c r="B98" s="104">
        <x:v>94</x:v>
      </x:c>
      <x:c r="C98" s="104">
        <x:v>6</x:v>
      </x:c>
      <x:c r="D98" s="104">
        <x:v>9</x:v>
      </x:c>
      <x:c r="E98" s="87" t="s">
        <x:v>603</x:v>
      </x:c>
      <x:c r="F98" s="87" t="s">
        <x:v>604</x:v>
      </x:c>
      <x:c r="G98" s="87" t="s">
        <x:v>605</x:v>
      </x:c>
      <x:c r="H98" s="87" t="s">
        <x:v>606</x:v>
      </x:c>
      <x:c r="I98" s="104">
        <x:v>3</x:v>
      </x:c>
      <x:c r="J98" s="87" t="s">
        <x:v>607</x:v>
      </x:c>
      <x:c r="K98" s="108" t="s">
        <x:v>608</x:v>
      </x:c>
      <x:c r="L98" s="108" t="str">
        <x:v>1분 30초</x:v>
      </x:c>
      <x:c r="M98" s="87" t="s">
        <x:v>609</x:v>
      </x:c>
      <x:c r="N98" s="110" t="n">
        <x:f t="shared" si="7">N97+(IFERROR(VALUE(LEFT(L98,FIND("분",L98)-1))*60,0)+IFERROR(VALUE(TRIM(MID(L98,IFERROR(FIND("분",L98),0)+1,IFERROR(FIND("초",L98),LEN(L98)+1)-IFERROR(FIND("분",L98),0)-1))),0))/86400</x:f>
        <x:v>0.10590277777777779</x:v>
      </x:c>
      <x:c r="O98" s="87" t="s">
        <x:v>586</x:v>
      </x:c>
      <x:c r="P98" s="112">
        <x:f t="shared" si="8"/>
        <x:v>439</x:v>
      </x:c>
      <x:c r="Q98" s="112">
        <x:v>7</x:v>
      </x:c>
      <x:c r="R98" s="116">
        <x:f t="shared" si="6"/>
        <x:v>1964.15</x:v>
      </x:c>
      <x:c r="S98" s="104" t="str">
        <x:v>보스</x:v>
      </x:c>
      <x:c r="T98" s="112">
        <x:v>6</x:v>
      </x:c>
      <x:c r="U98" s="112" t="n">
        <x:v>90</x:v>
      </x:c>
      <x:c r="V98" s="104" t="s">
        <x:v>610</x:v>
      </x:c>
      <x:c r="W98" s="165"/>
      <x:c r="X98" s="165"/>
      <x:c r="Y98" s="165"/>
      <x:c r="Z98" s="112"/>
      <x:c r="AA98" s="112"/>
      <x:c r="AB98" s="112"/>
      <x:c r="AC98" s="112"/>
      <x:c r="AD98" s="86"/>
    </x:row>
    <x:row r="99" ht="65.0999984741211" customHeight="1">
      <x:c r="A99" s="87" t="s">
        <x:v>339</x:v>
      </x:c>
      <x:c r="B99" s="104">
        <x:v>95</x:v>
      </x:c>
      <x:c r="C99" s="104">
        <x:v>1</x:v>
      </x:c>
      <x:c r="D99" s="104">
        <x:v>8</x:v>
      </x:c>
      <x:c r="E99" s="87" t="s">
        <x:v>611</x:v>
      </x:c>
      <x:c r="F99" s="87" t="s">
        <x:v>612</x:v>
      </x:c>
      <x:c r="G99" s="87" t="s">
        <x:v>613</x:v>
      </x:c>
      <x:c r="H99" s="87" t="s">
        <x:v>614</x:v>
      </x:c>
      <x:c r="I99" s="104">
        <x:v>4</x:v>
      </x:c>
      <x:c r="J99" s="87" t="s">
        <x:v>615</x:v>
      </x:c>
      <x:c r="K99" s="108" t="s">
        <x:v>38</x:v>
      </x:c>
      <x:c r="L99" s="108" t="s">
        <x:v>56</x:v>
      </x:c>
      <x:c r="M99" s="87" t="s">
        <x:v>616</x:v>
      </x:c>
      <x:c r="N99" s="110" t="n">
        <x:f>N98+(IFERROR(VALUE(LEFT(L99,FIND("분",L99)-1))*60,0)+IFERROR(VALUE(TRIM(MID(L99,IFERROR(FIND("분",L99),0)+1,IFERROR(FIND("초",L99),LEN(L99)+1)-IFERROR(FIND("분",L99),0)-1))),0))/86400</x:f>
        <x:v>0.10659722222222223</x:v>
      </x:c>
      <x:c r="O99" s="87" t="s">
        <x:v>586</x:v>
      </x:c>
      <x:c r="P99" s="112">
        <x:f t="shared" si="8"/>
        <x:v>443</x:v>
      </x:c>
      <x:c r="Q99" s="112">
        <x:v>4</x:v>
      </x:c>
      <x:c r="R99" s="116">
        <x:f t="shared" si="6"/>
        <x:v>1999.5</x:v>
      </x:c>
      <x:c r="S99" s="104" t="s">
        <x:v>42</x:v>
      </x:c>
      <x:c r="T99" s="112" t="s">
        <x:v>43</x:v>
      </x:c>
      <x:c r="U99" s="112" t="s">
        <x:v>43</x:v>
      </x:c>
      <x:c r="V99" s="104" t="s">
        <x:v>43</x:v>
      </x:c>
      <x:c r="W99" s="165" t="n">
        <x:v>0.0008101851851851852</x:v>
      </x:c>
      <x:c r="X99" s="165" t="n">
        <x:v>0.0007523148148148148</x:v>
      </x:c>
      <x:c r="Y99" s="165" t="n">
        <x:v>0.0006944444444444445</x:v>
      </x:c>
      <x:c r="Z99" s="112"/>
      <x:c r="AA99" s="112"/>
      <x:c r="AB99" s="112"/>
      <x:c r="AC99" s="112"/>
      <x:c r="AD99" s="86"/>
    </x:row>
    <x:row r="100" ht="65.0999984741211" customHeight="1">
      <x:c r="A100" s="87" t="s">
        <x:v>339</x:v>
      </x:c>
      <x:c r="B100" s="104">
        <x:v>96</x:v>
      </x:c>
      <x:c r="C100" s="104">
        <x:v>4</x:v>
      </x:c>
      <x:c r="D100" s="104">
        <x:v>6</x:v>
      </x:c>
      <x:c r="E100" s="87" t="s">
        <x:v>617</x:v>
      </x:c>
      <x:c r="F100" s="87" t="s">
        <x:v>618</x:v>
      </x:c>
      <x:c r="G100" s="87" t="s">
        <x:v>619</x:v>
      </x:c>
      <x:c r="H100" s="87" t="s">
        <x:v>620</x:v>
      </x:c>
      <x:c r="I100" s="104">
        <x:v>7</x:v>
      </x:c>
      <x:c r="J100" s="87" t="s">
        <x:v>621</x:v>
      </x:c>
      <x:c r="K100" s="108" t="s">
        <x:v>622</x:v>
      </x:c>
      <x:c r="L100" s="108" t="s">
        <x:v>623</x:v>
      </x:c>
      <x:c r="M100" s="87" t="s">
        <x:v>624</x:v>
      </x:c>
      <x:c r="N100" s="110" t="n">
        <x:f>N99+(IFERROR(VALUE(LEFT(L100,FIND("분",L100)-1))*60,0)+IFERROR(VALUE(TRIM(MID(L100,IFERROR(FIND("분",L100),0)+1,IFERROR(FIND("초",L100),LEN(L100)+1)-IFERROR(FIND("분",L100),0)-1))),0))/86400</x:f>
        <x:v>0.10937500000000001</x:v>
      </x:c>
      <x:c r="O100" s="87" t="s">
        <x:v>625</x:v>
      </x:c>
      <x:c r="P100" s="112">
        <x:f t="shared" si="8"/>
        <x:v>449</x:v>
      </x:c>
      <x:c r="Q100" s="112">
        <x:v>6</x:v>
      </x:c>
      <x:c r="R100" s="116">
        <x:f t="shared" si="6"/>
        <x:v>2053.12</x:v>
      </x:c>
      <x:c r="S100" s="104" t="s">
        <x:v>42</x:v>
      </x:c>
      <x:c r="T100" s="112" t="s">
        <x:v>43</x:v>
      </x:c>
      <x:c r="U100" s="112" t="s">
        <x:v>43</x:v>
      </x:c>
      <x:c r="V100" s="104" t="s">
        <x:v>43</x:v>
      </x:c>
      <x:c r="W100" s="165" t="n">
        <x:v>0.003761574074074074</x:v>
      </x:c>
      <x:c r="X100" s="165" t="n">
        <x:v>0.0032407407407407406</x:v>
      </x:c>
      <x:c r="Y100" s="165" t="n">
        <x:v>0.002777777777777778</x:v>
      </x:c>
      <x:c r="Z100" s="112"/>
      <x:c r="AA100" s="112"/>
      <x:c r="AB100" s="112"/>
      <x:c r="AC100" s="112"/>
      <x:c r="AD100" s="86"/>
    </x:row>
    <x:row r="101" ht="65.0999984741211" customHeight="1">
      <x:c r="A101" s="87" t="s">
        <x:v>339</x:v>
      </x:c>
      <x:c r="B101" s="104">
        <x:v>97</x:v>
      </x:c>
      <x:c r="C101" s="104">
        <x:v>6</x:v>
      </x:c>
      <x:c r="D101" s="104">
        <x:v>9</x:v>
      </x:c>
      <x:c r="E101" s="87" t="s">
        <x:v>626</x:v>
      </x:c>
      <x:c r="F101" s="87" t="s">
        <x:v>627</x:v>
      </x:c>
      <x:c r="G101" s="87" t="s">
        <x:v>628</x:v>
      </x:c>
      <x:c r="H101" s="87" t="s">
        <x:v>629</x:v>
      </x:c>
      <x:c r="I101" s="104">
        <x:v>3</x:v>
      </x:c>
      <x:c r="J101" s="87" t="s">
        <x:v>630</x:v>
      </x:c>
      <x:c r="K101" s="108" t="s">
        <x:v>631</x:v>
      </x:c>
      <x:c r="L101" s="108" t="s">
        <x:v>39</x:v>
      </x:c>
      <x:c r="M101" s="87" t="s">
        <x:v>632</x:v>
      </x:c>
      <x:c r="N101" s="110" t="n">
        <x:f t="shared" si="7">N100+(IFERROR(VALUE(LEFT(L101,FIND("분",L101)-1))*60,0)+IFERROR(VALUE(TRIM(MID(L101,IFERROR(FIND("분",L101),0)+1,IFERROR(FIND("초",L101),LEN(L101)+1)-IFERROR(FIND("분",L101),0)-1))),0))/86400</x:f>
        <x:v>0.11041666666666668</x:v>
      </x:c>
      <x:c r="O101" s="87" t="s">
        <x:v>633</x:v>
      </x:c>
      <x:c r="P101" s="112">
        <x:f t="shared" si="8"/>
        <x:v>457</x:v>
      </x:c>
      <x:c r="Q101" s="112">
        <x:v>8</x:v>
      </x:c>
      <x:c r="R101" s="116" t="n">
        <x:f t="shared" ref="R101:R132" si="13">ROUND($Q$3*P101*P101+$R$3*P101,2)</x:f>
        <x:v>2125.71</x:v>
      </x:c>
      <x:c r="S101" s="104" t="s">
        <x:v>42</x:v>
      </x:c>
      <x:c r="T101" s="112" t="s">
        <x:v>43</x:v>
      </x:c>
      <x:c r="U101" s="112" t="s">
        <x:v>43</x:v>
      </x:c>
      <x:c r="V101" s="104" t="s">
        <x:v>43</x:v>
      </x:c>
      <x:c r="W101" s="165" t="n">
        <x:v>0.0016782407407407408</x:v>
      </x:c>
      <x:c r="X101" s="165" t="n">
        <x:v>0.001388888888888889</x:v>
      </x:c>
      <x:c r="Y101" s="165" t="n">
        <x:v>0.0010416666666666667</x:v>
      </x:c>
      <x:c r="Z101" s="112"/>
      <x:c r="AA101" s="112"/>
      <x:c r="AB101" s="112"/>
      <x:c r="AC101" s="112"/>
      <x:c r="AD101" s="86"/>
    </x:row>
    <x:row r="102" ht="65.0999984741211" customHeight="1">
      <x:c r="A102" s="87" t="s">
        <x:v>339</x:v>
      </x:c>
      <x:c r="B102" s="104">
        <x:v>98</x:v>
      </x:c>
      <x:c r="C102" s="104">
        <x:v>7</x:v>
      </x:c>
      <x:c r="D102" s="104">
        <x:v>9</x:v>
      </x:c>
      <x:c r="E102" s="87" t="s">
        <x:v>634</x:v>
      </x:c>
      <x:c r="F102" s="87" t="s">
        <x:v>635</x:v>
      </x:c>
      <x:c r="G102" s="87" t="s">
        <x:v>636</x:v>
      </x:c>
      <x:c r="H102" s="87" t="s">
        <x:v>637</x:v>
      </x:c>
      <x:c r="I102" s="104">
        <x:v>2</x:v>
      </x:c>
      <x:c r="J102" s="87" t="s">
        <x:v>638</x:v>
      </x:c>
      <x:c r="K102" s="108" t="s">
        <x:v>639</x:v>
      </x:c>
      <x:c r="L102" s="108" t="s">
        <x:v>112</x:v>
      </x:c>
      <x:c r="M102" s="87" t="s">
        <x:v>640</x:v>
      </x:c>
      <x:c r="N102" s="110" t="n">
        <x:f t="shared" ref="N102:N123" si="14">N101+(IFERROR(VALUE(LEFT(L102,FIND("분",L102)-1))*60,0)+IFERROR(VALUE(TRIM(MID(L102,IFERROR(FIND("분",L102),0)+1,IFERROR(FIND("초",L102),LEN(L102)+1)-IFERROR(FIND("분",L102),0)-1))),0))/86400</x:f>
        <x:v>0.11099537037037038</x:v>
      </x:c>
      <x:c r="O102" s="87" t="s">
        <x:v>633</x:v>
      </x:c>
      <x:c r="P102" s="112" t="n">
        <x:f t="shared" ref="P102:P133" si="15">P101+Q102</x:f>
        <x:v>466</x:v>
      </x:c>
      <x:c r="Q102" s="112">
        <x:v>9</x:v>
      </x:c>
      <x:c r="R102" s="116">
        <x:f t="shared" si="13"/>
        <x:v>2208.89</x:v>
      </x:c>
      <x:c r="S102" s="104" t="s">
        <x:v>534</x:v>
      </x:c>
      <x:c r="T102" s="112">
        <x:v>7</x:v>
      </x:c>
      <x:c r="U102" s="112">
        <x:v>50</x:v>
      </x:c>
      <x:c r="V102" s="104" t="s">
        <x:v>641</x:v>
      </x:c>
      <x:c r="W102" s="165" t="n">
        <x:v>0.001099537037037037</x:v>
      </x:c>
      <x:c r="X102" s="165" t="n">
        <x:v>0.0008680555555555555</x:v>
      </x:c>
      <x:c r="Y102" s="165" t="n">
        <x:v>0.0005787037037037037</x:v>
      </x:c>
      <x:c r="Z102" s="112"/>
      <x:c r="AA102" s="112"/>
      <x:c r="AB102" s="112"/>
      <x:c r="AC102" s="112"/>
      <x:c r="AD102" s="86"/>
    </x:row>
    <x:row r="103" ht="65.0999984741211" customHeight="1">
      <x:c r="A103" s="87" t="s">
        <x:v>339</x:v>
      </x:c>
      <x:c r="B103" s="104">
        <x:v>99</x:v>
      </x:c>
      <x:c r="C103" s="104">
        <x:v>1</x:v>
      </x:c>
      <x:c r="D103" s="104">
        <x:v>9</x:v>
      </x:c>
      <x:c r="E103" s="87" t="s">
        <x:v>642</x:v>
      </x:c>
      <x:c r="F103" s="87" t="s">
        <x:v>643</x:v>
      </x:c>
      <x:c r="G103" s="87" t="s">
        <x:v>644</x:v>
      </x:c>
      <x:c r="H103" s="87" t="s">
        <x:v>645</x:v>
      </x:c>
      <x:c r="I103" s="104">
        <x:v>3</x:v>
      </x:c>
      <x:c r="J103" s="87" t="s">
        <x:v>646</x:v>
      </x:c>
      <x:c r="K103" s="108" t="s">
        <x:v>38</x:v>
      </x:c>
      <x:c r="L103" s="108" t="s">
        <x:v>56</x:v>
      </x:c>
      <x:c r="M103" s="87" t="s">
        <x:v>647</x:v>
      </x:c>
      <x:c r="N103" s="110" t="n">
        <x:f t="shared" si="14">N102+(IFERROR(VALUE(LEFT(L103,FIND("분",L103)-1))*60,0)+IFERROR(VALUE(TRIM(MID(L103,IFERROR(FIND("분",L103),0)+1,IFERROR(FIND("초",L103),LEN(L103)+1)-IFERROR(FIND("분",L103),0)-1))),0))/86400</x:f>
        <x:v>0.11168981481481483</x:v>
      </x:c>
      <x:c r="O103" s="87" t="s">
        <x:v>648</x:v>
      </x:c>
      <x:c r="P103" s="112">
        <x:f t="shared" si="15"/>
        <x:v>469</x:v>
      </x:c>
      <x:c r="Q103" s="112">
        <x:v>3</x:v>
      </x:c>
      <x:c r="R103" s="116">
        <x:f t="shared" si="13"/>
        <x:v>2236.9699999999998</x:v>
      </x:c>
      <x:c r="S103" s="104" t="s">
        <x:v>42</x:v>
      </x:c>
      <x:c r="T103" s="112" t="s">
        <x:v>43</x:v>
      </x:c>
      <x:c r="U103" s="112" t="s">
        <x:v>43</x:v>
      </x:c>
      <x:c r="V103" s="104" t="s">
        <x:v>43</x:v>
      </x:c>
      <x:c r="W103" s="165" t="n">
        <x:v>0.0008101851851851852</x:v>
      </x:c>
      <x:c r="X103" s="165" t="n">
        <x:v>0.0007523148148148148</x:v>
      </x:c>
      <x:c r="Y103" s="165" t="n">
        <x:v>0.0006944444444444445</x:v>
      </x:c>
      <x:c r="Z103" s="112"/>
      <x:c r="AA103" s="112"/>
      <x:c r="AB103" s="112"/>
      <x:c r="AC103" s="112"/>
      <x:c r="AD103" s="86"/>
    </x:row>
    <x:row r="104" ht="65.0999984741211" customHeight="1">
      <x:c r="A104" s="87" t="s">
        <x:v>339</x:v>
      </x:c>
      <x:c r="B104" s="104">
        <x:v>100</x:v>
      </x:c>
      <x:c r="C104" s="104">
        <x:v>7</x:v>
      </x:c>
      <x:c r="D104" s="104">
        <x:v>10</x:v>
      </x:c>
      <x:c r="E104" s="88" t="s">
        <x:v>649</x:v>
      </x:c>
      <x:c r="F104" s="87" t="s">
        <x:v>650</x:v>
      </x:c>
      <x:c r="G104" s="87" t="s">
        <x:v>651</x:v>
      </x:c>
      <x:c r="H104" s="87" t="s">
        <x:v>652</x:v>
      </x:c>
      <x:c r="I104" s="104">
        <x:v>4</x:v>
      </x:c>
      <x:c r="J104" s="87" t="s">
        <x:v>653</x:v>
      </x:c>
      <x:c r="K104" s="108" t="s">
        <x:v>654</x:v>
      </x:c>
      <x:c r="L104" s="108" t="str">
        <x:v>2분</x:v>
      </x:c>
      <x:c r="M104" s="87" t="s">
        <x:v>655</x:v>
      </x:c>
      <x:c r="N104" s="110" t="n">
        <x:f t="shared" si="14">N103+(IFERROR(VALUE(LEFT(L104,FIND("분",L104)-1))*60,0)+IFERROR(VALUE(TRIM(MID(L104,IFERROR(FIND("분",L104),0)+1,IFERROR(FIND("초",L104),LEN(L104)+1)-IFERROR(FIND("분",L104),0)-1))),0))/86400</x:f>
        <x:v>0.11307870370370371</x:v>
      </x:c>
      <x:c r="O104" s="88" t="s">
        <x:v>648</x:v>
      </x:c>
      <x:c r="P104" s="89">
        <x:f t="shared" si="15"/>
        <x:v>479</x:v>
      </x:c>
      <x:c r="Q104" s="89">
        <x:v>10</x:v>
      </x:c>
      <x:c r="R104" s="117">
        <x:f t="shared" si="13"/>
        <x:v>2331.84</x:v>
      </x:c>
      <x:c r="S104" s="120" t="str">
        <x:v>보스</x:v>
      </x:c>
      <x:c r="T104" s="89">
        <x:v>7</x:v>
      </x:c>
      <x:c r="U104" s="89" t="n">
        <x:v>120</x:v>
      </x:c>
      <x:c r="V104" s="120" t="s">
        <x:v>656</x:v>
      </x:c>
      <x:c r="W104" s="166" t="n">
        <x:v>0.009259259259259259</x:v>
      </x:c>
      <x:c r="X104" s="166" t="n">
        <x:v>0.007060185185185185</x:v>
      </x:c>
      <x:c r="Y104" s="166" t="n">
        <x:v>0.004861111111111111</x:v>
      </x:c>
      <x:c r="Z104" s="89" t="n">
        <x:v>900</x:v>
      </x:c>
      <x:c r="AA104" s="89" t="n">
        <x:v>3</x:v>
      </x:c>
      <x:c r="AB104" s="89" t="n">
        <x:v>210</x:v>
      </x:c>
      <x:c r="AC104" s="89" t="n">
        <x:v>210</x:v>
      </x:c>
      <x:c r="AD104" s="86"/>
    </x:row>
    <x:row r="105" ht="65.0999984741211" customHeight="1">
      <x:c r="A105" s="87" t="s">
        <x:v>339</x:v>
      </x:c>
      <x:c r="B105" s="104">
        <x:v>101</x:v>
      </x:c>
      <x:c r="C105" s="104">
        <x:v>7</x:v>
      </x:c>
      <x:c r="D105" s="104">
        <x:v>10</x:v>
      </x:c>
      <x:c r="E105" s="87" t="s">
        <x:v>657</x:v>
      </x:c>
      <x:c r="F105" s="87" t="s">
        <x:v>658</x:v>
      </x:c>
      <x:c r="G105" s="87" t="s">
        <x:v>659</x:v>
      </x:c>
      <x:c r="H105" s="87" t="s">
        <x:v>660</x:v>
      </x:c>
      <x:c r="I105" s="104">
        <x:v>3</x:v>
      </x:c>
      <x:c r="J105" s="87" t="s">
        <x:v>661</x:v>
      </x:c>
      <x:c r="K105" s="108" t="s">
        <x:v>662</x:v>
      </x:c>
      <x:c r="L105" s="108" t="str">
        <x:v>1분</x:v>
      </x:c>
      <x:c r="M105" s="87" t="s">
        <x:v>663</x:v>
      </x:c>
      <x:c r="N105" s="110" t="n">
        <x:f t="shared" si="14">N104+(IFERROR(VALUE(LEFT(L105,FIND("분",L105)-1))*60,0)+IFERROR(VALUE(TRIM(MID(L105,IFERROR(FIND("분",L105),0)+1,IFERROR(FIND("초",L105),LEN(L105)+1)-IFERROR(FIND("분",L105),0)-1))),0))/86400</x:f>
        <x:v>0.11377314814814815</x:v>
      </x:c>
      <x:c r="O105" s="87" t="s">
        <x:v>648</x:v>
      </x:c>
      <x:c r="P105" s="112">
        <x:f t="shared" si="15"/>
        <x:v>487</x:v>
      </x:c>
      <x:c r="Q105" s="112">
        <x:v>8</x:v>
      </x:c>
      <x:c r="R105" s="116">
        <x:f t="shared" si="13"/>
        <x:v>2409.16</x:v>
      </x:c>
      <x:c r="S105" s="104" t="str">
        <x:v>보스</x:v>
      </x:c>
      <x:c r="T105" s="112">
        <x:v>7</x:v>
      </x:c>
      <x:c r="U105" s="112" t="n">
        <x:v>60</x:v>
      </x:c>
      <x:c r="V105" s="104" t="s">
        <x:v>664</x:v>
      </x:c>
      <x:c r="W105" s="165"/>
      <x:c r="X105" s="165"/>
      <x:c r="Y105" s="165"/>
      <x:c r="Z105" s="112"/>
      <x:c r="AA105" s="112"/>
      <x:c r="AB105" s="112"/>
      <x:c r="AC105" s="112"/>
      <x:c r="AD105" s="86"/>
    </x:row>
    <x:row r="106" ht="65.0999984741211" customHeight="1">
      <x:c r="A106" s="87" t="s">
        <x:v>339</x:v>
      </x:c>
      <x:c r="B106" s="104">
        <x:v>102</x:v>
      </x:c>
      <x:c r="C106" s="104">
        <x:v>8</x:v>
      </x:c>
      <x:c r="D106" s="104">
        <x:v>10</x:v>
      </x:c>
      <x:c r="E106" s="87" t="s">
        <x:v>665</x:v>
      </x:c>
      <x:c r="F106" s="87" t="s">
        <x:v>666</x:v>
      </x:c>
      <x:c r="G106" s="87" t="s">
        <x:v>667</x:v>
      </x:c>
      <x:c r="H106" s="87" t="s">
        <x:v>668</x:v>
      </x:c>
      <x:c r="I106" s="104">
        <x:v>5</x:v>
      </x:c>
      <x:c r="J106" s="87" t="s">
        <x:v>669</x:v>
      </x:c>
      <x:c r="K106" s="108" t="s">
        <x:v>670</x:v>
      </x:c>
      <x:c r="L106" s="108" t="str">
        <x:v>1분</x:v>
      </x:c>
      <x:c r="M106" s="87" t="s">
        <x:v>671</x:v>
      </x:c>
      <x:c r="N106" s="110" t="n">
        <x:f t="shared" si="14">N105+(IFERROR(VALUE(LEFT(L106,FIND("분",L106)-1))*60,0)+IFERROR(VALUE(TRIM(MID(L106,IFERROR(FIND("분",L106),0)+1,IFERROR(FIND("초",L106),LEN(L106)+1)-IFERROR(FIND("분",L106),0)-1))),0))/86400</x:f>
        <x:v>0.11446759259259259</x:v>
      </x:c>
      <x:c r="O106" s="87" t="s">
        <x:v>648</x:v>
      </x:c>
      <x:c r="P106" s="112">
        <x:f t="shared" si="15"/>
        <x:v>495</x:v>
      </x:c>
      <x:c r="Q106" s="112">
        <x:v>8</x:v>
      </x:c>
      <x:c r="R106" s="116">
        <x:f t="shared" si="13"/>
        <x:v>2487.75</x:v>
      </x:c>
      <x:c r="S106" s="104" t="str">
        <x:v>보스</x:v>
      </x:c>
      <x:c r="T106" s="112">
        <x:v>8</x:v>
      </x:c>
      <x:c r="U106" s="112" t="n">
        <x:v>60</x:v>
      </x:c>
      <x:c r="V106" s="104" t="s">
        <x:v>672</x:v>
      </x:c>
      <x:c r="W106" s="165"/>
      <x:c r="X106" s="165"/>
      <x:c r="Y106" s="165"/>
      <x:c r="Z106" s="112"/>
      <x:c r="AA106" s="112"/>
      <x:c r="AB106" s="112"/>
      <x:c r="AC106" s="112"/>
      <x:c r="AD106" s="86"/>
    </x:row>
    <x:row r="107" ht="65.0999984741211" customHeight="1">
      <x:c r="A107" s="87" t="s">
        <x:v>339</x:v>
      </x:c>
      <x:c r="B107" s="104">
        <x:v>103</x:v>
      </x:c>
      <x:c r="C107" s="104">
        <x:v>7</x:v>
      </x:c>
      <x:c r="D107" s="104">
        <x:v>10</x:v>
      </x:c>
      <x:c r="E107" s="87" t="s">
        <x:v>673</x:v>
      </x:c>
      <x:c r="F107" s="87" t="s">
        <x:v>674</x:v>
      </x:c>
      <x:c r="G107" s="87" t="s">
        <x:v>675</x:v>
      </x:c>
      <x:c r="H107" s="87" t="s">
        <x:v>676</x:v>
      </x:c>
      <x:c r="I107" s="104">
        <x:v>4</x:v>
      </x:c>
      <x:c r="J107" s="87" t="s">
        <x:v>677</x:v>
      </x:c>
      <x:c r="K107" s="108" t="s">
        <x:v>678</x:v>
      </x:c>
      <x:c r="L107" s="108" t="str">
        <x:v>1분 15초</x:v>
      </x:c>
      <x:c r="M107" s="87" t="s">
        <x:v>679</x:v>
      </x:c>
      <x:c r="N107" s="110" t="n">
        <x:f t="shared" si="14">N106+(IFERROR(VALUE(LEFT(L107,FIND("분",L107)-1))*60,0)+IFERROR(VALUE(TRIM(MID(L107,IFERROR(FIND("분",L107),0)+1,IFERROR(FIND("초",L107),LEN(L107)+1)-IFERROR(FIND("분",L107),0)-1))),0))/86400</x:f>
        <x:v>0.11533564814814815</x:v>
      </x:c>
      <x:c r="O107" s="87" t="s">
        <x:v>648</x:v>
      </x:c>
      <x:c r="P107" s="112">
        <x:f t="shared" si="15"/>
        <x:v>502</x:v>
      </x:c>
      <x:c r="Q107" s="112">
        <x:v>7</x:v>
      </x:c>
      <x:c r="R107" s="116">
        <x:f t="shared" si="13"/>
        <x:v>2557.54</x:v>
      </x:c>
      <x:c r="S107" s="104" t="str">
        <x:v>보스</x:v>
      </x:c>
      <x:c r="T107" s="112">
        <x:v>8</x:v>
      </x:c>
      <x:c r="U107" s="112" t="n">
        <x:v>75</x:v>
      </x:c>
      <x:c r="V107" s="104" t="s">
        <x:v>680</x:v>
      </x:c>
      <x:c r="W107" s="165"/>
      <x:c r="X107" s="165"/>
      <x:c r="Y107" s="165"/>
      <x:c r="Z107" s="112"/>
      <x:c r="AA107" s="112"/>
      <x:c r="AB107" s="112"/>
      <x:c r="AC107" s="112"/>
      <x:c r="AD107" s="86"/>
    </x:row>
    <x:row r="108" ht="65.0999984741211" customHeight="1">
      <x:c r="A108" s="87" t="s">
        <x:v>339</x:v>
      </x:c>
      <x:c r="B108" s="104">
        <x:v>104</x:v>
      </x:c>
      <x:c r="C108" s="104">
        <x:v>8</x:v>
      </x:c>
      <x:c r="D108" s="104">
        <x:v>10</x:v>
      </x:c>
      <x:c r="E108" s="87" t="s">
        <x:v>681</x:v>
      </x:c>
      <x:c r="F108" s="87" t="s">
        <x:v>682</x:v>
      </x:c>
      <x:c r="G108" s="87" t="s">
        <x:v>683</x:v>
      </x:c>
      <x:c r="H108" s="87" t="s">
        <x:v>684</x:v>
      </x:c>
      <x:c r="I108" s="104">
        <x:v>4</x:v>
      </x:c>
      <x:c r="J108" s="87" t="s">
        <x:v>685</x:v>
      </x:c>
      <x:c r="K108" s="108" t="s">
        <x:v>686</x:v>
      </x:c>
      <x:c r="L108" s="108" t="str">
        <x:v>1분 15초</x:v>
      </x:c>
      <x:c r="M108" s="87" t="s">
        <x:v>687</x:v>
      </x:c>
      <x:c r="N108" s="110" t="n">
        <x:f t="shared" si="14">N107+(IFERROR(VALUE(LEFT(L108,FIND("분",L108)-1))*60,0)+IFERROR(VALUE(TRIM(MID(L108,IFERROR(FIND("분",L108),0)+1,IFERROR(FIND("초",L108),LEN(L108)+1)-IFERROR(FIND("분",L108),0)-1))),0))/86400</x:f>
        <x:v>0.1162037037037037</x:v>
      </x:c>
      <x:c r="O108" s="87" t="s">
        <x:v>648</x:v>
      </x:c>
      <x:c r="P108" s="112">
        <x:f t="shared" si="15"/>
        <x:v>509</x:v>
      </x:c>
      <x:c r="Q108" s="112">
        <x:v>7</x:v>
      </x:c>
      <x:c r="R108" s="116">
        <x:f t="shared" si="13"/>
        <x:v>2628.3</x:v>
      </x:c>
      <x:c r="S108" s="104" t="str">
        <x:v>보스</x:v>
      </x:c>
      <x:c r="T108" s="112">
        <x:v>8</x:v>
      </x:c>
      <x:c r="U108" s="112" t="n">
        <x:v>75</x:v>
      </x:c>
      <x:c r="V108" s="104" t="s">
        <x:v>688</x:v>
      </x:c>
      <x:c r="W108" s="165"/>
      <x:c r="X108" s="165"/>
      <x:c r="Y108" s="165"/>
      <x:c r="Z108" s="112"/>
      <x:c r="AA108" s="112"/>
      <x:c r="AB108" s="112"/>
      <x:c r="AC108" s="112"/>
      <x:c r="AD108" s="86"/>
    </x:row>
    <x:row r="109" ht="65.0999984741211" customHeight="1">
      <x:c r="A109" s="87" t="s">
        <x:v>339</x:v>
      </x:c>
      <x:c r="B109" s="104">
        <x:v>105</x:v>
      </x:c>
      <x:c r="C109" s="104">
        <x:v>8</x:v>
      </x:c>
      <x:c r="D109" s="104">
        <x:v>10</x:v>
      </x:c>
      <x:c r="E109" s="87" t="s">
        <x:v>689</x:v>
      </x:c>
      <x:c r="F109" s="87" t="s">
        <x:v>690</x:v>
      </x:c>
      <x:c r="G109" s="87" t="s">
        <x:v>691</x:v>
      </x:c>
      <x:c r="H109" s="87" t="s">
        <x:v>692</x:v>
      </x:c>
      <x:c r="I109" s="104">
        <x:v>2</x:v>
      </x:c>
      <x:c r="J109" s="87" t="s">
        <x:v>693</x:v>
      </x:c>
      <x:c r="K109" s="108" t="s">
        <x:v>694</x:v>
      </x:c>
      <x:c r="L109" s="108" t="str">
        <x:v>30초</x:v>
      </x:c>
      <x:c r="M109" s="87" t="s">
        <x:v>695</x:v>
      </x:c>
      <x:c r="N109" s="110" t="n">
        <x:f t="shared" si="14">N108+(IFERROR(VALUE(LEFT(L109,FIND("분",L109)-1))*60,0)+IFERROR(VALUE(TRIM(MID(L109,IFERROR(FIND("분",L109),0)+1,IFERROR(FIND("초",L109),LEN(L109)+1)-IFERROR(FIND("분",L109),0)-1))),0))/86400</x:f>
        <x:v>0.11655092592592592</x:v>
      </x:c>
      <x:c r="O109" s="87" t="s">
        <x:v>648</x:v>
      </x:c>
      <x:c r="P109" s="112">
        <x:f t="shared" si="15"/>
        <x:v>516</x:v>
      </x:c>
      <x:c r="Q109" s="112">
        <x:v>7</x:v>
      </x:c>
      <x:c r="R109" s="116">
        <x:f t="shared" si="13"/>
        <x:v>2700.02</x:v>
      </x:c>
      <x:c r="S109" s="104" t="str">
        <x:v>보스</x:v>
      </x:c>
      <x:c r="T109" s="112">
        <x:v>8</x:v>
      </x:c>
      <x:c r="U109" s="112" t="n">
        <x:v>30</x:v>
      </x:c>
      <x:c r="V109" s="104" t="s">
        <x:v>696</x:v>
      </x:c>
      <x:c r="W109" s="165"/>
      <x:c r="X109" s="165"/>
      <x:c r="Y109" s="165"/>
      <x:c r="Z109" s="112"/>
      <x:c r="AA109" s="112"/>
      <x:c r="AB109" s="112"/>
      <x:c r="AC109" s="112"/>
      <x:c r="AD109" s="86"/>
    </x:row>
    <x:row r="110" ht="65.0999984741211" customHeight="1">
      <x:c r="A110" s="87" t="s">
        <x:v>339</x:v>
      </x:c>
      <x:c r="B110" s="104">
        <x:v>106</x:v>
      </x:c>
      <x:c r="C110" s="104">
        <x:v>1</x:v>
      </x:c>
      <x:c r="D110" s="104">
        <x:v>7</x:v>
      </x:c>
      <x:c r="E110" s="87" t="s">
        <x:v>697</x:v>
      </x:c>
      <x:c r="F110" s="87" t="s">
        <x:v>698</x:v>
      </x:c>
      <x:c r="G110" s="87" t="s">
        <x:v>699</x:v>
      </x:c>
      <x:c r="H110" s="87" t="s">
        <x:v>700</x:v>
      </x:c>
      <x:c r="I110" s="104">
        <x:v>3</x:v>
      </x:c>
      <x:c r="J110" s="87" t="s">
        <x:v>701</x:v>
      </x:c>
      <x:c r="K110" s="108" t="s">
        <x:v>38</x:v>
      </x:c>
      <x:c r="L110" s="108" t="s">
        <x:v>121</x:v>
      </x:c>
      <x:c r="M110" s="87" t="s">
        <x:v>702</x:v>
      </x:c>
      <x:c r="N110" s="110" t="n">
        <x:f t="shared" si="14">N109+(IFERROR(VALUE(LEFT(L110,FIND("분",L110)-1))*60,0)+IFERROR(VALUE(TRIM(MID(L110,IFERROR(FIND("분",L110),0)+1,IFERROR(FIND("초",L110),LEN(L110)+1)-IFERROR(FIND("분",L110),0)-1))),0))/86400</x:f>
        <x:v>0.11747685185185185</x:v>
      </x:c>
      <x:c r="O110" s="87" t="s">
        <x:v>703</x:v>
      </x:c>
      <x:c r="P110" s="112">
        <x:f t="shared" si="15"/>
        <x:v>519</x:v>
      </x:c>
      <x:c r="Q110" s="112">
        <x:v>3</x:v>
      </x:c>
      <x:c r="R110" s="116">
        <x:f t="shared" si="13"/>
        <x:v>2731.06</x:v>
      </x:c>
      <x:c r="S110" s="104" t="s">
        <x:v>42</x:v>
      </x:c>
      <x:c r="T110" s="112" t="s">
        <x:v>43</x:v>
      </x:c>
      <x:c r="U110" s="112" t="s">
        <x:v>43</x:v>
      </x:c>
      <x:c r="V110" s="104" t="s">
        <x:v>43</x:v>
      </x:c>
      <x:c r="W110" s="165" t="n">
        <x:v>0.001099537037037037</x:v>
      </x:c>
      <x:c r="X110" s="165" t="n">
        <x:v>0.0009837962962962962</x:v>
      </x:c>
      <x:c r="Y110" s="165" t="n">
        <x:v>0.000925925925925926</x:v>
      </x:c>
      <x:c r="Z110" s="112"/>
      <x:c r="AA110" s="112"/>
      <x:c r="AB110" s="112"/>
      <x:c r="AC110" s="112"/>
      <x:c r="AD110" s="86"/>
    </x:row>
    <x:row r="111" ht="65.0999984741211" customHeight="1">
      <x:c r="A111" s="87" t="s">
        <x:v>339</x:v>
      </x:c>
      <x:c r="B111" s="104">
        <x:v>107</x:v>
      </x:c>
      <x:c r="C111" s="104">
        <x:v>3</x:v>
      </x:c>
      <x:c r="D111" s="104">
        <x:v>5</x:v>
      </x:c>
      <x:c r="E111" s="87" t="s">
        <x:v>704</x:v>
      </x:c>
      <x:c r="F111" s="87" t="s">
        <x:v>705</x:v>
      </x:c>
      <x:c r="G111" s="87" t="s">
        <x:v>706</x:v>
      </x:c>
      <x:c r="H111" s="87" t="s">
        <x:v>707</x:v>
      </x:c>
      <x:c r="I111" s="104">
        <x:v>5</x:v>
      </x:c>
      <x:c r="J111" s="87" t="s">
        <x:v>708</x:v>
      </x:c>
      <x:c r="K111" s="108" t="s">
        <x:v>709</x:v>
      </x:c>
      <x:c r="L111" s="108" t="s">
        <x:v>117</x:v>
      </x:c>
      <x:c r="M111" s="87" t="s">
        <x:v>710</x:v>
      </x:c>
      <x:c r="N111" s="110" t="n">
        <x:f t="shared" si="14">N110+(IFERROR(VALUE(LEFT(L111,FIND("분",L111)-1))*60,0)+IFERROR(VALUE(TRIM(MID(L111,IFERROR(FIND("분",L111),0)+1,IFERROR(FIND("초",L111),LEN(L111)+1)-IFERROR(FIND("분",L111),0)-1))),0))/86400</x:f>
        <x:v>0.11886574074074073</x:v>
      </x:c>
      <x:c r="O111" s="87" t="s">
        <x:v>703</x:v>
      </x:c>
      <x:c r="P111" s="112">
        <x:f t="shared" si="15"/>
        <x:v>523</x:v>
      </x:c>
      <x:c r="Q111" s="112">
        <x:v>4</x:v>
      </x:c>
      <x:c r="R111" s="116">
        <x:f t="shared" si="13"/>
        <x:v>2772.71</x:v>
      </x:c>
      <x:c r="S111" s="104" t="s">
        <x:v>42</x:v>
      </x:c>
      <x:c r="T111" s="112" t="s">
        <x:v>43</x:v>
      </x:c>
      <x:c r="U111" s="112" t="s">
        <x:v>43</x:v>
      </x:c>
      <x:c r="V111" s="104" t="s">
        <x:v>43</x:v>
      </x:c>
      <x:c r="W111" s="165" t="n">
        <x:v>0.0019097222222222222</x:v>
      </x:c>
      <x:c r="X111" s="165" t="n">
        <x:v>0.0016203703703703703</x:v>
      </x:c>
      <x:c r="Y111" s="165" t="n">
        <x:v>0.001388888888888889</x:v>
      </x:c>
      <x:c r="Z111" s="112"/>
      <x:c r="AA111" s="112"/>
      <x:c r="AB111" s="112"/>
      <x:c r="AC111" s="112"/>
      <x:c r="AD111" s="86"/>
    </x:row>
    <x:row r="112" ht="65.0999984741211" customHeight="1">
      <x:c r="A112" s="87" t="s">
        <x:v>339</x:v>
      </x:c>
      <x:c r="B112" s="104">
        <x:v>108</x:v>
      </x:c>
      <x:c r="C112" s="104">
        <x:v>2</x:v>
      </x:c>
      <x:c r="D112" s="104">
        <x:v>9</x:v>
      </x:c>
      <x:c r="E112" s="87" t="s">
        <x:v>711</x:v>
      </x:c>
      <x:c r="F112" s="87" t="s">
        <x:v>712</x:v>
      </x:c>
      <x:c r="G112" s="87" t="s">
        <x:v>713</x:v>
      </x:c>
      <x:c r="H112" s="87" t="s">
        <x:v>714</x:v>
      </x:c>
      <x:c r="I112" s="104">
        <x:v>5</x:v>
      </x:c>
      <x:c r="J112" s="87" t="s">
        <x:v>715</x:v>
      </x:c>
      <x:c r="K112" s="108" t="s">
        <x:v>38</x:v>
      </x:c>
      <x:c r="L112" s="108" t="s">
        <x:v>39</x:v>
      </x:c>
      <x:c r="M112" s="87" t="s">
        <x:v>716</x:v>
      </x:c>
      <x:c r="N112" s="110" t="n">
        <x:f t="shared" si="14">N111+(IFERROR(VALUE(LEFT(L112,FIND("분",L112)-1))*60,0)+IFERROR(VALUE(TRIM(MID(L112,IFERROR(FIND("분",L112),0)+1,IFERROR(FIND("초",L112),LEN(L112)+1)-IFERROR(FIND("분",L112),0)-1))),0))/86400</x:f>
        <x:v>0.1199074074074074</x:v>
      </x:c>
      <x:c r="O112" s="87" t="s">
        <x:v>703</x:v>
      </x:c>
      <x:c r="P112" s="112">
        <x:f t="shared" si="15"/>
        <x:v>528</x:v>
      </x:c>
      <x:c r="Q112" s="112">
        <x:v>5</x:v>
      </x:c>
      <x:c r="R112" s="116">
        <x:f t="shared" si="13"/>
        <x:v>2825.22</x:v>
      </x:c>
      <x:c r="S112" s="104" t="s">
        <x:v>42</x:v>
      </x:c>
      <x:c r="T112" s="112" t="s">
        <x:v>43</x:v>
      </x:c>
      <x:c r="U112" s="112" t="s">
        <x:v>43</x:v>
      </x:c>
      <x:c r="V112" s="104" t="s">
        <x:v>43</x:v>
      </x:c>
      <x:c r="W112" s="165" t="n">
        <x:v>0.0012152777777777778</x:v>
      </x:c>
      <x:c r="X112" s="165" t="n">
        <x:v>0.001099537037037037</x:v>
      </x:c>
      <x:c r="Y112" s="165" t="n">
        <x:v>0.0010416666666666667</x:v>
      </x:c>
      <x:c r="Z112" s="112"/>
      <x:c r="AA112" s="112"/>
      <x:c r="AB112" s="112"/>
      <x:c r="AC112" s="112"/>
      <x:c r="AD112" s="86"/>
    </x:row>
    <x:row r="113" ht="65.0999984741211" customHeight="1">
      <x:c r="A113" s="87" t="s">
        <x:v>339</x:v>
      </x:c>
      <x:c r="B113" s="104">
        <x:v>109</x:v>
      </x:c>
      <x:c r="C113" s="104">
        <x:v>3</x:v>
      </x:c>
      <x:c r="D113" s="104">
        <x:v>9</x:v>
      </x:c>
      <x:c r="E113" s="87" t="s">
        <x:v>717</x:v>
      </x:c>
      <x:c r="F113" s="87" t="s">
        <x:v>718</x:v>
      </x:c>
      <x:c r="G113" s="87" t="s">
        <x:v>719</x:v>
      </x:c>
      <x:c r="H113" s="87" t="s">
        <x:v>720</x:v>
      </x:c>
      <x:c r="I113" s="104">
        <x:v>5</x:v>
      </x:c>
      <x:c r="J113" s="87" t="s">
        <x:v>721</x:v>
      </x:c>
      <x:c r="K113" s="108" t="s">
        <x:v>38</x:v>
      </x:c>
      <x:c r="L113" s="108" t="s">
        <x:v>159</x:v>
      </x:c>
      <x:c r="M113" s="87" t="s">
        <x:v>722</x:v>
      </x:c>
      <x:c r="N113" s="110" t="n">
        <x:f t="shared" si="14">N112+(IFERROR(VALUE(LEFT(L113,FIND("분",L113)-1))*60,0)+IFERROR(VALUE(TRIM(MID(L113,IFERROR(FIND("분",L113),0)+1,IFERROR(FIND("초",L113),LEN(L113)+1)-IFERROR(FIND("분",L113),0)-1))),0))/86400</x:f>
        <x:v>0.1210648148148148</x:v>
      </x:c>
      <x:c r="O113" s="87" t="s">
        <x:v>703</x:v>
      </x:c>
      <x:c r="P113" s="112">
        <x:f t="shared" si="15"/>
        <x:v>533</x:v>
      </x:c>
      <x:c r="Q113" s="112">
        <x:v>5</x:v>
      </x:c>
      <x:c r="R113" s="116">
        <x:f t="shared" si="13"/>
        <x:v>2878.23</x:v>
      </x:c>
      <x:c r="S113" s="104" t="s">
        <x:v>42</x:v>
      </x:c>
      <x:c r="T113" s="112" t="s">
        <x:v>43</x:v>
      </x:c>
      <x:c r="U113" s="112" t="s">
        <x:v>43</x:v>
      </x:c>
      <x:c r="V113" s="104" t="s">
        <x:v>43</x:v>
      </x:c>
      <x:c r="W113" s="165" t="n">
        <x:v>0.0015625</x:v>
      </x:c>
      <x:c r="X113" s="165" t="n">
        <x:v>0.0013310185185185185</x:v>
      </x:c>
      <x:c r="Y113" s="165" t="n">
        <x:v>0.0011574074074074073</x:v>
      </x:c>
      <x:c r="Z113" s="112"/>
      <x:c r="AA113" s="112"/>
      <x:c r="AB113" s="112"/>
      <x:c r="AC113" s="112"/>
      <x:c r="AD113" s="86"/>
    </x:row>
    <x:row r="114" ht="65.0999984741211" customHeight="1">
      <x:c r="A114" s="87" t="s">
        <x:v>339</x:v>
      </x:c>
      <x:c r="B114" s="104">
        <x:v>110</x:v>
      </x:c>
      <x:c r="C114" s="104">
        <x:v>6</x:v>
      </x:c>
      <x:c r="D114" s="104">
        <x:v>10</x:v>
      </x:c>
      <x:c r="E114" s="88" t="s">
        <x:v>723</x:v>
      </x:c>
      <x:c r="F114" s="87" t="s">
        <x:v>724</x:v>
      </x:c>
      <x:c r="G114" s="87" t="s">
        <x:v>725</x:v>
      </x:c>
      <x:c r="H114" s="87" t="s">
        <x:v>726</x:v>
      </x:c>
      <x:c r="I114" s="104">
        <x:v>4</x:v>
      </x:c>
      <x:c r="J114" s="87" t="s">
        <x:v>727</x:v>
      </x:c>
      <x:c r="K114" s="108" t="s">
        <x:v>728</x:v>
      </x:c>
      <x:c r="L114" s="108" t="str">
        <x:v>2분</x:v>
      </x:c>
      <x:c r="M114" s="87" t="s">
        <x:v>729</x:v>
      </x:c>
      <x:c r="N114" s="110" t="n">
        <x:f t="shared" si="14">N113+(IFERROR(VALUE(LEFT(L114,FIND("분",L114)-1))*60,0)+IFERROR(VALUE(TRIM(MID(L114,IFERROR(FIND("분",L114),0)+1,IFERROR(FIND("초",L114),LEN(L114)+1)-IFERROR(FIND("분",L114),0)-1))),0))/86400</x:f>
        <x:v>0.12245370370370369</x:v>
      </x:c>
      <x:c r="O114" s="88" t="s">
        <x:v>730</x:v>
      </x:c>
      <x:c r="P114" s="89">
        <x:f t="shared" si="15"/>
        <x:v>541</x:v>
      </x:c>
      <x:c r="Q114" s="89">
        <x:v>8</x:v>
      </x:c>
      <x:c r="R114" s="117">
        <x:f t="shared" si="13"/>
        <x:v>2964.06</x:v>
      </x:c>
      <x:c r="S114" s="120" t="str">
        <x:v>보스</x:v>
      </x:c>
      <x:c r="T114" s="89">
        <x:v>6</x:v>
      </x:c>
      <x:c r="U114" s="89" t="n">
        <x:v>120</x:v>
      </x:c>
      <x:c r="V114" s="120" t="s">
        <x:v>731</x:v>
      </x:c>
      <x:c r="W114" s="166" t="n">
        <x:v>0.009895833333333333</x:v>
      </x:c>
      <x:c r="X114" s="166" t="n">
        <x:v>0.007581018518518518</x:v>
      </x:c>
      <x:c r="Y114" s="166" t="n">
        <x:v>0.005208333333333333</x:v>
      </x:c>
      <x:c r="Z114" s="89" t="n">
        <x:v>1050</x:v>
      </x:c>
      <x:c r="AA114" s="89" t="n">
        <x:v>3</x:v>
      </x:c>
      <x:c r="AB114" s="89" t="n">
        <x:v>120</x:v>
      </x:c>
      <x:c r="AC114" s="89" t="n">
        <x:v>330</x:v>
      </x:c>
      <x:c r="AD114" s="86"/>
    </x:row>
    <x:row r="115" ht="65.0999984741211" customHeight="1">
      <x:c r="A115" s="87" t="s">
        <x:v>339</x:v>
      </x:c>
      <x:c r="B115" s="104">
        <x:v>111</x:v>
      </x:c>
      <x:c r="C115" s="104">
        <x:v>7</x:v>
      </x:c>
      <x:c r="D115" s="104">
        <x:v>10</x:v>
      </x:c>
      <x:c r="E115" s="87" t="s">
        <x:v>732</x:v>
      </x:c>
      <x:c r="F115" s="87" t="s">
        <x:v>733</x:v>
      </x:c>
      <x:c r="G115" s="87" t="s">
        <x:v>734</x:v>
      </x:c>
      <x:c r="H115" s="87" t="s">
        <x:v>735</x:v>
      </x:c>
      <x:c r="I115" s="104">
        <x:v>6</x:v>
      </x:c>
      <x:c r="J115" s="87" t="s">
        <x:v>736</x:v>
      </x:c>
      <x:c r="K115" s="108" t="s">
        <x:v>737</x:v>
      </x:c>
      <x:c r="L115" s="108" t="str">
        <x:v>2분</x:v>
      </x:c>
      <x:c r="M115" s="87" t="s">
        <x:v>738</x:v>
      </x:c>
      <x:c r="N115" s="110" t="n">
        <x:f t="shared" si="14">N114+(IFERROR(VALUE(LEFT(L115,FIND("분",L115)-1))*60,0)+IFERROR(VALUE(TRIM(MID(L115,IFERROR(FIND("분",L115),0)+1,IFERROR(FIND("초",L115),LEN(L115)+1)-IFERROR(FIND("분",L115),0)-1))),0))/86400</x:f>
        <x:v>0.12384259259259257</x:v>
      </x:c>
      <x:c r="O115" s="87" t="s">
        <x:v>730</x:v>
      </x:c>
      <x:c r="P115" s="112">
        <x:f t="shared" si="15"/>
        <x:v>550</x:v>
      </x:c>
      <x:c r="Q115" s="112">
        <x:v>9</x:v>
      </x:c>
      <x:c r="R115" s="116">
        <x:f t="shared" si="13"/>
        <x:v>3062.13</x:v>
      </x:c>
      <x:c r="S115" s="104" t="str">
        <x:v>보스</x:v>
      </x:c>
      <x:c r="T115" s="112">
        <x:v>7</x:v>
      </x:c>
      <x:c r="U115" s="112" t="n">
        <x:v>120</x:v>
      </x:c>
      <x:c r="V115" s="104" t="s">
        <x:v>739</x:v>
      </x:c>
      <x:c r="W115" s="165"/>
      <x:c r="X115" s="165"/>
      <x:c r="Y115" s="165"/>
      <x:c r="Z115" s="112">
        <x:f t="shared" si="11"/>
      </x:c>
      <x:c r="AA115" s="112"/>
      <x:c r="AB115" s="112">
        <x:f t="shared" si="12"/>
      </x:c>
      <x:c r="AC115" s="112"/>
      <x:c r="AD115" s="86"/>
    </x:row>
    <x:row r="116" ht="65.0999984741211" customHeight="1">
      <x:c r="A116" s="87" t="s">
        <x:v>339</x:v>
      </x:c>
      <x:c r="B116" s="104">
        <x:v>112</x:v>
      </x:c>
      <x:c r="C116" s="104">
        <x:v>7</x:v>
      </x:c>
      <x:c r="D116" s="104">
        <x:v>10</x:v>
      </x:c>
      <x:c r="E116" s="87" t="s">
        <x:v>740</x:v>
      </x:c>
      <x:c r="F116" s="87" t="s">
        <x:v>741</x:v>
      </x:c>
      <x:c r="G116" s="87" t="s">
        <x:v>742</x:v>
      </x:c>
      <x:c r="H116" s="87" t="s">
        <x:v>743</x:v>
      </x:c>
      <x:c r="I116" s="104">
        <x:v>4</x:v>
      </x:c>
      <x:c r="J116" s="87" t="s">
        <x:v>744</x:v>
      </x:c>
      <x:c r="K116" s="108" t="s">
        <x:v>745</x:v>
      </x:c>
      <x:c r="L116" s="108" t="str">
        <x:v>2분</x:v>
      </x:c>
      <x:c r="M116" s="87" t="s">
        <x:v>746</x:v>
      </x:c>
      <x:c r="N116" s="110" t="n">
        <x:f t="shared" si="14">N115+(IFERROR(VALUE(LEFT(L116,FIND("분",L116)-1))*60,0)+IFERROR(VALUE(TRIM(MID(L116,IFERROR(FIND("분",L116),0)+1,IFERROR(FIND("초",L116),LEN(L116)+1)-IFERROR(FIND("분",L116),0)-1))),0))/86400</x:f>
        <x:v>0.12523148148148147</x:v>
      </x:c>
      <x:c r="O116" s="87" t="s">
        <x:v>730</x:v>
      </x:c>
      <x:c r="P116" s="112">
        <x:f t="shared" si="15"/>
        <x:v>558</x:v>
      </x:c>
      <x:c r="Q116" s="112">
        <x:v>8</x:v>
      </x:c>
      <x:c r="R116" s="116">
        <x:f t="shared" si="13"/>
        <x:v>3150.64</x:v>
      </x:c>
      <x:c r="S116" s="104" t="str">
        <x:v>보스</x:v>
      </x:c>
      <x:c r="T116" s="112">
        <x:v>7</x:v>
      </x:c>
      <x:c r="U116" s="112" t="n">
        <x:v>120</x:v>
      </x:c>
      <x:c r="V116" s="104" t="s">
        <x:v>747</x:v>
      </x:c>
      <x:c r="W116" s="165"/>
      <x:c r="X116" s="165"/>
      <x:c r="Y116" s="165"/>
      <x:c r="Z116" s="112"/>
      <x:c r="AA116" s="112"/>
      <x:c r="AB116" s="112"/>
      <x:c r="AC116" s="112"/>
      <x:c r="AD116" s="86"/>
    </x:row>
    <x:row r="117" ht="65.0999984741211" customHeight="1">
      <x:c r="A117" s="87" t="s">
        <x:v>339</x:v>
      </x:c>
      <x:c r="B117" s="104">
        <x:v>113</x:v>
      </x:c>
      <x:c r="C117" s="104">
        <x:v>8</x:v>
      </x:c>
      <x:c r="D117" s="104">
        <x:v>10</x:v>
      </x:c>
      <x:c r="E117" s="87" t="s">
        <x:v>748</x:v>
      </x:c>
      <x:c r="F117" s="87" t="s">
        <x:v>749</x:v>
      </x:c>
      <x:c r="G117" s="87" t="s">
        <x:v>750</x:v>
      </x:c>
      <x:c r="H117" s="87" t="s">
        <x:v>751</x:v>
      </x:c>
      <x:c r="I117" s="104">
        <x:v>5</x:v>
      </x:c>
      <x:c r="J117" s="87" t="s">
        <x:v>752</x:v>
      </x:c>
      <x:c r="K117" s="108" t="s">
        <x:v>753</x:v>
      </x:c>
      <x:c r="L117" s="108" t="str">
        <x:v>1분 30초</x:v>
      </x:c>
      <x:c r="M117" s="87" t="s">
        <x:v>754</x:v>
      </x:c>
      <x:c r="N117" s="110" t="n">
        <x:f t="shared" si="14">N116+(IFERROR(VALUE(LEFT(L117,FIND("분",L117)-1))*60,0)+IFERROR(VALUE(TRIM(MID(L117,IFERROR(FIND("분",L117),0)+1,IFERROR(FIND("초",L117),LEN(L117)+1)-IFERROR(FIND("분",L117),0)-1))),0))/86400</x:f>
        <x:v>0.12627314814814813</x:v>
      </x:c>
      <x:c r="O117" s="87" t="s">
        <x:v>730</x:v>
      </x:c>
      <x:c r="P117" s="112">
        <x:f t="shared" si="15"/>
        <x:v>567</x:v>
      </x:c>
      <x:c r="Q117" s="112">
        <x:v>9</x:v>
      </x:c>
      <x:c r="R117" s="116">
        <x:f t="shared" si="13"/>
        <x:v>3251.72</x:v>
      </x:c>
      <x:c r="S117" s="104" t="str">
        <x:v>보스</x:v>
      </x:c>
      <x:c r="T117" s="112">
        <x:v>8</x:v>
      </x:c>
      <x:c r="U117" s="112" t="n">
        <x:v>90</x:v>
      </x:c>
      <x:c r="V117" s="104" t="s">
        <x:v>755</x:v>
      </x:c>
      <x:c r="W117" s="165"/>
      <x:c r="X117" s="165"/>
      <x:c r="Y117" s="165"/>
      <x:c r="Z117" s="112"/>
      <x:c r="AA117" s="112"/>
      <x:c r="AB117" s="112"/>
      <x:c r="AC117" s="112"/>
      <x:c r="AD117" s="86"/>
    </x:row>
    <x:row r="118" ht="65.0999984741211" customHeight="1">
      <x:c r="A118" s="87" t="s">
        <x:v>756</x:v>
      </x:c>
      <x:c r="B118" s="104">
        <x:v>114</x:v>
      </x:c>
      <x:c r="C118" s="104">
        <x:v>1</x:v>
      </x:c>
      <x:c r="D118" s="104">
        <x:v>7</x:v>
      </x:c>
      <x:c r="E118" s="87" t="s">
        <x:v>757</x:v>
      </x:c>
      <x:c r="F118" s="87" t="s">
        <x:v>758</x:v>
      </x:c>
      <x:c r="G118" s="87" t="s">
        <x:v>759</x:v>
      </x:c>
      <x:c r="H118" s="87" t="s">
        <x:v>760</x:v>
      </x:c>
      <x:c r="I118" s="104">
        <x:v>2</x:v>
      </x:c>
      <x:c r="J118" s="87" t="s">
        <x:v>761</x:v>
      </x:c>
      <x:c r="K118" s="108" t="s">
        <x:v>38</x:v>
      </x:c>
      <x:c r="L118" s="108" t="s">
        <x:v>159</x:v>
      </x:c>
      <x:c r="M118" s="87" t="s">
        <x:v>762</x:v>
      </x:c>
      <x:c r="N118" s="110" t="n">
        <x:f t="shared" si="14">N117+(IFERROR(VALUE(LEFT(L118,FIND("분",L118)-1))*60,0)+IFERROR(VALUE(TRIM(MID(L118,IFERROR(FIND("분",L118),0)+1,IFERROR(FIND("초",L118),LEN(L118)+1)-IFERROR(FIND("분",L118),0)-1))),0))/86400</x:f>
        <x:v>0.12743055555555555</x:v>
      </x:c>
      <x:c r="O118" s="87" t="s">
        <x:v>763</x:v>
      </x:c>
      <x:c r="P118" s="112">
        <x:f t="shared" si="15"/>
        <x:v>570</x:v>
      </x:c>
      <x:c r="Q118" s="112">
        <x:v>3</x:v>
      </x:c>
      <x:c r="R118" s="116">
        <x:f t="shared" si="13"/>
        <x:v>3285.77</x:v>
      </x:c>
      <x:c r="S118" s="104" t="s">
        <x:v>42</x:v>
      </x:c>
      <x:c r="T118" s="112" t="s">
        <x:v>43</x:v>
      </x:c>
      <x:c r="U118" s="112" t="s">
        <x:v>43</x:v>
      </x:c>
      <x:c r="V118" s="104" t="s">
        <x:v>43</x:v>
      </x:c>
      <x:c r="W118" s="165" t="n">
        <x:v>0.0013310185185185185</x:v>
      </x:c>
      <x:c r="X118" s="165" t="n">
        <x:v>0.0012152777777777778</x:v>
      </x:c>
      <x:c r="Y118" s="165" t="n">
        <x:v>0.0011574074074074073</x:v>
      </x:c>
      <x:c r="Z118" s="112"/>
      <x:c r="AA118" s="112"/>
      <x:c r="AB118" s="112"/>
      <x:c r="AC118" s="112"/>
      <x:c r="AD118" s="86"/>
    </x:row>
    <x:row r="119" ht="65.0999984741211" customHeight="1">
      <x:c r="A119" s="87" t="s">
        <x:v>756</x:v>
      </x:c>
      <x:c r="B119" s="104">
        <x:v>115</x:v>
      </x:c>
      <x:c r="C119" s="104">
        <x:v>2</x:v>
      </x:c>
      <x:c r="D119" s="104">
        <x:v>5</x:v>
      </x:c>
      <x:c r="E119" s="87" t="s">
        <x:v>764</x:v>
      </x:c>
      <x:c r="F119" s="87" t="s">
        <x:v>765</x:v>
      </x:c>
      <x:c r="G119" s="87" t="s">
        <x:v>766</x:v>
      </x:c>
      <x:c r="H119" s="87" t="s">
        <x:v>767</x:v>
      </x:c>
      <x:c r="I119" s="104">
        <x:v>5</x:v>
      </x:c>
      <x:c r="J119" s="87" t="s">
        <x:v>768</x:v>
      </x:c>
      <x:c r="K119" s="108" t="s">
        <x:v>769</x:v>
      </x:c>
      <x:c r="L119" s="108" t="s">
        <x:v>159</x:v>
      </x:c>
      <x:c r="M119" s="87" t="s">
        <x:v>770</x:v>
      </x:c>
      <x:c r="N119" s="110" t="n">
        <x:f t="shared" si="14">N118+(IFERROR(VALUE(LEFT(L119,FIND("분",L119)-1))*60,0)+IFERROR(VALUE(TRIM(MID(L119,IFERROR(FIND("분",L119),0)+1,IFERROR(FIND("초",L119),LEN(L119)+1)-IFERROR(FIND("분",L119),0)-1))),0))/86400</x:f>
        <x:v>0.12858796296296296</x:v>
      </x:c>
      <x:c r="O119" s="87" t="s">
        <x:v>763</x:v>
      </x:c>
      <x:c r="P119" s="112">
        <x:f t="shared" si="15"/>
        <x:v>573</x:v>
      </x:c>
      <x:c r="Q119" s="112">
        <x:v>3</x:v>
      </x:c>
      <x:c r="R119" s="116">
        <x:f t="shared" si="13"/>
        <x:v>3319.99</x:v>
      </x:c>
      <x:c r="S119" s="104" t="s">
        <x:v>42</x:v>
      </x:c>
      <x:c r="T119" s="112" t="s">
        <x:v>43</x:v>
      </x:c>
      <x:c r="U119" s="112" t="s">
        <x:v>43</x:v>
      </x:c>
      <x:c r="V119" s="104" t="s">
        <x:v>43</x:v>
      </x:c>
      <x:c r="W119" s="165" t="n">
        <x:v>0.0013310185185185185</x:v>
      </x:c>
      <x:c r="X119" s="165" t="n">
        <x:v>0.0012152777777777778</x:v>
      </x:c>
      <x:c r="Y119" s="165" t="n">
        <x:v>0.0011574074074074073</x:v>
      </x:c>
      <x:c r="Z119" s="112"/>
      <x:c r="AA119" s="112"/>
      <x:c r="AB119" s="112"/>
      <x:c r="AC119" s="112"/>
      <x:c r="AD119" s="86"/>
    </x:row>
    <x:row r="120" ht="65.0999984741211" customHeight="1">
      <x:c r="A120" s="87" t="s">
        <x:v>756</x:v>
      </x:c>
      <x:c r="B120" s="104">
        <x:v>116</x:v>
      </x:c>
      <x:c r="C120" s="104">
        <x:v>2</x:v>
      </x:c>
      <x:c r="D120" s="104">
        <x:v>5</x:v>
      </x:c>
      <x:c r="E120" s="87" t="s">
        <x:v>771</x:v>
      </x:c>
      <x:c r="F120" s="87" t="s">
        <x:v>772</x:v>
      </x:c>
      <x:c r="G120" s="87" t="s">
        <x:v>773</x:v>
      </x:c>
      <x:c r="H120" s="87" t="s">
        <x:v>774</x:v>
      </x:c>
      <x:c r="I120" s="104">
        <x:v>4</x:v>
      </x:c>
      <x:c r="J120" s="87" t="s">
        <x:v>775</x:v>
      </x:c>
      <x:c r="K120" s="108" t="s">
        <x:v>38</x:v>
      </x:c>
      <x:c r="L120" s="108" t="s">
        <x:v>117</x:v>
      </x:c>
      <x:c r="M120" s="87" t="s">
        <x:v>776</x:v>
      </x:c>
      <x:c r="N120" s="110" t="n">
        <x:f t="shared" si="14">N119+(IFERROR(VALUE(LEFT(L120,FIND("분",L120)-1))*60,0)+IFERROR(VALUE(TRIM(MID(L120,IFERROR(FIND("분",L120),0)+1,IFERROR(FIND("초",L120),LEN(L120)+1)-IFERROR(FIND("분",L120),0)-1))),0))/86400</x:f>
        <x:v>0.12997685185185184</x:v>
      </x:c>
      <x:c r="O120" s="87" t="s">
        <x:v>763</x:v>
      </x:c>
      <x:c r="P120" s="112">
        <x:f t="shared" si="15"/>
        <x:v>576</x:v>
      </x:c>
      <x:c r="Q120" s="112">
        <x:v>3</x:v>
      </x:c>
      <x:c r="R120" s="116">
        <x:f t="shared" si="13"/>
        <x:v>3354.39</x:v>
      </x:c>
      <x:c r="S120" s="104" t="s">
        <x:v>42</x:v>
      </x:c>
      <x:c r="T120" s="112" t="s">
        <x:v>43</x:v>
      </x:c>
      <x:c r="U120" s="112" t="s">
        <x:v>43</x:v>
      </x:c>
      <x:c r="V120" s="104" t="s">
        <x:v>43</x:v>
      </x:c>
      <x:c r="W120" s="165" t="n">
        <x:v>0.0016203703703703703</x:v>
      </x:c>
      <x:c r="X120" s="165" t="n">
        <x:v>0.0015046296296296296</x:v>
      </x:c>
      <x:c r="Y120" s="165" t="n">
        <x:v>0.001388888888888889</x:v>
      </x:c>
      <x:c r="Z120" s="112"/>
      <x:c r="AA120" s="112"/>
      <x:c r="AB120" s="112"/>
      <x:c r="AC120" s="112"/>
      <x:c r="AD120" s="86"/>
    </x:row>
    <x:row r="121" ht="65.0999984741211" customHeight="1">
      <x:c r="A121" s="87" t="s">
        <x:v>756</x:v>
      </x:c>
      <x:c r="B121" s="104">
        <x:v>117</x:v>
      </x:c>
      <x:c r="C121" s="104">
        <x:v>3</x:v>
      </x:c>
      <x:c r="D121" s="104">
        <x:v>6</x:v>
      </x:c>
      <x:c r="E121" s="87" t="s">
        <x:v>777</x:v>
      </x:c>
      <x:c r="F121" s="87" t="s">
        <x:v>778</x:v>
      </x:c>
      <x:c r="G121" s="87" t="s">
        <x:v>779</x:v>
      </x:c>
      <x:c r="H121" s="87" t="s">
        <x:v>780</x:v>
      </x:c>
      <x:c r="I121" s="104">
        <x:v>1</x:v>
      </x:c>
      <x:c r="J121" s="87" t="s">
        <x:v>781</x:v>
      </x:c>
      <x:c r="K121" s="108" t="s">
        <x:v>782</x:v>
      </x:c>
      <x:c r="L121" s="108" t="s">
        <x:v>427</x:v>
      </x:c>
      <x:c r="M121" s="87" t="s">
        <x:v>783</x:v>
      </x:c>
      <x:c r="N121" s="110" t="n">
        <x:f t="shared" si="14">N120+(IFERROR(VALUE(LEFT(L121,FIND("분",L121)-1))*60,0)+IFERROR(VALUE(TRIM(MID(L121,IFERROR(FIND("분",L121),0)+1,IFERROR(FIND("초",L121),LEN(L121)+1)-IFERROR(FIND("분",L121),0)-1))),0))/86400</x:f>
        <x:v>0.13148148148148148</x:v>
      </x:c>
      <x:c r="O121" s="87" t="s">
        <x:v>784</x:v>
      </x:c>
      <x:c r="P121" s="112">
        <x:f t="shared" si="15"/>
        <x:v>581</x:v>
      </x:c>
      <x:c r="Q121" s="112">
        <x:v>5</x:v>
      </x:c>
      <x:c r="R121" s="116">
        <x:f t="shared" si="13"/>
        <x:v>3412.13</x:v>
      </x:c>
      <x:c r="S121" s="104" t="s">
        <x:v>42</x:v>
      </x:c>
      <x:c r="T121" s="112" t="s">
        <x:v>43</x:v>
      </x:c>
      <x:c r="U121" s="112" t="s">
        <x:v>43</x:v>
      </x:c>
      <x:c r="V121" s="104" t="s">
        <x:v>43</x:v>
      </x:c>
      <x:c r="W121" s="165" t="n">
        <x:v>0.0020833333333333333</x:v>
      </x:c>
      <x:c r="X121" s="165" t="n">
        <x:v>0.001736111111111111</x:v>
      </x:c>
      <x:c r="Y121" s="165" t="n">
        <x:v>0.0015046296296296296</x:v>
      </x:c>
      <x:c r="Z121" s="112"/>
      <x:c r="AA121" s="112"/>
      <x:c r="AB121" s="112"/>
      <x:c r="AC121" s="112"/>
      <x:c r="AD121" s="86"/>
    </x:row>
    <x:row r="122" ht="65.0999984741211" customHeight="1">
      <x:c r="A122" s="87" t="s">
        <x:v>756</x:v>
      </x:c>
      <x:c r="B122" s="104">
        <x:v>118</x:v>
      </x:c>
      <x:c r="C122" s="104">
        <x:v>3</x:v>
      </x:c>
      <x:c r="D122" s="104">
        <x:v>6</x:v>
      </x:c>
      <x:c r="E122" s="87" t="s">
        <x:v>785</x:v>
      </x:c>
      <x:c r="F122" s="87" t="s">
        <x:v>786</x:v>
      </x:c>
      <x:c r="G122" s="87" t="s">
        <x:v>787</x:v>
      </x:c>
      <x:c r="H122" s="87" t="s">
        <x:v>788</x:v>
      </x:c>
      <x:c r="I122" s="104">
        <x:v>4</x:v>
      </x:c>
      <x:c r="J122" s="87" t="s">
        <x:v>789</x:v>
      </x:c>
      <x:c r="K122" s="108" t="s">
        <x:v>790</x:v>
      </x:c>
      <x:c r="L122" s="108" t="s">
        <x:v>170</x:v>
      </x:c>
      <x:c r="M122" s="87" t="s">
        <x:v>791</x:v>
      </x:c>
      <x:c r="N122" s="110" t="n">
        <x:f t="shared" si="14">N121+(IFERROR(VALUE(LEFT(L122,FIND("분",L122)-1))*60,0)+IFERROR(VALUE(TRIM(MID(L122,IFERROR(FIND("분",L122),0)+1,IFERROR(FIND("초",L122),LEN(L122)+1)-IFERROR(FIND("분",L122),0)-1))),0))/86400</x:f>
        <x:v>0.13321759259259258</x:v>
      </x:c>
      <x:c r="O122" s="87" t="s">
        <x:v>784</x:v>
      </x:c>
      <x:c r="P122" s="112">
        <x:f t="shared" si="15"/>
        <x:v>586</x:v>
      </x:c>
      <x:c r="Q122" s="112">
        <x:v>5</x:v>
      </x:c>
      <x:c r="R122" s="116">
        <x:f t="shared" si="13"/>
        <x:v>3470.35</x:v>
      </x:c>
      <x:c r="S122" s="104" t="s">
        <x:v>42</x:v>
      </x:c>
      <x:c r="T122" s="112" t="s">
        <x:v>43</x:v>
      </x:c>
      <x:c r="U122" s="112" t="s">
        <x:v>43</x:v>
      </x:c>
      <x:c r="V122" s="104" t="s">
        <x:v>43</x:v>
      </x:c>
      <x:c r="W122" s="165" t="n">
        <x:v>0.002372685185185185</x:v>
      </x:c>
      <x:c r="X122" s="165" t="n">
        <x:v>0.002025462962962963</x:v>
      </x:c>
      <x:c r="Y122" s="165" t="n">
        <x:v>0.001736111111111111</x:v>
      </x:c>
      <x:c r="Z122" s="112"/>
      <x:c r="AA122" s="112"/>
      <x:c r="AB122" s="112"/>
      <x:c r="AC122" s="112"/>
      <x:c r="AD122" s="86"/>
    </x:row>
    <x:row r="123" ht="65.0999984741211" customHeight="1">
      <x:c r="A123" s="87" t="s">
        <x:v>756</x:v>
      </x:c>
      <x:c r="B123" s="104">
        <x:v>119</x:v>
      </x:c>
      <x:c r="C123" s="104">
        <x:v>5</x:v>
      </x:c>
      <x:c r="D123" s="104">
        <x:v>8</x:v>
      </x:c>
      <x:c r="E123" s="87" t="s">
        <x:v>792</x:v>
      </x:c>
      <x:c r="F123" s="87" t="s">
        <x:v>793</x:v>
      </x:c>
      <x:c r="G123" s="87" t="s">
        <x:v>794</x:v>
      </x:c>
      <x:c r="H123" s="87" t="s">
        <x:v>795</x:v>
      </x:c>
      <x:c r="I123" s="104">
        <x:v>5</x:v>
      </x:c>
      <x:c r="J123" s="87" t="s">
        <x:v>796</x:v>
      </x:c>
      <x:c r="K123" s="108" t="s">
        <x:v>797</x:v>
      </x:c>
      <x:c r="L123" s="108" t="s">
        <x:v>117</x:v>
      </x:c>
      <x:c r="M123" s="87" t="s">
        <x:v>798</x:v>
      </x:c>
      <x:c r="N123" s="110" t="n">
        <x:f t="shared" si="14">N122+(IFERROR(VALUE(LEFT(L123,FIND("분",L123)-1))*60,0)+IFERROR(VALUE(TRIM(MID(L123,IFERROR(FIND("분",L123),0)+1,IFERROR(FIND("초",L123),LEN(L123)+1)-IFERROR(FIND("분",L123),0)-1))),0))/86400</x:f>
        <x:v>0.13460648148148147</x:v>
      </x:c>
      <x:c r="O123" s="87" t="s">
        <x:v>799</x:v>
      </x:c>
      <x:c r="P123" s="112">
        <x:f t="shared" si="15"/>
        <x:v>593</x:v>
      </x:c>
      <x:c r="Q123" s="112">
        <x:v>7</x:v>
      </x:c>
      <x:c r="R123" s="116">
        <x:f t="shared" si="13"/>
        <x:v>3552.69</x:v>
      </x:c>
      <x:c r="S123" s="104" t="s">
        <x:v>42</x:v>
      </x:c>
      <x:c r="T123" s="112" t="s">
        <x:v>43</x:v>
      </x:c>
      <x:c r="U123" s="112" t="s">
        <x:v>43</x:v>
      </x:c>
      <x:c r="V123" s="104" t="s">
        <x:v>43</x:v>
      </x:c>
      <x:c r="W123" s="165" t="n">
        <x:v>0.0022569444444444442</x:v>
      </x:c>
      <x:c r="X123" s="165" t="n">
        <x:v>0.001851851851851852</x:v>
      </x:c>
      <x:c r="Y123" s="165" t="n">
        <x:v>0.001388888888888889</x:v>
      </x:c>
      <x:c r="Z123" s="112"/>
      <x:c r="AA123" s="112"/>
      <x:c r="AB123" s="112"/>
      <x:c r="AC123" s="112"/>
      <x:c r="AD123" s="86"/>
    </x:row>
    <x:row r="124" ht="65.0999984741211" customHeight="1">
      <x:c r="A124" s="87" t="s">
        <x:v>756</x:v>
      </x:c>
      <x:c r="B124" s="104">
        <x:v>120</x:v>
      </x:c>
      <x:c r="C124" s="104">
        <x:v>4</x:v>
      </x:c>
      <x:c r="D124" s="104">
        <x:v>7</x:v>
      </x:c>
      <x:c r="E124" s="87" t="s">
        <x:v>800</x:v>
      </x:c>
      <x:c r="F124" s="87" t="s">
        <x:v>801</x:v>
      </x:c>
      <x:c r="G124" s="87" t="s">
        <x:v>802</x:v>
      </x:c>
      <x:c r="H124" s="87" t="s">
        <x:v>803</x:v>
      </x:c>
      <x:c r="I124" s="104">
        <x:v>6</x:v>
      </x:c>
      <x:c r="J124" s="87" t="s">
        <x:v>804</x:v>
      </x:c>
      <x:c r="K124" s="108" t="s">
        <x:v>38</x:v>
      </x:c>
      <x:c r="L124" s="108" t="s">
        <x:v>805</x:v>
      </x:c>
      <x:c r="M124" s="87" t="s">
        <x:v>806</x:v>
      </x:c>
      <x:c r="N124" s="110" t="n">
        <x:f t="shared" ref="N124:N155" si="16">N123+(IFERROR(VALUE(LEFT(L124,FIND("분",L124)-1))*60,0)+IFERROR(VALUE(TRIM(MID(L124,IFERROR(FIND("분",L124),0)+1,IFERROR(FIND("초",L124),LEN(L124)+1)-IFERROR(FIND("분",L124),0)-1))),0))/86400</x:f>
        <x:v>0.137037037037037</x:v>
      </x:c>
      <x:c r="O124" s="98" t="s">
        <x:v>799</x:v>
      </x:c>
      <x:c r="P124" s="112">
        <x:f t="shared" si="15"/>
        <x:v>599</x:v>
      </x:c>
      <x:c r="Q124" s="112">
        <x:v>6</x:v>
      </x:c>
      <x:c r="R124" s="116">
        <x:f t="shared" si="13"/>
        <x:v>3624.04</x:v>
      </x:c>
      <x:c r="S124" s="104" t="s">
        <x:v>42</x:v>
      </x:c>
      <x:c r="T124" s="112" t="s">
        <x:v>43</x:v>
      </x:c>
      <x:c r="U124" s="112" t="s">
        <x:v>43</x:v>
      </x:c>
      <x:c r="V124" s="104" t="s">
        <x:v>43</x:v>
      </x:c>
      <x:c r="W124" s="165" t="n">
        <x:v>0.003298611111111111</x:v>
      </x:c>
      <x:c r="X124" s="165" t="n">
        <x:v>0.0028356481481481483</x:v>
      </x:c>
      <x:c r="Y124" s="165" t="n">
        <x:v>0.0024305555555555556</x:v>
      </x:c>
      <x:c r="Z124" s="112">
        <x:f t="shared" si="11"/>
      </x:c>
      <x:c r="AA124" s="112"/>
      <x:c r="AB124" s="112">
        <x:f t="shared" si="12"/>
      </x:c>
      <x:c r="AC124" s="112"/>
      <x:c r="AD124" s="92"/>
    </x:row>
    <x:row r="125" ht="65.0999984741211" customHeight="1">
      <x:c r="A125" s="87" t="s">
        <x:v>756</x:v>
      </x:c>
      <x:c r="B125" s="104">
        <x:v>121</x:v>
      </x:c>
      <x:c r="C125" s="104">
        <x:v>6</x:v>
      </x:c>
      <x:c r="D125" s="104">
        <x:v>9</x:v>
      </x:c>
      <x:c r="E125" s="87" t="s">
        <x:v>807</x:v>
      </x:c>
      <x:c r="F125" s="87" t="s">
        <x:v>808</x:v>
      </x:c>
      <x:c r="G125" s="87" t="s">
        <x:v>809</x:v>
      </x:c>
      <x:c r="H125" s="87" t="s">
        <x:v>810</x:v>
      </x:c>
      <x:c r="I125" s="104">
        <x:v>5</x:v>
      </x:c>
      <x:c r="J125" s="87" t="s">
        <x:v>811</x:v>
      </x:c>
      <x:c r="K125" s="108" t="s">
        <x:v>812</x:v>
      </x:c>
      <x:c r="L125" s="108" t="s">
        <x:v>233</x:v>
      </x:c>
      <x:c r="M125" s="87" t="s">
        <x:v>813</x:v>
      </x:c>
      <x:c r="N125" s="110" t="n">
        <x:f t="shared" si="16">N124+(IFERROR(VALUE(LEFT(L125,FIND("분",L125)-1))*60,0)+IFERROR(VALUE(TRIM(MID(L125,IFERROR(FIND("분",L125),0)+1,IFERROR(FIND("초",L125),LEN(L125)+1)-IFERROR(FIND("분",L125),0)-1))),0))/86400</x:f>
        <x:v>0.13912037037037034</x:v>
      </x:c>
      <x:c r="O125" s="98" t="s">
        <x:v>799</x:v>
      </x:c>
      <x:c r="P125" s="112">
        <x:f t="shared" si="15"/>
        <x:v>607</x:v>
      </x:c>
      <x:c r="Q125" s="112">
        <x:v>8</x:v>
      </x:c>
      <x:c r="R125" s="116">
        <x:f t="shared" si="13"/>
        <x:v>3720.27</x:v>
      </x:c>
      <x:c r="S125" s="104" t="s">
        <x:v>397</x:v>
      </x:c>
      <x:c r="T125" s="112">
        <x:v>6</x:v>
      </x:c>
      <x:c r="U125" s="112">
        <x:v>180</x:v>
      </x:c>
      <x:c r="V125" s="104" t="s">
        <x:v>814</x:v>
      </x:c>
      <x:c r="W125" s="165" t="n">
        <x:v>0.0033564814814814816</x:v>
      </x:c>
      <x:c r="X125" s="165" t="n">
        <x:v>0.0027199074074074074</x:v>
      </x:c>
      <x:c r="Y125" s="165" t="n">
        <x:v>0.0020833333333333333</x:v>
      </x:c>
      <x:c r="Z125" s="112"/>
      <x:c r="AA125" s="112"/>
      <x:c r="AB125" s="112"/>
      <x:c r="AC125" s="112"/>
      <x:c r="AD125" s="92"/>
    </x:row>
    <x:row r="126" ht="65.0999984741211" customHeight="1">
      <x:c r="A126" s="98" t="s">
        <x:v>756</x:v>
      </x:c>
      <x:c r="B126" s="104">
        <x:v>122</x:v>
      </x:c>
      <x:c r="C126" s="104">
        <x:v>3</x:v>
      </x:c>
      <x:c r="D126" s="104">
        <x:v>8</x:v>
      </x:c>
      <x:c r="E126" s="98" t="s">
        <x:v>815</x:v>
      </x:c>
      <x:c r="F126" s="98" t="s">
        <x:v>816</x:v>
      </x:c>
      <x:c r="G126" s="98" t="s">
        <x:v>817</x:v>
      </x:c>
      <x:c r="H126" s="98" t="s">
        <x:v>818</x:v>
      </x:c>
      <x:c r="I126" s="104">
        <x:v>5</x:v>
      </x:c>
      <x:c r="J126" s="87" t="s">
        <x:v>819</x:v>
      </x:c>
      <x:c r="K126" s="104" t="s">
        <x:v>820</x:v>
      </x:c>
      <x:c r="L126" s="104" t="s">
        <x:v>463</x:v>
      </x:c>
      <x:c r="M126" s="98" t="s">
        <x:v>821</x:v>
      </x:c>
      <x:c r="N126" s="110" t="n">
        <x:f t="shared" si="16">N125+(IFERROR(VALUE(LEFT(L126,FIND("분",L126)-1))*60,0)+IFERROR(VALUE(TRIM(MID(L126,IFERROR(FIND("분",L126),0)+1,IFERROR(FIND("초",L126),LEN(L126)+1)-IFERROR(FIND("분",L126),0)-1))),0))/86400</x:f>
        <x:v>0.14143518518518516</x:v>
      </x:c>
      <x:c r="O126" s="98" t="s">
        <x:v>799</x:v>
      </x:c>
      <x:c r="P126" s="112">
        <x:f t="shared" si="15"/>
        <x:v>613</x:v>
      </x:c>
      <x:c r="Q126" s="112">
        <x:v>6</x:v>
      </x:c>
      <x:c r="R126" s="116">
        <x:f t="shared" si="13"/>
        <x:v>3793.27</x:v>
      </x:c>
      <x:c r="S126" s="104" t="s">
        <x:v>42</x:v>
      </x:c>
      <x:c r="T126" s="112" t="s">
        <x:v>43</x:v>
      </x:c>
      <x:c r="U126" s="112" t="s">
        <x:v>43</x:v>
      </x:c>
      <x:c r="V126" s="104" t="s">
        <x:v>43</x:v>
      </x:c>
      <x:c r="W126" s="165" t="n">
        <x:v>0.003125</x:v>
      </x:c>
      <x:c r="X126" s="165" t="n">
        <x:v>0.002662037037037037</x:v>
      </x:c>
      <x:c r="Y126" s="165" t="n">
        <x:v>0.0023148148148148147</x:v>
      </x:c>
      <x:c r="Z126" s="112"/>
      <x:c r="AA126" s="112"/>
      <x:c r="AB126" s="112"/>
      <x:c r="AC126" s="112"/>
      <x:c r="AD126" s="92"/>
    </x:row>
    <x:row r="127" ht="65.0999984741211" customHeight="1">
      <x:c r="A127" s="98" t="s">
        <x:v>756</x:v>
      </x:c>
      <x:c r="B127" s="104">
        <x:v>123</x:v>
      </x:c>
      <x:c r="C127" s="104">
        <x:v>5</x:v>
      </x:c>
      <x:c r="D127" s="104">
        <x:v>7</x:v>
      </x:c>
      <x:c r="E127" s="98" t="s">
        <x:v>822</x:v>
      </x:c>
      <x:c r="F127" s="98" t="s">
        <x:v>823</x:v>
      </x:c>
      <x:c r="G127" s="98" t="s">
        <x:v>824</x:v>
      </x:c>
      <x:c r="H127" s="98" t="s">
        <x:v>825</x:v>
      </x:c>
      <x:c r="I127" s="104">
        <x:v>4</x:v>
      </x:c>
      <x:c r="J127" s="98" t="s">
        <x:v>826</x:v>
      </x:c>
      <x:c r="K127" s="104" t="s">
        <x:v>827</x:v>
      </x:c>
      <x:c r="L127" s="104" t="s">
        <x:v>463</x:v>
      </x:c>
      <x:c r="M127" s="98" t="s">
        <x:v>828</x:v>
      </x:c>
      <x:c r="N127" s="110" t="n">
        <x:f t="shared" si="16">N126+(IFERROR(VALUE(LEFT(L127,FIND("분",L127)-1))*60,0)+IFERROR(VALUE(TRIM(MID(L127,IFERROR(FIND("분",L127),0)+1,IFERROR(FIND("초",L127),LEN(L127)+1)-IFERROR(FIND("분",L127),0)-1))),0))/86400</x:f>
        <x:v>0.14375</x:v>
      </x:c>
      <x:c r="O127" s="98" t="s">
        <x:v>799</x:v>
      </x:c>
      <x:c r="P127" s="112">
        <x:f t="shared" si="15"/>
        <x:v>620</x:v>
      </x:c>
      <x:c r="Q127" s="112">
        <x:v>7</x:v>
      </x:c>
      <x:c r="R127" s="116">
        <x:f t="shared" si="13"/>
        <x:v>3879.34</x:v>
      </x:c>
      <x:c r="S127" s="104" t="s">
        <x:v>42</x:v>
      </x:c>
      <x:c r="T127" s="112" t="s">
        <x:v>43</x:v>
      </x:c>
      <x:c r="U127" s="112" t="s">
        <x:v>43</x:v>
      </x:c>
      <x:c r="V127" s="104" t="s">
        <x:v>43</x:v>
      </x:c>
      <x:c r="W127" s="165" t="n">
        <x:v>0.003703703703703704</x:v>
      </x:c>
      <x:c r="X127" s="165" t="n">
        <x:v>0.0030092592592592593</x:v>
      </x:c>
      <x:c r="Y127" s="165" t="n">
        <x:v>0.0023148148148148147</x:v>
      </x:c>
      <x:c r="Z127" s="112">
        <x:f t="shared" si="11"/>
      </x:c>
      <x:c r="AA127" s="112"/>
      <x:c r="AB127" s="112">
        <x:f t="shared" si="12"/>
      </x:c>
      <x:c r="AC127" s="112"/>
      <x:c r="AD127" s="92"/>
    </x:row>
    <x:row r="128" ht="65.0999984741211" customHeight="1">
      <x:c r="A128" s="98" t="s">
        <x:v>756</x:v>
      </x:c>
      <x:c r="B128" s="104">
        <x:v>124</x:v>
      </x:c>
      <x:c r="C128" s="104">
        <x:v>4</x:v>
      </x:c>
      <x:c r="D128" s="104">
        <x:v>7</x:v>
      </x:c>
      <x:c r="E128" s="98" t="s">
        <x:v>829</x:v>
      </x:c>
      <x:c r="F128" s="98" t="s">
        <x:v>365</x:v>
      </x:c>
      <x:c r="G128" s="98" t="s">
        <x:v>830</x:v>
      </x:c>
      <x:c r="H128" s="98" t="s">
        <x:v>367</x:v>
      </x:c>
      <x:c r="I128" s="104">
        <x:v>1</x:v>
      </x:c>
      <x:c r="J128" s="98" t="s">
        <x:v>368</x:v>
      </x:c>
      <x:c r="K128" s="104" t="s">
        <x:v>369</x:v>
      </x:c>
      <x:c r="L128" s="104" t="s">
        <x:v>159</x:v>
      </x:c>
      <x:c r="M128" s="98" t="s">
        <x:v>370</x:v>
      </x:c>
      <x:c r="N128" s="110" t="n">
        <x:f t="shared" si="16">N127+(IFERROR(VALUE(LEFT(L128,FIND("분",L128)-1))*60,0)+IFERROR(VALUE(TRIM(MID(L128,IFERROR(FIND("분",L128),0)+1,IFERROR(FIND("초",L128),LEN(L128)+1)-IFERROR(FIND("분",L128),0)-1))),0))/86400</x:f>
        <x:v>0.1449074074074074</x:v>
      </x:c>
      <x:c r="O128" s="98" t="s">
        <x:v>831</x:v>
      </x:c>
      <x:c r="P128" s="112">
        <x:f t="shared" si="15"/>
        <x:v>626</x:v>
      </x:c>
      <x:c r="Q128" s="112">
        <x:v>6</x:v>
      </x:c>
      <x:c r="R128" s="116">
        <x:f t="shared" si="13"/>
        <x:v>3953.88</x:v>
      </x:c>
      <x:c r="S128" s="104" t="s">
        <x:v>42</x:v>
      </x:c>
      <x:c r="T128" s="112" t="s">
        <x:v>43</x:v>
      </x:c>
      <x:c r="U128" s="112" t="s">
        <x:v>43</x:v>
      </x:c>
      <x:c r="V128" s="104" t="s">
        <x:v>43</x:v>
      </x:c>
      <x:c r="W128" s="165" t="n">
        <x:v>0.0015625</x:v>
      </x:c>
      <x:c r="X128" s="165" t="n">
        <x:v>0.0013310185185185185</x:v>
      </x:c>
      <x:c r="Y128" s="165" t="n">
        <x:v>0.0011574074074074073</x:v>
      </x:c>
      <x:c r="Z128" s="112"/>
      <x:c r="AA128" s="112"/>
      <x:c r="AB128" s="112"/>
      <x:c r="AC128" s="112"/>
      <x:c r="AD128" s="92"/>
    </x:row>
    <x:row r="129" ht="65.0999984741211" customHeight="1">
      <x:c r="A129" s="98" t="s">
        <x:v>756</x:v>
      </x:c>
      <x:c r="B129" s="104">
        <x:v>125</x:v>
      </x:c>
      <x:c r="C129" s="104">
        <x:v>3</x:v>
      </x:c>
      <x:c r="D129" s="104">
        <x:v>8</x:v>
      </x:c>
      <x:c r="E129" s="98" t="s">
        <x:v>832</x:v>
      </x:c>
      <x:c r="F129" s="98" t="s">
        <x:v>173</x:v>
      </x:c>
      <x:c r="G129" s="98" t="s">
        <x:v>833</x:v>
      </x:c>
      <x:c r="H129" s="98" t="s">
        <x:v>834</x:v>
      </x:c>
      <x:c r="I129" s="104">
        <x:v>6</x:v>
      </x:c>
      <x:c r="J129" s="98" t="s">
        <x:v>176</x:v>
      </x:c>
      <x:c r="K129" s="104" t="s">
        <x:v>38</x:v>
      </x:c>
      <x:c r="L129" s="104" t="s">
        <x:v>471</x:v>
      </x:c>
      <x:c r="M129" s="98" t="s">
        <x:v>177</x:v>
      </x:c>
      <x:c r="N129" s="110" t="n">
        <x:f t="shared" si="16">N128+(IFERROR(VALUE(LEFT(L129,FIND("분",L129)-1))*60,0)+IFERROR(VALUE(TRIM(MID(L129,IFERROR(FIND("분",L129),0)+1,IFERROR(FIND("초",L129),LEN(L129)+1)-IFERROR(FIND("분",L129),0)-1))),0))/86400</x:f>
        <x:v>0.14710648148148148</x:v>
      </x:c>
      <x:c r="O129" s="98" t="s">
        <x:v>831</x:v>
      </x:c>
      <x:c r="P129" s="112">
        <x:f t="shared" si="15"/>
        <x:v>632</x:v>
      </x:c>
      <x:c r="Q129" s="112">
        <x:v>6</x:v>
      </x:c>
      <x:c r="R129" s="116">
        <x:f t="shared" si="13"/>
        <x:v>4029.13</x:v>
      </x:c>
      <x:c r="S129" s="104" t="s">
        <x:v>42</x:v>
      </x:c>
      <x:c r="T129" s="112" t="s">
        <x:v>43</x:v>
      </x:c>
      <x:c r="U129" s="112" t="s">
        <x:v>43</x:v>
      </x:c>
      <x:c r="V129" s="104" t="s">
        <x:v>43</x:v>
      </x:c>
      <x:c r="W129" s="165" t="n">
        <x:v>0.0030092592592592593</x:v>
      </x:c>
      <x:c r="X129" s="165" t="n">
        <x:v>0.0025462962962962965</x:v>
      </x:c>
      <x:c r="Y129" s="165" t="n">
        <x:v>0.002199074074074074</x:v>
      </x:c>
      <x:c r="Z129" s="112"/>
      <x:c r="AA129" s="112"/>
      <x:c r="AB129" s="112"/>
      <x:c r="AC129" s="112"/>
      <x:c r="AD129" s="92"/>
    </x:row>
    <x:row r="130" ht="65.0999984741211" customHeight="1">
      <x:c r="A130" s="98" t="s">
        <x:v>756</x:v>
      </x:c>
      <x:c r="B130" s="104">
        <x:v>126</x:v>
      </x:c>
      <x:c r="C130" s="104">
        <x:v>5</x:v>
      </x:c>
      <x:c r="D130" s="104">
        <x:v>9</x:v>
      </x:c>
      <x:c r="E130" s="98" t="s">
        <x:v>835</x:v>
      </x:c>
      <x:c r="F130" s="98" t="s">
        <x:v>836</x:v>
      </x:c>
      <x:c r="G130" s="98" t="s">
        <x:v>837</x:v>
      </x:c>
      <x:c r="H130" s="98" t="s">
        <x:v>838</x:v>
      </x:c>
      <x:c r="I130" s="104">
        <x:v>6</x:v>
      </x:c>
      <x:c r="J130" s="98" t="s">
        <x:v>839</x:v>
      </x:c>
      <x:c r="K130" s="104" t="s">
        <x:v>840</x:v>
      </x:c>
      <x:c r="L130" s="104" t="s">
        <x:v>170</x:v>
      </x:c>
      <x:c r="M130" s="98" t="s">
        <x:v>841</x:v>
      </x:c>
      <x:c r="N130" s="110" t="n">
        <x:f t="shared" si="16">N129+(IFERROR(VALUE(LEFT(L130,FIND("분",L130)-1))*60,0)+IFERROR(VALUE(TRIM(MID(L130,IFERROR(FIND("분",L130),0)+1,IFERROR(FIND("초",L130),LEN(L130)+1)-IFERROR(FIND("분",L130),0)-1))),0))/86400</x:f>
        <x:v>0.14884259259259258</x:v>
      </x:c>
      <x:c r="O130" s="98" t="s">
        <x:v>831</x:v>
      </x:c>
      <x:c r="P130" s="112">
        <x:f t="shared" si="15"/>
        <x:v>639</x:v>
      </x:c>
      <x:c r="Q130" s="112">
        <x:v>7</x:v>
      </x:c>
      <x:c r="R130" s="116">
        <x:f t="shared" si="13"/>
        <x:v>4117.8100000000004</x:v>
      </x:c>
      <x:c r="S130" s="104" t="s">
        <x:v>42</x:v>
      </x:c>
      <x:c r="T130" s="112" t="s">
        <x:v>43</x:v>
      </x:c>
      <x:c r="U130" s="112" t="s">
        <x:v>43</x:v>
      </x:c>
      <x:c r="V130" s="104" t="s">
        <x:v>43</x:v>
      </x:c>
      <x:c r="W130" s="165" t="n">
        <x:v>0.002777777777777778</x:v>
      </x:c>
      <x:c r="X130" s="165" t="n">
        <x:v>0.0022569444444444442</x:v>
      </x:c>
      <x:c r="Y130" s="165" t="n">
        <x:v>0.001736111111111111</x:v>
      </x:c>
      <x:c r="Z130" s="112"/>
      <x:c r="AA130" s="112"/>
      <x:c r="AB130" s="112"/>
      <x:c r="AC130" s="112"/>
      <x:c r="AD130" s="92"/>
    </x:row>
    <x:row r="131" ht="65.0999984741211" customHeight="1">
      <x:c r="A131" s="98" t="s">
        <x:v>756</x:v>
      </x:c>
      <x:c r="B131" s="104">
        <x:v>127</x:v>
      </x:c>
      <x:c r="C131" s="104">
        <x:v>6</x:v>
      </x:c>
      <x:c r="D131" s="104">
        <x:v>8</x:v>
      </x:c>
      <x:c r="E131" s="98" t="s">
        <x:v>842</x:v>
      </x:c>
      <x:c r="F131" s="98" t="s">
        <x:v>843</x:v>
      </x:c>
      <x:c r="G131" s="98" t="s">
        <x:v>844</x:v>
      </x:c>
      <x:c r="H131" s="98" t="s">
        <x:v>845</x:v>
      </x:c>
      <x:c r="I131" s="104">
        <x:v>5</x:v>
      </x:c>
      <x:c r="J131" s="98" t="s">
        <x:v>846</x:v>
      </x:c>
      <x:c r="K131" s="104" t="s">
        <x:v>847</x:v>
      </x:c>
      <x:c r="L131" s="104" t="s">
        <x:v>117</x:v>
      </x:c>
      <x:c r="M131" s="98" t="s">
        <x:v>848</x:v>
      </x:c>
      <x:c r="N131" s="110" t="n">
        <x:f t="shared" si="16">N130+(IFERROR(VALUE(LEFT(L131,FIND("분",L131)-1))*60,0)+IFERROR(VALUE(TRIM(MID(L131,IFERROR(FIND("분",L131),0)+1,IFERROR(FIND("초",L131),LEN(L131)+1)-IFERROR(FIND("분",L131),0)-1))),0))/86400</x:f>
        <x:v>0.15023148148148147</x:v>
      </x:c>
      <x:c r="O131" s="98" t="s">
        <x:v>831</x:v>
      </x:c>
      <x:c r="P131" s="112">
        <x:f t="shared" si="15"/>
        <x:v>647</x:v>
      </x:c>
      <x:c r="Q131" s="112">
        <x:v>8</x:v>
      </x:c>
      <x:c r="R131" s="116">
        <x:f t="shared" si="13"/>
        <x:v>4220.3500000000004</x:v>
      </x:c>
      <x:c r="S131" s="104" t="s">
        <x:v>42</x:v>
      </x:c>
      <x:c r="T131" s="112" t="s">
        <x:v>43</x:v>
      </x:c>
      <x:c r="U131" s="112" t="s">
        <x:v>43</x:v>
      </x:c>
      <x:c r="V131" s="104" t="s">
        <x:v>43</x:v>
      </x:c>
      <x:c r="W131" s="165" t="n">
        <x:v>0.0022569444444444442</x:v>
      </x:c>
      <x:c r="X131" s="165" t="n">
        <x:v>0.001851851851851852</x:v>
      </x:c>
      <x:c r="Y131" s="165" t="n">
        <x:v>0.001388888888888889</x:v>
      </x:c>
      <x:c r="Z131" s="112"/>
      <x:c r="AA131" s="112"/>
      <x:c r="AB131" s="112"/>
      <x:c r="AC131" s="112"/>
      <x:c r="AD131" s="92"/>
    </x:row>
    <x:row r="132" ht="65.0999984741211" customHeight="1">
      <x:c r="A132" s="98" t="s">
        <x:v>756</x:v>
      </x:c>
      <x:c r="B132" s="104">
        <x:v>128</x:v>
      </x:c>
      <x:c r="C132" s="104">
        <x:v>3</x:v>
      </x:c>
      <x:c r="D132" s="104">
        <x:v>10</x:v>
      </x:c>
      <x:c r="E132" s="98" t="s">
        <x:v>849</x:v>
      </x:c>
      <x:c r="F132" s="98" t="s">
        <x:v>850</x:v>
      </x:c>
      <x:c r="G132" s="98" t="s">
        <x:v>851</x:v>
      </x:c>
      <x:c r="H132" s="98" t="s">
        <x:v>852</x:v>
      </x:c>
      <x:c r="I132" s="104">
        <x:v>2</x:v>
      </x:c>
      <x:c r="J132" s="98" t="s">
        <x:v>853</x:v>
      </x:c>
      <x:c r="K132" s="104" t="s">
        <x:v>38</x:v>
      </x:c>
      <x:c r="L132" s="104" t="s">
        <x:v>136</x:v>
      </x:c>
      <x:c r="M132" s="98" t="s">
        <x:v>854</x:v>
      </x:c>
      <x:c r="N132" s="110" t="n">
        <x:f t="shared" si="16">N131+(IFERROR(VALUE(LEFT(L132,FIND("분",L132)-1))*60,0)+IFERROR(VALUE(TRIM(MID(L132,IFERROR(FIND("분",L132),0)+1,IFERROR(FIND("초",L132),LEN(L132)+1)-IFERROR(FIND("분",L132),0)-1))),0))/86400</x:f>
        <x:v>0.15104166666666666</x:v>
      </x:c>
      <x:c r="O132" s="98" t="s">
        <x:v>831</x:v>
      </x:c>
      <x:c r="P132" s="112">
        <x:f t="shared" si="15"/>
        <x:v>654</x:v>
      </x:c>
      <x:c r="Q132" s="112">
        <x:v>7</x:v>
      </x:c>
      <x:c r="R132" s="116">
        <x:f t="shared" si="13"/>
        <x:v>4311.1000000000004</x:v>
      </x:c>
      <x:c r="S132" s="104" t="s">
        <x:v>42</x:v>
      </x:c>
      <x:c r="T132" s="112" t="s">
        <x:v>43</x:v>
      </x:c>
      <x:c r="U132" s="112" t="s">
        <x:v>43</x:v>
      </x:c>
      <x:c r="V132" s="104" t="s">
        <x:v>43</x:v>
      </x:c>
      <x:c r="W132" s="165" t="n">
        <x:v>0.001099537037037037</x:v>
      </x:c>
      <x:c r="X132" s="165" t="n">
        <x:v>0.0009837962962962962</x:v>
      </x:c>
      <x:c r="Y132" s="165" t="n">
        <x:v>0.0008101851851851852</x:v>
      </x:c>
      <x:c r="Z132" s="112"/>
      <x:c r="AA132" s="112"/>
      <x:c r="AB132" s="112"/>
      <x:c r="AC132" s="112"/>
      <x:c r="AD132" s="92"/>
    </x:row>
    <x:row r="133" ht="65.0999984741211" customHeight="1">
      <x:c r="A133" s="98" t="s">
        <x:v>756</x:v>
      </x:c>
      <x:c r="B133" s="104">
        <x:v>129</x:v>
      </x:c>
      <x:c r="C133" s="104">
        <x:v>6</x:v>
      </x:c>
      <x:c r="D133" s="104">
        <x:v>9</x:v>
      </x:c>
      <x:c r="E133" s="98" t="s">
        <x:v>855</x:v>
      </x:c>
      <x:c r="F133" s="98" t="s">
        <x:v>856</x:v>
      </x:c>
      <x:c r="G133" s="98" t="s">
        <x:v>857</x:v>
      </x:c>
      <x:c r="H133" s="98" t="s">
        <x:v>858</x:v>
      </x:c>
      <x:c r="I133" s="104">
        <x:v>1</x:v>
      </x:c>
      <x:c r="J133" s="98" t="s">
        <x:v>859</x:v>
      </x:c>
      <x:c r="K133" s="104" t="s">
        <x:v>860</x:v>
      </x:c>
      <x:c r="L133" s="104" t="s">
        <x:v>94</x:v>
      </x:c>
      <x:c r="M133" s="98" t="s">
        <x:v>578</x:v>
      </x:c>
      <x:c r="N133" s="110" t="n">
        <x:f t="shared" si="16">N132+(IFERROR(VALUE(LEFT(L133,FIND("분",L133)-1))*60,0)+IFERROR(VALUE(TRIM(MID(L133,IFERROR(FIND("분",L133),0)+1,IFERROR(FIND("초",L133),LEN(L133)+1)-IFERROR(FIND("분",L133),0)-1))),0))/86400</x:f>
        <x:v>0.15144675925925924</x:v>
      </x:c>
      <x:c r="O133" s="98" t="s">
        <x:v>831</x:v>
      </x:c>
      <x:c r="P133" s="112">
        <x:f t="shared" si="15"/>
        <x:v>662</x:v>
      </x:c>
      <x:c r="Q133" s="112">
        <x:v>8</x:v>
      </x:c>
      <x:c r="R133" s="116" t="n">
        <x:f t="shared" ref="R133:R164" si="17">ROUND($Q$3*P133*P133+$R$3*P133,2)</x:f>
        <x:v>4416</x:v>
      </x:c>
      <x:c r="S133" s="104" t="s">
        <x:v>486</x:v>
      </x:c>
      <x:c r="T133" s="112">
        <x:v>6</x:v>
      </x:c>
      <x:c r="U133" s="112">
        <x:v>35</x:v>
      </x:c>
      <x:c r="V133" s="104" t="s">
        <x:v>861</x:v>
      </x:c>
      <x:c r="W133" s="165" t="n">
        <x:v>0.0006944444444444445</x:v>
      </x:c>
      <x:c r="X133" s="165" t="n">
        <x:v>0.0005787037037037037</x:v>
      </x:c>
      <x:c r="Y133" s="165" t="n">
        <x:v>0.0004050925925925926</x:v>
      </x:c>
      <x:c r="Z133" s="112"/>
      <x:c r="AA133" s="112"/>
      <x:c r="AB133" s="112"/>
      <x:c r="AC133" s="112"/>
      <x:c r="AD133" s="92"/>
    </x:row>
    <x:row r="134" ht="65.0999984741211" customHeight="1">
      <x:c r="A134" s="98" t="s">
        <x:v>756</x:v>
      </x:c>
      <x:c r="B134" s="104">
        <x:v>130</x:v>
      </x:c>
      <x:c r="C134" s="104">
        <x:v>6</x:v>
      </x:c>
      <x:c r="D134" s="104">
        <x:v>7</x:v>
      </x:c>
      <x:c r="E134" s="98" t="s">
        <x:v>862</x:v>
      </x:c>
      <x:c r="F134" s="98" t="s">
        <x:v>823</x:v>
      </x:c>
      <x:c r="G134" s="98" t="s">
        <x:v>863</x:v>
      </x:c>
      <x:c r="H134" s="98" t="s">
        <x:v>864</x:v>
      </x:c>
      <x:c r="I134" s="104">
        <x:v>5</x:v>
      </x:c>
      <x:c r="J134" s="98" t="s">
        <x:v>826</x:v>
      </x:c>
      <x:c r="K134" s="104" t="s">
        <x:v>827</x:v>
      </x:c>
      <x:c r="L134" s="104" t="s">
        <x:v>623</x:v>
      </x:c>
      <x:c r="M134" s="98" t="s">
        <x:v>828</x:v>
      </x:c>
      <x:c r="N134" s="110" t="n">
        <x:f t="shared" si="16">N133+(IFERROR(VALUE(LEFT(L134,FIND("분",L134)-1))*60,0)+IFERROR(VALUE(TRIM(MID(L134,IFERROR(FIND("분",L134),0)+1,IFERROR(FIND("초",L134),LEN(L134)+1)-IFERROR(FIND("분",L134),0)-1))),0))/86400</x:f>
        <x:v>0.154224537037037</x:v>
      </x:c>
      <x:c r="O134" s="98" t="s">
        <x:v>831</x:v>
      </x:c>
      <x:c r="P134" s="112" t="n">
        <x:f t="shared" ref="P134:P165" si="18">P133+Q134</x:f>
        <x:v>669</x:v>
      </x:c>
      <x:c r="Q134" s="112">
        <x:v>7</x:v>
      </x:c>
      <x:c r="R134" s="116">
        <x:f t="shared" si="17"/>
        <x:v>4508.83</x:v>
      </x:c>
      <x:c r="S134" s="104" t="s">
        <x:v>42</x:v>
      </x:c>
      <x:c r="T134" s="112" t="s">
        <x:v>43</x:v>
      </x:c>
      <x:c r="U134" s="112" t="s">
        <x:v>43</x:v>
      </x:c>
      <x:c r="V134" s="104" t="s">
        <x:v>43</x:v>
      </x:c>
      <x:c r="W134" s="165" t="n">
        <x:v>0.004456018518518519</x:v>
      </x:c>
      <x:c r="X134" s="165" t="n">
        <x:v>0.0036458333333333334</x:v>
      </x:c>
      <x:c r="Y134" s="165" t="n">
        <x:v>0.002777777777777778</x:v>
      </x:c>
      <x:c r="Z134" s="112"/>
      <x:c r="AA134" s="112"/>
      <x:c r="AB134" s="112"/>
      <x:c r="AC134" s="112"/>
      <x:c r="AD134" s="92"/>
    </x:row>
    <x:row r="135" ht="65.0999984741211" customHeight="1">
      <x:c r="A135" s="98" t="s">
        <x:v>756</x:v>
      </x:c>
      <x:c r="B135" s="104">
        <x:v>131</x:v>
      </x:c>
      <x:c r="C135" s="104">
        <x:v>4</x:v>
      </x:c>
      <x:c r="D135" s="104">
        <x:v>7</x:v>
      </x:c>
      <x:c r="E135" s="98" t="s">
        <x:v>865</x:v>
      </x:c>
      <x:c r="F135" s="98" t="s">
        <x:v>866</x:v>
      </x:c>
      <x:c r="G135" s="98" t="s">
        <x:v>867</x:v>
      </x:c>
      <x:c r="H135" s="98" t="s">
        <x:v>868</x:v>
      </x:c>
      <x:c r="I135" s="104">
        <x:v>5</x:v>
      </x:c>
      <x:c r="J135" s="98" t="s">
        <x:v>869</x:v>
      </x:c>
      <x:c r="K135" s="104" t="s">
        <x:v>870</x:v>
      </x:c>
      <x:c r="L135" s="104" t="s">
        <x:v>805</x:v>
      </x:c>
      <x:c r="M135" s="98" t="s">
        <x:v>871</x:v>
      </x:c>
      <x:c r="N135" s="110" t="n">
        <x:f t="shared" si="16">N134+(IFERROR(VALUE(LEFT(L135,FIND("분",L135)-1))*60,0)+IFERROR(VALUE(TRIM(MID(L135,IFERROR(FIND("분",L135),0)+1,IFERROR(FIND("초",L135),LEN(L135)+1)-IFERROR(FIND("분",L135),0)-1))),0))/86400</x:f>
        <x:v>0.15665509259259255</x:v>
      </x:c>
      <x:c r="O135" s="98" t="s">
        <x:v>831</x:v>
      </x:c>
      <x:c r="P135" s="112">
        <x:f t="shared" si="18"/>
        <x:v>675</x:v>
      </x:c>
      <x:c r="Q135" s="112">
        <x:v>6</x:v>
      </x:c>
      <x:c r="R135" s="116">
        <x:f t="shared" si="17"/>
        <x:v>4589.16</x:v>
      </x:c>
      <x:c r="S135" s="104" t="s">
        <x:v>42</x:v>
      </x:c>
      <x:c r="T135" s="112" t="s">
        <x:v>43</x:v>
      </x:c>
      <x:c r="U135" s="112" t="s">
        <x:v>43</x:v>
      </x:c>
      <x:c r="V135" s="104" t="s">
        <x:v>43</x:v>
      </x:c>
      <x:c r="W135" s="165" t="n">
        <x:v>0.003298611111111111</x:v>
      </x:c>
      <x:c r="X135" s="165" t="n">
        <x:v>0.0028356481481481483</x:v>
      </x:c>
      <x:c r="Y135" s="165" t="n">
        <x:v>0.0024305555555555556</x:v>
      </x:c>
      <x:c r="Z135" s="112"/>
      <x:c r="AA135" s="112"/>
      <x:c r="AB135" s="112"/>
      <x:c r="AC135" s="112"/>
      <x:c r="AD135" s="92"/>
    </x:row>
    <x:row r="136" ht="65.0999984741211" customHeight="1">
      <x:c r="A136" s="98" t="s">
        <x:v>756</x:v>
      </x:c>
      <x:c r="B136" s="104">
        <x:v>132</x:v>
      </x:c>
      <x:c r="C136" s="104">
        <x:v>4</x:v>
      </x:c>
      <x:c r="D136" s="104">
        <x:v>7</x:v>
      </x:c>
      <x:c r="E136" s="98" t="s">
        <x:v>872</x:v>
      </x:c>
      <x:c r="F136" s="98" t="s">
        <x:v>365</x:v>
      </x:c>
      <x:c r="G136" s="98" t="s">
        <x:v>873</x:v>
      </x:c>
      <x:c r="H136" s="98" t="s">
        <x:v>874</x:v>
      </x:c>
      <x:c r="I136" s="104">
        <x:v>1</x:v>
      </x:c>
      <x:c r="J136" s="98" t="s">
        <x:v>368</x:v>
      </x:c>
      <x:c r="K136" s="104" t="s">
        <x:v>369</x:v>
      </x:c>
      <x:c r="L136" s="104" t="s">
        <x:v>105</x:v>
      </x:c>
      <x:c r="M136" s="98" t="s">
        <x:v>370</x:v>
      </x:c>
      <x:c r="N136" s="110" t="n">
        <x:f t="shared" si="16">N135+(IFERROR(VALUE(LEFT(L136,FIND("분",L136)-1))*60,0)+IFERROR(VALUE(TRIM(MID(L136,IFERROR(FIND("분",L136),0)+1,IFERROR(FIND("초",L136),LEN(L136)+1)-IFERROR(FIND("분",L136),0)-1))),0))/86400</x:f>
        <x:v>0.1579282407407407</x:v>
      </x:c>
      <x:c r="O136" s="98" t="s">
        <x:v>875</x:v>
      </x:c>
      <x:c r="P136" s="112">
        <x:f t="shared" si="18"/>
        <x:v>681</x:v>
      </x:c>
      <x:c r="Q136" s="112">
        <x:v>6</x:v>
      </x:c>
      <x:c r="R136" s="116">
        <x:f t="shared" si="17"/>
        <x:v>4670.2</x:v>
      </x:c>
      <x:c r="S136" s="104" t="s">
        <x:v>42</x:v>
      </x:c>
      <x:c r="T136" s="112" t="s">
        <x:v>43</x:v>
      </x:c>
      <x:c r="U136" s="112" t="s">
        <x:v>43</x:v>
      </x:c>
      <x:c r="V136" s="104" t="s">
        <x:v>43</x:v>
      </x:c>
      <x:c r="W136" s="165" t="n">
        <x:v>0.001736111111111111</x:v>
      </x:c>
      <x:c r="X136" s="165" t="n">
        <x:v>0.0015046296296296296</x:v>
      </x:c>
      <x:c r="Y136" s="165" t="n">
        <x:v>0.0012731481481481483</x:v>
      </x:c>
      <x:c r="Z136" s="112"/>
      <x:c r="AA136" s="112"/>
      <x:c r="AB136" s="112"/>
      <x:c r="AC136" s="112"/>
      <x:c r="AD136" s="92"/>
    </x:row>
    <x:row r="137" ht="65.0999984741211" customHeight="1">
      <x:c r="A137" s="98" t="s">
        <x:v>756</x:v>
      </x:c>
      <x:c r="B137" s="104">
        <x:v>133</x:v>
      </x:c>
      <x:c r="C137" s="104">
        <x:v>5</x:v>
      </x:c>
      <x:c r="D137" s="104">
        <x:v>7</x:v>
      </x:c>
      <x:c r="E137" s="98" t="s">
        <x:v>876</x:v>
      </x:c>
      <x:c r="F137" s="98" t="s">
        <x:v>877</x:v>
      </x:c>
      <x:c r="G137" s="98" t="s">
        <x:v>878</x:v>
      </x:c>
      <x:c r="H137" s="98" t="s">
        <x:v>879</x:v>
      </x:c>
      <x:c r="I137" s="104">
        <x:v>4</x:v>
      </x:c>
      <x:c r="J137" s="98" t="s">
        <x:v>880</x:v>
      </x:c>
      <x:c r="K137" s="104" t="s">
        <x:v>881</x:v>
      </x:c>
      <x:c r="L137" s="104" t="s">
        <x:v>471</x:v>
      </x:c>
      <x:c r="M137" s="98" t="s">
        <x:v>882</x:v>
      </x:c>
      <x:c r="N137" s="110" t="n">
        <x:f t="shared" si="16">N136+(IFERROR(VALUE(LEFT(L137,FIND("분",L137)-1))*60,0)+IFERROR(VALUE(TRIM(MID(L137,IFERROR(FIND("분",L137),0)+1,IFERROR(FIND("초",L137),LEN(L137)+1)-IFERROR(FIND("분",L137),0)-1))),0))/86400</x:f>
        <x:v>0.16012731481481476</x:v>
      </x:c>
      <x:c r="O137" s="98" t="s">
        <x:v>875</x:v>
      </x:c>
      <x:c r="P137" s="112">
        <x:f t="shared" si="18"/>
        <x:v>688</x:v>
      </x:c>
      <x:c r="Q137" s="112">
        <x:v>7</x:v>
      </x:c>
      <x:c r="R137" s="116">
        <x:f t="shared" si="17"/>
        <x:v>4765.6400000000003</x:v>
      </x:c>
      <x:c r="S137" s="104" t="s">
        <x:v>42</x:v>
      </x:c>
      <x:c r="T137" s="112" t="s">
        <x:v>43</x:v>
      </x:c>
      <x:c r="U137" s="112" t="s">
        <x:v>43</x:v>
      </x:c>
      <x:c r="V137" s="104" t="s">
        <x:v>43</x:v>
      </x:c>
      <x:c r="W137" s="165" t="n">
        <x:v>0.0035300925925925925</x:v>
      </x:c>
      <x:c r="X137" s="165" t="n">
        <x:v>0.0028935185185185184</x:v>
      </x:c>
      <x:c r="Y137" s="165" t="n">
        <x:v>0.002199074074074074</x:v>
      </x:c>
      <x:c r="Z137" s="112"/>
      <x:c r="AA137" s="112"/>
      <x:c r="AB137" s="112"/>
      <x:c r="AC137" s="112"/>
      <x:c r="AD137" s="92"/>
    </x:row>
    <x:row r="138" ht="65.0999984741211" customHeight="1">
      <x:c r="A138" s="98" t="s">
        <x:v>756</x:v>
      </x:c>
      <x:c r="B138" s="104">
        <x:v>134</x:v>
      </x:c>
      <x:c r="C138" s="104">
        <x:v>4</x:v>
      </x:c>
      <x:c r="D138" s="104">
        <x:v>7</x:v>
      </x:c>
      <x:c r="E138" s="98" t="s">
        <x:v>883</x:v>
      </x:c>
      <x:c r="F138" s="98" t="s">
        <x:v>85</x:v>
      </x:c>
      <x:c r="G138" s="98" t="s">
        <x:v>884</x:v>
      </x:c>
      <x:c r="H138" s="98" t="s">
        <x:v>885</x:v>
      </x:c>
      <x:c r="I138" s="104">
        <x:v>6</x:v>
      </x:c>
      <x:c r="J138" s="98" t="s">
        <x:v>886</x:v>
      </x:c>
      <x:c r="K138" s="104" t="s">
        <x:v>38</x:v>
      </x:c>
      <x:c r="L138" s="104" t="s">
        <x:v>805</x:v>
      </x:c>
      <x:c r="M138" s="98" t="s">
        <x:v>89</x:v>
      </x:c>
      <x:c r="N138" s="110" t="n">
        <x:f t="shared" si="16">N137+(IFERROR(VALUE(LEFT(L138,FIND("분",L138)-1))*60,0)+IFERROR(VALUE(TRIM(MID(L138,IFERROR(FIND("분",L138),0)+1,IFERROR(FIND("초",L138),LEN(L138)+1)-IFERROR(FIND("분",L138),0)-1))),0))/86400</x:f>
        <x:v>0.1625578703703703</x:v>
      </x:c>
      <x:c r="O138" s="98" t="s">
        <x:v>875</x:v>
      </x:c>
      <x:c r="P138" s="112">
        <x:f t="shared" si="18"/>
        <x:v>694</x:v>
      </x:c>
      <x:c r="Q138" s="112">
        <x:v>6</x:v>
      </x:c>
      <x:c r="R138" s="116">
        <x:f t="shared" si="17"/>
        <x:v>4848.21</x:v>
      </x:c>
      <x:c r="S138" s="104" t="s">
        <x:v>42</x:v>
      </x:c>
      <x:c r="T138" s="112" t="s">
        <x:v>43</x:v>
      </x:c>
      <x:c r="U138" s="112" t="s">
        <x:v>43</x:v>
      </x:c>
      <x:c r="V138" s="104" t="s">
        <x:v>43</x:v>
      </x:c>
      <x:c r="W138" s="165" t="n">
        <x:v>0.003298611111111111</x:v>
      </x:c>
      <x:c r="X138" s="165" t="n">
        <x:v>0.0028356481481481483</x:v>
      </x:c>
      <x:c r="Y138" s="165" t="n">
        <x:v>0.0024305555555555556</x:v>
      </x:c>
      <x:c r="Z138" s="112"/>
      <x:c r="AA138" s="112"/>
      <x:c r="AB138" s="112"/>
      <x:c r="AC138" s="112"/>
      <x:c r="AD138" s="92"/>
    </x:row>
    <x:row r="139" ht="65.0999984741211" customHeight="1">
      <x:c r="A139" s="98" t="s">
        <x:v>756</x:v>
      </x:c>
      <x:c r="B139" s="104">
        <x:v>135</x:v>
      </x:c>
      <x:c r="C139" s="104">
        <x:v>2</x:v>
      </x:c>
      <x:c r="D139" s="104">
        <x:v>8</x:v>
      </x:c>
      <x:c r="E139" s="98" t="s">
        <x:v>887</x:v>
      </x:c>
      <x:c r="F139" s="98" t="s">
        <x:v>786</x:v>
      </x:c>
      <x:c r="G139" s="98" t="s">
        <x:v>888</x:v>
      </x:c>
      <x:c r="H139" s="98" t="s">
        <x:v>889</x:v>
      </x:c>
      <x:c r="I139" s="104">
        <x:v>2</x:v>
      </x:c>
      <x:c r="J139" s="98" t="s">
        <x:v>789</x:v>
      </x:c>
      <x:c r="K139" s="104" t="s">
        <x:v>790</x:v>
      </x:c>
      <x:c r="L139" s="104" t="s">
        <x:v>121</x:v>
      </x:c>
      <x:c r="M139" s="98" t="s">
        <x:v>791</x:v>
      </x:c>
      <x:c r="N139" s="110" t="n">
        <x:f t="shared" si="16">N138+(IFERROR(VALUE(LEFT(L139,FIND("분",L139)-1))*60,0)+IFERROR(VALUE(TRIM(MID(L139,IFERROR(FIND("분",L139),0)+1,IFERROR(FIND("초",L139),LEN(L139)+1)-IFERROR(FIND("분",L139),0)-1))),0))/86400</x:f>
        <x:v>0.16348379629629622</x:v>
      </x:c>
      <x:c r="O139" s="98" t="s">
        <x:v>875</x:v>
      </x:c>
      <x:c r="P139" s="112">
        <x:f t="shared" si="18"/>
        <x:v>699</x:v>
      </x:c>
      <x:c r="Q139" s="112">
        <x:v>5</x:v>
      </x:c>
      <x:c r="R139" s="116">
        <x:f t="shared" si="17"/>
        <x:v>4917.57</x:v>
      </x:c>
      <x:c r="S139" s="104" t="s">
        <x:v>42</x:v>
      </x:c>
      <x:c r="T139" s="112" t="s">
        <x:v>43</x:v>
      </x:c>
      <x:c r="U139" s="112" t="s">
        <x:v>43</x:v>
      </x:c>
      <x:c r="V139" s="104" t="s">
        <x:v>43</x:v>
      </x:c>
      <x:c r="W139" s="165" t="n">
        <x:v>0.001099537037037037</x:v>
      </x:c>
      <x:c r="X139" s="165" t="n">
        <x:v>0.0009837962962962962</x:v>
      </x:c>
      <x:c r="Y139" s="165" t="n">
        <x:v>0.000925925925925926</x:v>
      </x:c>
      <x:c r="Z139" s="112"/>
      <x:c r="AA139" s="112"/>
      <x:c r="AB139" s="112"/>
      <x:c r="AC139" s="112"/>
      <x:c r="AD139" s="92"/>
    </x:row>
    <x:row r="140" ht="65.0999984741211" customHeight="1">
      <x:c r="A140" s="98" t="s">
        <x:v>756</x:v>
      </x:c>
      <x:c r="B140" s="104">
        <x:v>136</x:v>
      </x:c>
      <x:c r="C140" s="104">
        <x:v>4</x:v>
      </x:c>
      <x:c r="D140" s="104">
        <x:v>10</x:v>
      </x:c>
      <x:c r="E140" s="98" t="s">
        <x:v>890</x:v>
      </x:c>
      <x:c r="F140" s="98" t="s">
        <x:v>891</x:v>
      </x:c>
      <x:c r="G140" s="98" t="s">
        <x:v>892</x:v>
      </x:c>
      <x:c r="H140" s="98" t="s">
        <x:v>893</x:v>
      </x:c>
      <x:c r="I140" s="104">
        <x:v>5</x:v>
      </x:c>
      <x:c r="J140" s="98" t="s">
        <x:v>894</x:v>
      </x:c>
      <x:c r="K140" s="104" t="s">
        <x:v>895</x:v>
      </x:c>
      <x:c r="L140" s="104" t="s">
        <x:v>56</x:v>
      </x:c>
      <x:c r="M140" s="98" t="s">
        <x:v>896</x:v>
      </x:c>
      <x:c r="N140" s="110" t="n">
        <x:f t="shared" si="16">N139+(IFERROR(VALUE(LEFT(L140,FIND("분",L140)-1))*60,0)+IFERROR(VALUE(TRIM(MID(L140,IFERROR(FIND("분",L140),0)+1,IFERROR(FIND("초",L140),LEN(L140)+1)-IFERROR(FIND("분",L140),0)-1))),0))/86400</x:f>
        <x:v>0.16417824074074067</x:v>
      </x:c>
      <x:c r="O140" s="98" t="s">
        <x:v>897</x:v>
      </x:c>
      <x:c r="P140" s="112">
        <x:f t="shared" si="18"/>
        <x:v>706</x:v>
      </x:c>
      <x:c r="Q140" s="112">
        <x:v>7</x:v>
      </x:c>
      <x:c r="R140" s="116">
        <x:f t="shared" si="17"/>
        <x:v>5015.49</x:v>
      </x:c>
      <x:c r="S140" s="104" t="s">
        <x:v>42</x:v>
      </x:c>
      <x:c r="T140" s="112" t="s">
        <x:v>43</x:v>
      </x:c>
      <x:c r="U140" s="112" t="s">
        <x:v>43</x:v>
      </x:c>
      <x:c r="V140" s="104" t="s">
        <x:v>43</x:v>
      </x:c>
      <x:c r="W140" s="165" t="n">
        <x:v>0.0009837962962962962</x:v>
      </x:c>
      <x:c r="X140" s="165" t="n">
        <x:v>0.0008101851851851852</x:v>
      </x:c>
      <x:c r="Y140" s="165" t="n">
        <x:v>0.0006944444444444445</x:v>
      </x:c>
      <x:c r="Z140" s="112">
        <x:f t="shared" si="11"/>
      </x:c>
      <x:c r="AA140" s="112"/>
      <x:c r="AB140" s="112">
        <x:f t="shared" si="12"/>
      </x:c>
      <x:c r="AC140" s="112"/>
      <x:c r="AD140" s="92"/>
    </x:row>
    <x:row r="141" ht="65.0999984741211" customHeight="1">
      <x:c r="A141" s="98" t="s">
        <x:v>756</x:v>
      </x:c>
      <x:c r="B141" s="104">
        <x:v>137</x:v>
      </x:c>
      <x:c r="C141" s="104">
        <x:v>5</x:v>
      </x:c>
      <x:c r="D141" s="104">
        <x:v>9</x:v>
      </x:c>
      <x:c r="E141" s="98" t="s">
        <x:v>898</x:v>
      </x:c>
      <x:c r="F141" s="98" t="s">
        <x:v>899</x:v>
      </x:c>
      <x:c r="G141" s="98" t="s">
        <x:v>900</x:v>
      </x:c>
      <x:c r="H141" s="98" t="s">
        <x:v>901</x:v>
      </x:c>
      <x:c r="I141" s="104">
        <x:v>3</x:v>
      </x:c>
      <x:c r="J141" s="98" t="s">
        <x:v>902</x:v>
      </x:c>
      <x:c r="K141" s="104" t="s">
        <x:v>903</x:v>
      </x:c>
      <x:c r="L141" s="104" t="s">
        <x:v>159</x:v>
      </x:c>
      <x:c r="M141" s="98" t="s">
        <x:v>904</x:v>
      </x:c>
      <x:c r="N141" s="110" t="n">
        <x:f t="shared" si="16">N140+(IFERROR(VALUE(LEFT(L141,FIND("분",L141)-1))*60,0)+IFERROR(VALUE(TRIM(MID(L141,IFERROR(FIND("분",L141),0)+1,IFERROR(FIND("초",L141),LEN(L141)+1)-IFERROR(FIND("분",L141),0)-1))),0))/86400</x:f>
        <x:v>0.16533564814814808</x:v>
      </x:c>
      <x:c r="O141" s="98" t="s">
        <x:v>897</x:v>
      </x:c>
      <x:c r="P141" s="112">
        <x:f t="shared" si="18"/>
        <x:v>713</x:v>
      </x:c>
      <x:c r="Q141" s="112">
        <x:v>7</x:v>
      </x:c>
      <x:c r="R141" s="116">
        <x:f t="shared" si="17"/>
        <x:v>5114.38</x:v>
      </x:c>
      <x:c r="S141" s="104" t="s">
        <x:v>42</x:v>
      </x:c>
      <x:c r="T141" s="112" t="s">
        <x:v>43</x:v>
      </x:c>
      <x:c r="U141" s="112" t="s">
        <x:v>43</x:v>
      </x:c>
      <x:c r="V141" s="104" t="s">
        <x:v>43</x:v>
      </x:c>
      <x:c r="W141" s="165" t="n">
        <x:v>0.001851851851851852</x:v>
      </x:c>
      <x:c r="X141" s="165" t="n">
        <x:v>0.0015046296296296296</x:v>
      </x:c>
      <x:c r="Y141" s="165" t="n">
        <x:v>0.0011574074074074073</x:v>
      </x:c>
      <x:c r="Z141" s="112"/>
      <x:c r="AA141" s="112"/>
      <x:c r="AB141" s="112"/>
      <x:c r="AC141" s="112"/>
      <x:c r="AD141" s="92"/>
    </x:row>
    <x:row r="142" ht="65.0999984741211" customHeight="1">
      <x:c r="A142" s="98" t="s">
        <x:v>756</x:v>
      </x:c>
      <x:c r="B142" s="104">
        <x:v>138</x:v>
      </x:c>
      <x:c r="C142" s="104">
        <x:v>8</x:v>
      </x:c>
      <x:c r="D142" s="104">
        <x:v>10</x:v>
      </x:c>
      <x:c r="E142" s="99" t="s">
        <x:v>905</x:v>
      </x:c>
      <x:c r="F142" s="98" t="s">
        <x:v>906</x:v>
      </x:c>
      <x:c r="G142" s="98" t="s">
        <x:v>907</x:v>
      </x:c>
      <x:c r="H142" s="98" t="s">
        <x:v>908</x:v>
      </x:c>
      <x:c r="I142" s="104">
        <x:v>3</x:v>
      </x:c>
      <x:c r="J142" s="98" t="s">
        <x:v>909</x:v>
      </x:c>
      <x:c r="K142" s="104" t="s">
        <x:v>910</x:v>
      </x:c>
      <x:c r="L142" s="104" t="str">
        <x:v>2분</x:v>
      </x:c>
      <x:c r="M142" s="98" t="s">
        <x:v>911</x:v>
      </x:c>
      <x:c r="N142" s="110" t="n">
        <x:f t="shared" si="16">N141+(IFERROR(VALUE(LEFT(L142,FIND("분",L142)-1))*60,0)+IFERROR(VALUE(TRIM(MID(L142,IFERROR(FIND("분",L142),0)+1,IFERROR(FIND("초",L142),LEN(L142)+1)-IFERROR(FIND("분",L142),0)-1))),0))/86400</x:f>
        <x:v>0.16672453703703696</x:v>
      </x:c>
      <x:c r="O142" s="99" t="s">
        <x:v>897</x:v>
      </x:c>
      <x:c r="P142" s="89">
        <x:f t="shared" si="18"/>
        <x:v>724</x:v>
      </x:c>
      <x:c r="Q142" s="89">
        <x:v>11</x:v>
      </x:c>
      <x:c r="R142" s="117">
        <x:f t="shared" si="17"/>
        <x:v>5271.73</x:v>
      </x:c>
      <x:c r="S142" s="120" t="str">
        <x:v>보스</x:v>
      </x:c>
      <x:c r="T142" s="89">
        <x:v>8</x:v>
      </x:c>
      <x:c r="U142" s="89" t="n">
        <x:v>120</x:v>
      </x:c>
      <x:c r="V142" s="120" t="s">
        <x:v>912</x:v>
      </x:c>
      <x:c r="W142" s="166" t="n">
        <x:v>0.013020833333333334</x:v>
      </x:c>
      <x:c r="X142" s="166" t="n">
        <x:v>0.00949074074074074</x:v>
      </x:c>
      <x:c r="Y142" s="166" t="n">
        <x:v>0.005902777777777778</x:v>
      </x:c>
      <x:c r="Z142" s="89" t="n">
        <x:f t="shared" si="11"/>
        <x:v>1200</x:v>
      </x:c>
      <x:c r="AA142" s="89" t="n">
        <x:v>1</x:v>
      </x:c>
      <x:c r="AB142" s="89" t="n">
        <x:f t="shared" si="12"/>
        <x:v>300</x:v>
      </x:c>
      <x:c r="AC142" s="89" t="n">
        <x:v>210</x:v>
      </x:c>
      <x:c r="AD142" s="92"/>
    </x:row>
    <x:row r="143" ht="65.0999984741211" customHeight="1">
      <x:c r="A143" s="98" t="s">
        <x:v>756</x:v>
      </x:c>
      <x:c r="B143" s="104">
        <x:v>139</x:v>
      </x:c>
      <x:c r="C143" s="104">
        <x:v>8</x:v>
      </x:c>
      <x:c r="D143" s="104">
        <x:v>10</x:v>
      </x:c>
      <x:c r="E143" s="98" t="s">
        <x:v>913</x:v>
      </x:c>
      <x:c r="F143" s="98" t="s">
        <x:v>914</x:v>
      </x:c>
      <x:c r="G143" s="98" t="s">
        <x:v>915</x:v>
      </x:c>
      <x:c r="H143" s="98" t="s">
        <x:v>916</x:v>
      </x:c>
      <x:c r="I143" s="104">
        <x:v>3</x:v>
      </x:c>
      <x:c r="J143" s="98" t="s">
        <x:v>917</x:v>
      </x:c>
      <x:c r="K143" s="104" t="s">
        <x:v>918</x:v>
      </x:c>
      <x:c r="L143" s="104" t="str">
        <x:v>1분 30초</x:v>
      </x:c>
      <x:c r="M143" s="98" t="s">
        <x:v>919</x:v>
      </x:c>
      <x:c r="N143" s="110" t="n">
        <x:f t="shared" si="16">N142+(IFERROR(VALUE(LEFT(L143,FIND("분",L143)-1))*60,0)+IFERROR(VALUE(TRIM(MID(L143,IFERROR(FIND("분",L143),0)+1,IFERROR(FIND("초",L143),LEN(L143)+1)-IFERROR(FIND("분",L143),0)-1))),0))/86400</x:f>
        <x:v>0.16776620370370363</x:v>
      </x:c>
      <x:c r="O143" s="98" t="s">
        <x:v>897</x:v>
      </x:c>
      <x:c r="P143" s="112">
        <x:f t="shared" si="18"/>
        <x:v>735</x:v>
      </x:c>
      <x:c r="Q143" s="112">
        <x:v>11</x:v>
      </x:c>
      <x:c r="R143" s="116">
        <x:f t="shared" si="17"/>
        <x:v>5431.47</x:v>
      </x:c>
      <x:c r="S143" s="104" t="str">
        <x:v>보스</x:v>
      </x:c>
      <x:c r="T143" s="112">
        <x:v>8</x:v>
      </x:c>
      <x:c r="U143" s="112" t="n">
        <x:v>90</x:v>
      </x:c>
      <x:c r="V143" s="104" t="s">
        <x:v>920</x:v>
      </x:c>
      <x:c r="W143" s="165"/>
      <x:c r="X143" s="165"/>
      <x:c r="Y143" s="165"/>
      <x:c r="Z143" s="112"/>
      <x:c r="AA143" s="112"/>
      <x:c r="AB143" s="112"/>
      <x:c r="AC143" s="112"/>
      <x:c r="AD143" s="92"/>
    </x:row>
    <x:row r="144" ht="65.0999984741211" customHeight="1">
      <x:c r="A144" s="98" t="s">
        <x:v>756</x:v>
      </x:c>
      <x:c r="B144" s="104">
        <x:v>140</x:v>
      </x:c>
      <x:c r="C144" s="104">
        <x:v>8</x:v>
      </x:c>
      <x:c r="D144" s="104">
        <x:v>10</x:v>
      </x:c>
      <x:c r="E144" s="98" t="s">
        <x:v>921</x:v>
      </x:c>
      <x:c r="F144" s="98" t="s">
        <x:v>922</x:v>
      </x:c>
      <x:c r="G144" s="98" t="s">
        <x:v>923</x:v>
      </x:c>
      <x:c r="H144" s="98" t="s">
        <x:v>924</x:v>
      </x:c>
      <x:c r="I144" s="104">
        <x:v>3</x:v>
      </x:c>
      <x:c r="J144" s="98" t="s">
        <x:v>925</x:v>
      </x:c>
      <x:c r="K144" s="104" t="s">
        <x:v>926</x:v>
      </x:c>
      <x:c r="L144" s="104" t="str">
        <x:v>1분</x:v>
      </x:c>
      <x:c r="M144" s="98" t="s">
        <x:v>927</x:v>
      </x:c>
      <x:c r="N144" s="110" t="n">
        <x:f t="shared" si="16">N143+(IFERROR(VALUE(LEFT(L144,FIND("분",L144)-1))*60,0)+IFERROR(VALUE(TRIM(MID(L144,IFERROR(FIND("분",L144),0)+1,IFERROR(FIND("초",L144),LEN(L144)+1)-IFERROR(FIND("분",L144),0)-1))),0))/86400</x:f>
        <x:v>0.16846064814814807</x:v>
      </x:c>
      <x:c r="O144" s="98" t="s">
        <x:v>897</x:v>
      </x:c>
      <x:c r="P144" s="112">
        <x:f t="shared" si="18"/>
        <x:v>746</x:v>
      </x:c>
      <x:c r="Q144" s="112">
        <x:v>11</x:v>
      </x:c>
      <x:c r="R144" s="116">
        <x:f t="shared" si="17"/>
        <x:v>5593.58</x:v>
      </x:c>
      <x:c r="S144" s="104" t="str">
        <x:v>보스</x:v>
      </x:c>
      <x:c r="T144" s="112">
        <x:v>8</x:v>
      </x:c>
      <x:c r="U144" s="112" t="n">
        <x:v>60</x:v>
      </x:c>
      <x:c r="V144" s="104" t="s">
        <x:v>928</x:v>
      </x:c>
      <x:c r="W144" s="165"/>
      <x:c r="X144" s="165"/>
      <x:c r="Y144" s="165"/>
      <x:c r="Z144" s="112"/>
      <x:c r="AA144" s="112"/>
      <x:c r="AB144" s="112"/>
      <x:c r="AC144" s="112"/>
      <x:c r="AD144" s="92"/>
    </x:row>
    <x:row r="145" ht="65.0999984741211" customHeight="1">
      <x:c r="A145" s="98" t="s">
        <x:v>756</x:v>
      </x:c>
      <x:c r="B145" s="104">
        <x:v>141</x:v>
      </x:c>
      <x:c r="C145" s="104">
        <x:v>9</x:v>
      </x:c>
      <x:c r="D145" s="104">
        <x:v>10</x:v>
      </x:c>
      <x:c r="E145" s="98" t="s">
        <x:v>929</x:v>
      </x:c>
      <x:c r="F145" s="98" t="s">
        <x:v>930</x:v>
      </x:c>
      <x:c r="G145" s="98" t="s">
        <x:v>931</x:v>
      </x:c>
      <x:c r="H145" s="98" t="s">
        <x:v>932</x:v>
      </x:c>
      <x:c r="I145" s="104">
        <x:v>6</x:v>
      </x:c>
      <x:c r="J145" s="98" t="s">
        <x:v>933</x:v>
      </x:c>
      <x:c r="K145" s="104" t="s">
        <x:v>934</x:v>
      </x:c>
      <x:c r="L145" s="104" t="str">
        <x:v>3분</x:v>
      </x:c>
      <x:c r="M145" s="98" t="s">
        <x:v>935</x:v>
      </x:c>
      <x:c r="N145" s="110" t="n">
        <x:f t="shared" si="16">N144+(IFERROR(VALUE(LEFT(L145,FIND("분",L145)-1))*60,0)+IFERROR(VALUE(TRIM(MID(L145,IFERROR(FIND("분",L145),0)+1,IFERROR(FIND("초",L145),LEN(L145)+1)-IFERROR(FIND("분",L145),0)-1))),0))/86400</x:f>
        <x:v>0.1705439814814814</x:v>
      </x:c>
      <x:c r="O145" s="98" t="s">
        <x:v>897</x:v>
      </x:c>
      <x:c r="P145" s="112">
        <x:f t="shared" si="18"/>
        <x:v>757</x:v>
      </x:c>
      <x:c r="Q145" s="112">
        <x:v>11</x:v>
      </x:c>
      <x:c r="R145" s="116">
        <x:f t="shared" si="17"/>
        <x:v>5758.08</x:v>
      </x:c>
      <x:c r="S145" s="104" t="str">
        <x:v>보스</x:v>
      </x:c>
      <x:c r="T145" s="112">
        <x:v>9</x:v>
      </x:c>
      <x:c r="U145" s="112" t="n">
        <x:v>180</x:v>
      </x:c>
      <x:c r="V145" s="104" t="s">
        <x:v>936</x:v>
      </x:c>
      <x:c r="W145" s="165"/>
      <x:c r="X145" s="165"/>
      <x:c r="Y145" s="165"/>
      <x:c r="Z145" s="112"/>
      <x:c r="AA145" s="112"/>
      <x:c r="AB145" s="112"/>
      <x:c r="AC145" s="112"/>
      <x:c r="AD145" s="92"/>
    </x:row>
    <x:row r="146" ht="65.0999984741211" customHeight="1">
      <x:c r="A146" s="98" t="s">
        <x:v>756</x:v>
      </x:c>
      <x:c r="B146" s="104">
        <x:v>142</x:v>
      </x:c>
      <x:c r="C146" s="104">
        <x:v>10</x:v>
      </x:c>
      <x:c r="D146" s="104">
        <x:v>10</x:v>
      </x:c>
      <x:c r="E146" s="98" t="s">
        <x:v>937</x:v>
      </x:c>
      <x:c r="F146" s="98" t="s">
        <x:v>938</x:v>
      </x:c>
      <x:c r="G146" s="98" t="s">
        <x:v>939</x:v>
      </x:c>
      <x:c r="H146" s="98" t="s">
        <x:v>940</x:v>
      </x:c>
      <x:c r="I146" s="104">
        <x:v>6</x:v>
      </x:c>
      <x:c r="J146" s="98" t="s">
        <x:v>941</x:v>
      </x:c>
      <x:c r="K146" s="104" t="s">
        <x:v>942</x:v>
      </x:c>
      <x:c r="L146" s="104" t="str">
        <x:v>1분</x:v>
      </x:c>
      <x:c r="M146" s="98" t="s">
        <x:v>943</x:v>
      </x:c>
      <x:c r="N146" s="110" t="n">
        <x:f t="shared" si="16">N145+(IFERROR(VALUE(LEFT(L146,FIND("분",L146)-1))*60,0)+IFERROR(VALUE(TRIM(MID(L146,IFERROR(FIND("분",L146),0)+1,IFERROR(FIND("초",L146),LEN(L146)+1)-IFERROR(FIND("분",L146),0)-1))),0))/86400</x:f>
        <x:v>0.17123842592592584</x:v>
      </x:c>
      <x:c r="O146" s="98" t="s">
        <x:v>897</x:v>
      </x:c>
      <x:c r="P146" s="112">
        <x:f t="shared" si="18"/>
        <x:v>769</x:v>
      </x:c>
      <x:c r="Q146" s="112">
        <x:v>12</x:v>
      </x:c>
      <x:c r="R146" s="116">
        <x:f t="shared" si="17"/>
        <x:v>5940.26</x:v>
      </x:c>
      <x:c r="S146" s="104" t="str">
        <x:v>보스</x:v>
      </x:c>
      <x:c r="T146" s="112">
        <x:v>9</x:v>
      </x:c>
      <x:c r="U146" s="112" t="n">
        <x:v>60</x:v>
      </x:c>
      <x:c r="V146" s="104" t="s">
        <x:v>944</x:v>
      </x:c>
      <x:c r="W146" s="165"/>
      <x:c r="X146" s="165"/>
      <x:c r="Y146" s="165"/>
      <x:c r="Z146" s="112"/>
      <x:c r="AA146" s="112"/>
      <x:c r="AB146" s="112"/>
      <x:c r="AC146" s="112"/>
      <x:c r="AD146" s="92"/>
    </x:row>
    <x:row r="147" ht="65.0999984741211" customHeight="1">
      <x:c r="A147" s="98" t="s">
        <x:v>756</x:v>
      </x:c>
      <x:c r="B147" s="104">
        <x:v>143</x:v>
      </x:c>
      <x:c r="C147" s="104">
        <x:v>7</x:v>
      </x:c>
      <x:c r="D147" s="104">
        <x:v>10</x:v>
      </x:c>
      <x:c r="E147" s="98" t="s">
        <x:v>945</x:v>
      </x:c>
      <x:c r="F147" s="98" t="s">
        <x:v>946</x:v>
      </x:c>
      <x:c r="G147" s="98" t="s">
        <x:v>947</x:v>
      </x:c>
      <x:c r="H147" s="98" t="s">
        <x:v>948</x:v>
      </x:c>
      <x:c r="I147" s="104">
        <x:v>5</x:v>
      </x:c>
      <x:c r="J147" s="98" t="s">
        <x:v>949</x:v>
      </x:c>
      <x:c r="K147" s="104" t="s">
        <x:v>950</x:v>
      </x:c>
      <x:c r="L147" s="104" t="s">
        <x:v>250</x:v>
      </x:c>
      <x:c r="M147" s="98" t="s">
        <x:v>951</x:v>
      </x:c>
      <x:c r="N147" s="110" t="n">
        <x:f t="shared" si="16">N146+(IFERROR(VALUE(LEFT(L147,FIND("분",L147)-1))*60,0)+IFERROR(VALUE(TRIM(MID(L147,IFERROR(FIND("분",L147),0)+1,IFERROR(FIND("초",L147),LEN(L147)+1)-IFERROR(FIND("분",L147),0)-1))),0))/86400</x:f>
        <x:v>0.17285879629629622</x:v>
      </x:c>
      <x:c r="O147" s="98" t="s">
        <x:v>897</x:v>
      </x:c>
      <x:c r="P147" s="112">
        <x:f t="shared" si="18"/>
        <x:v>779</x:v>
      </x:c>
      <x:c r="Q147" s="112">
        <x:v>10</x:v>
      </x:c>
      <x:c r="R147" s="116">
        <x:f t="shared" si="17"/>
        <x:v>6094.23</x:v>
      </x:c>
      <x:c r="S147" s="104" t="s">
        <x:v>42</x:v>
      </x:c>
      <x:c r="T147" s="112" t="s">
        <x:v>43</x:v>
      </x:c>
      <x:c r="U147" s="112" t="s">
        <x:v>43</x:v>
      </x:c>
      <x:c r="V147" s="104" t="s">
        <x:v>43</x:v>
      </x:c>
      <x:c r="W147" s="165" t="n">
        <x:v>0.003125</x:v>
      </x:c>
      <x:c r="X147" s="165" t="n">
        <x:v>0.002372685185185185</x:v>
      </x:c>
      <x:c r="Y147" s="165" t="n">
        <x:v>0.0016203703703703703</x:v>
      </x:c>
      <x:c r="Z147" s="112"/>
      <x:c r="AA147" s="112"/>
      <x:c r="AB147" s="112"/>
      <x:c r="AC147" s="112"/>
      <x:c r="AD147" s="92"/>
    </x:row>
    <x:row r="148" ht="65.0999984741211" customHeight="1">
      <x:c r="A148" s="98" t="s">
        <x:v>756</x:v>
      </x:c>
      <x:c r="B148" s="104">
        <x:v>144</x:v>
      </x:c>
      <x:c r="C148" s="104">
        <x:v>1</x:v>
      </x:c>
      <x:c r="D148" s="104">
        <x:v>10</x:v>
      </x:c>
      <x:c r="E148" s="98" t="s">
        <x:v>952</x:v>
      </x:c>
      <x:c r="F148" s="98" t="s">
        <x:v>953</x:v>
      </x:c>
      <x:c r="G148" s="98" t="s">
        <x:v>954</x:v>
      </x:c>
      <x:c r="H148" s="98" t="s">
        <x:v>955</x:v>
      </x:c>
      <x:c r="I148" s="104">
        <x:v>1</x:v>
      </x:c>
      <x:c r="J148" s="98" t="s">
        <x:v>956</x:v>
      </x:c>
      <x:c r="K148" s="104" t="s">
        <x:v>957</x:v>
      </x:c>
      <x:c r="L148" s="104" t="s">
        <x:v>39</x:v>
      </x:c>
      <x:c r="M148" s="98" t="s">
        <x:v>958</x:v>
      </x:c>
      <x:c r="N148" s="110" t="n">
        <x:f t="shared" si="16">N147+(IFERROR(VALUE(LEFT(L148,FIND("분",L148)-1))*60,0)+IFERROR(VALUE(TRIM(MID(L148,IFERROR(FIND("분",L148),0)+1,IFERROR(FIND("초",L148),LEN(L148)+1)-IFERROR(FIND("분",L148),0)-1))),0))/86400</x:f>
        <x:v>0.17390046296296288</x:v>
      </x:c>
      <x:c r="O148" s="98" t="s">
        <x:v>897</x:v>
      </x:c>
      <x:c r="P148" s="112">
        <x:f t="shared" si="18"/>
        <x:v>784</x:v>
      </x:c>
      <x:c r="Q148" s="112">
        <x:v>5</x:v>
      </x:c>
      <x:c r="R148" s="116">
        <x:f t="shared" si="17"/>
        <x:v>6171.96</x:v>
      </x:c>
      <x:c r="S148" s="104" t="s">
        <x:v>42</x:v>
      </x:c>
      <x:c r="T148" s="112" t="s">
        <x:v>43</x:v>
      </x:c>
      <x:c r="U148" s="112" t="s">
        <x:v>43</x:v>
      </x:c>
      <x:c r="V148" s="104" t="s">
        <x:v>43</x:v>
      </x:c>
      <x:c r="W148" s="165" t="n">
        <x:v>0.0012152777777777778</x:v>
      </x:c>
      <x:c r="X148" s="165" t="n">
        <x:v>0.001099537037037037</x:v>
      </x:c>
      <x:c r="Y148" s="165" t="n">
        <x:v>0.0010416666666666667</x:v>
      </x:c>
      <x:c r="Z148" s="112"/>
      <x:c r="AA148" s="112"/>
      <x:c r="AB148" s="112"/>
      <x:c r="AC148" s="112"/>
      <x:c r="AD148" s="92"/>
    </x:row>
    <x:row r="149" ht="65.0999984741211" customHeight="1">
      <x:c r="A149" s="98" t="s">
        <x:v>756</x:v>
      </x:c>
      <x:c r="B149" s="104">
        <x:v>145</x:v>
      </x:c>
      <x:c r="C149" s="104">
        <x:v>2</x:v>
      </x:c>
      <x:c r="D149" s="104">
        <x:v>10</x:v>
      </x:c>
      <x:c r="E149" s="98" t="s">
        <x:v>959</x:v>
      </x:c>
      <x:c r="F149" s="98" t="s">
        <x:v>960</x:v>
      </x:c>
      <x:c r="G149" s="98" t="s">
        <x:v>961</x:v>
      </x:c>
      <x:c r="H149" s="98" t="s">
        <x:v>962</x:v>
      </x:c>
      <x:c r="I149" s="104">
        <x:v>3</x:v>
      </x:c>
      <x:c r="J149" s="98" t="s">
        <x:v>963</x:v>
      </x:c>
      <x:c r="K149" s="104" t="s">
        <x:v>964</x:v>
      </x:c>
      <x:c r="L149" s="104" t="s">
        <x:v>250</x:v>
      </x:c>
      <x:c r="M149" s="98" t="s">
        <x:v>965</x:v>
      </x:c>
      <x:c r="N149" s="110" t="n">
        <x:f t="shared" si="16">N148+(IFERROR(VALUE(LEFT(L149,FIND("분",L149)-1))*60,0)+IFERROR(VALUE(TRIM(MID(L149,IFERROR(FIND("분",L149),0)+1,IFERROR(FIND("초",L149),LEN(L149)+1)-IFERROR(FIND("분",L149),0)-1))),0))/86400</x:f>
        <x:v>0.17552083333333326</x:v>
      </x:c>
      <x:c r="O149" s="98" t="s">
        <x:v>897</x:v>
      </x:c>
      <x:c r="P149" s="112">
        <x:f t="shared" si="18"/>
        <x:v>790</x:v>
      </x:c>
      <x:c r="Q149" s="112">
        <x:v>6</x:v>
      </x:c>
      <x:c r="R149" s="116">
        <x:f t="shared" si="17"/>
        <x:v>6265.89</x:v>
      </x:c>
      <x:c r="S149" s="104" t="s">
        <x:v>42</x:v>
      </x:c>
      <x:c r="T149" s="112" t="s">
        <x:v>43</x:v>
      </x:c>
      <x:c r="U149" s="112" t="s">
        <x:v>43</x:v>
      </x:c>
      <x:c r="V149" s="104" t="s">
        <x:v>43</x:v>
      </x:c>
      <x:c r="W149" s="165" t="n">
        <x:v>0.0019097222222222222</x:v>
      </x:c>
      <x:c r="X149" s="165" t="n">
        <x:v>0.001736111111111111</x:v>
      </x:c>
      <x:c r="Y149" s="165" t="n">
        <x:v>0.0016203703703703703</x:v>
      </x:c>
      <x:c r="Z149" s="112"/>
      <x:c r="AA149" s="112"/>
      <x:c r="AB149" s="112"/>
      <x:c r="AC149" s="112"/>
      <x:c r="AD149" s="92"/>
    </x:row>
    <x:row r="150" ht="65.0999984741211" customHeight="1">
      <x:c r="A150" s="98" t="s">
        <x:v>756</x:v>
      </x:c>
      <x:c r="B150" s="104">
        <x:v>146</x:v>
      </x:c>
      <x:c r="C150" s="104">
        <x:v>6</x:v>
      </x:c>
      <x:c r="D150" s="104">
        <x:v>9</x:v>
      </x:c>
      <x:c r="E150" s="98" t="s">
        <x:v>966</x:v>
      </x:c>
      <x:c r="F150" s="98" t="s">
        <x:v>967</x:v>
      </x:c>
      <x:c r="G150" s="98" t="s">
        <x:v>968</x:v>
      </x:c>
      <x:c r="H150" s="98" t="s">
        <x:v>969</x:v>
      </x:c>
      <x:c r="I150" s="104">
        <x:v>1</x:v>
      </x:c>
      <x:c r="J150" s="98" t="s">
        <x:v>970</x:v>
      </x:c>
      <x:c r="K150" s="104" t="s">
        <x:v>971</x:v>
      </x:c>
      <x:c r="L150" s="104" t="s">
        <x:v>233</x:v>
      </x:c>
      <x:c r="M150" s="98" t="s">
        <x:v>972</x:v>
      </x:c>
      <x:c r="N150" s="110" t="n">
        <x:f t="shared" si="16">N149+(IFERROR(VALUE(LEFT(L150,FIND("분",L150)-1))*60,0)+IFERROR(VALUE(TRIM(MID(L150,IFERROR(FIND("분",L150),0)+1,IFERROR(FIND("초",L150),LEN(L150)+1)-IFERROR(FIND("분",L150),0)-1))),0))/86400</x:f>
        <x:v>0.1776041666666666</x:v>
      </x:c>
      <x:c r="O150" s="98" t="s">
        <x:v>973</x:v>
      </x:c>
      <x:c r="P150" s="112">
        <x:f t="shared" si="18"/>
        <x:v>798</x:v>
      </x:c>
      <x:c r="Q150" s="112">
        <x:v>8</x:v>
      </x:c>
      <x:c r="R150" s="116">
        <x:f t="shared" si="17"/>
        <x:v>6392.22</x:v>
      </x:c>
      <x:c r="S150" s="104" t="s">
        <x:v>42</x:v>
      </x:c>
      <x:c r="T150" s="112" t="s">
        <x:v>43</x:v>
      </x:c>
      <x:c r="U150" s="112" t="s">
        <x:v>43</x:v>
      </x:c>
      <x:c r="V150" s="104" t="s">
        <x:v>43</x:v>
      </x:c>
      <x:c r="W150" s="165" t="n">
        <x:v>0.0033564814814814816</x:v>
      </x:c>
      <x:c r="X150" s="165" t="n">
        <x:v>0.0027199074074074074</x:v>
      </x:c>
      <x:c r="Y150" s="165" t="n">
        <x:v>0.0020833333333333333</x:v>
      </x:c>
      <x:c r="Z150" s="112"/>
      <x:c r="AA150" s="112"/>
      <x:c r="AB150" s="112"/>
      <x:c r="AC150" s="112"/>
      <x:c r="AD150" s="92"/>
    </x:row>
    <x:row r="151" ht="65.0999984741211" customHeight="1">
      <x:c r="A151" s="98" t="s">
        <x:v>756</x:v>
      </x:c>
      <x:c r="B151" s="104">
        <x:v>147</x:v>
      </x:c>
      <x:c r="C151" s="104">
        <x:v>1</x:v>
      </x:c>
      <x:c r="D151" s="104">
        <x:v>8</x:v>
      </x:c>
      <x:c r="E151" s="98" t="s">
        <x:v>974</x:v>
      </x:c>
      <x:c r="F151" s="98" t="s">
        <x:v>543</x:v>
      </x:c>
      <x:c r="G151" s="98" t="s">
        <x:v>975</x:v>
      </x:c>
      <x:c r="H151" s="98" t="s">
        <x:v>976</x:v>
      </x:c>
      <x:c r="I151" s="104">
        <x:v>3</x:v>
      </x:c>
      <x:c r="J151" s="98" t="s">
        <x:v>546</x:v>
      </x:c>
      <x:c r="K151" s="104" t="s">
        <x:v>547</x:v>
      </x:c>
      <x:c r="L151" s="104" t="s">
        <x:v>105</x:v>
      </x:c>
      <x:c r="M151" s="98" t="s">
        <x:v>548</x:v>
      </x:c>
      <x:c r="N151" s="110" t="n">
        <x:f t="shared" si="16">N150+(IFERROR(VALUE(LEFT(L151,FIND("분",L151)-1))*60,0)+IFERROR(VALUE(TRIM(MID(L151,IFERROR(FIND("분",L151),0)+1,IFERROR(FIND("초",L151),LEN(L151)+1)-IFERROR(FIND("분",L151),0)-1))),0))/86400</x:f>
        <x:v>0.17887731481481473</x:v>
      </x:c>
      <x:c r="O151" s="98" t="s">
        <x:v>973</x:v>
      </x:c>
      <x:c r="P151" s="112">
        <x:f t="shared" si="18"/>
        <x:v>802</x:v>
      </x:c>
      <x:c r="Q151" s="112">
        <x:v>4</x:v>
      </x:c>
      <x:c r="R151" s="116">
        <x:f t="shared" si="17"/>
        <x:v>6455.86</x:v>
      </x:c>
      <x:c r="S151" s="104" t="s">
        <x:v>42</x:v>
      </x:c>
      <x:c r="T151" s="112" t="s">
        <x:v>43</x:v>
      </x:c>
      <x:c r="U151" s="112" t="s">
        <x:v>43</x:v>
      </x:c>
      <x:c r="V151" s="104" t="s">
        <x:v>43</x:v>
      </x:c>
      <x:c r="W151" s="165" t="n">
        <x:v>0.0015046296296296296</x:v>
      </x:c>
      <x:c r="X151" s="165" t="n">
        <x:v>0.001388888888888889</x:v>
      </x:c>
      <x:c r="Y151" s="165" t="n">
        <x:v>0.0012731481481481483</x:v>
      </x:c>
      <x:c r="Z151" s="112"/>
      <x:c r="AA151" s="112"/>
      <x:c r="AB151" s="112"/>
      <x:c r="AC151" s="112"/>
      <x:c r="AD151" s="92"/>
    </x:row>
    <x:row r="152" ht="65.0999984741211" customHeight="1">
      <x:c r="A152" s="98" t="s">
        <x:v>977</x:v>
      </x:c>
      <x:c r="B152" s="104">
        <x:v>148</x:v>
      </x:c>
      <x:c r="C152" s="104">
        <x:v>1</x:v>
      </x:c>
      <x:c r="D152" s="104">
        <x:v>8</x:v>
      </x:c>
      <x:c r="E152" s="98" t="s">
        <x:v>978</x:v>
      </x:c>
      <x:c r="F152" s="98" t="s">
        <x:v>979</x:v>
      </x:c>
      <x:c r="G152" s="98" t="s">
        <x:v>980</x:v>
      </x:c>
      <x:c r="H152" s="98" t="s">
        <x:v>981</x:v>
      </x:c>
      <x:c r="I152" s="104">
        <x:v>2</x:v>
      </x:c>
      <x:c r="J152" s="98" t="s">
        <x:v>982</x:v>
      </x:c>
      <x:c r="K152" s="104" t="s">
        <x:v>38</x:v>
      </x:c>
      <x:c r="L152" s="104" t="s">
        <x:v>159</x:v>
      </x:c>
      <x:c r="M152" s="98" t="s">
        <x:v>983</x:v>
      </x:c>
      <x:c r="N152" s="110" t="n">
        <x:f t="shared" si="16">N151+(IFERROR(VALUE(LEFT(L152,FIND("분",L152)-1))*60,0)+IFERROR(VALUE(TRIM(MID(L152,IFERROR(FIND("분",L152),0)+1,IFERROR(FIND("초",L152),LEN(L152)+1)-IFERROR(FIND("분",L152),0)-1))),0))/86400</x:f>
        <x:v>0.18003472222222214</x:v>
      </x:c>
      <x:c r="O152" s="98" t="s">
        <x:v>984</x:v>
      </x:c>
      <x:c r="P152" s="112">
        <x:f t="shared" si="18"/>
        <x:v>806</x:v>
      </x:c>
      <x:c r="Q152" s="112">
        <x:v>4</x:v>
      </x:c>
      <x:c r="R152" s="116">
        <x:f t="shared" si="17"/>
        <x:v>6519.81</x:v>
      </x:c>
      <x:c r="S152" s="104" t="s">
        <x:v>42</x:v>
      </x:c>
      <x:c r="T152" s="112" t="s">
        <x:v>43</x:v>
      </x:c>
      <x:c r="U152" s="112" t="s">
        <x:v>43</x:v>
      </x:c>
      <x:c r="V152" s="104" t="s">
        <x:v>43</x:v>
      </x:c>
      <x:c r="W152" s="165" t="n">
        <x:v>0.0013310185185185185</x:v>
      </x:c>
      <x:c r="X152" s="165" t="n">
        <x:v>0.0012152777777777778</x:v>
      </x:c>
      <x:c r="Y152" s="165" t="n">
        <x:v>0.0011574074074074073</x:v>
      </x:c>
      <x:c r="Z152" s="112"/>
      <x:c r="AA152" s="112"/>
      <x:c r="AB152" s="112"/>
      <x:c r="AC152" s="112"/>
      <x:c r="AD152" s="92"/>
    </x:row>
    <x:row r="153" ht="65.0999984741211" customHeight="1">
      <x:c r="A153" s="98" t="s">
        <x:v>977</x:v>
      </x:c>
      <x:c r="B153" s="104">
        <x:v>149</x:v>
      </x:c>
      <x:c r="C153" s="104">
        <x:v>1</x:v>
      </x:c>
      <x:c r="D153" s="104">
        <x:v>9</x:v>
      </x:c>
      <x:c r="E153" s="98" t="s">
        <x:v>985</x:v>
      </x:c>
      <x:c r="F153" s="98" t="s">
        <x:v>986</x:v>
      </x:c>
      <x:c r="G153" s="98" t="s">
        <x:v>987</x:v>
      </x:c>
      <x:c r="H153" s="98" t="s">
        <x:v>988</x:v>
      </x:c>
      <x:c r="I153" s="104">
        <x:v>4</x:v>
      </x:c>
      <x:c r="J153" s="98" t="s">
        <x:v>989</x:v>
      </x:c>
      <x:c r="K153" s="104" t="s">
        <x:v>38</x:v>
      </x:c>
      <x:c r="L153" s="104" t="s">
        <x:v>250</x:v>
      </x:c>
      <x:c r="M153" s="98" t="s">
        <x:v>990</x:v>
      </x:c>
      <x:c r="N153" s="110" t="n">
        <x:f t="shared" si="16">N152+(IFERROR(VALUE(LEFT(L153,FIND("분",L153)-1))*60,0)+IFERROR(VALUE(TRIM(MID(L153,IFERROR(FIND("분",L153),0)+1,IFERROR(FIND("초",L153),LEN(L153)+1)-IFERROR(FIND("분",L153),0)-1))),0))/86400</x:f>
        <x:v>0.18165509259259252</x:v>
      </x:c>
      <x:c r="O153" s="98" t="s">
        <x:v>984</x:v>
      </x:c>
      <x:c r="P153" s="112">
        <x:f t="shared" si="18"/>
        <x:v>810</x:v>
      </x:c>
      <x:c r="Q153" s="112">
        <x:v>4</x:v>
      </x:c>
      <x:c r="R153" s="116">
        <x:f t="shared" si="17"/>
        <x:v>6584.09</x:v>
      </x:c>
      <x:c r="S153" s="104" t="s">
        <x:v>42</x:v>
      </x:c>
      <x:c r="T153" s="112" t="s">
        <x:v>43</x:v>
      </x:c>
      <x:c r="U153" s="112" t="s">
        <x:v>43</x:v>
      </x:c>
      <x:c r="V153" s="104" t="s">
        <x:v>43</x:v>
      </x:c>
      <x:c r="W153" s="165" t="n">
        <x:v>0.0019097222222222222</x:v>
      </x:c>
      <x:c r="X153" s="165" t="n">
        <x:v>0.001736111111111111</x:v>
      </x:c>
      <x:c r="Y153" s="165" t="n">
        <x:v>0.0016203703703703703</x:v>
      </x:c>
      <x:c r="Z153" s="112"/>
      <x:c r="AA153" s="112"/>
      <x:c r="AB153" s="112"/>
      <x:c r="AC153" s="112"/>
      <x:c r="AD153" s="92"/>
    </x:row>
    <x:row r="154" ht="65.0999984741211" customHeight="1">
      <x:c r="A154" s="100" t="s">
        <x:v>977</x:v>
      </x:c>
      <x:c r="B154" s="105">
        <x:v>150</x:v>
      </x:c>
      <x:c r="C154" s="105">
        <x:v>5</x:v>
      </x:c>
      <x:c r="D154" s="105">
        <x:v>9</x:v>
      </x:c>
      <x:c r="E154" s="100" t="s">
        <x:v>991</x:v>
      </x:c>
      <x:c r="F154" s="100" t="s">
        <x:v>66</x:v>
      </x:c>
      <x:c r="G154" s="100" t="s">
        <x:v>992</x:v>
      </x:c>
      <x:c r="H154" s="100" t="s">
        <x:v>993</x:v>
      </x:c>
      <x:c r="I154" s="105">
        <x:v>1</x:v>
      </x:c>
      <x:c r="J154" s="100" t="s">
        <x:v>994</x:v>
      </x:c>
      <x:c r="K154" s="105" t="s">
        <x:v>38</x:v>
      </x:c>
      <x:c r="L154" s="105" t="s">
        <x:v>233</x:v>
      </x:c>
      <x:c r="M154" s="100" t="s">
        <x:v>71</x:v>
      </x:c>
      <x:c r="N154" s="110" t="n">
        <x:f t="shared" si="16">N153+(IFERROR(VALUE(LEFT(L154,FIND("분",L154)-1))*60,0)+IFERROR(VALUE(TRIM(MID(L154,IFERROR(FIND("분",L154),0)+1,IFERROR(FIND("초",L154),LEN(L154)+1)-IFERROR(FIND("분",L154),0)-1))),0))/86400</x:f>
        <x:v>0.18373842592592585</x:v>
      </x:c>
      <x:c r="O154" s="100" t="s">
        <x:v>984</x:v>
      </x:c>
      <x:c r="P154" s="112">
        <x:f t="shared" si="18"/>
        <x:v>817</x:v>
      </x:c>
      <x:c r="Q154" s="112">
        <x:v>7</x:v>
      </x:c>
      <x:c r="R154" s="116">
        <x:f t="shared" si="17"/>
        <x:v>6697.32</x:v>
      </x:c>
      <x:c r="S154" s="104" t="s">
        <x:v>42</x:v>
      </x:c>
      <x:c r="T154" s="112" t="s">
        <x:v>43</x:v>
      </x:c>
      <x:c r="U154" s="112" t="s">
        <x:v>43</x:v>
      </x:c>
      <x:c r="V154" s="104" t="s">
        <x:v>43</x:v>
      </x:c>
      <x:c r="W154" s="165" t="n">
        <x:v>0.0033564814814814816</x:v>
      </x:c>
      <x:c r="X154" s="165" t="n">
        <x:v>0.0027199074074074074</x:v>
      </x:c>
      <x:c r="Y154" s="165" t="n">
        <x:v>0.0020833333333333333</x:v>
      </x:c>
      <x:c r="Z154" s="112"/>
      <x:c r="AA154" s="112"/>
      <x:c r="AB154" s="112"/>
      <x:c r="AC154" s="112"/>
      <x:c r="AD154" s="92"/>
    </x:row>
    <x:row r="155" ht="65.0999984741211" customHeight="1">
      <x:c r="A155" s="100" t="s">
        <x:v>977</x:v>
      </x:c>
      <x:c r="B155" s="105">
        <x:v>151</x:v>
      </x:c>
      <x:c r="C155" s="105">
        <x:v>6</x:v>
      </x:c>
      <x:c r="D155" s="105">
        <x:v>10</x:v>
      </x:c>
      <x:c r="E155" s="100" t="s">
        <x:v>995</x:v>
      </x:c>
      <x:c r="F155" s="100" t="s">
        <x:v>996</x:v>
      </x:c>
      <x:c r="G155" s="100" t="s">
        <x:v>997</x:v>
      </x:c>
      <x:c r="H155" s="100" t="s">
        <x:v>998</x:v>
      </x:c>
      <x:c r="I155" s="105">
        <x:v>3</x:v>
      </x:c>
      <x:c r="J155" s="100" t="s">
        <x:v>999</x:v>
      </x:c>
      <x:c r="K155" s="105" t="s">
        <x:v>1000</x:v>
      </x:c>
      <x:c r="L155" s="105" t="s">
        <x:v>427</x:v>
      </x:c>
      <x:c r="M155" s="100" t="s">
        <x:v>1001</x:v>
      </x:c>
      <x:c r="N155" s="110" t="n">
        <x:f t="shared" si="16">N154+(IFERROR(VALUE(LEFT(L155,FIND("분",L155)-1))*60,0)+IFERROR(VALUE(TRIM(MID(L155,IFERROR(FIND("분",L155),0)+1,IFERROR(FIND("초",L155),LEN(L155)+1)-IFERROR(FIND("분",L155),0)-1))),0))/86400</x:f>
        <x:v>0.18524305555555548</x:v>
      </x:c>
      <x:c r="O155" s="100" t="s">
        <x:v>1002</x:v>
      </x:c>
      <x:c r="P155" s="112">
        <x:f t="shared" si="18"/>
        <x:v>826</x:v>
      </x:c>
      <x:c r="Q155" s="112">
        <x:v>9</x:v>
      </x:c>
      <x:c r="R155" s="116">
        <x:f t="shared" si="17"/>
        <x:v>6844.32</x:v>
      </x:c>
      <x:c r="S155" s="104" t="s">
        <x:v>42</x:v>
      </x:c>
      <x:c r="T155" s="112" t="s">
        <x:v>43</x:v>
      </x:c>
      <x:c r="U155" s="112" t="s">
        <x:v>43</x:v>
      </x:c>
      <x:c r="V155" s="104" t="s">
        <x:v>43</x:v>
      </x:c>
      <x:c r="W155" s="165" t="n">
        <x:v>0.0024305555555555556</x:v>
      </x:c>
      <x:c r="X155" s="165" t="n">
        <x:v>0.0019675925925925924</x:v>
      </x:c>
      <x:c r="Y155" s="165" t="n">
        <x:v>0.0015046296296296296</x:v>
      </x:c>
      <x:c r="Z155" s="112"/>
      <x:c r="AA155" s="112"/>
      <x:c r="AB155" s="112"/>
      <x:c r="AC155" s="112"/>
      <x:c r="AD155" s="92"/>
    </x:row>
    <x:row r="156" ht="65.0999984741211" customHeight="1">
      <x:c r="A156" s="100" t="s">
        <x:v>977</x:v>
      </x:c>
      <x:c r="B156" s="105">
        <x:v>152</x:v>
      </x:c>
      <x:c r="C156" s="105">
        <x:v>5</x:v>
      </x:c>
      <x:c r="D156" s="105">
        <x:v>9</x:v>
      </x:c>
      <x:c r="E156" s="100" t="s">
        <x:v>1003</x:v>
      </x:c>
      <x:c r="F156" s="100" t="s">
        <x:v>1004</x:v>
      </x:c>
      <x:c r="G156" s="100" t="s">
        <x:v>1005</x:v>
      </x:c>
      <x:c r="H156" s="100" t="s">
        <x:v>1006</x:v>
      </x:c>
      <x:c r="I156" s="105">
        <x:v>8</x:v>
      </x:c>
      <x:c r="J156" s="100" t="s">
        <x:v>1007</x:v>
      </x:c>
      <x:c r="K156" s="105" t="s">
        <x:v>1008</x:v>
      </x:c>
      <x:c r="L156" s="105" t="s">
        <x:v>1009</x:v>
      </x:c>
      <x:c r="M156" s="100" t="s">
        <x:v>1010</x:v>
      </x:c>
      <x:c r="N156" s="110" t="n">
        <x:f t="shared" ref="N156:N178" si="19">N155+(IFERROR(VALUE(LEFT(L156,FIND("분",L156)-1))*60,0)+IFERROR(VALUE(TRIM(MID(L156,IFERROR(FIND("분",L156),0)+1,IFERROR(FIND("초",L156),LEN(L156)+1)-IFERROR(FIND("분",L156),0)-1))),0))/86400</x:f>
        <x:v>0.18778935185185178</x:v>
      </x:c>
      <x:c r="O156" s="100" t="s">
        <x:v>1002</x:v>
      </x:c>
      <x:c r="P156" s="112">
        <x:f t="shared" si="18"/>
        <x:v>833</x:v>
      </x:c>
      <x:c r="Q156" s="112">
        <x:v>7</x:v>
      </x:c>
      <x:c r="R156" s="116">
        <x:f t="shared" si="17"/>
        <x:v>6959.76</x:v>
      </x:c>
      <x:c r="S156" s="104" t="s">
        <x:v>42</x:v>
      </x:c>
      <x:c r="T156" s="112" t="s">
        <x:v>43</x:v>
      </x:c>
      <x:c r="U156" s="112" t="s">
        <x:v>43</x:v>
      </x:c>
      <x:c r="V156" s="104" t="s">
        <x:v>43</x:v>
      </x:c>
      <x:c r="W156" s="165" t="n">
        <x:v>0.004108796296296296</x:v>
      </x:c>
      <x:c r="X156" s="165" t="n">
        <x:v>0.0033564814814814816</x:v>
      </x:c>
      <x:c r="Y156" s="165" t="n">
        <x:v>0.0025462962962962965</x:v>
      </x:c>
      <x:c r="Z156" s="112"/>
      <x:c r="AA156" s="112"/>
      <x:c r="AB156" s="112"/>
      <x:c r="AC156" s="112"/>
      <x:c r="AD156" s="92"/>
    </x:row>
    <x:row r="157" ht="65.0999984741211" customHeight="1">
      <x:c r="A157" s="100" t="s">
        <x:v>977</x:v>
      </x:c>
      <x:c r="B157" s="105">
        <x:v>153</x:v>
      </x:c>
      <x:c r="C157" s="105">
        <x:v>2</x:v>
      </x:c>
      <x:c r="D157" s="105">
        <x:v>10</x:v>
      </x:c>
      <x:c r="E157" s="100" t="s">
        <x:v>1011</x:v>
      </x:c>
      <x:c r="F157" s="100" t="s">
        <x:v>1012</x:v>
      </x:c>
      <x:c r="G157" s="100" t="s">
        <x:v>1013</x:v>
      </x:c>
      <x:c r="H157" s="100" t="s">
        <x:v>1014</x:v>
      </x:c>
      <x:c r="I157" s="105">
        <x:v>5</x:v>
      </x:c>
      <x:c r="J157" s="100" t="s">
        <x:v>1015</x:v>
      </x:c>
      <x:c r="K157" s="105" t="s">
        <x:v>38</x:v>
      </x:c>
      <x:c r="L157" s="105" t="s">
        <x:v>805</x:v>
      </x:c>
      <x:c r="M157" s="100" t="s">
        <x:v>1016</x:v>
      </x:c>
      <x:c r="N157" s="110" t="n">
        <x:f t="shared" si="19">N156+(IFERROR(VALUE(LEFT(L157,FIND("분",L157)-1))*60,0)+IFERROR(VALUE(TRIM(MID(L157,IFERROR(FIND("분",L157),0)+1,IFERROR(FIND("초",L157),LEN(L157)+1)-IFERROR(FIND("분",L157),0)-1))),0))/86400</x:f>
        <x:v>0.19021990740740732</x:v>
      </x:c>
      <x:c r="O157" s="100" t="s">
        <x:v>1002</x:v>
      </x:c>
      <x:c r="P157" s="112">
        <x:f t="shared" si="18"/>
        <x:v>839</x:v>
      </x:c>
      <x:c r="Q157" s="112">
        <x:v>6</x:v>
      </x:c>
      <x:c r="R157" s="116">
        <x:f t="shared" si="17"/>
        <x:v>7059.47</x:v>
      </x:c>
      <x:c r="S157" s="104" t="s">
        <x:v>42</x:v>
      </x:c>
      <x:c r="T157" s="112" t="s">
        <x:v>43</x:v>
      </x:c>
      <x:c r="U157" s="112" t="s">
        <x:v>43</x:v>
      </x:c>
      <x:c r="V157" s="104" t="s">
        <x:v>43</x:v>
      </x:c>
      <x:c r="W157" s="165" t="n">
        <x:v>0.0028356481481481483</x:v>
      </x:c>
      <x:c r="X157" s="165" t="n">
        <x:v>0.0026041666666666665</x:v>
      </x:c>
      <x:c r="Y157" s="165" t="n">
        <x:v>0.0024305555555555556</x:v>
      </x:c>
      <x:c r="Z157" s="112"/>
      <x:c r="AA157" s="112"/>
      <x:c r="AB157" s="112"/>
      <x:c r="AC157" s="112"/>
      <x:c r="AD157" s="92"/>
    </x:row>
    <x:row r="158" ht="65.0999984741211" customHeight="1">
      <x:c r="A158" s="100" t="s">
        <x:v>977</x:v>
      </x:c>
      <x:c r="B158" s="105">
        <x:v>154</x:v>
      </x:c>
      <x:c r="C158" s="105">
        <x:v>7</x:v>
      </x:c>
      <x:c r="D158" s="105">
        <x:v>10</x:v>
      </x:c>
      <x:c r="E158" s="100" t="s">
        <x:v>1017</x:v>
      </x:c>
      <x:c r="F158" s="100" t="s">
        <x:v>1018</x:v>
      </x:c>
      <x:c r="G158" s="100" t="s">
        <x:v>1019</x:v>
      </x:c>
      <x:c r="H158" s="100" t="s">
        <x:v>1020</x:v>
      </x:c>
      <x:c r="I158" s="105">
        <x:v>6</x:v>
      </x:c>
      <x:c r="J158" s="100" t="s">
        <x:v>1021</x:v>
      </x:c>
      <x:c r="K158" s="105" t="s">
        <x:v>1022</x:v>
      </x:c>
      <x:c r="L158" s="105" t="s">
        <x:v>532</x:v>
      </x:c>
      <x:c r="M158" s="100" t="s">
        <x:v>1023</x:v>
      </x:c>
      <x:c r="N158" s="110" t="n">
        <x:f t="shared" si="19">N157+(IFERROR(VALUE(LEFT(L158,FIND("분",L158)-1))*60,0)+IFERROR(VALUE(TRIM(MID(L158,IFERROR(FIND("분",L158),0)+1,IFERROR(FIND("초",L158),LEN(L158)+1)-IFERROR(FIND("분",L158),0)-1))),0))/86400</x:f>
        <x:v>0.1932291666666666</x:v>
      </x:c>
      <x:c r="O158" s="100" t="s">
        <x:v>1002</x:v>
      </x:c>
      <x:c r="P158" s="112">
        <x:f t="shared" si="18"/>
        <x:v>849</x:v>
      </x:c>
      <x:c r="Q158" s="112">
        <x:v>10</x:v>
      </x:c>
      <x:c r="R158" s="116">
        <x:f t="shared" si="17"/>
        <x:v>7227.24</x:v>
      </x:c>
      <x:c r="S158" s="104" t="s">
        <x:v>42</x:v>
      </x:c>
      <x:c r="T158" s="112" t="s">
        <x:v>43</x:v>
      </x:c>
      <x:c r="U158" s="112" t="s">
        <x:v>43</x:v>
      </x:c>
      <x:c r="V158" s="104" t="s">
        <x:v>43</x:v>
      </x:c>
      <x:c r="W158" s="165" t="n">
        <x:v>0.005729166666666666</x:v>
      </x:c>
      <x:c r="X158" s="165" t="n">
        <x:v>0.004398148148148148</x:v>
      </x:c>
      <x:c r="Y158" s="165" t="n">
        <x:v>0.0030092592592592593</x:v>
      </x:c>
      <x:c r="Z158" s="112"/>
      <x:c r="AA158" s="112"/>
      <x:c r="AB158" s="112"/>
      <x:c r="AC158" s="112"/>
      <x:c r="AD158" s="92"/>
    </x:row>
    <x:row r="159" ht="65.0999984741211" customHeight="1">
      <x:c r="A159" s="100" t="s">
        <x:v>977</x:v>
      </x:c>
      <x:c r="B159" s="105">
        <x:v>155</x:v>
      </x:c>
      <x:c r="C159" s="105">
        <x:v>7</x:v>
      </x:c>
      <x:c r="D159" s="105">
        <x:v>9</x:v>
      </x:c>
      <x:c r="E159" s="100" t="s">
        <x:v>1024</x:v>
      </x:c>
      <x:c r="F159" s="100" t="s">
        <x:v>1025</x:v>
      </x:c>
      <x:c r="G159" s="100" t="s">
        <x:v>1026</x:v>
      </x:c>
      <x:c r="H159" s="100" t="s">
        <x:v>1027</x:v>
      </x:c>
      <x:c r="I159" s="105">
        <x:v>6</x:v>
      </x:c>
      <x:c r="J159" s="100" t="s">
        <x:v>1028</x:v>
      </x:c>
      <x:c r="K159" s="105" t="s">
        <x:v>1029</x:v>
      </x:c>
      <x:c r="L159" s="105" t="s">
        <x:v>471</x:v>
      </x:c>
      <x:c r="M159" s="100" t="s">
        <x:v>1030</x:v>
      </x:c>
      <x:c r="N159" s="110" t="n">
        <x:f t="shared" si="19">N158+(IFERROR(VALUE(LEFT(L159,FIND("분",L159)-1))*60,0)+IFERROR(VALUE(TRIM(MID(L159,IFERROR(FIND("분",L159),0)+1,IFERROR(FIND("초",L159),LEN(L159)+1)-IFERROR(FIND("분",L159),0)-1))),0))/86400</x:f>
        <x:v>0.19542824074074067</x:v>
      </x:c>
      <x:c r="O159" s="100" t="s">
        <x:v>1002</x:v>
      </x:c>
      <x:c r="P159" s="112">
        <x:f t="shared" si="18"/>
        <x:v>858</x:v>
      </x:c>
      <x:c r="Q159" s="112">
        <x:v>9</x:v>
      </x:c>
      <x:c r="R159" s="116">
        <x:f t="shared" si="17"/>
        <x:v>7379.92</x:v>
      </x:c>
      <x:c r="S159" s="104" t="s">
        <x:v>42</x:v>
      </x:c>
      <x:c r="T159" s="112" t="s">
        <x:v>43</x:v>
      </x:c>
      <x:c r="U159" s="112" t="s">
        <x:v>43</x:v>
      </x:c>
      <x:c r="V159" s="104" t="s">
        <x:v>43</x:v>
      </x:c>
      <x:c r="W159" s="165" t="n">
        <x:v>0.004224537037037037</x:v>
      </x:c>
      <x:c r="X159" s="165" t="n">
        <x:v>0.0032407407407407406</x:v>
      </x:c>
      <x:c r="Y159" s="165" t="n">
        <x:v>0.002199074074074074</x:v>
      </x:c>
      <x:c r="Z159" s="112"/>
      <x:c r="AA159" s="112"/>
      <x:c r="AB159" s="112"/>
      <x:c r="AC159" s="112"/>
      <x:c r="AD159" s="92"/>
    </x:row>
    <x:row r="160" ht="65.0999984741211" customHeight="1">
      <x:c r="A160" s="100" t="s">
        <x:v>977</x:v>
      </x:c>
      <x:c r="B160" s="105">
        <x:v>156</x:v>
      </x:c>
      <x:c r="C160" s="105">
        <x:v>9</x:v>
      </x:c>
      <x:c r="D160" s="105">
        <x:v>10</x:v>
      </x:c>
      <x:c r="E160" s="101" t="s">
        <x:v>1031</x:v>
      </x:c>
      <x:c r="F160" s="100" t="s">
        <x:v>1032</x:v>
      </x:c>
      <x:c r="G160" s="100" t="s">
        <x:v>1033</x:v>
      </x:c>
      <x:c r="H160" s="100" t="s">
        <x:v>1034</x:v>
      </x:c>
      <x:c r="I160" s="105">
        <x:v>6</x:v>
      </x:c>
      <x:c r="J160" s="100" t="s">
        <x:v>1035</x:v>
      </x:c>
      <x:c r="K160" s="105" t="s">
        <x:v>1036</x:v>
      </x:c>
      <x:c r="L160" s="105" t="s">
        <x:v>463</x:v>
      </x:c>
      <x:c r="M160" s="100" t="s">
        <x:v>1037</x:v>
      </x:c>
      <x:c r="N160" s="110" t="n">
        <x:f t="shared" si="19">N159+(IFERROR(VALUE(LEFT(L160,FIND("분",L160)-1))*60,0)+IFERROR(VALUE(TRIM(MID(L160,IFERROR(FIND("분",L160),0)+1,IFERROR(FIND("초",L160),LEN(L160)+1)-IFERROR(FIND("분",L160),0)-1))),0))/86400</x:f>
        <x:v>0.1977430555555555</x:v>
      </x:c>
      <x:c r="O160" s="101" t="s">
        <x:v>1002</x:v>
      </x:c>
      <x:c r="P160" s="113">
        <x:f t="shared" si="18"/>
        <x:v>869</x:v>
      </x:c>
      <x:c r="Q160" s="113">
        <x:v>11</x:v>
      </x:c>
      <x:c r="R160" s="118">
        <x:f t="shared" si="17"/>
        <x:v>7568.69</x:v>
      </x:c>
      <x:c r="S160" s="121" t="s">
        <x:v>1038</x:v>
      </x:c>
      <x:c r="T160" s="113">
        <x:v>8</x:v>
      </x:c>
      <x:c r="U160" s="113">
        <x:v>200</x:v>
      </x:c>
      <x:c r="V160" s="121" t="s">
        <x:v>1039</x:v>
      </x:c>
      <x:c r="W160" s="165" t="n">
        <x:v>0.005150462962962963</x:v>
      </x:c>
      <x:c r="X160" s="165" t="n">
        <x:v>0.003703703703703704</x:v>
      </x:c>
      <x:c r="Y160" s="165" t="n">
        <x:v>0.0023148148148148147</x:v>
      </x:c>
      <x:c r="Z160" s="112"/>
      <x:c r="AA160" s="112"/>
      <x:c r="AB160" s="112"/>
      <x:c r="AC160" s="112"/>
      <x:c r="AD160" s="92"/>
    </x:row>
    <x:row r="161" ht="65.0999984741211" customHeight="1">
      <x:c r="A161" s="100" t="s">
        <x:v>977</x:v>
      </x:c>
      <x:c r="B161" s="105">
        <x:v>157</x:v>
      </x:c>
      <x:c r="C161" s="105">
        <x:v>4</x:v>
      </x:c>
      <x:c r="D161" s="105">
        <x:v>10</x:v>
      </x:c>
      <x:c r="E161" s="100" t="s">
        <x:v>1040</x:v>
      </x:c>
      <x:c r="F161" s="100" t="s">
        <x:v>1041</x:v>
      </x:c>
      <x:c r="G161" s="100" t="s">
        <x:v>1042</x:v>
      </x:c>
      <x:c r="H161" s="100" t="s">
        <x:v>1043</x:v>
      </x:c>
      <x:c r="I161" s="105">
        <x:v>6</x:v>
      </x:c>
      <x:c r="J161" s="100" t="s">
        <x:v>1044</x:v>
      </x:c>
      <x:c r="K161" s="105" t="s">
        <x:v>1045</x:v>
      </x:c>
      <x:c r="L161" s="105" t="s">
        <x:v>159</x:v>
      </x:c>
      <x:c r="M161" s="100" t="s">
        <x:v>1046</x:v>
      </x:c>
      <x:c r="N161" s="110" t="n">
        <x:f t="shared" si="19">N160+(IFERROR(VALUE(LEFT(L161,FIND("분",L161)-1))*60,0)+IFERROR(VALUE(TRIM(MID(L161,IFERROR(FIND("분",L161),0)+1,IFERROR(FIND("초",L161),LEN(L161)+1)-IFERROR(FIND("분",L161),0)-1))),0))/86400</x:f>
        <x:v>0.1989004629629629</x:v>
      </x:c>
      <x:c r="O161" s="100" t="s">
        <x:v>1047</x:v>
      </x:c>
      <x:c r="P161" s="112">
        <x:f t="shared" si="18"/>
        <x:v>876</x:v>
      </x:c>
      <x:c r="Q161" s="112">
        <x:v>7</x:v>
      </x:c>
      <x:c r="R161" s="116">
        <x:f t="shared" si="17"/>
        <x:v>7690.05</x:v>
      </x:c>
      <x:c r="S161" s="104" t="s">
        <x:v>42</x:v>
      </x:c>
      <x:c r="T161" s="112" t="s">
        <x:v>43</x:v>
      </x:c>
      <x:c r="U161" s="112" t="s">
        <x:v>43</x:v>
      </x:c>
      <x:c r="V161" s="104" t="s">
        <x:v>43</x:v>
      </x:c>
      <x:c r="W161" s="165" t="n">
        <x:v>0.0015625</x:v>
      </x:c>
      <x:c r="X161" s="165" t="n">
        <x:v>0.0013310185185185185</x:v>
      </x:c>
      <x:c r="Y161" s="165" t="n">
        <x:v>0.0011574074074074073</x:v>
      </x:c>
      <x:c r="Z161" s="112"/>
      <x:c r="AA161" s="112"/>
      <x:c r="AB161" s="112"/>
      <x:c r="AC161" s="112"/>
      <x:c r="AD161" s="92"/>
    </x:row>
    <x:row r="162" ht="65.0999984741211" customHeight="1">
      <x:c r="A162" s="100" t="s">
        <x:v>977</x:v>
      </x:c>
      <x:c r="B162" s="105">
        <x:v>158</x:v>
      </x:c>
      <x:c r="C162" s="105">
        <x:v>2</x:v>
      </x:c>
      <x:c r="D162" s="105">
        <x:v>10</x:v>
      </x:c>
      <x:c r="E162" s="100" t="s">
        <x:v>1048</x:v>
      </x:c>
      <x:c r="F162" s="100" t="s">
        <x:v>1049</x:v>
      </x:c>
      <x:c r="G162" s="100" t="s">
        <x:v>1050</x:v>
      </x:c>
      <x:c r="H162" s="100" t="s">
        <x:v>1051</x:v>
      </x:c>
      <x:c r="I162" s="105">
        <x:v>5</x:v>
      </x:c>
      <x:c r="J162" s="100" t="s">
        <x:v>1052</x:v>
      </x:c>
      <x:c r="K162" s="105" t="s">
        <x:v>38</x:v>
      </x:c>
      <x:c r="L162" s="105" t="s">
        <x:v>117</x:v>
      </x:c>
      <x:c r="M162" s="100" t="s">
        <x:v>1053</x:v>
      </x:c>
      <x:c r="N162" s="110" t="n">
        <x:f t="shared" si="19">N161+(IFERROR(VALUE(LEFT(L162,FIND("분",L162)-1))*60,0)+IFERROR(VALUE(TRIM(MID(L162,IFERROR(FIND("분",L162),0)+1,IFERROR(FIND("초",L162),LEN(L162)+1)-IFERROR(FIND("분",L162),0)-1))),0))/86400</x:f>
        <x:v>0.2002893518518518</x:v>
      </x:c>
      <x:c r="O162" s="100" t="s">
        <x:v>1047</x:v>
      </x:c>
      <x:c r="P162" s="112">
        <x:f t="shared" si="18"/>
        <x:v>883</x:v>
      </x:c>
      <x:c r="Q162" s="112">
        <x:v>7</x:v>
      </x:c>
      <x:c r="R162" s="116">
        <x:f t="shared" si="17"/>
        <x:v>7812.39</x:v>
      </x:c>
      <x:c r="S162" s="104" t="s">
        <x:v>42</x:v>
      </x:c>
      <x:c r="T162" s="112" t="s">
        <x:v>43</x:v>
      </x:c>
      <x:c r="U162" s="112" t="s">
        <x:v>43</x:v>
      </x:c>
      <x:c r="V162" s="104" t="s">
        <x:v>43</x:v>
      </x:c>
      <x:c r="W162" s="165" t="n">
        <x:v>0.0016203703703703703</x:v>
      </x:c>
      <x:c r="X162" s="165" t="n">
        <x:v>0.0015046296296296296</x:v>
      </x:c>
      <x:c r="Y162" s="165" t="n">
        <x:v>0.001388888888888889</x:v>
      </x:c>
      <x:c r="Z162" s="112"/>
      <x:c r="AA162" s="112"/>
      <x:c r="AB162" s="112"/>
      <x:c r="AC162" s="112"/>
      <x:c r="AD162" s="92"/>
    </x:row>
    <x:row r="163" ht="65.0999984741211" customHeight="1">
      <x:c r="A163" s="100" t="s">
        <x:v>977</x:v>
      </x:c>
      <x:c r="B163" s="105">
        <x:v>159</x:v>
      </x:c>
      <x:c r="C163" s="105">
        <x:v>8</x:v>
      </x:c>
      <x:c r="D163" s="105">
        <x:v>10</x:v>
      </x:c>
      <x:c r="E163" s="99" t="s">
        <x:v>1054</x:v>
      </x:c>
      <x:c r="F163" s="100" t="s">
        <x:v>1055</x:v>
      </x:c>
      <x:c r="G163" s="100" t="s">
        <x:v>1056</x:v>
      </x:c>
      <x:c r="H163" s="100" t="s">
        <x:v>1057</x:v>
      </x:c>
      <x:c r="I163" s="105">
        <x:v>4</x:v>
      </x:c>
      <x:c r="J163" s="100" t="s">
        <x:v>1058</x:v>
      </x:c>
      <x:c r="K163" s="105" t="s">
        <x:v>1059</x:v>
      </x:c>
      <x:c r="L163" s="105" t="str">
        <x:v>2분 30초</x:v>
      </x:c>
      <x:c r="M163" s="100" t="s">
        <x:v>1060</x:v>
      </x:c>
      <x:c r="N163" s="110" t="n">
        <x:f t="shared" si="19">N162+(IFERROR(VALUE(LEFT(L163,FIND("분",L163)-1))*60,0)+IFERROR(VALUE(TRIM(MID(L163,IFERROR(FIND("분",L163),0)+1,IFERROR(FIND("초",L163),LEN(L163)+1)-IFERROR(FIND("분",L163),0)-1))),0))/86400</x:f>
        <x:v>0.2020254629629629</x:v>
      </x:c>
      <x:c r="O163" s="99" t="s">
        <x:v>1047</x:v>
      </x:c>
      <x:c r="P163" s="89">
        <x:f t="shared" si="18"/>
        <x:v>893</x:v>
      </x:c>
      <x:c r="Q163" s="89">
        <x:v>10</x:v>
      </x:c>
      <x:c r="R163" s="117">
        <x:f t="shared" si="17"/>
        <x:v>7988.82</x:v>
      </x:c>
      <x:c r="S163" s="120" t="str">
        <x:v>보스</x:v>
      </x:c>
      <x:c r="T163" s="89">
        <x:v>8</x:v>
      </x:c>
      <x:c r="U163" s="89" t="n">
        <x:v>150</x:v>
      </x:c>
      <x:c r="V163" s="120" t="s">
        <x:v>1061</x:v>
      </x:c>
      <x:c r="W163" s="166" t="n">
        <x:v>0.014525462962962962</x:v>
      </x:c>
      <x:c r="X163" s="166" t="n">
        <x:v>0.010590277777777778</x:v>
      </x:c>
      <x:c r="Y163" s="166" t="n">
        <x:v>0.006597222222222222</x:v>
      </x:c>
      <x:c r="Z163" s="89" t="n">
        <x:v>1500</x:v>
      </x:c>
      <x:c r="AA163" s="89" t="n">
        <x:v>1</x:v>
      </x:c>
      <x:c r="AB163" s="89" t="n">
        <x:v>180</x:v>
      </x:c>
      <x:c r="AC163" s="89" t="n">
        <x:v>390</x:v>
      </x:c>
      <x:c r="AD163" s="92"/>
    </x:row>
    <x:row r="164" ht="65.0999984741211" customHeight="1">
      <x:c r="A164" s="100" t="s">
        <x:v>977</x:v>
      </x:c>
      <x:c r="B164" s="105">
        <x:v>160</x:v>
      </x:c>
      <x:c r="C164" s="105">
        <x:v>8</x:v>
      </x:c>
      <x:c r="D164" s="105">
        <x:v>10</x:v>
      </x:c>
      <x:c r="E164" s="100" t="s">
        <x:v>1062</x:v>
      </x:c>
      <x:c r="F164" s="100" t="s">
        <x:v>1063</x:v>
      </x:c>
      <x:c r="G164" s="100" t="s">
        <x:v>1064</x:v>
      </x:c>
      <x:c r="H164" s="100" t="s">
        <x:v>1065</x:v>
      </x:c>
      <x:c r="I164" s="105">
        <x:v>6</x:v>
      </x:c>
      <x:c r="J164" s="100" t="s">
        <x:v>1066</x:v>
      </x:c>
      <x:c r="K164" s="105" t="s">
        <x:v>1067</x:v>
      </x:c>
      <x:c r="L164" s="105" t="str">
        <x:v>2분 30초</x:v>
      </x:c>
      <x:c r="M164" s="100" t="s">
        <x:v>1068</x:v>
      </x:c>
      <x:c r="N164" s="110" t="n">
        <x:f t="shared" si="19">N163+(IFERROR(VALUE(LEFT(L164,FIND("분",L164)-1))*60,0)+IFERROR(VALUE(TRIM(MID(L164,IFERROR(FIND("분",L164),0)+1,IFERROR(FIND("초",L164),LEN(L164)+1)-IFERROR(FIND("분",L164),0)-1))),0))/86400</x:f>
        <x:v>0.203761574074074</x:v>
      </x:c>
      <x:c r="O164" s="100" t="s">
        <x:v>1047</x:v>
      </x:c>
      <x:c r="P164" s="112">
        <x:f t="shared" si="18"/>
        <x:v>903</x:v>
      </x:c>
      <x:c r="Q164" s="112">
        <x:v>10</x:v>
      </x:c>
      <x:c r="R164" s="116">
        <x:f t="shared" si="17"/>
        <x:v>8167.23</x:v>
      </x:c>
      <x:c r="S164" s="104" t="str">
        <x:v>보스</x:v>
      </x:c>
      <x:c r="T164" s="112">
        <x:v>8</x:v>
      </x:c>
      <x:c r="U164" s="112" t="n">
        <x:v>150</x:v>
      </x:c>
      <x:c r="V164" s="104" t="s">
        <x:v>1069</x:v>
      </x:c>
      <x:c r="W164" s="165"/>
      <x:c r="X164" s="165"/>
      <x:c r="Y164" s="165"/>
      <x:c r="Z164" s="112"/>
      <x:c r="AA164" s="112"/>
      <x:c r="AB164" s="112"/>
      <x:c r="AC164" s="112"/>
      <x:c r="AD164" s="92"/>
    </x:row>
    <x:row r="165" ht="65.0999984741211" customHeight="1">
      <x:c r="A165" s="100" t="s">
        <x:v>977</x:v>
      </x:c>
      <x:c r="B165" s="105">
        <x:v>161</x:v>
      </x:c>
      <x:c r="C165" s="105">
        <x:v>9</x:v>
      </x:c>
      <x:c r="D165" s="105">
        <x:v>10</x:v>
      </x:c>
      <x:c r="E165" s="100" t="s">
        <x:v>1070</x:v>
      </x:c>
      <x:c r="F165" s="100" t="s">
        <x:v>1071</x:v>
      </x:c>
      <x:c r="G165" s="100" t="s">
        <x:v>1072</x:v>
      </x:c>
      <x:c r="H165" s="100" t="s">
        <x:v>1073</x:v>
      </x:c>
      <x:c r="I165" s="105">
        <x:v>4</x:v>
      </x:c>
      <x:c r="J165" s="100" t="s">
        <x:v>1074</x:v>
      </x:c>
      <x:c r="K165" s="105" t="s">
        <x:v>1075</x:v>
      </x:c>
      <x:c r="L165" s="105" t="str">
        <x:v>3분</x:v>
      </x:c>
      <x:c r="M165" s="100" t="s">
        <x:v>1076</x:v>
      </x:c>
      <x:c r="N165" s="110" t="n">
        <x:f t="shared" si="19">N164+(IFERROR(VALUE(LEFT(L165,FIND("분",L165)-1))*60,0)+IFERROR(VALUE(TRIM(MID(L165,IFERROR(FIND("분",L165),0)+1,IFERROR(FIND("초",L165),LEN(L165)+1)-IFERROR(FIND("분",L165),0)-1))),0))/86400</x:f>
        <x:v>0.20584490740740732</x:v>
      </x:c>
      <x:c r="O165" s="100" t="s">
        <x:v>1047</x:v>
      </x:c>
      <x:c r="P165" s="112">
        <x:f t="shared" si="18"/>
        <x:v>914</x:v>
      </x:c>
      <x:c r="Q165" s="112">
        <x:v>11</x:v>
      </x:c>
      <x:c r="R165" s="116" t="n">
        <x:f t="shared" ref="R165:R178" si="20">ROUND($Q$3*P165*P165+$R$3*P165,2)</x:f>
        <x:v>8365.75</x:v>
      </x:c>
      <x:c r="S165" s="104" t="str">
        <x:v>보스</x:v>
      </x:c>
      <x:c r="T165" s="112">
        <x:v>9</x:v>
      </x:c>
      <x:c r="U165" s="112" t="n">
        <x:v>180</x:v>
      </x:c>
      <x:c r="V165" s="104" t="s">
        <x:v>1077</x:v>
      </x:c>
      <x:c r="W165" s="165"/>
      <x:c r="X165" s="165"/>
      <x:c r="Y165" s="165"/>
      <x:c r="Z165" s="112"/>
      <x:c r="AA165" s="112"/>
      <x:c r="AB165" s="112"/>
      <x:c r="AC165" s="112"/>
      <x:c r="AD165" s="92"/>
    </x:row>
    <x:row r="166" ht="65.0999984741211" customHeight="1">
      <x:c r="A166" s="100" t="s">
        <x:v>977</x:v>
      </x:c>
      <x:c r="B166" s="105">
        <x:v>162</x:v>
      </x:c>
      <x:c r="C166" s="105">
        <x:v>9</x:v>
      </x:c>
      <x:c r="D166" s="105">
        <x:v>10</x:v>
      </x:c>
      <x:c r="E166" s="100" t="s">
        <x:v>1078</x:v>
      </x:c>
      <x:c r="F166" s="100" t="s">
        <x:v>1079</x:v>
      </x:c>
      <x:c r="G166" s="100" t="s">
        <x:v>1080</x:v>
      </x:c>
      <x:c r="H166" s="100" t="s">
        <x:v>1081</x:v>
      </x:c>
      <x:c r="I166" s="105">
        <x:v>5</x:v>
      </x:c>
      <x:c r="J166" s="100" t="s">
        <x:v>1082</x:v>
      </x:c>
      <x:c r="K166" s="105" t="s">
        <x:v>1083</x:v>
      </x:c>
      <x:c r="L166" s="105" t="str">
        <x:v>1분 30초</x:v>
      </x:c>
      <x:c r="M166" s="100" t="s">
        <x:v>1084</x:v>
      </x:c>
      <x:c r="N166" s="110" t="n">
        <x:f t="shared" si="19">N165+(IFERROR(VALUE(LEFT(L166,FIND("분",L166)-1))*60,0)+IFERROR(VALUE(TRIM(MID(L166,IFERROR(FIND("분",L166),0)+1,IFERROR(FIND("초",L166),LEN(L166)+1)-IFERROR(FIND("분",L166),0)-1))),0))/86400</x:f>
        <x:v>0.206886574074074</x:v>
      </x:c>
      <x:c r="O166" s="100" t="s">
        <x:v>1047</x:v>
      </x:c>
      <x:c r="P166" s="112" t="n">
        <x:f t="shared" ref="P166:P178" si="21">P165+Q166</x:f>
        <x:v>925</x:v>
      </x:c>
      <x:c r="Q166" s="112">
        <x:v>11</x:v>
      </x:c>
      <x:c r="R166" s="116">
        <x:f t="shared" si="20"/>
        <x:v>8566.66</x:v>
      </x:c>
      <x:c r="S166" s="104" t="str">
        <x:v>보스</x:v>
      </x:c>
      <x:c r="T166" s="112">
        <x:v>9</x:v>
      </x:c>
      <x:c r="U166" s="112" t="n">
        <x:v>90</x:v>
      </x:c>
      <x:c r="V166" s="104" t="s">
        <x:v>1085</x:v>
      </x:c>
      <x:c r="W166" s="165"/>
      <x:c r="X166" s="165"/>
      <x:c r="Y166" s="165"/>
      <x:c r="Z166" s="112"/>
      <x:c r="AA166" s="112"/>
      <x:c r="AB166" s="112"/>
      <x:c r="AC166" s="112"/>
      <x:c r="AD166" s="92"/>
    </x:row>
    <x:row r="167" ht="65.0999984741211" customHeight="1">
      <x:c r="A167" s="100" t="s">
        <x:v>977</x:v>
      </x:c>
      <x:c r="B167" s="105">
        <x:v>163</x:v>
      </x:c>
      <x:c r="C167" s="105">
        <x:v>1</x:v>
      </x:c>
      <x:c r="D167" s="105">
        <x:v>10</x:v>
      </x:c>
      <x:c r="E167" s="100" t="s">
        <x:v>1086</x:v>
      </x:c>
      <x:c r="F167" s="100" t="s">
        <x:v>1087</x:v>
      </x:c>
      <x:c r="G167" s="100" t="s">
        <x:v>1088</x:v>
      </x:c>
      <x:c r="H167" s="100" t="s">
        <x:v>1089</x:v>
      </x:c>
      <x:c r="I167" s="105">
        <x:v>5</x:v>
      </x:c>
      <x:c r="J167" s="100" t="s">
        <x:v>1090</x:v>
      </x:c>
      <x:c r="K167" s="105" t="s">
        <x:v>38</x:v>
      </x:c>
      <x:c r="L167" s="105" t="s">
        <x:v>117</x:v>
      </x:c>
      <x:c r="M167" s="100" t="s">
        <x:v>1091</x:v>
      </x:c>
      <x:c r="N167" s="110" t="n">
        <x:f t="shared" si="19">N166+(IFERROR(VALUE(LEFT(L167,FIND("분",L167)-1))*60,0)+IFERROR(VALUE(TRIM(MID(L167,IFERROR(FIND("분",L167),0)+1,IFERROR(FIND("초",L167),LEN(L167)+1)-IFERROR(FIND("분",L167),0)-1))),0))/86400</x:f>
        <x:v>0.20827546296296287</x:v>
      </x:c>
      <x:c r="O167" s="100" t="s">
        <x:v>1047</x:v>
      </x:c>
      <x:c r="P167" s="112">
        <x:f t="shared" si="21"/>
        <x:v>932</x:v>
      </x:c>
      <x:c r="Q167" s="112">
        <x:v>7</x:v>
      </x:c>
      <x:c r="R167" s="116">
        <x:f t="shared" si="20"/>
        <x:v>8695.75</x:v>
      </x:c>
      <x:c r="S167" s="104" t="s">
        <x:v>42</x:v>
      </x:c>
      <x:c r="T167" s="112" t="s">
        <x:v>43</x:v>
      </x:c>
      <x:c r="U167" s="112" t="s">
        <x:v>43</x:v>
      </x:c>
      <x:c r="V167" s="104" t="s">
        <x:v>43</x:v>
      </x:c>
      <x:c r="W167" s="165" t="n">
        <x:v>0.0016203703703703703</x:v>
      </x:c>
      <x:c r="X167" s="165" t="n">
        <x:v>0.0015046296296296296</x:v>
      </x:c>
      <x:c r="Y167" s="165" t="n">
        <x:v>0.001388888888888889</x:v>
      </x:c>
      <x:c r="Z167" s="112"/>
      <x:c r="AA167" s="112"/>
      <x:c r="AB167" s="112"/>
      <x:c r="AC167" s="112"/>
      <x:c r="AD167" s="92"/>
    </x:row>
    <x:row r="168" ht="65.0999984741211" customHeight="1">
      <x:c r="A168" s="100" t="s">
        <x:v>977</x:v>
      </x:c>
      <x:c r="B168" s="105">
        <x:v>164</x:v>
      </x:c>
      <x:c r="C168" s="105">
        <x:v>6</x:v>
      </x:c>
      <x:c r="D168" s="105">
        <x:v>10</x:v>
      </x:c>
      <x:c r="E168" s="100" t="s">
        <x:v>1092</x:v>
      </x:c>
      <x:c r="F168" s="100" t="s">
        <x:v>1093</x:v>
      </x:c>
      <x:c r="G168" s="100" t="s">
        <x:v>1094</x:v>
      </x:c>
      <x:c r="H168" s="100" t="s">
        <x:v>1095</x:v>
      </x:c>
      <x:c r="I168" s="105">
        <x:v>1</x:v>
      </x:c>
      <x:c r="J168" s="100" t="s">
        <x:v>1096</x:v>
      </x:c>
      <x:c r="K168" s="105" t="s">
        <x:v>1097</x:v>
      </x:c>
      <x:c r="L168" s="105" t="s">
        <x:v>170</x:v>
      </x:c>
      <x:c r="M168" s="100" t="s">
        <x:v>1098</x:v>
      </x:c>
      <x:c r="N168" s="110" t="n">
        <x:f t="shared" si="19">N167+(IFERROR(VALUE(LEFT(L168,FIND("분",L168)-1))*60,0)+IFERROR(VALUE(TRIM(MID(L168,IFERROR(FIND("분",L168),0)+1,IFERROR(FIND("초",L168),LEN(L168)+1)-IFERROR(FIND("분",L168),0)-1))),0))/86400</x:f>
        <x:v>0.21001157407407398</x:v>
      </x:c>
      <x:c r="O168" s="100" t="s">
        <x:v>1099</x:v>
      </x:c>
      <x:c r="P168" s="112">
        <x:f t="shared" si="21"/>
        <x:v>941</x:v>
      </x:c>
      <x:c r="Q168" s="112">
        <x:v>9</x:v>
      </x:c>
      <x:c r="R168" s="116">
        <x:f t="shared" si="20"/>
        <x:v>8863.14</x:v>
      </x:c>
      <x:c r="S168" s="104" t="s">
        <x:v>42</x:v>
      </x:c>
      <x:c r="T168" s="112" t="s">
        <x:v>43</x:v>
      </x:c>
      <x:c r="U168" s="112" t="s">
        <x:v>43</x:v>
      </x:c>
      <x:c r="V168" s="104" t="s">
        <x:v>43</x:v>
      </x:c>
      <x:c r="W168" s="165" t="n">
        <x:v>0.002777777777777778</x:v>
      </x:c>
      <x:c r="X168" s="165" t="n">
        <x:v>0.0022569444444444442</x:v>
      </x:c>
      <x:c r="Y168" s="165" t="n">
        <x:v>0.001736111111111111</x:v>
      </x:c>
      <x:c r="Z168" s="112"/>
      <x:c r="AA168" s="112"/>
      <x:c r="AB168" s="112"/>
      <x:c r="AC168" s="112"/>
      <x:c r="AD168" s="92"/>
    </x:row>
    <x:row r="169" ht="65.0999984741211" customHeight="1">
      <x:c r="A169" s="100" t="s">
        <x:v>977</x:v>
      </x:c>
      <x:c r="B169" s="105">
        <x:v>165</x:v>
      </x:c>
      <x:c r="C169" s="105">
        <x:v>1</x:v>
      </x:c>
      <x:c r="D169" s="105">
        <x:v>10</x:v>
      </x:c>
      <x:c r="E169" s="100" t="s">
        <x:v>1100</x:v>
      </x:c>
      <x:c r="F169" s="100" t="s">
        <x:v>1101</x:v>
      </x:c>
      <x:c r="G169" s="100" t="s">
        <x:v>1102</x:v>
      </x:c>
      <x:c r="H169" s="100" t="s">
        <x:v>1103</x:v>
      </x:c>
      <x:c r="I169" s="105">
        <x:v>6</x:v>
      </x:c>
      <x:c r="J169" s="100" t="s">
        <x:v>1104</x:v>
      </x:c>
      <x:c r="K169" s="105" t="s">
        <x:v>38</x:v>
      </x:c>
      <x:c r="L169" s="105" t="s">
        <x:v>471</x:v>
      </x:c>
      <x:c r="M169" s="100" t="s">
        <x:v>1105</x:v>
      </x:c>
      <x:c r="N169" s="110" t="n">
        <x:f t="shared" si="19">N168+(IFERROR(VALUE(LEFT(L169,FIND("분",L169)-1))*60,0)+IFERROR(VALUE(TRIM(MID(L169,IFERROR(FIND("분",L169),0)+1,IFERROR(FIND("초",L169),LEN(L169)+1)-IFERROR(FIND("분",L169),0)-1))),0))/86400</x:f>
        <x:v>0.21221064814814805</x:v>
      </x:c>
      <x:c r="O169" s="100" t="s">
        <x:v>1099</x:v>
      </x:c>
      <x:c r="P169" s="112">
        <x:f t="shared" si="21"/>
        <x:v>946</x:v>
      </x:c>
      <x:c r="Q169" s="112">
        <x:v>5</x:v>
      </x:c>
      <x:c r="R169" s="116">
        <x:f t="shared" si="20"/>
        <x:v>8956.82</x:v>
      </x:c>
      <x:c r="S169" s="104" t="s">
        <x:v>42</x:v>
      </x:c>
      <x:c r="T169" s="112" t="s">
        <x:v>43</x:v>
      </x:c>
      <x:c r="U169" s="112" t="s">
        <x:v>43</x:v>
      </x:c>
      <x:c r="V169" s="104" t="s">
        <x:v>43</x:v>
      </x:c>
      <x:c r="W169" s="165" t="n">
        <x:v>0.0025462962962962965</x:v>
      </x:c>
      <x:c r="X169" s="165" t="n">
        <x:v>0.0023148148148148147</x:v>
      </x:c>
      <x:c r="Y169" s="165" t="n">
        <x:v>0.002199074074074074</x:v>
      </x:c>
      <x:c r="Z169" s="112"/>
      <x:c r="AA169" s="112"/>
      <x:c r="AB169" s="112"/>
      <x:c r="AC169" s="112"/>
      <x:c r="AD169" s="92"/>
    </x:row>
    <x:row r="170" ht="65.0999984741211" customHeight="1">
      <x:c r="A170" s="100" t="s">
        <x:v>977</x:v>
      </x:c>
      <x:c r="B170" s="105">
        <x:v>166</x:v>
      </x:c>
      <x:c r="C170" s="105">
        <x:v>1</x:v>
      </x:c>
      <x:c r="D170" s="105">
        <x:v>10</x:v>
      </x:c>
      <x:c r="E170" s="100" t="s">
        <x:v>1106</x:v>
      </x:c>
      <x:c r="F170" s="100" t="s">
        <x:v>1107</x:v>
      </x:c>
      <x:c r="G170" s="100" t="s">
        <x:v>1108</x:v>
      </x:c>
      <x:c r="H170" s="100" t="s">
        <x:v>1109</x:v>
      </x:c>
      <x:c r="I170" s="105">
        <x:v>3</x:v>
      </x:c>
      <x:c r="J170" s="100" t="s">
        <x:v>1110</x:v>
      </x:c>
      <x:c r="K170" s="105" t="s">
        <x:v>38</x:v>
      </x:c>
      <x:c r="L170" s="105" t="s">
        <x:v>238</x:v>
      </x:c>
      <x:c r="M170" s="100" t="s">
        <x:v>1111</x:v>
      </x:c>
      <x:c r="N170" s="110" t="n">
        <x:f t="shared" si="19">N169+(IFERROR(VALUE(LEFT(L170,FIND("분",L170)-1))*60,0)+IFERROR(VALUE(TRIM(MID(L170,IFERROR(FIND("분",L170),0)+1,IFERROR(FIND("초",L170),LEN(L170)+1)-IFERROR(FIND("분",L170),0)-1))),0))/86400</x:f>
        <x:v>0.2140624999999999</x:v>
      </x:c>
      <x:c r="O170" s="100" t="s">
        <x:v>1099</x:v>
      </x:c>
      <x:c r="P170" s="112">
        <x:f t="shared" si="21"/>
        <x:v>951</x:v>
      </x:c>
      <x:c r="Q170" s="112">
        <x:v>5</x:v>
      </x:c>
      <x:c r="R170" s="116">
        <x:f t="shared" si="20"/>
        <x:v>9051</x:v>
      </x:c>
      <x:c r="S170" s="104" t="s">
        <x:v>42</x:v>
      </x:c>
      <x:c r="T170" s="112" t="s">
        <x:v>43</x:v>
      </x:c>
      <x:c r="U170" s="112" t="s">
        <x:v>43</x:v>
      </x:c>
      <x:c r="V170" s="104" t="s">
        <x:v>43</x:v>
      </x:c>
      <x:c r="W170" s="165" t="n">
        <x:v>0.0021412037037037038</x:v>
      </x:c>
      <x:c r="X170" s="165" t="n">
        <x:v>0.0019675925925925924</x:v>
      </x:c>
      <x:c r="Y170" s="165" t="n">
        <x:v>0.001851851851851852</x:v>
      </x:c>
      <x:c r="Z170" s="112"/>
      <x:c r="AA170" s="112"/>
      <x:c r="AB170" s="112"/>
      <x:c r="AC170" s="112"/>
      <x:c r="AD170" s="92"/>
    </x:row>
    <x:row r="171" ht="65.0999984741211" customHeight="1">
      <x:c r="A171" s="100" t="s">
        <x:v>977</x:v>
      </x:c>
      <x:c r="B171" s="105">
        <x:v>167</x:v>
      </x:c>
      <x:c r="C171" s="105">
        <x:v>1</x:v>
      </x:c>
      <x:c r="D171" s="105">
        <x:v>10</x:v>
      </x:c>
      <x:c r="E171" s="100" t="s">
        <x:v>1112</x:v>
      </x:c>
      <x:c r="F171" s="100" t="s">
        <x:v>1113</x:v>
      </x:c>
      <x:c r="G171" s="100" t="s">
        <x:v>1114</x:v>
      </x:c>
      <x:c r="H171" s="100" t="s">
        <x:v>1115</x:v>
      </x:c>
      <x:c r="I171" s="105">
        <x:v>3</x:v>
      </x:c>
      <x:c r="J171" s="100" t="s">
        <x:v>1116</x:v>
      </x:c>
      <x:c r="K171" s="105" t="s">
        <x:v>38</x:v>
      </x:c>
      <x:c r="L171" s="105" t="s">
        <x:v>170</x:v>
      </x:c>
      <x:c r="M171" s="100" t="s">
        <x:v>1117</x:v>
      </x:c>
      <x:c r="N171" s="110" t="n">
        <x:f t="shared" si="19">N170+(IFERROR(VALUE(LEFT(L171,FIND("분",L171)-1))*60,0)+IFERROR(VALUE(TRIM(MID(L171,IFERROR(FIND("분",L171),0)+1,IFERROR(FIND("초",L171),LEN(L171)+1)-IFERROR(FIND("분",L171),0)-1))),0))/86400</x:f>
        <x:v>0.215798611111111</x:v>
      </x:c>
      <x:c r="O171" s="100" t="s">
        <x:v>1099</x:v>
      </x:c>
      <x:c r="P171" s="112">
        <x:f t="shared" si="21"/>
        <x:v>956</x:v>
      </x:c>
      <x:c r="Q171" s="112">
        <x:v>5</x:v>
      </x:c>
      <x:c r="R171" s="116">
        <x:f t="shared" si="20"/>
        <x:v>9145.67</x:v>
      </x:c>
      <x:c r="S171" s="104" t="s">
        <x:v>42</x:v>
      </x:c>
      <x:c r="T171" s="112" t="s">
        <x:v>43</x:v>
      </x:c>
      <x:c r="U171" s="112" t="s">
        <x:v>43</x:v>
      </x:c>
      <x:c r="V171" s="104" t="s">
        <x:v>43</x:v>
      </x:c>
      <x:c r="W171" s="165" t="n">
        <x:v>0.002025462962962963</x:v>
      </x:c>
      <x:c r="X171" s="165" t="n">
        <x:v>0.001851851851851852</x:v>
      </x:c>
      <x:c r="Y171" s="165" t="n">
        <x:v>0.001736111111111111</x:v>
      </x:c>
      <x:c r="Z171" s="112"/>
      <x:c r="AA171" s="112"/>
      <x:c r="AB171" s="112"/>
      <x:c r="AC171" s="112"/>
      <x:c r="AD171" s="92"/>
    </x:row>
    <x:row r="172" ht="65.0999984741211" customHeight="1">
      <x:c r="A172" s="100" t="s">
        <x:v>977</x:v>
      </x:c>
      <x:c r="B172" s="105">
        <x:v>168</x:v>
      </x:c>
      <x:c r="C172" s="105">
        <x:v>4</x:v>
      </x:c>
      <x:c r="D172" s="105">
        <x:v>10</x:v>
      </x:c>
      <x:c r="E172" s="100" t="s">
        <x:v>1118</x:v>
      </x:c>
      <x:c r="F172" s="100" t="s">
        <x:v>1119</x:v>
      </x:c>
      <x:c r="G172" s="100" t="s">
        <x:v>1120</x:v>
      </x:c>
      <x:c r="H172" s="100" t="s">
        <x:v>1121</x:v>
      </x:c>
      <x:c r="I172" s="105">
        <x:v>5</x:v>
      </x:c>
      <x:c r="J172" s="100" t="s">
        <x:v>1122</x:v>
      </x:c>
      <x:c r="K172" s="105" t="s">
        <x:v>1123</x:v>
      </x:c>
      <x:c r="L172" s="105" t="s">
        <x:v>463</x:v>
      </x:c>
      <x:c r="M172" s="100" t="s">
        <x:v>1124</x:v>
      </x:c>
      <x:c r="N172" s="110" t="n">
        <x:f t="shared" si="19">N171+(IFERROR(VALUE(LEFT(L172,FIND("분",L172)-1))*60,0)+IFERROR(VALUE(TRIM(MID(L172,IFERROR(FIND("분",L172),0)+1,IFERROR(FIND("초",L172),LEN(L172)+1)-IFERROR(FIND("분",L172),0)-1))),0))/86400</x:f>
        <x:v>0.21811342592592584</x:v>
      </x:c>
      <x:c r="O172" s="100" t="s">
        <x:v>1099</x:v>
      </x:c>
      <x:c r="P172" s="112">
        <x:f t="shared" si="21"/>
        <x:v>963</x:v>
      </x:c>
      <x:c r="Q172" s="112">
        <x:v>7</x:v>
      </x:c>
      <x:c r="R172" s="116">
        <x:f t="shared" si="20"/>
        <x:v>9279.0300000000007</x:v>
      </x:c>
      <x:c r="S172" s="104" t="s">
        <x:v>42</x:v>
      </x:c>
      <x:c r="T172" s="112" t="s">
        <x:v>43</x:v>
      </x:c>
      <x:c r="U172" s="112" t="s">
        <x:v>43</x:v>
      </x:c>
      <x:c r="V172" s="104" t="s">
        <x:v>43</x:v>
      </x:c>
      <x:c r="W172" s="165" t="n">
        <x:v>0.003125</x:v>
      </x:c>
      <x:c r="X172" s="165" t="n">
        <x:v>0.002662037037037037</x:v>
      </x:c>
      <x:c r="Y172" s="165" t="n">
        <x:v>0.0023148148148148147</x:v>
      </x:c>
      <x:c r="Z172" s="112"/>
      <x:c r="AA172" s="112"/>
      <x:c r="AB172" s="112"/>
      <x:c r="AC172" s="112"/>
      <x:c r="AD172" s="92"/>
    </x:row>
    <x:row r="173" ht="65.0999984741211" customHeight="1">
      <x:c r="A173" s="100" t="s">
        <x:v>977</x:v>
      </x:c>
      <x:c r="B173" s="105">
        <x:v>169</x:v>
      </x:c>
      <x:c r="C173" s="105">
        <x:v>7</x:v>
      </x:c>
      <x:c r="D173" s="105">
        <x:v>10</x:v>
      </x:c>
      <x:c r="E173" s="100" t="s">
        <x:v>1125</x:v>
      </x:c>
      <x:c r="F173" s="100" t="s">
        <x:v>1126</x:v>
      </x:c>
      <x:c r="G173" s="100" t="s">
        <x:v>1127</x:v>
      </x:c>
      <x:c r="H173" s="100" t="s">
        <x:v>1128</x:v>
      </x:c>
      <x:c r="I173" s="105">
        <x:v>4</x:v>
      </x:c>
      <x:c r="J173" s="100" t="s">
        <x:v>1129</x:v>
      </x:c>
      <x:c r="K173" s="105" t="s">
        <x:v>1130</x:v>
      </x:c>
      <x:c r="L173" s="105" t="s">
        <x:v>233</x:v>
      </x:c>
      <x:c r="M173" s="100" t="s">
        <x:v>1131</x:v>
      </x:c>
      <x:c r="N173" s="110" t="n">
        <x:f t="shared" si="19">N172+(IFERROR(VALUE(LEFT(L173,FIND("분",L173)-1))*60,0)+IFERROR(VALUE(TRIM(MID(L173,IFERROR(FIND("분",L173),0)+1,IFERROR(FIND("초",L173),LEN(L173)+1)-IFERROR(FIND("분",L173),0)-1))),0))/86400</x:f>
        <x:v>0.22019675925925916</x:v>
      </x:c>
      <x:c r="O173" s="100" t="s">
        <x:v>1099</x:v>
      </x:c>
      <x:c r="P173" s="112">
        <x:f t="shared" si="21"/>
        <x:v>973</x:v>
      </x:c>
      <x:c r="Q173" s="112">
        <x:v>10</x:v>
      </x:c>
      <x:c r="R173" s="116">
        <x:f t="shared" si="20"/>
        <x:v>9471.23</x:v>
      </x:c>
      <x:c r="S173" s="104" t="s">
        <x:v>42</x:v>
      </x:c>
      <x:c r="T173" s="112" t="s">
        <x:v>43</x:v>
      </x:c>
      <x:c r="U173" s="112" t="s">
        <x:v>43</x:v>
      </x:c>
      <x:c r="V173" s="104" t="s">
        <x:v>43</x:v>
      </x:c>
      <x:c r="W173" s="165" t="n">
        <x:v>0.003993055555555555</x:v>
      </x:c>
      <x:c r="X173" s="165" t="n">
        <x:v>0.0030671296296296297</x:v>
      </x:c>
      <x:c r="Y173" s="165" t="n">
        <x:v>0.0020833333333333333</x:v>
      </x:c>
      <x:c r="Z173" s="112"/>
      <x:c r="AA173" s="112"/>
      <x:c r="AB173" s="112"/>
      <x:c r="AC173" s="112"/>
      <x:c r="AD173" s="92"/>
    </x:row>
    <x:row r="174" ht="65.0999984741211" customHeight="1">
      <x:c r="A174" s="100" t="s">
        <x:v>977</x:v>
      </x:c>
      <x:c r="B174" s="105">
        <x:v>170</x:v>
      </x:c>
      <x:c r="C174" s="105">
        <x:v>6</x:v>
      </x:c>
      <x:c r="D174" s="105">
        <x:v>10</x:v>
      </x:c>
      <x:c r="E174" s="100" t="s">
        <x:v>1132</x:v>
      </x:c>
      <x:c r="F174" s="100" t="s">
        <x:v>1133</x:v>
      </x:c>
      <x:c r="G174" s="100" t="s">
        <x:v>1134</x:v>
      </x:c>
      <x:c r="H174" s="100" t="s">
        <x:v>1135</x:v>
      </x:c>
      <x:c r="I174" s="105">
        <x:v>6</x:v>
      </x:c>
      <x:c r="J174" s="100" t="s">
        <x:v>1136</x:v>
      </x:c>
      <x:c r="K174" s="105" t="s">
        <x:v>1137</x:v>
      </x:c>
      <x:c r="L174" s="105" t="s">
        <x:v>1009</x:v>
      </x:c>
      <x:c r="M174" s="100" t="s">
        <x:v>1138</x:v>
      </x:c>
      <x:c r="N174" s="110" t="n">
        <x:f t="shared" si="19">N173+(IFERROR(VALUE(LEFT(L174,FIND("분",L174)-1))*60,0)+IFERROR(VALUE(TRIM(MID(L174,IFERROR(FIND("분",L174),0)+1,IFERROR(FIND("초",L174),LEN(L174)+1)-IFERROR(FIND("분",L174),0)-1))),0))/86400</x:f>
        <x:v>0.22274305555555546</x:v>
      </x:c>
      <x:c r="O174" s="100" t="s">
        <x:v>1099</x:v>
      </x:c>
      <x:c r="P174" s="112">
        <x:f t="shared" si="21"/>
        <x:v>982</x:v>
      </x:c>
      <x:c r="Q174" s="112">
        <x:v>9</x:v>
      </x:c>
      <x:c r="R174" s="116">
        <x:f t="shared" si="20"/>
        <x:v>9645.89</x:v>
      </x:c>
      <x:c r="S174" s="104" t="s">
        <x:v>42</x:v>
      </x:c>
      <x:c r="T174" s="112" t="s">
        <x:v>43</x:v>
      </x:c>
      <x:c r="U174" s="112" t="s">
        <x:v>43</x:v>
      </x:c>
      <x:c r="V174" s="104" t="s">
        <x:v>43</x:v>
      </x:c>
      <x:c r="W174" s="165" t="n">
        <x:v>0.004108796296296296</x:v>
      </x:c>
      <x:c r="X174" s="165" t="n">
        <x:v>0.0033564814814814816</x:v>
      </x:c>
      <x:c r="Y174" s="165" t="n">
        <x:v>0.0025462962962962965</x:v>
      </x:c>
      <x:c r="Z174" s="112"/>
      <x:c r="AA174" s="112"/>
      <x:c r="AB174" s="112"/>
      <x:c r="AC174" s="112"/>
      <x:c r="AD174" s="92"/>
    </x:row>
    <x:row r="175" ht="65.0999984741211" customHeight="1">
      <x:c r="A175" s="100" t="s">
        <x:v>977</x:v>
      </x:c>
      <x:c r="B175" s="105">
        <x:v>171</x:v>
      </x:c>
      <x:c r="C175" s="105">
        <x:v>1</x:v>
      </x:c>
      <x:c r="D175" s="105">
        <x:v>10</x:v>
      </x:c>
      <x:c r="E175" s="100" t="s">
        <x:v>1139</x:v>
      </x:c>
      <x:c r="F175" s="100" t="s">
        <x:v>1140</x:v>
      </x:c>
      <x:c r="G175" s="100" t="s">
        <x:v>1141</x:v>
      </x:c>
      <x:c r="H175" s="100" t="s">
        <x:v>1142</x:v>
      </x:c>
      <x:c r="I175" s="105">
        <x:v>1</x:v>
      </x:c>
      <x:c r="J175" s="100" t="s">
        <x:v>1143</x:v>
      </x:c>
      <x:c r="K175" s="105" t="s">
        <x:v>38</x:v>
      </x:c>
      <x:c r="L175" s="105" t="s">
        <x:v>117</x:v>
      </x:c>
      <x:c r="M175" s="100" t="s">
        <x:v>1144</x:v>
      </x:c>
      <x:c r="N175" s="110" t="n">
        <x:f t="shared" si="19">N174+(IFERROR(VALUE(LEFT(L175,FIND("분",L175)-1))*60,0)+IFERROR(VALUE(TRIM(MID(L175,IFERROR(FIND("분",L175),0)+1,IFERROR(FIND("초",L175),LEN(L175)+1)-IFERROR(FIND("분",L175),0)-1))),0))/86400</x:f>
        <x:v>0.22413194444444434</x:v>
      </x:c>
      <x:c r="O175" s="100" t="s">
        <x:v>1145</x:v>
      </x:c>
      <x:c r="P175" s="112">
        <x:f t="shared" si="21"/>
        <x:v>987</x:v>
      </x:c>
      <x:c r="Q175" s="112">
        <x:v>5</x:v>
      </x:c>
      <x:c r="R175" s="116">
        <x:f t="shared" si="20"/>
        <x:v>9743.61</x:v>
      </x:c>
      <x:c r="S175" s="104" t="s">
        <x:v>42</x:v>
      </x:c>
      <x:c r="T175" s="112" t="s">
        <x:v>43</x:v>
      </x:c>
      <x:c r="U175" s="112" t="s">
        <x:v>43</x:v>
      </x:c>
      <x:c r="V175" s="104" t="s">
        <x:v>43</x:v>
      </x:c>
      <x:c r="W175" s="165" t="n">
        <x:v>0.0016203703703703703</x:v>
      </x:c>
      <x:c r="X175" s="165" t="n">
        <x:v>0.0015046296296296296</x:v>
      </x:c>
      <x:c r="Y175" s="165" t="n">
        <x:v>0.001388888888888889</x:v>
      </x:c>
      <x:c r="Z175" s="112"/>
      <x:c r="AA175" s="112"/>
      <x:c r="AB175" s="112"/>
      <x:c r="AC175" s="112"/>
      <x:c r="AD175" s="92"/>
    </x:row>
    <x:row r="176" ht="65.0999984741211" customHeight="1">
      <x:c r="A176" s="100" t="s">
        <x:v>977</x:v>
      </x:c>
      <x:c r="B176" s="105">
        <x:v>172</x:v>
      </x:c>
      <x:c r="C176" s="105">
        <x:v>1</x:v>
      </x:c>
      <x:c r="D176" s="105">
        <x:v>10</x:v>
      </x:c>
      <x:c r="E176" s="100" t="s">
        <x:v>1146</x:v>
      </x:c>
      <x:c r="F176" s="100" t="s">
        <x:v>1147</x:v>
      </x:c>
      <x:c r="G176" s="100" t="s">
        <x:v>1148</x:v>
      </x:c>
      <x:c r="H176" s="100" t="s">
        <x:v>1149</x:v>
      </x:c>
      <x:c r="I176" s="105">
        <x:v>4</x:v>
      </x:c>
      <x:c r="J176" s="100" t="s">
        <x:v>1150</x:v>
      </x:c>
      <x:c r="K176" s="105" t="s">
        <x:v>38</x:v>
      </x:c>
      <x:c r="L176" s="105" t="s">
        <x:v>170</x:v>
      </x:c>
      <x:c r="M176" s="100" t="s">
        <x:v>1151</x:v>
      </x:c>
      <x:c r="N176" s="110" t="n">
        <x:f t="shared" si="19">N175+(IFERROR(VALUE(LEFT(L176,FIND("분",L176)-1))*60,0)+IFERROR(VALUE(TRIM(MID(L176,IFERROR(FIND("분",L176),0)+1,IFERROR(FIND("초",L176),LEN(L176)+1)-IFERROR(FIND("분",L176),0)-1))),0))/86400</x:f>
        <x:v>0.22586805555555545</x:v>
      </x:c>
      <x:c r="O176" s="100" t="s">
        <x:v>1145</x:v>
      </x:c>
      <x:c r="P176" s="112">
        <x:f t="shared" si="21"/>
        <x:v>992</x:v>
      </x:c>
      <x:c r="Q176" s="112">
        <x:v>5</x:v>
      </x:c>
      <x:c r="R176" s="116">
        <x:f t="shared" si="20"/>
        <x:v>9841.83</x:v>
      </x:c>
      <x:c r="S176" s="104" t="s">
        <x:v>42</x:v>
      </x:c>
      <x:c r="T176" s="112" t="s">
        <x:v>43</x:v>
      </x:c>
      <x:c r="U176" s="112" t="s">
        <x:v>43</x:v>
      </x:c>
      <x:c r="V176" s="104" t="s">
        <x:v>43</x:v>
      </x:c>
      <x:c r="W176" s="165" t="n">
        <x:v>0.002025462962962963</x:v>
      </x:c>
      <x:c r="X176" s="165" t="n">
        <x:v>0.001851851851851852</x:v>
      </x:c>
      <x:c r="Y176" s="165" t="n">
        <x:v>0.001736111111111111</x:v>
      </x:c>
      <x:c r="Z176" s="112"/>
      <x:c r="AA176" s="112"/>
      <x:c r="AB176" s="112"/>
      <x:c r="AC176" s="112"/>
      <x:c r="AD176" s="92"/>
    </x:row>
    <x:row r="177" ht="65.0999984741211" customHeight="1">
      <x:c r="A177" s="100" t="s">
        <x:v>977</x:v>
      </x:c>
      <x:c r="B177" s="105">
        <x:v>173</x:v>
      </x:c>
      <x:c r="C177" s="105">
        <x:v>1</x:v>
      </x:c>
      <x:c r="D177" s="105">
        <x:v>9</x:v>
      </x:c>
      <x:c r="E177" s="100" t="s">
        <x:v>1152</x:v>
      </x:c>
      <x:c r="F177" s="100" t="s">
        <x:v>1147</x:v>
      </x:c>
      <x:c r="G177" s="100" t="s">
        <x:v>1153</x:v>
      </x:c>
      <x:c r="H177" s="100" t="s">
        <x:v>1154</x:v>
      </x:c>
      <x:c r="I177" s="105">
        <x:v>5</x:v>
      </x:c>
      <x:c r="J177" s="100" t="s">
        <x:v>1150</x:v>
      </x:c>
      <x:c r="K177" s="105" t="s">
        <x:v>38</x:v>
      </x:c>
      <x:c r="L177" s="105" t="s">
        <x:v>623</x:v>
      </x:c>
      <x:c r="M177" s="100" t="s">
        <x:v>1151</x:v>
      </x:c>
      <x:c r="N177" s="110" t="n">
        <x:f t="shared" si="19">N176+(IFERROR(VALUE(LEFT(L177,FIND("분",L177)-1))*60,0)+IFERROR(VALUE(TRIM(MID(L177,IFERROR(FIND("분",L177),0)+1,IFERROR(FIND("초",L177),LEN(L177)+1)-IFERROR(FIND("분",L177),0)-1))),0))/86400</x:f>
        <x:v>0.22864583333333321</x:v>
      </x:c>
      <x:c r="O177" s="100" t="s">
        <x:v>1145</x:v>
      </x:c>
      <x:c r="P177" s="112">
        <x:f t="shared" si="21"/>
        <x:v>996</x:v>
      </x:c>
      <x:c r="Q177" s="112">
        <x:v>4</x:v>
      </x:c>
      <x:c r="R177" s="116">
        <x:f t="shared" si="20"/>
        <x:v>9920.76</x:v>
      </x:c>
      <x:c r="S177" s="104" t="s">
        <x:v>42</x:v>
      </x:c>
      <x:c r="T177" s="112" t="s">
        <x:v>43</x:v>
      </x:c>
      <x:c r="U177" s="112" t="s">
        <x:v>43</x:v>
      </x:c>
      <x:c r="V177" s="104" t="s">
        <x:v>43</x:v>
      </x:c>
      <x:c r="W177" s="165" t="n">
        <x:v>0.0032407407407407406</x:v>
      </x:c>
      <x:c r="X177" s="165" t="n">
        <x:v>0.002951388888888889</x:v>
      </x:c>
      <x:c r="Y177" s="165" t="n">
        <x:v>0.002777777777777778</x:v>
      </x:c>
      <x:c r="Z177" s="112"/>
      <x:c r="AA177" s="112"/>
      <x:c r="AB177" s="112"/>
      <x:c r="AC177" s="112"/>
      <x:c r="AD177" s="92"/>
    </x:row>
    <x:row r="178" ht="65.0999984741211" customHeight="1">
      <x:c r="A178" s="100" t="s">
        <x:v>977</x:v>
      </x:c>
      <x:c r="B178" s="105">
        <x:v>174</x:v>
      </x:c>
      <x:c r="C178" s="105">
        <x:v>1</x:v>
      </x:c>
      <x:c r="D178" s="105">
        <x:v>9</x:v>
      </x:c>
      <x:c r="E178" s="100" t="s">
        <x:v>1155</x:v>
      </x:c>
      <x:c r="F178" s="100" t="s">
        <x:v>1156</x:v>
      </x:c>
      <x:c r="G178" s="100" t="s">
        <x:v>1157</x:v>
      </x:c>
      <x:c r="H178" s="100" t="s">
        <x:v>1158</x:v>
      </x:c>
      <x:c r="I178" s="105">
        <x:v>1</x:v>
      </x:c>
      <x:c r="J178" s="100" t="s">
        <x:v>1159</x:v>
      </x:c>
      <x:c r="K178" s="105" t="s">
        <x:v>38</x:v>
      </x:c>
      <x:c r="L178" s="105" t="s">
        <x:v>233</x:v>
      </x:c>
      <x:c r="M178" s="100" t="s">
        <x:v>1160</x:v>
      </x:c>
      <x:c r="N178" s="110" t="n">
        <x:f t="shared" si="19">N177+(IFERROR(VALUE(LEFT(L178,FIND("분",L178)-1))*60,0)+IFERROR(VALUE(TRIM(MID(L178,IFERROR(FIND("분",L178),0)+1,IFERROR(FIND("초",L178),LEN(L178)+1)-IFERROR(FIND("분",L178),0)-1))),0))/86400</x:f>
        <x:v>0.23072916666666654</x:v>
      </x:c>
      <x:c r="O178" s="100" t="s">
        <x:v>1145</x:v>
      </x:c>
      <x:c r="P178" s="112">
        <x:f t="shared" si="21"/>
        <x:v>1000</x:v>
      </x:c>
      <x:c r="Q178" s="112">
        <x:v>4</x:v>
      </x:c>
      <x:c r="R178" s="116">
        <x:f t="shared" si="20"/>
        <x:v>10000</x:v>
      </x:c>
      <x:c r="S178" s="104" t="s">
        <x:v>42</x:v>
      </x:c>
      <x:c r="T178" s="112" t="s">
        <x:v>43</x:v>
      </x:c>
      <x:c r="U178" s="112" t="s">
        <x:v>43</x:v>
      </x:c>
      <x:c r="V178" s="104" t="s">
        <x:v>43</x:v>
      </x:c>
      <x:c r="W178" s="165" t="n">
        <x:v>0.0024305555555555556</x:v>
      </x:c>
      <x:c r="X178" s="165" t="n">
        <x:v>0.002199074074074074</x:v>
      </x:c>
      <x:c r="Y178" s="165" t="n">
        <x:v>0.0020833333333333333</x:v>
      </x:c>
      <x:c r="Z178" s="112"/>
      <x:c r="AA178" s="112"/>
      <x:c r="AB178" s="112"/>
      <x:c r="AC178" s="112"/>
      <x:c r="AD178" s="92"/>
    </x:row>
  </x:sheetData>
  <x:conditionalFormatting sqref="A4:A123">
    <x:cfRule type="colorScale" priority="114">
      <x:colorScale>
        <x:cfvo type="min"/>
        <x:cfvo type="percentile" val="50"/>
        <x:cfvo type="max"/>
        <x:color rgb="FF63BE7B"/>
        <x:color rgb="FFFFEB84"/>
        <x:color rgb="FFF8696B"/>
      </x:colorScale>
    </x:cfRule>
    <x:cfRule type="colorScale" priority="113">
      <x:colorScale>
        <x:cfvo type="min"/>
        <x:cfvo type="max"/>
        <x:color rgb="FF63BE7B"/>
        <x:color rgb="FFFCFCFF"/>
      </x:colorScale>
    </x:cfRule>
    <x:cfRule type="colorScale" priority="112">
      <x:colorScale>
        <x:cfvo type="min"/>
        <x:cfvo type="max"/>
        <x:color rgb="FF9BCFD9"/>
        <x:color rgb="FFC6A5CB"/>
      </x:colorScale>
    </x:cfRule>
  </x:conditionalFormatting>
  <x:conditionalFormatting sqref="I5:I123">
    <x:cfRule type="dataBar" priority="10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{08142C74-489B-4AD4-82B9-36601E0814DB}</x14:id>
        </x:ext>
      </x:extLst>
    </x:cfRule>
  </x:conditionalFormatting>
  <x:conditionalFormatting sqref="D1:D1048574">
    <x:cfRule type="iconSet" priority="106">
      <x:iconSet iconSet="3Signs">
        <x:cfvo type="percent" val="0"/>
        <x:cfvo type="percent" val="33"/>
        <x:cfvo type="percent" val="67"/>
      </x:iconSet>
    </x:cfRule>
    <x:cfRule type="iconSet" priority="101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C1:C1048574">
    <x:cfRule type="iconSet" priority="103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I124:I153">
    <x:cfRule type="dataBar" priority="1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{E5178FC2-0365-4D85-8C68-ED8CD7F3D05E}</x14:id>
        </x:ext>
      </x:extLst>
    </x:cfRule>
  </x:conditionalFormatting>
  <x:conditionalFormatting sqref="S5:V178">
    <x:cfRule type="expression" dxfId="2" priority="115">
      <x:formula>$S5="보스"</x:formula>
    </x:cfRule>
    <x:cfRule type="expression" dxfId="1" priority="116">
      <x:formula>$S5="정예 몬스터"</x:formula>
    </x:cfRule>
    <x:cfRule type="expression" dxfId="0" priority="117">
      <x:formula>$S5="전투 튜토리얼"</x:formula>
    </x:cfRule>
  </x:conditionalFormatting>
  <x:conditionalFormatting sqref="I5:I123">
    <x:cfRule type="dataBar" priority="118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{08142C74-489B-4AD4-82B9-36601E0814DB}</x14:id>
        </x:ext>
      </x:extLst>
    </x:cfRule>
  </x:conditionalFormatting>
  <x:conditionalFormatting sqref="I124:I153">
    <x:cfRule type="dataBar" priority="119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{E5178FC2-0365-4D85-8C68-ED8CD7F3D05E}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8" id="{08142C74-489B-4AD4-82B9-36601E0814DB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I5:I123</xm:sqref>
        </x14:conditionalFormatting>
        <x14:conditionalFormatting>
          <x14:cfRule type="dataBar" priority="1" id="{E5178FC2-0365-4D85-8C68-ED8CD7F3D05E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I124:I153</xm:sqref>
        </x14:conditionalFormatting>
        <x14:conditionalFormatting>
          <x14:cfRule type="dataBar" priority="118" id="{08142C74-489B-4AD4-82B9-36601E0814DB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I5:I123</xm:sqref>
        </x14:conditionalFormatting>
        <x14:conditionalFormatting>
          <x14:cfRule type="dataBar" priority="119" id="{E5178FC2-0365-4D85-8C68-ED8CD7F3D05E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I124:I153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ColWidth="9" defaultRowHeight="12"/>
  <x:cols>
    <x:col min="1" max="52" width="4.25" style="17" customWidth="1"/>
    <x:col min="53" max="16384" width="9" style="17" customWidth="0"/>
  </x:cols>
  <x:sheetData>
    <x:row r="1" ht="18" customHeight="1">
      <x:c r="A1" s="16"/>
    </x:row>
    <x:row r="2" ht="18" customHeight="1">
      <x:c r="A2" s="18"/>
      <x:c r="B2" s="79" t="s">
        <x:v>1161</x:v>
      </x:c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</x:row>
    <x:row r="3" ht="18" customHeight="1"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</x:row>
    <x:row r="4" ht="18" customHeight="1">
      <x:c r="B4" s="79" t="s">
        <x:v>1162</x:v>
      </x:c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</x:row>
    <x:row r="5" ht="18" customHeight="1">
      <x:c r="B5" s="79"/>
      <x:c r="C5" s="79"/>
      <x:c r="D5" s="79"/>
      <x:c r="E5" s="79"/>
      <x:c r="F5" s="79"/>
      <x:c r="G5" s="79"/>
      <x:c r="H5" s="79"/>
      <x:c r="I5" s="79"/>
      <x:c r="J5" s="79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</x:row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>
      <x:c r="A56" s="19"/>
    </x:row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>
      <x:c r="B70" s="79" t="s">
        <x:v>1163</x:v>
      </x:c>
      <x:c r="C70" s="79"/>
      <x:c r="D70" s="79"/>
      <x:c r="E70" s="79"/>
      <x:c r="F70" s="79"/>
      <x:c r="G70" s="79"/>
      <x:c r="H70" s="79"/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</x:row>
    <x:row r="71" ht="18" customHeight="1">
      <x:c r="B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</x:row>
    <x:row r="72" ht="18" customHeight="1">
      <x:c r="B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</x:row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B2:V3"/>
    <x:mergeCell ref="B4:V5"/>
    <x:mergeCell ref="B70:Z72"/>
  </x:mergeCells>
  <x:pageMargins left="0.7" right="0.7" top="0.75" bottom="0.75" header="0.3" footer="0.3"/>
  <x:drawing xmlns:r="http://schemas.openxmlformats.org/officeDocument/2006/relationships" r:id="R3bc4502f87694bfa"/>
</x:worksheet>
</file>

<file path=xl/worksheets/sheet3.xml><?xml version="1.0" encoding="utf-8"?>
<x:worksheet xmlns:x="http://schemas.openxmlformats.org/spreadsheetml/2006/main">
  <x:sheetFormatPr defaultColWidth="8.875" defaultRowHeight="14.25"/>
  <x:cols>
    <x:col min="1" max="1" width="23" customWidth="1"/>
    <x:col min="2" max="2" width="42" customWidth="1"/>
    <x:col min="3" max="3" width="22" customWidth="1"/>
    <x:col min="4" max="4" width="50" customWidth="1"/>
  </x:cols>
  <x:sheetData>
    <x:row r="1">
      <x:c r="A1" s="80" t="s">
        <x:v>1164</x:v>
      </x:c>
      <x:c r="B1" s="80"/>
      <x:c r="C1" s="80"/>
      <x:c r="D1" s="80"/>
    </x:row>
    <x:row r="3">
      <x:c r="A3" s="1" t="s">
        <x:v>1165</x:v>
      </x:c>
      <x:c r="B3" s="2" t="s">
        <x:v>1166</x:v>
      </x:c>
      <x:c r="C3" s="2" t="s">
        <x:v>1167</x:v>
      </x:c>
      <x:c r="D3" s="3" t="s">
        <x:v>1168</x:v>
      </x:c>
    </x:row>
    <x:row r="4" ht="57.95000076293945" customHeight="1">
      <x:c r="A4" s="5" t="s">
        <x:v>1169</x:v>
      </x:c>
      <x:c r="B4" s="6" t="s">
        <x:v>1170</x:v>
      </x:c>
      <x:c r="C4" s="6" t="s">
        <x:v>1171</x:v>
      </x:c>
      <x:c r="D4" s="7" t="s">
        <x:v>1172</x:v>
      </x:c>
    </x:row>
    <x:row r="5" ht="57.95000076293945" customHeight="1">
      <x:c r="A5" s="8" t="s">
        <x:v>1173</x:v>
      </x:c>
      <x:c r="B5" s="4" t="s">
        <x:v>1174</x:v>
      </x:c>
      <x:c r="C5" s="4" t="s">
        <x:v>1171</x:v>
      </x:c>
      <x:c r="D5" s="9" t="s">
        <x:v>1175</x:v>
      </x:c>
    </x:row>
    <x:row r="6" ht="57.95000076293945" customHeight="1">
      <x:c r="A6" s="8" t="s">
        <x:v>1176</x:v>
      </x:c>
      <x:c r="B6" s="4" t="s">
        <x:v>1177</x:v>
      </x:c>
      <x:c r="C6" s="4" t="s">
        <x:v>1178</x:v>
      </x:c>
      <x:c r="D6" s="9" t="s">
        <x:v>1179</x:v>
      </x:c>
    </x:row>
    <x:row r="7" ht="57.95000076293945" customHeight="1">
      <x:c r="A7" s="8" t="s">
        <x:v>1180</x:v>
      </x:c>
      <x:c r="B7" s="4" t="s">
        <x:v>1181</x:v>
      </x:c>
      <x:c r="C7" s="4" t="s">
        <x:v>1182</x:v>
      </x:c>
      <x:c r="D7" s="9" t="s">
        <x:v>1183</x:v>
      </x:c>
    </x:row>
    <x:row r="8" ht="57.95000076293945" customHeight="1">
      <x:c r="A8" s="8" t="s">
        <x:v>1184</x:v>
      </x:c>
      <x:c r="B8" s="4" t="s">
        <x:v>1185</x:v>
      </x:c>
      <x:c r="C8" s="4" t="s">
        <x:v>1186</x:v>
      </x:c>
      <x:c r="D8" s="9" t="s">
        <x:v>1187</x:v>
      </x:c>
    </x:row>
    <x:row r="9" ht="57.95000076293945" customHeight="1">
      <x:c r="A9" s="8" t="s">
        <x:v>1188</x:v>
      </x:c>
      <x:c r="B9" s="4" t="s">
        <x:v>1189</x:v>
      </x:c>
      <x:c r="C9" s="4" t="s">
        <x:v>1190</x:v>
      </x:c>
      <x:c r="D9" s="9" t="s">
        <x:v>1191</x:v>
      </x:c>
    </x:row>
    <x:row r="10" ht="57.95000076293945" customHeight="1">
      <x:c r="A10" s="8" t="s">
        <x:v>1192</x:v>
      </x:c>
      <x:c r="B10" s="4" t="s">
        <x:v>1193</x:v>
      </x:c>
      <x:c r="C10" s="4" t="s">
        <x:v>1194</x:v>
      </x:c>
      <x:c r="D10" s="9" t="s">
        <x:v>1195</x:v>
      </x:c>
    </x:row>
    <x:row r="11" ht="57.95000076293945" customHeight="1">
      <x:c r="A11" s="8" t="s">
        <x:v>1196</x:v>
      </x:c>
      <x:c r="B11" s="4" t="s">
        <x:v>1197</x:v>
      </x:c>
      <x:c r="C11" s="4" t="s">
        <x:v>1198</x:v>
      </x:c>
      <x:c r="D11" s="9" t="s">
        <x:v>1199</x:v>
      </x:c>
    </x:row>
    <x:row r="12" ht="57.95000076293945" customHeight="1">
      <x:c r="A12" s="8" t="s">
        <x:v>1200</x:v>
      </x:c>
      <x:c r="B12" s="4" t="s">
        <x:v>1201</x:v>
      </x:c>
      <x:c r="C12" s="4" t="s">
        <x:v>1202</x:v>
      </x:c>
      <x:c r="D12" s="9" t="s">
        <x:v>1203</x:v>
      </x:c>
    </x:row>
    <x:row r="13" ht="57.95000076293945" customHeight="1">
      <x:c r="A13" s="8" t="s">
        <x:v>1204</x:v>
      </x:c>
      <x:c r="B13" s="4" t="s">
        <x:v>1205</x:v>
      </x:c>
      <x:c r="C13" s="4" t="s">
        <x:v>1206</x:v>
      </x:c>
      <x:c r="D13" s="9" t="s">
        <x:v>1207</x:v>
      </x:c>
    </x:row>
    <x:row r="14" ht="57.95000076293945" customHeight="1">
      <x:c r="A14" s="8" t="s">
        <x:v>1208</x:v>
      </x:c>
      <x:c r="B14" s="4" t="s">
        <x:v>1209</x:v>
      </x:c>
      <x:c r="C14" s="4" t="s">
        <x:v>1210</x:v>
      </x:c>
      <x:c r="D14" s="9" t="str">
        <x:v>L열 예상 소요 시간은 헤비 유저의 1회 성공 기준으로 작성함. W~Y열은 조작난이도와 전투 여부에 따라 라이트·미들·헤비 유저의 탐색·판단·재시도 시간을 반영함. 보스전은 대표 행에 전체 보스전 합산 시간을 표시하고 세부 패턴 행은 중복 집계하지 않음</x:v>
      </x:c>
    </x:row>
    <x:row r="15" ht="57.95000076293945" customHeight="1">
      <x:c r="A15" s="8" t="s">
        <x:v>1211</x:v>
      </x:c>
      <x:c r="B15" s="4" t="s">
        <x:v>1212</x:v>
      </x:c>
      <x:c r="C15" s="4" t="s">
        <x:v>1213</x:v>
      </x:c>
      <x:c r="D15" s="9" t="s">
        <x:v>1214</x:v>
      </x:c>
    </x:row>
    <x:row r="16" ht="57.95000076293945" customHeight="1">
      <x:c r="A16" s="8" t="s">
        <x:v>1215</x:v>
      </x:c>
      <x:c r="B16" s="4" t="s">
        <x:v>1216</x:v>
      </x:c>
      <x:c r="C16" s="4" t="s">
        <x:v>1217</x:v>
      </x:c>
      <x:c r="D16" s="9" t="s">
        <x:v>1218</x:v>
      </x:c>
    </x:row>
    <x:row r="17" ht="57.95000076293945" customHeight="1">
      <x:c r="A17" s="8" t="s">
        <x:v>1219</x:v>
      </x:c>
      <x:c r="B17" s="4" t="s">
        <x:v>1220</x:v>
      </x:c>
      <x:c r="C17" s="4" t="s">
        <x:v>1217</x:v>
      </x:c>
      <x:c r="D17" s="9" t="s">
        <x:v>1221</x:v>
      </x:c>
    </x:row>
    <x:row r="18" ht="57.95000076293945" customHeight="1">
      <x:c r="A18" s="10" t="s">
        <x:v>1222</x:v>
      </x:c>
      <x:c r="B18" s="11" t="s">
        <x:v>1223</x:v>
      </x:c>
      <x:c r="C18" s="11" t="s">
        <x:v>1224</x:v>
      </x:c>
      <x:c r="D18" s="12" t="str">
        <x:f>"현재 문서에는 총 "&amp;COUNTA('밸런스 문서'!B5:B178)&amp;"개 콘텐츠를 기록"</x:f>
        <x:v>현재 문서에는 총 174개 콘텐츠를 기록</x:v>
      </x:c>
    </x:row>
    <x:row r="19" ht="54" customHeight="1">
      <x:c r="A19" s="24" t="s">
        <x:v>1225</x:v>
      </x:c>
      <x:c r="B19" s="24" t="s">
        <x:v>1226</x:v>
      </x:c>
      <x:c r="C19" s="24" t="s">
        <x:v>1227</x:v>
      </x:c>
      <x:c r="D19" s="24" t="s">
        <x:v>1228</x:v>
      </x:c>
    </x:row>
    <x:row r="20" ht="54" customHeight="1">
      <x:c r="A20" s="24" t="s">
        <x:v>1229</x:v>
      </x:c>
      <x:c r="B20" s="24" t="s">
        <x:v>1230</x:v>
      </x:c>
      <x:c r="C20" s="24" t="s">
        <x:v>1231</x:v>
      </x:c>
      <x:c r="D20" s="24" t="s">
        <x:v>1232</x:v>
      </x:c>
    </x:row>
    <x:row r="21" ht="54" customHeight="1">
      <x:c r="A21" s="24" t="s">
        <x:v>1233</x:v>
      </x:c>
      <x:c r="B21" s="24" t="s">
        <x:v>1234</x:v>
      </x:c>
      <x:c r="C21" s="24" t="s">
        <x:v>1235</x:v>
      </x:c>
      <x:c r="D21" s="24" t="s">
        <x:v>1236</x:v>
      </x:c>
    </x:row>
    <x:row r="22" ht="54" customHeight="1">
      <x:c r="A22" s="24" t="s">
        <x:v>1237</x:v>
      </x:c>
      <x:c r="B22" s="24" t="s">
        <x:v>1238</x:v>
      </x:c>
      <x:c r="C22" s="24" t="s">
        <x:v>1239</x:v>
      </x:c>
      <x:c r="D22" s="24" t="s">
        <x:v>1240</x:v>
      </x:c>
    </x:row>
    <x:row r="23" ht="54" customHeight="1">
      <x:c r="A23" s="24" t="s">
        <x:v>1241</x:v>
      </x:c>
      <x:c r="B23" s="24" t="s">
        <x:v>1242</x:v>
      </x:c>
      <x:c r="C23" s="24" t="s">
        <x:v>1243</x:v>
      </x:c>
      <x:c r="D23" s="24" t="s">
        <x:v>1244</x:v>
      </x:c>
    </x:row>
    <x:row r="24" ht="54" customHeight="1">
      <x:c r="A24" s="24" t="s">
        <x:v>28</x:v>
      </x:c>
      <x:c r="B24" s="24" t="s">
        <x:v>1245</x:v>
      </x:c>
      <x:c r="C24" s="24" t="s">
        <x:v>1246</x:v>
      </x:c>
      <x:c r="D24" s="24" t="s">
        <x:v>1247</x:v>
      </x:c>
    </x:row>
    <x:row r="25" ht="54" customHeight="1">
      <x:c r="A25" s="24" t="s">
        <x:v>1248</x:v>
      </x:c>
      <x:c r="B25" s="24" t="s">
        <x:v>1249</x:v>
      </x:c>
      <x:c r="C25" s="24" t="s">
        <x:v>1198</x:v>
      </x:c>
      <x:c r="D25" s="24" t="s">
        <x:v>1250</x:v>
      </x:c>
    </x:row>
    <x:row r="26" ht="54" customHeight="1">
      <x:c r="A26" s="24" t="s">
        <x:v>1251</x:v>
      </x:c>
      <x:c r="B26" s="24" t="s">
        <x:v>1252</x:v>
      </x:c>
      <x:c r="C26" s="24" t="s">
        <x:v>1253</x:v>
      </x:c>
      <x:c r="D26" s="24" t="str">
        <x:v>AB+AC는 헤비 유저 기준 보스 총 전투시간과 일치함. W·X·Y는 보스 대표 행에서 라이트·미들·헤비 유저의 전체 보스전 예상시간을 표시하며, 세부 패턴 행은 중복을 방지하기 위해 공란 처리함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75" defaultRowHeight="14.25"/>
  <x:cols>
    <x:col min="1" max="5" width="20" customWidth="1"/>
    <x:col min="6" max="10" width="12" customWidth="1"/>
  </x:cols>
  <x:sheetData>
    <x:row r="1">
      <x:c r="A1" s="80" t="s">
        <x:v>1254</x:v>
      </x:c>
      <x:c r="B1" s="80"/>
      <x:c r="C1" s="80"/>
      <x:c r="D1" s="80"/>
      <x:c r="E1" s="80"/>
      <x:c r="F1" s="80"/>
      <x:c r="G1" s="80"/>
      <x:c r="H1" s="80"/>
      <x:c r="I1" s="80"/>
      <x:c r="J1" s="80"/>
    </x:row>
    <x:row r="3" ht="32.099998474121094" customHeight="1">
      <x:c r="A3" s="46" t="s">
        <x:v>1255</x:v>
      </x:c>
      <x:c r="B3" s="47" t="n">
        <x:f>COUNTA('밸런스 문서'!B5:B178)</x:f>
        <x:v>174</x:v>
      </x:c>
      <x:c r="C3" s="47" t="s">
        <x:v>1256</x:v>
      </x:c>
      <x:c r="D3" s="48" t="n">
        <x:f>AVERAGE('밸런스 문서'!C5:C178)</x:f>
        <x:v>3.5689655172413794</x:v>
      </x:c>
      <x:c r="E3" s="48" t="s">
        <x:v>1257</x:v>
      </x:c>
      <x:c r="F3" s="48" t="n">
        <x:f>AVERAGE('밸런스 문서'!D5:D178)</x:f>
        <x:v>7.810344827586207</x:v>
      </x:c>
      <x:c r="G3" s="47" t="s">
        <x:v>1258</x:v>
      </x:c>
      <x:c r="H3" s="47" t="n">
        <x:f>COUNT('밸런스 문서'!Z5:Z178)</x:f>
        <x:v>5</x:v>
      </x:c>
      <x:c r="I3" s="47" t="str">
        <x:v>총 예상 플레이 시간(헤비 기준)</x:v>
      </x:c>
      <x:c r="J3" s="61" t="n">
        <x:f>'밸런스 문서'!N178</x:f>
        <x:v>0.23072916666666654</x:v>
      </x:c>
    </x:row>
    <x:row r="4" ht="15">
      <x:c r="A4" s="62" t="s">
        <x:v>4</x:v>
      </x:c>
      <x:c r="B4" s="63" t="s">
        <x:v>18</x:v>
      </x:c>
      <x:c r="C4" s="63" t="s">
        <x:v>1225</x:v>
      </x:c>
      <x:c r="D4" s="64" t="s">
        <x:v>16</x:v>
      </x:c>
    </x:row>
    <x:row r="5">
      <x:c r="A5" s="65" t="n">
        <x:f>'밸런스 문서'!B5</x:f>
        <x:v>1</x:v>
      </x:c>
      <x:c r="B5" s="56" t="n">
        <x:f>'밸런스 문서'!P5</x:f>
        <x:v>4</x:v>
      </x:c>
      <x:c r="C5" s="49" t="n">
        <x:f>'밸런스 문서'!R5</x:f>
        <x:v>0.76</x:v>
      </x:c>
      <x:c r="D5" s="66" t="n">
        <x:f>'밸런스 문서'!N5</x:f>
        <x:v>0.0010416666666666667</x:v>
      </x:c>
      <x:c r="E5" s="3"/>
    </x:row>
    <x:row r="6" ht="24.950000762939453" customHeight="1">
      <x:c r="A6" s="67" t="n">
        <x:f>'밸런스 문서'!B6</x:f>
        <x:v>2</x:v>
      </x:c>
      <x:c r="B6" s="58" t="n">
        <x:f>'밸런스 문서'!P6</x:f>
        <x:v>6</x:v>
      </x:c>
      <x:c r="C6" s="50" t="n">
        <x:f>'밸런스 문서'!R6</x:f>
        <x:v>1.25</x:v>
      </x:c>
      <x:c r="D6" s="68" t="n">
        <x:f>'밸런스 문서'!N6</x:f>
        <x:v>0.0012731481481481483</x:v>
      </x:c>
      <x:c r="E6" s="13"/>
    </x:row>
    <x:row r="7" ht="24.950000762939453" customHeight="1">
      <x:c r="A7" s="69" t="n">
        <x:f>'밸런스 문서'!B7</x:f>
        <x:v>3</x:v>
      </x:c>
      <x:c r="B7" s="57" t="n">
        <x:f>'밸런스 문서'!P7</x:f>
        <x:v>9</x:v>
      </x:c>
      <x:c r="C7" s="51" t="n">
        <x:f>'밸런스 문서'!R7</x:f>
        <x:v>2.15</x:v>
      </x:c>
      <x:c r="D7" s="70" t="n">
        <x:f>'밸런스 문서'!N7</x:f>
        <x:v>0.001967592592592593</x:v>
      </x:c>
      <x:c r="E7" s="14"/>
    </x:row>
    <x:row r="8" ht="24.950000762939453" customHeight="1">
      <x:c r="A8" s="69" t="n">
        <x:f>'밸런스 문서'!B8</x:f>
        <x:v>4</x:v>
      </x:c>
      <x:c r="B8" s="57" t="n">
        <x:f>'밸런스 문서'!P8</x:f>
        <x:v>11</x:v>
      </x:c>
      <x:c r="C8" s="51" t="n">
        <x:f>'밸런스 문서'!R8</x:f>
        <x:v>2.84</x:v>
      </x:c>
      <x:c r="D8" s="70" t="n">
        <x:f>'밸런스 문서'!N8</x:f>
        <x:v>0.0024305555555555556</x:v>
      </x:c>
      <x:c r="E8" s="14"/>
    </x:row>
    <x:row r="9" ht="24.950000762939453" customHeight="1">
      <x:c r="A9" s="69" t="n">
        <x:f>'밸런스 문서'!B9</x:f>
        <x:v>5</x:v>
      </x:c>
      <x:c r="B9" s="57" t="n">
        <x:f>'밸런스 문서'!P9</x:f>
        <x:v>13</x:v>
      </x:c>
      <x:c r="C9" s="51" t="n">
        <x:f>'밸런스 문서'!R9</x:f>
        <x:v>3.61</x:v>
      </x:c>
      <x:c r="D9" s="70" t="n">
        <x:f>'밸런스 문서'!N9</x:f>
        <x:v>0.002777777777777778</x:v>
      </x:c>
      <x:c r="E9" s="14"/>
    </x:row>
    <x:row r="10" ht="24.950000762939453" customHeight="1">
      <x:c r="A10" s="69" t="n">
        <x:f>'밸런스 문서'!B10</x:f>
        <x:v>6</x:v>
      </x:c>
      <x:c r="B10" s="59" t="n">
        <x:f>'밸런스 문서'!P10</x:f>
        <x:v>16</x:v>
      </x:c>
      <x:c r="C10" s="52" t="n">
        <x:f>'밸런스 문서'!R10</x:f>
        <x:v>4.92</x:v>
      </x:c>
      <x:c r="D10" s="71" t="n">
        <x:f>'밸런스 문서'!N10</x:f>
        <x:v>0.0030092592592592593</x:v>
      </x:c>
      <x:c r="E10" s="15"/>
    </x:row>
    <x:row r="11">
      <x:c r="A11" s="72" t="n">
        <x:f>'밸런스 문서'!B11</x:f>
        <x:v>7</x:v>
      </x:c>
      <x:c r="B11" s="60" t="n">
        <x:f>'밸런스 문서'!P11</x:f>
        <x:v>19</x:v>
      </x:c>
      <x:c r="C11" s="53" t="n">
        <x:f>'밸런스 문서'!R11</x:f>
        <x:v>6.41</x:v>
      </x:c>
      <x:c r="D11" s="73" t="n">
        <x:f>'밸런스 문서'!N11</x:f>
        <x:v>0.0038773148148148148</x:v>
      </x:c>
    </x:row>
    <x:row r="12">
      <x:c r="A12" s="72" t="n">
        <x:f>'밸런스 문서'!B12</x:f>
        <x:v>8</x:v>
      </x:c>
      <x:c r="B12" s="60" t="n">
        <x:f>'밸런스 문서'!P12</x:f>
        <x:v>23</x:v>
      </x:c>
      <x:c r="C12" s="53" t="n">
        <x:f>'밸런스 문서'!R12</x:f>
        <x:v>8.66</x:v>
      </x:c>
      <x:c r="D12" s="73" t="n">
        <x:f>'밸런스 문서'!N12</x:f>
        <x:v>0.004918981481481482</x:v>
      </x:c>
    </x:row>
    <x:row r="13">
      <x:c r="A13" s="72" t="n">
        <x:f>'밸런스 문서'!B13</x:f>
        <x:v>9</x:v>
      </x:c>
      <x:c r="B13" s="60" t="n">
        <x:f>'밸런스 문서'!P13</x:f>
        <x:v>25</x:v>
      </x:c>
      <x:c r="C13" s="53" t="n">
        <x:f>'밸런스 문서'!R13</x:f>
        <x:v>9.91</x:v>
      </x:c>
      <x:c r="D13" s="73" t="n">
        <x:f>'밸런스 문서'!N13</x:f>
        <x:v>0.005324074074074074</x:v>
      </x:c>
    </x:row>
    <x:row r="14">
      <x:c r="A14" s="65" t="n">
        <x:f>'밸런스 문서'!B14</x:f>
        <x:v>10</x:v>
      </x:c>
      <x:c r="B14" s="56" t="n">
        <x:f>'밸런스 문서'!P14</x:f>
        <x:v>28</x:v>
      </x:c>
      <x:c r="C14" s="54" t="n">
        <x:f>'밸런스 문서'!R14</x:f>
        <x:v>11.92</x:v>
      </x:c>
      <x:c r="D14" s="73" t="n">
        <x:f>'밸런스 문서'!N14</x:f>
        <x:v>0.006192129629629629</x:v>
      </x:c>
    </x:row>
    <x:row r="15">
      <x:c r="A15" s="74" t="n">
        <x:f>'밸런스 문서'!B15</x:f>
        <x:v>11</x:v>
      </x:c>
      <x:c r="B15" s="22" t="n">
        <x:f>'밸런스 문서'!P15</x:f>
        <x:v>31</x:v>
      </x:c>
      <x:c r="C15" s="55" t="n">
        <x:f>'밸런스 문서'!R15</x:f>
        <x:v>14.12</x:v>
      </x:c>
      <x:c r="D15" s="73" t="n">
        <x:f>'밸런스 문서'!N15</x:f>
        <x:v>0.0072337962962962955</x:v>
      </x:c>
    </x:row>
    <x:row r="16">
      <x:c r="A16" s="74" t="n">
        <x:f>'밸런스 문서'!B16</x:f>
        <x:v>12</x:v>
      </x:c>
      <x:c r="B16" s="22" t="n">
        <x:f>'밸런스 문서'!P16</x:f>
        <x:v>35</x:v>
      </x:c>
      <x:c r="C16" s="55" t="n">
        <x:f>'밸런스 문서'!R16</x:f>
        <x:v>17.32</x:v>
      </x:c>
      <x:c r="D16" s="73" t="n">
        <x:f>'밸런스 문서'!N16</x:f>
        <x:v>0.008506944444444444</x:v>
      </x:c>
    </x:row>
    <x:row r="17">
      <x:c r="A17" s="74" t="n">
        <x:f>'밸런스 문서'!B17</x:f>
        <x:v>13</x:v>
      </x:c>
      <x:c r="B17" s="22" t="n">
        <x:f>'밸런스 문서'!P17</x:f>
        <x:v>37</x:v>
      </x:c>
      <x:c r="C17" s="55" t="n">
        <x:f>'밸런스 문서'!R17</x:f>
        <x:v>19.03</x:v>
      </x:c>
      <x:c r="D17" s="73" t="n">
        <x:f>'밸런스 문서'!N17</x:f>
        <x:v>0.009085648148148148</x:v>
      </x:c>
    </x:row>
    <x:row r="18">
      <x:c r="A18" s="74" t="n">
        <x:f>'밸런스 문서'!B18</x:f>
        <x:v>14</x:v>
      </x:c>
      <x:c r="B18" s="22" t="n">
        <x:f>'밸런스 문서'!P18</x:f>
        <x:v>40</x:v>
      </x:c>
      <x:c r="C18" s="55" t="n">
        <x:f>'밸런스 문서'!R18</x:f>
        <x:v>21.76</x:v>
      </x:c>
      <x:c r="D18" s="73" t="n">
        <x:f>'밸런스 문서'!N18</x:f>
        <x:v>0.010474537037037037</x:v>
      </x:c>
    </x:row>
    <x:row r="19">
      <x:c r="A19" s="74" t="n">
        <x:f>'밸런스 문서'!B19</x:f>
        <x:v>15</x:v>
      </x:c>
      <x:c r="B19" s="22" t="n">
        <x:f>'밸런스 문서'!P19</x:f>
        <x:v>43</x:v>
      </x:c>
      <x:c r="C19" s="55" t="n">
        <x:f>'밸런스 문서'!R19</x:f>
        <x:v>24.66</x:v>
      </x:c>
      <x:c r="D19" s="73" t="n">
        <x:f>'밸런스 문서'!N19</x:f>
        <x:v>0.011400462962962963</x:v>
      </x:c>
    </x:row>
    <x:row r="20">
      <x:c r="A20" s="74" t="n">
        <x:f>'밸런스 문서'!B20</x:f>
        <x:v>16</x:v>
      </x:c>
      <x:c r="B20" s="22" t="n">
        <x:f>'밸런스 문서'!P20</x:f>
        <x:v>46</x:v>
      </x:c>
      <x:c r="C20" s="55" t="n">
        <x:f>'밸런스 문서'!R20</x:f>
        <x:v>27.74</x:v>
      </x:c>
      <x:c r="D20" s="73" t="n">
        <x:f>'밸런스 문서'!N20</x:f>
        <x:v>0.011689814814814814</x:v>
      </x:c>
    </x:row>
    <x:row r="21">
      <x:c r="A21" s="74" t="n">
        <x:f>'밸런스 문서'!B21</x:f>
        <x:v>17</x:v>
      </x:c>
      <x:c r="B21" s="22" t="n">
        <x:f>'밸런스 문서'!P21</x:f>
        <x:v>51</x:v>
      </x:c>
      <x:c r="C21" s="55" t="n">
        <x:f>'밸런스 문서'!R21</x:f>
        <x:v>33.27</x:v>
      </x:c>
      <x:c r="D21" s="73" t="n">
        <x:f>'밸런스 문서'!N21</x:f>
        <x:v>0.012499999999999999</x:v>
      </x:c>
    </x:row>
    <x:row r="22">
      <x:c r="A22" s="74" t="n">
        <x:f>'밸런스 문서'!B22</x:f>
        <x:v>18</x:v>
      </x:c>
      <x:c r="B22" s="22" t="n">
        <x:f>'밸런스 문서'!P22</x:f>
        <x:v>58</x:v>
      </x:c>
      <x:c r="C22" s="55" t="n">
        <x:f>'밸런스 문서'!R22</x:f>
        <x:v>41.84</x:v>
      </x:c>
      <x:c r="D22" s="73" t="n">
        <x:f>'밸런스 문서'!N22</x:f>
        <x:v>0.013888888888888888</x:v>
      </x:c>
    </x:row>
    <x:row r="23">
      <x:c r="A23" s="74" t="n">
        <x:f>'밸런스 문서'!B23</x:f>
        <x:v>19</x:v>
      </x:c>
      <x:c r="B23" s="22" t="n">
        <x:f>'밸런스 문서'!P23</x:f>
        <x:v>65</x:v>
      </x:c>
      <x:c r="C23" s="55" t="n">
        <x:f>'밸런스 문서'!R23</x:f>
        <x:v>51.37</x:v>
      </x:c>
      <x:c r="D23" s="73" t="n">
        <x:f>'밸런스 문서'!N23</x:f>
        <x:v>0.014814814814814814</x:v>
      </x:c>
    </x:row>
    <x:row r="24">
      <x:c r="A24" s="74" t="n">
        <x:f>'밸런스 문서'!B24</x:f>
        <x:v>20</x:v>
      </x:c>
      <x:c r="B24" s="22" t="n">
        <x:f>'밸런스 문서'!P24</x:f>
        <x:v>71</x:v>
      </x:c>
      <x:c r="C24" s="55" t="n">
        <x:f>'밸런스 문서'!R24</x:f>
        <x:v>60.3</x:v>
      </x:c>
      <x:c r="D24" s="73" t="n">
        <x:f>'밸런스 문서'!N24</x:f>
        <x:v>0.01597222222222222</x:v>
      </x:c>
    </x:row>
    <x:row r="25">
      <x:c r="A25" s="74" t="n">
        <x:f>'밸런스 문서'!B25</x:f>
        <x:v>21</x:v>
      </x:c>
      <x:c r="B25" s="22" t="n">
        <x:f>'밸런스 문서'!P25</x:f>
        <x:v>74</x:v>
      </x:c>
      <x:c r="C25" s="55" t="n">
        <x:f>'밸런스 문서'!R25</x:f>
        <x:v>65.04</x:v>
      </x:c>
      <x:c r="D25" s="73" t="n">
        <x:f>'밸런스 문서'!N25</x:f>
        <x:v>0.016608796296296295</x:v>
      </x:c>
    </x:row>
    <x:row r="26">
      <x:c r="A26" s="74" t="n">
        <x:f>'밸런스 문서'!B26</x:f>
        <x:v>22</x:v>
      </x:c>
      <x:c r="B26" s="22" t="n">
        <x:f>'밸런스 문서'!P26</x:f>
        <x:v>76</x:v>
      </x:c>
      <x:c r="C26" s="55" t="n">
        <x:f>'밸런스 문서'!R26</x:f>
        <x:v>68.29</x:v>
      </x:c>
      <x:c r="D26" s="73" t="n">
        <x:f>'밸런스 문서'!N26</x:f>
        <x:v>0.01741898148148148</x:v>
      </x:c>
    </x:row>
    <x:row r="27">
      <x:c r="A27" s="74" t="n">
        <x:f>'밸런스 문서'!B27</x:f>
        <x:v>23</x:v>
      </x:c>
      <x:c r="B27" s="22" t="n">
        <x:f>'밸런스 문서'!P27</x:f>
        <x:v>79</x:v>
      </x:c>
      <x:c r="C27" s="55" t="n">
        <x:f>'밸런스 문서'!R27</x:f>
        <x:v>73.32</x:v>
      </x:c>
      <x:c r="D27" s="73" t="n">
        <x:f>'밸런스 문서'!N27</x:f>
        <x:v>0.01915509259259259</x:v>
      </x:c>
    </x:row>
    <x:row r="28">
      <x:c r="A28" s="74" t="n">
        <x:f>'밸런스 문서'!B28</x:f>
        <x:v>24</x:v>
      </x:c>
      <x:c r="B28" s="22" t="n">
        <x:f>'밸런스 문서'!P28</x:f>
        <x:v>83</x:v>
      </x:c>
      <x:c r="C28" s="55" t="n">
        <x:f>'밸런스 문서'!R28</x:f>
        <x:v>80.31</x:v>
      </x:c>
      <x:c r="D28" s="73" t="n">
        <x:f>'밸런스 문서'!N28</x:f>
        <x:v>0.020196759259259258</x:v>
      </x:c>
    </x:row>
    <x:row r="29">
      <x:c r="A29" s="74" t="n">
        <x:f>'밸런스 문서'!B29</x:f>
        <x:v>25</x:v>
      </x:c>
      <x:c r="B29" s="22" t="n">
        <x:f>'밸런스 문서'!P29</x:f>
        <x:v>89</x:v>
      </x:c>
      <x:c r="C29" s="55" t="n">
        <x:f>'밸런스 문서'!R29</x:f>
        <x:v>91.37</x:v>
      </x:c>
      <x:c r="D29" s="73" t="n">
        <x:f>'밸런스 문서'!N29</x:f>
        <x:v>0.021585648148148145</x:v>
      </x:c>
    </x:row>
    <x:row r="30">
      <x:c r="A30" s="74" t="n">
        <x:f>'밸런스 문서'!B30</x:f>
        <x:v>26</x:v>
      </x:c>
      <x:c r="B30" s="22" t="n">
        <x:f>'밸런스 문서'!P30</x:f>
        <x:v>91</x:v>
      </x:c>
      <x:c r="C30" s="55" t="n">
        <x:f>'밸런스 문서'!R30</x:f>
        <x:v>95.22</x:v>
      </x:c>
      <x:c r="D30" s="73" t="n">
        <x:f>'밸런스 문서'!N30</x:f>
        <x:v>0.02233796296296296</x:v>
      </x:c>
    </x:row>
    <x:row r="31">
      <x:c r="A31" s="74" t="n">
        <x:f>'밸런스 문서'!B31</x:f>
        <x:v>27</x:v>
      </x:c>
      <x:c r="B31" s="22" t="n">
        <x:f>'밸런스 문서'!P31</x:f>
        <x:v>94</x:v>
      </x:c>
      <x:c r="C31" s="55" t="n">
        <x:f>'밸런스 문서'!R31</x:f>
        <x:v>101.13</x:v>
      </x:c>
      <x:c r="D31" s="73" t="n">
        <x:f>'밸런스 문서'!N31</x:f>
        <x:v>0.023611111111111107</x:v>
      </x:c>
    </x:row>
    <x:row r="32">
      <x:c r="A32" s="74" t="n">
        <x:f>'밸런스 문서'!B32</x:f>
        <x:v>28</x:v>
      </x:c>
      <x:c r="B32" s="22" t="n">
        <x:f>'밸런스 문서'!P32</x:f>
        <x:v>96</x:v>
      </x:c>
      <x:c r="C32" s="55" t="n">
        <x:f>'밸런스 문서'!R32</x:f>
        <x:v>105.18</x:v>
      </x:c>
      <x:c r="D32" s="73" t="n">
        <x:f>'밸런스 문서'!N32</x:f>
        <x:v>0.024479166666666663</x:v>
      </x:c>
    </x:row>
    <x:row r="33">
      <x:c r="A33" s="74" t="n">
        <x:f>'밸런스 문서'!B33</x:f>
        <x:v>29</x:v>
      </x:c>
      <x:c r="B33" s="22" t="n">
        <x:f>'밸런스 문서'!P33</x:f>
        <x:v>99</x:v>
      </x:c>
      <x:c r="C33" s="55" t="n">
        <x:f>'밸런스 문서'!R33</x:f>
        <x:v>111.39</x:v>
      </x:c>
      <x:c r="D33" s="73" t="n">
        <x:f>'밸런스 문서'!N33</x:f>
        <x:v>0.024884259259259255</x:v>
      </x:c>
    </x:row>
    <x:row r="34">
      <x:c r="A34" s="74" t="n">
        <x:f>'밸런스 문서'!B34</x:f>
        <x:v>30</x:v>
      </x:c>
      <x:c r="B34" s="22" t="n">
        <x:f>'밸런스 문서'!P34</x:f>
        <x:v>101</x:v>
      </x:c>
      <x:c r="C34" s="55" t="n">
        <x:f>'밸런스 문서'!R34</x:f>
        <x:v>115.63</x:v>
      </x:c>
      <x:c r="D34" s="73" t="n">
        <x:f>'밸런스 문서'!N34</x:f>
        <x:v>0.02540509259259259</x:v>
      </x:c>
    </x:row>
    <x:row r="35">
      <x:c r="A35" s="74" t="n">
        <x:f>'밸런스 문서'!B35</x:f>
        <x:v>31</x:v>
      </x:c>
      <x:c r="B35" s="22" t="n">
        <x:f>'밸런스 문서'!P35</x:f>
        <x:v>104</x:v>
      </x:c>
      <x:c r="C35" s="55" t="n">
        <x:f>'밸런스 문서'!R35</x:f>
        <x:v>122.14</x:v>
      </x:c>
      <x:c r="D35" s="73" t="n">
        <x:f>'밸런스 문서'!N35</x:f>
        <x:v>0.026388888888888885</x:v>
      </x:c>
    </x:row>
    <x:row r="36">
      <x:c r="A36" s="74" t="n">
        <x:f>'밸런스 문서'!B36</x:f>
        <x:v>32</x:v>
      </x:c>
      <x:c r="B36" s="22" t="n">
        <x:f>'밸런스 문서'!P36</x:f>
        <x:v>111</x:v>
      </x:c>
      <x:c r="C36" s="55" t="n">
        <x:f>'밸런스 문서'!R36</x:f>
        <x:v>138.01</x:v>
      </x:c>
      <x:c r="D36" s="73" t="n">
        <x:f>'밸런스 문서'!N36</x:f>
        <x:v>0.027314814814814813</x:v>
      </x:c>
    </x:row>
    <x:row r="37">
      <x:c r="A37" s="74" t="n">
        <x:f>'밸런스 문서'!B37</x:f>
        <x:v>33</x:v>
      </x:c>
      <x:c r="B37" s="22" t="n">
        <x:f>'밸런스 문서'!P37</x:f>
        <x:v>113</x:v>
      </x:c>
      <x:c r="C37" s="55" t="n">
        <x:f>'밸런스 문서'!R37</x:f>
        <x:v>142.72</x:v>
      </x:c>
      <x:c r="D37" s="73" t="n">
        <x:f>'밸런스 문서'!N37</x:f>
        <x:v>0.027951388888888887</x:v>
      </x:c>
    </x:row>
    <x:row r="38">
      <x:c r="A38" s="74" t="n">
        <x:f>'밸런스 문서'!B38</x:f>
        <x:v>34</x:v>
      </x:c>
      <x:c r="B38" s="22" t="n">
        <x:f>'밸런스 문서'!P38</x:f>
        <x:v>117</x:v>
      </x:c>
      <x:c r="C38" s="55" t="n">
        <x:f>'밸런스 문서'!R38</x:f>
        <x:v>152.39</x:v>
      </x:c>
      <x:c r="D38" s="73" t="n">
        <x:f>'밸런스 문서'!N38</x:f>
        <x:v>0.03003472222222222</x:v>
      </x:c>
    </x:row>
    <x:row r="39">
      <x:c r="A39" s="74" t="n">
        <x:f>'밸런스 문서'!B39</x:f>
        <x:v>35</x:v>
      </x:c>
      <x:c r="B39" s="22" t="n">
        <x:f>'밸런스 문서'!P39</x:f>
        <x:v>121</x:v>
      </x:c>
      <x:c r="C39" s="55" t="n">
        <x:f>'밸런스 문서'!R39</x:f>
        <x:v>162.36</x:v>
      </x:c>
      <x:c r="D39" s="73" t="n">
        <x:f>'밸런스 문서'!N39</x:f>
        <x:v>0.031886574074074074</x:v>
      </x:c>
    </x:row>
    <x:row r="40">
      <x:c r="A40" s="74" t="n">
        <x:f>'밸런스 문서'!B40</x:f>
        <x:v>36</x:v>
      </x:c>
      <x:c r="B40" s="22" t="n">
        <x:f>'밸런스 문서'!P40</x:f>
        <x:v>126</x:v>
      </x:c>
      <x:c r="C40" s="55" t="n">
        <x:f>'밸런스 문서'!R40</x:f>
        <x:v>175.28</x:v>
      </x:c>
      <x:c r="D40" s="73" t="n">
        <x:f>'밸런스 문서'!N40</x:f>
        <x:v>0.033622685185185186</x:v>
      </x:c>
    </x:row>
    <x:row r="41">
      <x:c r="A41" s="74" t="n">
        <x:f>'밸런스 문서'!B41</x:f>
        <x:v>37</x:v>
      </x:c>
      <x:c r="B41" s="22" t="n">
        <x:f>'밸런스 문서'!P41</x:f>
        <x:v>128</x:v>
      </x:c>
      <x:c r="C41" s="55" t="n">
        <x:f>'밸런스 문서'!R41</x:f>
        <x:v>180.58</x:v>
      </x:c>
      <x:c r="D41" s="73" t="n">
        <x:f>'밸런스 문서'!N41</x:f>
        <x:v>0.034664351851851856</x:v>
      </x:c>
    </x:row>
    <x:row r="42">
      <x:c r="A42" s="74" t="n">
        <x:f>'밸런스 문서'!B42</x:f>
        <x:v>38</x:v>
      </x:c>
      <x:c r="B42" s="22" t="n">
        <x:f>'밸런스 문서'!P42</x:f>
        <x:v>131</x:v>
      </x:c>
      <x:c r="C42" s="55" t="n">
        <x:f>'밸런스 문서'!R42</x:f>
        <x:v>188.69</x:v>
      </x:c>
      <x:c r="D42" s="73" t="n">
        <x:f>'밸런스 문서'!N42</x:f>
        <x:v>0.036284722222222225</x:v>
      </x:c>
    </x:row>
    <x:row r="43">
      <x:c r="A43" s="74" t="n">
        <x:f>'밸런스 문서'!B43</x:f>
        <x:v>39</x:v>
      </x:c>
      <x:c r="B43" s="22" t="n">
        <x:f>'밸런스 문서'!P43</x:f>
        <x:v>138</x:v>
      </x:c>
      <x:c r="C43" s="55" t="n">
        <x:f>'밸런스 문서'!R43</x:f>
        <x:v>208.28</x:v>
      </x:c>
      <x:c r="D43" s="73" t="n">
        <x:f>'밸런스 문서'!N43</x:f>
        <x:v>0.037673611111111116</x:v>
      </x:c>
    </x:row>
    <x:row r="44">
      <x:c r="A44" s="74" t="n">
        <x:f>'밸런스 문서'!B44</x:f>
        <x:v>40</x:v>
      </x:c>
      <x:c r="B44" s="22" t="n">
        <x:f>'밸런스 문서'!P44</x:f>
        <x:v>142</x:v>
      </x:c>
      <x:c r="C44" s="55" t="n">
        <x:f>'밸런스 문서'!R44</x:f>
        <x:v>219.92</x:v>
      </x:c>
      <x:c r="D44" s="73" t="n">
        <x:f>'밸런스 문서'!N44</x:f>
        <x:v>0.03854166666666667</x:v>
      </x:c>
    </x:row>
    <x:row r="45">
      <x:c r="A45" s="74" t="n">
        <x:f>'밸런스 문서'!B45</x:f>
        <x:v>41</x:v>
      </x:c>
      <x:c r="B45" s="22" t="n">
        <x:f>'밸런스 문서'!P45</x:f>
        <x:v>149</x:v>
      </x:c>
      <x:c r="C45" s="55" t="n">
        <x:f>'밸런스 문서'!R45</x:f>
        <x:v>241.03</x:v>
      </x:c>
      <x:c r="D45" s="73" t="n">
        <x:f>'밸런스 문서'!N45</x:f>
        <x:v>0.03993055555555556</x:v>
      </x:c>
    </x:row>
    <x:row r="46">
      <x:c r="A46" s="74" t="n">
        <x:f>'밸런스 문서'!B46</x:f>
        <x:v>42</x:v>
      </x:c>
      <x:c r="B46" s="22" t="n">
        <x:f>'밸런스 문서'!P46</x:f>
        <x:v>154</x:v>
      </x:c>
      <x:c r="C46" s="55" t="n">
        <x:f>'밸런스 문서'!R46</x:f>
        <x:v>256.7</x:v>
      </x:c>
      <x:c r="D46" s="73" t="n">
        <x:f>'밸런스 문서'!N46</x:f>
        <x:v>0.04189814814814815</x:v>
      </x:c>
    </x:row>
    <x:row r="47">
      <x:c r="A47" s="74" t="n">
        <x:f>'밸런스 문서'!B47</x:f>
        <x:v>43</x:v>
      </x:c>
      <x:c r="B47" s="22" t="n">
        <x:f>'밸런스 문서'!P47</x:f>
        <x:v>158</x:v>
      </x:c>
      <x:c r="C47" s="55" t="n">
        <x:f>'밸런스 문서'!R47</x:f>
        <x:v>269.6</x:v>
      </x:c>
      <x:c r="D47" s="73" t="n">
        <x:f>'밸런스 문서'!N47</x:f>
        <x:v>0.042708333333333334</x:v>
      </x:c>
    </x:row>
    <x:row r="48">
      <x:c r="A48" s="74" t="n">
        <x:f>'밸런스 문서'!B48</x:f>
        <x:v>44</x:v>
      </x:c>
      <x:c r="B48" s="22" t="n">
        <x:f>'밸런스 문서'!P48</x:f>
        <x:v>160</x:v>
      </x:c>
      <x:c r="C48" s="55" t="n">
        <x:f>'밸런스 문서'!R48</x:f>
        <x:v>276.16</x:v>
      </x:c>
      <x:c r="D48" s="73" t="n">
        <x:f>'밸런스 문서'!N48</x:f>
        <x:v>0.043750000000000004</x:v>
      </x:c>
    </x:row>
    <x:row r="49">
      <x:c r="A49" s="74" t="n">
        <x:f>'밸런스 문서'!B49</x:f>
        <x:v>45</x:v>
      </x:c>
      <x:c r="B49" s="22" t="n">
        <x:f>'밸런스 문서'!P49</x:f>
        <x:v>164</x:v>
      </x:c>
      <x:c r="C49" s="55" t="n">
        <x:f>'밸런스 문서'!R49</x:f>
        <x:v>289.53</x:v>
      </x:c>
      <x:c r="D49" s="73" t="n">
        <x:f>'밸런스 문서'!N49</x:f>
        <x:v>0.04461805555555556</x:v>
      </x:c>
    </x:row>
    <x:row r="50">
      <x:c r="A50" s="74" t="n">
        <x:f>'밸런스 문서'!B50</x:f>
        <x:v>46</x:v>
      </x:c>
      <x:c r="B50" s="22" t="n">
        <x:f>'밸런스 문서'!P50</x:f>
        <x:v>168</x:v>
      </x:c>
      <x:c r="C50" s="55" t="n">
        <x:f>'밸런스 문서'!R50</x:f>
        <x:v>303.21</x:v>
      </x:c>
      <x:c r="D50" s="73" t="n">
        <x:f>'밸런스 문서'!N50</x:f>
        <x:v>0.046238425925925926</x:v>
      </x:c>
    </x:row>
    <x:row r="51">
      <x:c r="A51" s="74" t="n">
        <x:f>'밸런스 문서'!B51</x:f>
        <x:v>47</x:v>
      </x:c>
      <x:c r="B51" s="22" t="n">
        <x:f>'밸런스 문서'!P51</x:f>
        <x:v>173</x:v>
      </x:c>
      <x:c r="C51" s="55" t="n">
        <x:f>'밸런스 문서'!R51</x:f>
        <x:v>320.75</x:v>
      </x:c>
      <x:c r="D51" s="73" t="n">
        <x:f>'밸런스 문서'!N51</x:f>
        <x:v>0.04832175925925926</x:v>
      </x:c>
    </x:row>
    <x:row r="52">
      <x:c r="A52" s="74" t="n">
        <x:f>'밸런스 문서'!B52</x:f>
        <x:v>48</x:v>
      </x:c>
      <x:c r="B52" s="22" t="n">
        <x:f>'밸런스 문서'!P52</x:f>
        <x:v>178</x:v>
      </x:c>
      <x:c r="C52" s="55" t="n">
        <x:f>'밸런스 문서'!R52</x:f>
        <x:v>338.79</x:v>
      </x:c>
      <x:c r="D52" s="73" t="n">
        <x:f>'밸런스 문서'!N52</x:f>
        <x:v>0.05017361111111111</x:v>
      </x:c>
    </x:row>
    <x:row r="53">
      <x:c r="A53" s="74" t="n">
        <x:f>'밸런스 문서'!B53</x:f>
        <x:v>49</x:v>
      </x:c>
      <x:c r="B53" s="22" t="n">
        <x:f>'밸런스 문서'!P53</x:f>
        <x:v>185</x:v>
      </x:c>
      <x:c r="C53" s="55" t="n">
        <x:f>'밸런스 문서'!R53</x:f>
        <x:v>364.87</x:v>
      </x:c>
      <x:c r="D53" s="73" t="n">
        <x:f>'밸런스 문서'!N53</x:f>
        <x:v>0.05133101851851852</x:v>
      </x:c>
    </x:row>
    <x:row r="54">
      <x:c r="A54" s="74" t="n">
        <x:f>'밸런스 문서'!B54</x:f>
        <x:v>50</x:v>
      </x:c>
      <x:c r="B54" s="22" t="n">
        <x:f>'밸런스 문서'!P54</x:f>
        <x:v>189</x:v>
      </x:c>
      <x:c r="C54" s="55" t="n">
        <x:f>'밸런스 문서'!R54</x:f>
        <x:v>380.2</x:v>
      </x:c>
      <x:c r="D54" s="73" t="n">
        <x:f>'밸런스 문서'!N54</x:f>
        <x:v>0.052141203703703703</x:v>
      </x:c>
    </x:row>
    <x:row r="55">
      <x:c r="A55" s="74" t="n">
        <x:f>'밸런스 문서'!B55</x:f>
        <x:v>51</x:v>
      </x:c>
      <x:c r="B55" s="22" t="n">
        <x:f>'밸런스 문서'!P55</x:f>
        <x:v>193</x:v>
      </x:c>
      <x:c r="C55" s="55" t="n">
        <x:f>'밸런스 문서'!R55</x:f>
        <x:v>395.85</x:v>
      </x:c>
      <x:c r="D55" s="73" t="n">
        <x:f>'밸런스 문서'!N55</x:f>
        <x:v>0.05271990740740741</x:v>
      </x:c>
    </x:row>
    <x:row r="56">
      <x:c r="A56" s="74" t="n">
        <x:f>'밸런스 문서'!B56</x:f>
        <x:v>52</x:v>
      </x:c>
      <x:c r="B56" s="22" t="n">
        <x:f>'밸런스 문서'!P56</x:f>
        <x:v>198</x:v>
      </x:c>
      <x:c r="C56" s="55" t="n">
        <x:f>'밸런스 문서'!R56</x:f>
        <x:v>415.86</x:v>
      </x:c>
      <x:c r="D56" s="73" t="n">
        <x:f>'밸런스 문서'!N56</x:f>
        <x:v>0.05381944444444445</x:v>
      </x:c>
    </x:row>
    <x:row r="57">
      <x:c r="A57" s="74" t="n">
        <x:f>'밸런스 문서'!B57</x:f>
        <x:v>53</x:v>
      </x:c>
      <x:c r="B57" s="22" t="n">
        <x:f>'밸런스 문서'!P57</x:f>
        <x:v>201</x:v>
      </x:c>
      <x:c r="C57" s="55" t="n">
        <x:f>'밸런스 문서'!R57</x:f>
        <x:v>428.1</x:v>
      </x:c>
      <x:c r="D57" s="73" t="n">
        <x:f>'밸런스 문서'!N57</x:f>
        <x:v>0.05520833333333334</x:v>
      </x:c>
    </x:row>
    <x:row r="58">
      <x:c r="A58" s="74" t="n">
        <x:f>'밸런스 문서'!B58</x:f>
        <x:v>54</x:v>
      </x:c>
      <x:c r="B58" s="22" t="n">
        <x:f>'밸런스 문서'!P58</x:f>
        <x:v>203</x:v>
      </x:c>
      <x:c r="C58" s="55" t="n">
        <x:f>'밸런스 문서'!R58</x:f>
        <x:v>436.36</x:v>
      </x:c>
      <x:c r="D58" s="73" t="n">
        <x:f>'밸런스 문서'!N58</x:f>
        <x:v>0.055613425925925934</x:v>
      </x:c>
    </x:row>
    <x:row r="59">
      <x:c r="A59" s="74" t="n">
        <x:f>'밸런스 문서'!B59</x:f>
        <x:v>55</x:v>
      </x:c>
      <x:c r="B59" s="22" t="n">
        <x:f>'밸런스 문서'!P59</x:f>
        <x:v>206</x:v>
      </x:c>
      <x:c r="C59" s="55" t="n">
        <x:f>'밸런스 문서'!R59</x:f>
        <x:v>448.89</x:v>
      </x:c>
      <x:c r="D59" s="73" t="n">
        <x:f>'밸런스 문서'!N59</x:f>
        <x:v>0.0560763888888889</x:v>
      </x:c>
    </x:row>
    <x:row r="60">
      <x:c r="A60" s="74" t="n">
        <x:f>'밸런스 문서'!B60</x:f>
        <x:v>56</x:v>
      </x:c>
      <x:c r="B60" s="22" t="n">
        <x:f>'밸런스 문서'!P60</x:f>
        <x:v>211</x:v>
      </x:c>
      <x:c r="C60" s="55" t="n">
        <x:f>'밸런스 문서'!R60</x:f>
        <x:v>470.18</x:v>
      </x:c>
      <x:c r="D60" s="73" t="n">
        <x:f>'밸런스 문서'!N60</x:f>
        <x:v>0.05688657407407408</x:v>
      </x:c>
    </x:row>
    <x:row r="61">
      <x:c r="A61" s="74" t="n">
        <x:f>'밸런스 문서'!B61</x:f>
        <x:v>57</x:v>
      </x:c>
      <x:c r="B61" s="22" t="n">
        <x:f>'밸런스 문서'!P61</x:f>
        <x:v>216</x:v>
      </x:c>
      <x:c r="C61" s="55" t="n">
        <x:f>'밸런스 문서'!R61</x:f>
        <x:v>491.96</x:v>
      </x:c>
      <x:c r="D61" s="73" t="n">
        <x:f>'밸런스 문서'!N61</x:f>
        <x:v>0.05827546296296297</x:v>
      </x:c>
    </x:row>
    <x:row r="62">
      <x:c r="A62" s="74" t="n">
        <x:f>'밸런스 문서'!B62</x:f>
        <x:v>58</x:v>
      </x:c>
      <x:c r="B62" s="22" t="n">
        <x:f>'밸런스 문서'!P62</x:f>
        <x:v>223</x:v>
      </x:c>
      <x:c r="C62" s="55" t="n">
        <x:f>'밸런스 문서'!R62</x:f>
        <x:v>523.28</x:v>
      </x:c>
      <x:c r="D62" s="73" t="n">
        <x:f>'밸런스 문서'!N62</x:f>
        <x:v>0.06012731481481483</x:v>
      </x:c>
    </x:row>
    <x:row r="63">
      <x:c r="A63" s="74" t="n">
        <x:f>'밸런스 문서'!B63</x:f>
        <x:v>59</x:v>
      </x:c>
      <x:c r="B63" s="22" t="n">
        <x:f>'밸런스 문서'!P63</x:f>
        <x:v>230</x:v>
      </x:c>
      <x:c r="C63" s="55" t="n">
        <x:f>'밸런스 문서'!R63</x:f>
        <x:v>555.57</x:v>
      </x:c>
      <x:c r="D63" s="73" t="n">
        <x:f>'밸런스 문서'!N63</x:f>
        <x:v>0.061226851851851866</x:v>
      </x:c>
    </x:row>
    <x:row r="64">
      <x:c r="A64" s="74" t="n">
        <x:f>'밸런스 문서'!B64</x:f>
        <x:v>60</x:v>
      </x:c>
      <x:c r="B64" s="22" t="n">
        <x:f>'밸런스 문서'!P64</x:f>
        <x:v>237</x:v>
      </x:c>
      <x:c r="C64" s="55" t="n">
        <x:f>'밸런스 문서'!R64</x:f>
        <x:v>588.81</x:v>
      </x:c>
      <x:c r="D64" s="73" t="n">
        <x:f>'밸런스 문서'!N64</x:f>
        <x:v>0.0633101851851852</x:v>
      </x:c>
    </x:row>
    <x:row r="65">
      <x:c r="A65" s="74" t="n">
        <x:f>'밸런스 문서'!B65</x:f>
        <x:v>61</x:v>
      </x:c>
      <x:c r="B65" s="22" t="n">
        <x:f>'밸런스 문서'!P65</x:f>
        <x:v>244</x:v>
      </x:c>
      <x:c r="C65" s="55" t="n">
        <x:f>'밸런스 문서'!R65</x:f>
        <x:v>623.03</x:v>
      </x:c>
      <x:c r="D65" s="73" t="n">
        <x:f>'밸런스 문서'!N65</x:f>
        <x:v>0.06493055555555557</x:v>
      </x:c>
    </x:row>
    <x:row r="66">
      <x:c r="A66" s="74" t="n">
        <x:f>'밸런스 문서'!B66</x:f>
        <x:v>62</x:v>
      </x:c>
      <x:c r="B66" s="22" t="n">
        <x:f>'밸런스 문서'!P66</x:f>
        <x:v>251</x:v>
      </x:c>
      <x:c r="C66" s="55" t="n">
        <x:f>'밸런스 문서'!R66</x:f>
        <x:v>658.21</x:v>
      </x:c>
      <x:c r="D66" s="73" t="n">
        <x:f>'밸런스 문서'!N66</x:f>
        <x:v>0.06666666666666668</x:v>
      </x:c>
    </x:row>
    <x:row r="67">
      <x:c r="A67" s="74" t="n">
        <x:f>'밸런스 문서'!B67</x:f>
        <x:v>63</x:v>
      </x:c>
      <x:c r="B67" s="22" t="n">
        <x:f>'밸런스 문서'!P67</x:f>
        <x:v>259</x:v>
      </x:c>
      <x:c r="C67" s="55" t="n">
        <x:f>'밸런스 문서'!R67</x:f>
        <x:v>699.6</x:v>
      </x:c>
      <x:c r="D67" s="73" t="n">
        <x:f>'밸런스 문서'!N67</x:f>
        <x:v>0.06840277777777778</x:v>
      </x:c>
    </x:row>
    <x:row r="68">
      <x:c r="A68" s="74" t="n">
        <x:f>'밸런스 문서'!B68</x:f>
        <x:v>64</x:v>
      </x:c>
      <x:c r="B68" s="22" t="n">
        <x:f>'밸런스 문서'!P68</x:f>
        <x:v>264</x:v>
      </x:c>
      <x:c r="C68" s="55" t="n">
        <x:f>'밸런스 문서'!R68</x:f>
        <x:v>726.11</x:v>
      </x:c>
      <x:c r="D68" s="73" t="n">
        <x:f>'밸런스 문서'!N68</x:f>
        <x:v>0.06892361111111112</x:v>
      </x:c>
    </x:row>
    <x:row r="69">
      <x:c r="A69" s="74" t="n">
        <x:f>'밸런스 문서'!B69</x:f>
        <x:v>65</x:v>
      </x:c>
      <x:c r="B69" s="22" t="n">
        <x:f>'밸런스 문서'!P69</x:f>
        <x:v>269</x:v>
      </x:c>
      <x:c r="C69" s="55" t="n">
        <x:f>'밸런스 문서'!R69</x:f>
        <x:v>753.11</x:v>
      </x:c>
      <x:c r="D69" s="73" t="n">
        <x:f>'밸런스 문서'!N69</x:f>
        <x:v>0.06984953703703704</x:v>
      </x:c>
    </x:row>
    <x:row r="70">
      <x:c r="A70" s="74" t="n">
        <x:f>'밸런스 문서'!B70</x:f>
        <x:v>66</x:v>
      </x:c>
      <x:c r="B70" s="22" t="n">
        <x:f>'밸런스 문서'!P70</x:f>
        <x:v>275</x:v>
      </x:c>
      <x:c r="C70" s="55" t="n">
        <x:f>'밸런스 문서'!R70</x:f>
        <x:v>786.16</x:v>
      </x:c>
      <x:c r="D70" s="73" t="n">
        <x:f>'밸런스 문서'!N70</x:f>
        <x:v>0.07123842592592593</x:v>
      </x:c>
    </x:row>
    <x:row r="71">
      <x:c r="A71" s="74" t="n">
        <x:f>'밸런스 문서'!B71</x:f>
        <x:v>67</x:v>
      </x:c>
      <x:c r="B71" s="22" t="n">
        <x:f>'밸런스 문서'!P71</x:f>
        <x:v>279</x:v>
      </x:c>
      <x:c r="C71" s="55" t="n">
        <x:f>'밸런스 문서'!R71</x:f>
        <x:v>808.58</x:v>
      </x:c>
      <x:c r="D71" s="73" t="n">
        <x:f>'밸런스 문서'!N71</x:f>
        <x:v>0.07251157407407408</x:v>
      </x:c>
    </x:row>
    <x:row r="72">
      <x:c r="A72" s="74" t="n">
        <x:f>'밸런스 문서'!B72</x:f>
        <x:v>68</x:v>
      </x:c>
      <x:c r="B72" s="22" t="n">
        <x:f>'밸런스 문서'!P72</x:f>
        <x:v>284</x:v>
      </x:c>
      <x:c r="C72" s="55" t="n">
        <x:f>'밸런스 문서'!R72</x:f>
        <x:v>837.06</x:v>
      </x:c>
      <x:c r="D72" s="73" t="n">
        <x:f>'밸런스 문서'!N72</x:f>
        <x:v>0.07366898148148149</x:v>
      </x:c>
    </x:row>
    <x:row r="73">
      <x:c r="A73" s="74" t="n">
        <x:f>'밸런스 문서'!B73</x:f>
        <x:v>69</x:v>
      </x:c>
      <x:c r="B73" s="22" t="n">
        <x:f>'밸런스 문서'!P73</x:f>
        <x:v>289</x:v>
      </x:c>
      <x:c r="C73" s="55" t="n">
        <x:f>'밸런스 문서'!R73</x:f>
        <x:v>866.03</x:v>
      </x:c>
      <x:c r="D73" s="73" t="n">
        <x:f>'밸런스 문서'!N73</x:f>
        <x:v>0.07517361111111112</x:v>
      </x:c>
    </x:row>
    <x:row r="74">
      <x:c r="A74" s="74" t="n">
        <x:f>'밸런스 문서'!B74</x:f>
        <x:v>70</x:v>
      </x:c>
      <x:c r="B74" s="22" t="n">
        <x:f>'밸런스 문서'!P74</x:f>
        <x:v>293</x:v>
      </x:c>
      <x:c r="C74" s="55" t="n">
        <x:f>'밸런스 문서'!R74</x:f>
        <x:v>889.56</x:v>
      </x:c>
      <x:c r="D74" s="73" t="n">
        <x:f>'밸런스 문서'!N74</x:f>
        <x:v>0.0765625</x:v>
      </x:c>
    </x:row>
    <x:row r="75">
      <x:c r="A75" s="74" t="n">
        <x:f>'밸런스 문서'!B75</x:f>
        <x:v>71</x:v>
      </x:c>
      <x:c r="B75" s="22" t="n">
        <x:f>'밸런스 문서'!P75</x:f>
        <x:v>297</x:v>
      </x:c>
      <x:c r="C75" s="55" t="n">
        <x:f>'밸런스 문서'!R75</x:f>
        <x:v>913.41</x:v>
      </x:c>
      <x:c r="D75" s="73" t="n">
        <x:f>'밸런스 문서'!N75</x:f>
        <x:v>0.07771990740740742</x:v>
      </x:c>
    </x:row>
    <x:row r="76">
      <x:c r="A76" s="74" t="n">
        <x:f>'밸런스 문서'!B76</x:f>
        <x:v>72</x:v>
      </x:c>
      <x:c r="B76" s="22" t="n">
        <x:f>'밸런스 문서'!P76</x:f>
        <x:v>301</x:v>
      </x:c>
      <x:c r="C76" s="55" t="n">
        <x:f>'밸런스 문서'!R76</x:f>
        <x:v>937.57</x:v>
      </x:c>
      <x:c r="D76" s="73" t="n">
        <x:f>'밸런스 문서'!N76</x:f>
        <x:v>0.07864583333333335</x:v>
      </x:c>
    </x:row>
    <x:row r="77">
      <x:c r="A77" s="74" t="n">
        <x:f>'밸런스 문서'!B77</x:f>
        <x:v>73</x:v>
      </x:c>
      <x:c r="B77" s="22" t="n">
        <x:f>'밸런스 문서'!P77</x:f>
        <x:v>307</x:v>
      </x:c>
      <x:c r="C77" s="55" t="n">
        <x:f>'밸런스 문서'!R77</x:f>
        <x:v>974.4</x:v>
      </x:c>
      <x:c r="D77" s="73" t="n">
        <x:f>'밸런스 문서'!N77</x:f>
        <x:v>0.08026620370370371</x:v>
      </x:c>
    </x:row>
    <x:row r="78">
      <x:c r="A78" s="74" t="n">
        <x:f>'밸런스 문서'!B78</x:f>
        <x:v>74</x:v>
      </x:c>
      <x:c r="B78" s="22" t="n">
        <x:f>'밸런스 문서'!P78</x:f>
        <x:v>313</x:v>
      </x:c>
      <x:c r="C78" s="55" t="n">
        <x:f>'밸런스 문서'!R78</x:f>
        <x:v>1011.94</x:v>
      </x:c>
      <x:c r="D78" s="73" t="n">
        <x:f>'밸런스 문서'!N78</x:f>
        <x:v>0.08234953703703705</x:v>
      </x:c>
    </x:row>
    <x:row r="79">
      <x:c r="A79" s="74" t="n">
        <x:f>'밸런스 문서'!B79</x:f>
        <x:v>75</x:v>
      </x:c>
      <x:c r="B79" s="22" t="n">
        <x:f>'밸런스 문서'!P79</x:f>
        <x:v>320</x:v>
      </x:c>
      <x:c r="C79" s="55" t="n">
        <x:f>'밸런스 문서'!R79</x:f>
        <x:v>1056.64</x:v>
      </x:c>
      <x:c r="D79" s="73" t="n">
        <x:f>'밸런스 문서'!N79</x:f>
        <x:v>0.08466435185185187</x:v>
      </x:c>
    </x:row>
    <x:row r="80">
      <x:c r="A80" s="74" t="n">
        <x:f>'밸런스 문서'!B80</x:f>
        <x:v>76</x:v>
      </x:c>
      <x:c r="B80" s="22" t="n">
        <x:f>'밸런스 문서'!P80</x:f>
        <x:v>327</x:v>
      </x:c>
      <x:c r="C80" s="55" t="n">
        <x:f>'밸런스 문서'!R80</x:f>
        <x:v>1102.3</x:v>
      </x:c>
      <x:c r="D80" s="73" t="n">
        <x:f>'밸런스 문서'!N80</x:f>
        <x:v>0.08686342592592594</x:v>
      </x:c>
    </x:row>
    <x:row r="81">
      <x:c r="A81" s="74" t="n">
        <x:f>'밸런스 문서'!B81</x:f>
        <x:v>77</x:v>
      </x:c>
      <x:c r="B81" s="22" t="n">
        <x:f>'밸런스 문서'!P81</x:f>
        <x:v>331</x:v>
      </x:c>
      <x:c r="C81" s="55" t="n">
        <x:f>'밸런스 문서'!R81</x:f>
        <x:v>1128.83</x:v>
      </x:c>
      <x:c r="D81" s="73" t="n">
        <x:f>'밸런스 문서'!N81</x:f>
        <x:v>0.08767361111111113</x:v>
      </x:c>
    </x:row>
    <x:row r="82">
      <x:c r="A82" s="74" t="n">
        <x:f>'밸런스 문서'!B82</x:f>
        <x:v>78</x:v>
      </x:c>
      <x:c r="B82" s="22" t="n">
        <x:f>'밸런스 문서'!P82</x:f>
        <x:v>336</x:v>
      </x:c>
      <x:c r="C82" s="55" t="n">
        <x:f>'밸런스 문서'!R82</x:f>
        <x:v>1162.43</x:v>
      </x:c>
      <x:c r="D82" s="73" t="n">
        <x:f>'밸런스 문서'!N82</x:f>
        <x:v>0.08859953703703706</x:v>
      </x:c>
    </x:row>
    <x:row r="83">
      <x:c r="A83" s="74" t="n">
        <x:f>'밸런스 문서'!B83</x:f>
        <x:v>79</x:v>
      </x:c>
      <x:c r="B83" s="22" t="n">
        <x:f>'밸런스 문서'!P83</x:f>
        <x:v>342</x:v>
      </x:c>
      <x:c r="C83" s="55" t="n">
        <x:f>'밸런스 문서'!R83</x:f>
        <x:v>1203.4</x:v>
      </x:c>
      <x:c r="D83" s="73" t="n">
        <x:f>'밸런스 문서'!N83</x:f>
        <x:v>0.08964120370370372</x:v>
      </x:c>
    </x:row>
    <x:row r="84">
      <x:c r="A84" s="74" t="n">
        <x:f>'밸런스 문서'!B84</x:f>
        <x:v>80</x:v>
      </x:c>
      <x:c r="B84" s="22" t="n">
        <x:f>'밸런스 문서'!P84</x:f>
        <x:v>349</x:v>
      </x:c>
      <x:c r="C84" s="55" t="n">
        <x:f>'밸런스 문서'!R84</x:f>
        <x:v>1252.09</x:v>
      </x:c>
      <x:c r="D84" s="73" t="n">
        <x:f>'밸런스 문서'!N84</x:f>
        <x:v>0.09079861111111114</x:v>
      </x:c>
    </x:row>
    <x:row r="85">
      <x:c r="A85" s="74" t="n">
        <x:f>'밸런스 문서'!B85</x:f>
        <x:v>81</x:v>
      </x:c>
      <x:c r="B85" s="22" t="n">
        <x:f>'밸런스 문서'!P85</x:f>
        <x:v>356</x:v>
      </x:c>
      <x:c r="C85" s="55" t="n">
        <x:f>'밸런스 문서'!R85</x:f>
        <x:v>1301.75</x:v>
      </x:c>
      <x:c r="D85" s="73" t="n">
        <x:f>'밸런스 문서'!N85</x:f>
        <x:v>0.09160879629629633</x:v>
      </x:c>
    </x:row>
    <x:row r="86">
      <x:c r="A86" s="74" t="n">
        <x:f>'밸런스 문서'!B86</x:f>
        <x:v>82</x:v>
      </x:c>
      <x:c r="B86" s="22" t="n">
        <x:f>'밸런스 문서'!P86</x:f>
        <x:v>363</x:v>
      </x:c>
      <x:c r="C86" s="55" t="n">
        <x:f>'밸런스 문서'!R86</x:f>
        <x:v>1352.37</x:v>
      </x:c>
      <x:c r="D86" s="73" t="n">
        <x:f>'밸런스 문서'!N86</x:f>
        <x:v>0.09265046296296299</x:v>
      </x:c>
    </x:row>
    <x:row r="87">
      <x:c r="A87" s="74" t="n">
        <x:f>'밸런스 문서'!B87</x:f>
        <x:v>83</x:v>
      </x:c>
      <x:c r="B87" s="22" t="n">
        <x:f>'밸런스 문서'!P87</x:f>
        <x:v>370</x:v>
      </x:c>
      <x:c r="C87" s="55" t="n">
        <x:f>'밸런스 문서'!R87</x:f>
        <x:v>1403.97</x:v>
      </x:c>
      <x:c r="D87" s="73" t="n">
        <x:f>'밸런스 문서'!N87</x:f>
        <x:v>0.09357638888888892</x:v>
      </x:c>
    </x:row>
    <x:row r="88">
      <x:c r="A88" s="74" t="n">
        <x:f>'밸런스 문서'!B88</x:f>
        <x:v>84</x:v>
      </x:c>
      <x:c r="B88" s="22" t="n">
        <x:f>'밸런스 문서'!P88</x:f>
        <x:v>378</x:v>
      </x:c>
      <x:c r="C88" s="55" t="n">
        <x:f>'밸런스 문서'!R88</x:f>
        <x:v>1464.11</x:v>
      </x:c>
      <x:c r="D88" s="73" t="n">
        <x:f>'밸런스 문서'!N88</x:f>
        <x:v>0.09658564814814817</x:v>
      </x:c>
    </x:row>
    <x:row r="89">
      <x:c r="A89" s="74" t="n">
        <x:f>'밸런스 문서'!B89</x:f>
        <x:v>85</x:v>
      </x:c>
      <x:c r="B89" s="22" t="n">
        <x:f>'밸런스 문서'!P89</x:f>
        <x:v>384</x:v>
      </x:c>
      <x:c r="C89" s="55" t="n">
        <x:f>'밸런스 문서'!R89</x:f>
        <x:v>1510.04</x:v>
      </x:c>
      <x:c r="D89" s="73" t="n">
        <x:f>'밸런스 문서'!N89</x:f>
        <x:v>0.09728009259259261</x:v>
      </x:c>
    </x:row>
    <x:row r="90">
      <x:c r="A90" s="74" t="n">
        <x:f>'밸런스 문서'!B90</x:f>
        <x:v>86</x:v>
      </x:c>
      <x:c r="B90" s="22" t="n">
        <x:f>'밸런스 문서'!P90</x:f>
        <x:v>387</x:v>
      </x:c>
      <x:c r="C90" s="55" t="n">
        <x:f>'밸런스 문서'!R90</x:f>
        <x:v>1533.27</x:v>
      </x:c>
      <x:c r="D90" s="73" t="n">
        <x:f>'밸런스 문서'!N90</x:f>
        <x:v>0.09820601851851854</x:v>
      </x:c>
    </x:row>
    <x:row r="91">
      <x:c r="A91" s="74" t="n">
        <x:f>'밸런스 문서'!B91</x:f>
        <x:v>87</x:v>
      </x:c>
      <x:c r="B91" s="22" t="n">
        <x:f>'밸런스 문서'!P91</x:f>
        <x:v>390</x:v>
      </x:c>
      <x:c r="C91" s="55" t="n">
        <x:f>'밸런스 문서'!R91</x:f>
        <x:v>1556.69</x:v>
      </x:c>
      <x:c r="D91" s="73" t="n">
        <x:f>'밸런스 문서'!N91</x:f>
        <x:v>0.09878472222222225</x:v>
      </x:c>
    </x:row>
    <x:row r="92">
      <x:c r="A92" s="74" t="n">
        <x:f>'밸런스 문서'!B92</x:f>
        <x:v>88</x:v>
      </x:c>
      <x:c r="B92" s="22" t="n">
        <x:f>'밸런스 문서'!P92</x:f>
        <x:v>397</x:v>
      </x:c>
      <x:c r="C92" s="55" t="n">
        <x:f>'밸런스 문서'!R92</x:f>
        <x:v>1612</x:v>
      </x:c>
      <x:c r="D92" s="73" t="n">
        <x:f>'밸런스 문서'!N92</x:f>
        <x:v>0.09971064814814817</x:v>
      </x:c>
    </x:row>
    <x:row r="93">
      <x:c r="A93" s="74" t="n">
        <x:f>'밸런스 문서'!B93</x:f>
        <x:v>89</x:v>
      </x:c>
      <x:c r="B93" s="22" t="n">
        <x:f>'밸런스 문서'!P93</x:f>
        <x:v>405</x:v>
      </x:c>
      <x:c r="C93" s="55" t="n">
        <x:f>'밸런스 문서'!R93</x:f>
        <x:v>1676.4</x:v>
      </x:c>
      <x:c r="D93" s="73" t="n">
        <x:f>'밸런스 문서'!N93</x:f>
        <x:v>0.10075231481481484</x:v>
      </x:c>
    </x:row>
    <x:row r="94">
      <x:c r="A94" s="74" t="n">
        <x:f>'밸런스 문서'!B94</x:f>
        <x:v>90</x:v>
      </x:c>
      <x:c r="B94" s="22" t="n">
        <x:f>'밸런스 문서'!P94</x:f>
        <x:v>413</x:v>
      </x:c>
      <x:c r="C94" s="55" t="n">
        <x:f>'밸런스 문서'!R94</x:f>
        <x:v>1742.05</x:v>
      </x:c>
      <x:c r="D94" s="73" t="n">
        <x:f>'밸런스 문서'!N94</x:f>
        <x:v>0.10115740740740743</x:v>
      </x:c>
    </x:row>
    <x:row r="95">
      <x:c r="A95" s="74" t="n">
        <x:f>'밸런스 문서'!B95</x:f>
        <x:v>91</x:v>
      </x:c>
      <x:c r="B95" s="22" t="n">
        <x:f>'밸런스 문서'!P95</x:f>
        <x:v>417</x:v>
      </x:c>
      <x:c r="C95" s="55" t="n">
        <x:f>'밸런스 문서'!R95</x:f>
        <x:v>1775.36</x:v>
      </x:c>
      <x:c r="D95" s="73" t="n">
        <x:f>'밸런스 문서'!N95</x:f>
        <x:v>0.10208333333333336</x:v>
      </x:c>
    </x:row>
    <x:row r="96">
      <x:c r="A96" s="74" t="n">
        <x:f>'밸런스 문서'!B96</x:f>
        <x:v>92</x:v>
      </x:c>
      <x:c r="B96" s="22" t="n">
        <x:f>'밸런스 문서'!P96</x:f>
        <x:v>425</x:v>
      </x:c>
      <x:c r="C96" s="55" t="n">
        <x:f>'밸런스 문서'!R96</x:f>
        <x:v>1842.91</x:v>
      </x:c>
      <x:c r="D96" s="73" t="n">
        <x:f>'밸런스 문서'!N96</x:f>
        <x:v>0.10312500000000002</x:v>
      </x:c>
    </x:row>
    <x:row r="97">
      <x:c r="A97" s="74" t="n">
        <x:f>'밸런스 문서'!B97</x:f>
        <x:v>93</x:v>
      </x:c>
      <x:c r="B97" s="22" t="n">
        <x:f>'밸런스 문서'!P97</x:f>
        <x:v>432</x:v>
      </x:c>
      <x:c r="C97" s="55" t="n">
        <x:f>'밸런스 문서'!R97</x:f>
        <x:v>1903.05</x:v>
      </x:c>
      <x:c r="D97" s="73" t="n">
        <x:f>'밸런스 문서'!N97</x:f>
        <x:v>0.10486111111111113</x:v>
      </x:c>
    </x:row>
    <x:row r="98">
      <x:c r="A98" s="74" t="n">
        <x:f>'밸런스 문서'!B98</x:f>
        <x:v>94</x:v>
      </x:c>
      <x:c r="B98" s="22" t="n">
        <x:f>'밸런스 문서'!P98</x:f>
        <x:v>439</x:v>
      </x:c>
      <x:c r="C98" s="55" t="n">
        <x:f>'밸런스 문서'!R98</x:f>
        <x:v>1964.15</x:v>
      </x:c>
      <x:c r="D98" s="73" t="n">
        <x:f>'밸런스 문서'!N98</x:f>
        <x:v>0.10590277777777779</x:v>
      </x:c>
    </x:row>
    <x:row r="99">
      <x:c r="A99" s="74" t="n">
        <x:f>'밸런스 문서'!B99</x:f>
        <x:v>95</x:v>
      </x:c>
      <x:c r="B99" s="22" t="n">
        <x:f>'밸런스 문서'!P99</x:f>
        <x:v>443</x:v>
      </x:c>
      <x:c r="C99" s="55" t="n">
        <x:f>'밸런스 문서'!R99</x:f>
        <x:v>1999.5</x:v>
      </x:c>
      <x:c r="D99" s="73" t="n">
        <x:f>'밸런스 문서'!N99</x:f>
        <x:v>0.10659722222222223</x:v>
      </x:c>
    </x:row>
    <x:row r="100">
      <x:c r="A100" s="74" t="n">
        <x:f>'밸런스 문서'!B100</x:f>
        <x:v>96</x:v>
      </x:c>
      <x:c r="B100" s="22" t="n">
        <x:f>'밸런스 문서'!P100</x:f>
        <x:v>449</x:v>
      </x:c>
      <x:c r="C100" s="55" t="n">
        <x:f>'밸런스 문서'!R100</x:f>
        <x:v>2053.12</x:v>
      </x:c>
      <x:c r="D100" s="73" t="n">
        <x:f>'밸런스 문서'!N100</x:f>
        <x:v>0.10937500000000001</x:v>
      </x:c>
    </x:row>
    <x:row r="101">
      <x:c r="A101" s="74" t="n">
        <x:f>'밸런스 문서'!B101</x:f>
        <x:v>97</x:v>
      </x:c>
      <x:c r="B101" s="22" t="n">
        <x:f>'밸런스 문서'!P101</x:f>
        <x:v>457</x:v>
      </x:c>
      <x:c r="C101" s="55" t="n">
        <x:f>'밸런스 문서'!R101</x:f>
        <x:v>2125.71</x:v>
      </x:c>
      <x:c r="D101" s="73" t="n">
        <x:f>'밸런스 문서'!N101</x:f>
        <x:v>0.11041666666666668</x:v>
      </x:c>
    </x:row>
    <x:row r="102">
      <x:c r="A102" s="74" t="n">
        <x:f>'밸런스 문서'!B102</x:f>
        <x:v>98</x:v>
      </x:c>
      <x:c r="B102" s="22" t="n">
        <x:f>'밸런스 문서'!P102</x:f>
        <x:v>466</x:v>
      </x:c>
      <x:c r="C102" s="55" t="n">
        <x:f>'밸런스 문서'!R102</x:f>
        <x:v>2208.89</x:v>
      </x:c>
      <x:c r="D102" s="73" t="n">
        <x:f>'밸런스 문서'!N102</x:f>
        <x:v>0.11099537037037038</x:v>
      </x:c>
    </x:row>
    <x:row r="103">
      <x:c r="A103" s="74" t="n">
        <x:f>'밸런스 문서'!B103</x:f>
        <x:v>99</x:v>
      </x:c>
      <x:c r="B103" s="22" t="n">
        <x:f>'밸런스 문서'!P103</x:f>
        <x:v>469</x:v>
      </x:c>
      <x:c r="C103" s="55" t="n">
        <x:f>'밸런스 문서'!R103</x:f>
        <x:v>2236.97</x:v>
      </x:c>
      <x:c r="D103" s="73" t="n">
        <x:f>'밸런스 문서'!N103</x:f>
        <x:v>0.11168981481481483</x:v>
      </x:c>
    </x:row>
    <x:row r="104">
      <x:c r="A104" s="74" t="n">
        <x:f>'밸런스 문서'!B104</x:f>
        <x:v>100</x:v>
      </x:c>
      <x:c r="B104" s="22" t="n">
        <x:f>'밸런스 문서'!P104</x:f>
        <x:v>479</x:v>
      </x:c>
      <x:c r="C104" s="55" t="n">
        <x:f>'밸런스 문서'!R104</x:f>
        <x:v>2331.84</x:v>
      </x:c>
      <x:c r="D104" s="73" t="n">
        <x:f>'밸런스 문서'!N104</x:f>
        <x:v>0.11307870370370371</x:v>
      </x:c>
    </x:row>
    <x:row r="105">
      <x:c r="A105" s="74" t="n">
        <x:f>'밸런스 문서'!B105</x:f>
        <x:v>101</x:v>
      </x:c>
      <x:c r="B105" s="22" t="n">
        <x:f>'밸런스 문서'!P105</x:f>
        <x:v>487</x:v>
      </x:c>
      <x:c r="C105" s="55" t="n">
        <x:f>'밸런스 문서'!R105</x:f>
        <x:v>2409.16</x:v>
      </x:c>
      <x:c r="D105" s="73" t="n">
        <x:f>'밸런스 문서'!N105</x:f>
        <x:v>0.11377314814814815</x:v>
      </x:c>
    </x:row>
    <x:row r="106">
      <x:c r="A106" s="74" t="n">
        <x:f>'밸런스 문서'!B106</x:f>
        <x:v>102</x:v>
      </x:c>
      <x:c r="B106" s="22" t="n">
        <x:f>'밸런스 문서'!P106</x:f>
        <x:v>495</x:v>
      </x:c>
      <x:c r="C106" s="55" t="n">
        <x:f>'밸런스 문서'!R106</x:f>
        <x:v>2487.75</x:v>
      </x:c>
      <x:c r="D106" s="73" t="n">
        <x:f>'밸런스 문서'!N106</x:f>
        <x:v>0.11446759259259259</x:v>
      </x:c>
    </x:row>
    <x:row r="107">
      <x:c r="A107" s="74" t="n">
        <x:f>'밸런스 문서'!B107</x:f>
        <x:v>103</x:v>
      </x:c>
      <x:c r="B107" s="22" t="n">
        <x:f>'밸런스 문서'!P107</x:f>
        <x:v>502</x:v>
      </x:c>
      <x:c r="C107" s="55" t="n">
        <x:f>'밸런스 문서'!R107</x:f>
        <x:v>2557.54</x:v>
      </x:c>
      <x:c r="D107" s="73" t="n">
        <x:f>'밸런스 문서'!N107</x:f>
        <x:v>0.11533564814814815</x:v>
      </x:c>
    </x:row>
    <x:row r="108">
      <x:c r="A108" s="74" t="n">
        <x:f>'밸런스 문서'!B108</x:f>
        <x:v>104</x:v>
      </x:c>
      <x:c r="B108" s="22" t="n">
        <x:f>'밸런스 문서'!P108</x:f>
        <x:v>509</x:v>
      </x:c>
      <x:c r="C108" s="55" t="n">
        <x:f>'밸런스 문서'!R108</x:f>
        <x:v>2628.3</x:v>
      </x:c>
      <x:c r="D108" s="73" t="n">
        <x:f>'밸런스 문서'!N108</x:f>
        <x:v>0.1162037037037037</x:v>
      </x:c>
    </x:row>
    <x:row r="109">
      <x:c r="A109" s="74" t="n">
        <x:f>'밸런스 문서'!B109</x:f>
        <x:v>105</x:v>
      </x:c>
      <x:c r="B109" s="22" t="n">
        <x:f>'밸런스 문서'!P109</x:f>
        <x:v>516</x:v>
      </x:c>
      <x:c r="C109" s="55" t="n">
        <x:f>'밸런스 문서'!R109</x:f>
        <x:v>2700.02</x:v>
      </x:c>
      <x:c r="D109" s="73" t="n">
        <x:f>'밸런스 문서'!N109</x:f>
        <x:v>0.11655092592592592</x:v>
      </x:c>
    </x:row>
    <x:row r="110">
      <x:c r="A110" s="74" t="n">
        <x:f>'밸런스 문서'!B110</x:f>
        <x:v>106</x:v>
      </x:c>
      <x:c r="B110" s="22" t="n">
        <x:f>'밸런스 문서'!P110</x:f>
        <x:v>519</x:v>
      </x:c>
      <x:c r="C110" s="55" t="n">
        <x:f>'밸런스 문서'!R110</x:f>
        <x:v>2731.06</x:v>
      </x:c>
      <x:c r="D110" s="73" t="n">
        <x:f>'밸런스 문서'!N110</x:f>
        <x:v>0.11747685185185185</x:v>
      </x:c>
    </x:row>
    <x:row r="111">
      <x:c r="A111" s="74" t="n">
        <x:f>'밸런스 문서'!B111</x:f>
        <x:v>107</x:v>
      </x:c>
      <x:c r="B111" s="22" t="n">
        <x:f>'밸런스 문서'!P111</x:f>
        <x:v>523</x:v>
      </x:c>
      <x:c r="C111" s="55" t="n">
        <x:f>'밸런스 문서'!R111</x:f>
        <x:v>2772.71</x:v>
      </x:c>
      <x:c r="D111" s="73" t="n">
        <x:f>'밸런스 문서'!N111</x:f>
        <x:v>0.11886574074074073</x:v>
      </x:c>
    </x:row>
    <x:row r="112">
      <x:c r="A112" s="74" t="n">
        <x:f>'밸런스 문서'!B112</x:f>
        <x:v>108</x:v>
      </x:c>
      <x:c r="B112" s="22" t="n">
        <x:f>'밸런스 문서'!P112</x:f>
        <x:v>528</x:v>
      </x:c>
      <x:c r="C112" s="55" t="n">
        <x:f>'밸런스 문서'!R112</x:f>
        <x:v>2825.22</x:v>
      </x:c>
      <x:c r="D112" s="73" t="n">
        <x:f>'밸런스 문서'!N112</x:f>
        <x:v>0.1199074074074074</x:v>
      </x:c>
    </x:row>
    <x:row r="113">
      <x:c r="A113" s="74" t="n">
        <x:f>'밸런스 문서'!B113</x:f>
        <x:v>109</x:v>
      </x:c>
      <x:c r="B113" s="22" t="n">
        <x:f>'밸런스 문서'!P113</x:f>
        <x:v>533</x:v>
      </x:c>
      <x:c r="C113" s="55" t="n">
        <x:f>'밸런스 문서'!R113</x:f>
        <x:v>2878.23</x:v>
      </x:c>
      <x:c r="D113" s="73" t="n">
        <x:f>'밸런스 문서'!N113</x:f>
        <x:v>0.1210648148148148</x:v>
      </x:c>
    </x:row>
    <x:row r="114">
      <x:c r="A114" s="74" t="n">
        <x:f>'밸런스 문서'!B114</x:f>
        <x:v>110</x:v>
      </x:c>
      <x:c r="B114" s="22" t="n">
        <x:f>'밸런스 문서'!P114</x:f>
        <x:v>541</x:v>
      </x:c>
      <x:c r="C114" s="55" t="n">
        <x:f>'밸런스 문서'!R114</x:f>
        <x:v>2964.06</x:v>
      </x:c>
      <x:c r="D114" s="73" t="n">
        <x:f>'밸런스 문서'!N114</x:f>
        <x:v>0.12245370370370369</x:v>
      </x:c>
    </x:row>
    <x:row r="115">
      <x:c r="A115" s="74" t="n">
        <x:f>'밸런스 문서'!B115</x:f>
        <x:v>111</x:v>
      </x:c>
      <x:c r="B115" s="22" t="n">
        <x:f>'밸런스 문서'!P115</x:f>
        <x:v>550</x:v>
      </x:c>
      <x:c r="C115" s="55" t="n">
        <x:f>'밸런스 문서'!R115</x:f>
        <x:v>3062.13</x:v>
      </x:c>
      <x:c r="D115" s="73" t="n">
        <x:f>'밸런스 문서'!N115</x:f>
        <x:v>0.12384259259259257</x:v>
      </x:c>
    </x:row>
    <x:row r="116">
      <x:c r="A116" s="74" t="n">
        <x:f>'밸런스 문서'!B116</x:f>
        <x:v>112</x:v>
      </x:c>
      <x:c r="B116" s="22" t="n">
        <x:f>'밸런스 문서'!P116</x:f>
        <x:v>558</x:v>
      </x:c>
      <x:c r="C116" s="55" t="n">
        <x:f>'밸런스 문서'!R116</x:f>
        <x:v>3150.64</x:v>
      </x:c>
      <x:c r="D116" s="73" t="n">
        <x:f>'밸런스 문서'!N116</x:f>
        <x:v>0.12523148148148147</x:v>
      </x:c>
    </x:row>
    <x:row r="117">
      <x:c r="A117" s="74" t="n">
        <x:f>'밸런스 문서'!B117</x:f>
        <x:v>113</x:v>
      </x:c>
      <x:c r="B117" s="22" t="n">
        <x:f>'밸런스 문서'!P117</x:f>
        <x:v>567</x:v>
      </x:c>
      <x:c r="C117" s="55" t="n">
        <x:f>'밸런스 문서'!R117</x:f>
        <x:v>3251.72</x:v>
      </x:c>
      <x:c r="D117" s="73" t="n">
        <x:f>'밸런스 문서'!N117</x:f>
        <x:v>0.12627314814814813</x:v>
      </x:c>
    </x:row>
    <x:row r="118">
      <x:c r="A118" s="74" t="n">
        <x:f>'밸런스 문서'!B118</x:f>
        <x:v>114</x:v>
      </x:c>
      <x:c r="B118" s="22" t="n">
        <x:f>'밸런스 문서'!P118</x:f>
        <x:v>570</x:v>
      </x:c>
      <x:c r="C118" s="55" t="n">
        <x:f>'밸런스 문서'!R118</x:f>
        <x:v>3285.77</x:v>
      </x:c>
      <x:c r="D118" s="73" t="n">
        <x:f>'밸런스 문서'!N118</x:f>
        <x:v>0.12743055555555555</x:v>
      </x:c>
    </x:row>
    <x:row r="119">
      <x:c r="A119" s="74" t="n">
        <x:f>'밸런스 문서'!B119</x:f>
        <x:v>115</x:v>
      </x:c>
      <x:c r="B119" s="22" t="n">
        <x:f>'밸런스 문서'!P119</x:f>
        <x:v>573</x:v>
      </x:c>
      <x:c r="C119" s="55" t="n">
        <x:f>'밸런스 문서'!R119</x:f>
        <x:v>3319.99</x:v>
      </x:c>
      <x:c r="D119" s="73" t="n">
        <x:f>'밸런스 문서'!N119</x:f>
        <x:v>0.12858796296296296</x:v>
      </x:c>
    </x:row>
    <x:row r="120">
      <x:c r="A120" s="74" t="n">
        <x:f>'밸런스 문서'!B120</x:f>
        <x:v>116</x:v>
      </x:c>
      <x:c r="B120" s="22" t="n">
        <x:f>'밸런스 문서'!P120</x:f>
        <x:v>576</x:v>
      </x:c>
      <x:c r="C120" s="55" t="n">
        <x:f>'밸런스 문서'!R120</x:f>
        <x:v>3354.39</x:v>
      </x:c>
      <x:c r="D120" s="73" t="n">
        <x:f>'밸런스 문서'!N120</x:f>
        <x:v>0.12997685185185184</x:v>
      </x:c>
    </x:row>
    <x:row r="121">
      <x:c r="A121" s="74" t="n">
        <x:f>'밸런스 문서'!B121</x:f>
        <x:v>117</x:v>
      </x:c>
      <x:c r="B121" s="22" t="n">
        <x:f>'밸런스 문서'!P121</x:f>
        <x:v>581</x:v>
      </x:c>
      <x:c r="C121" s="55" t="n">
        <x:f>'밸런스 문서'!R121</x:f>
        <x:v>3412.13</x:v>
      </x:c>
      <x:c r="D121" s="73" t="n">
        <x:f>'밸런스 문서'!N121</x:f>
        <x:v>0.13148148148148148</x:v>
      </x:c>
    </x:row>
    <x:row r="122">
      <x:c r="A122" s="74" t="n">
        <x:f>'밸런스 문서'!B122</x:f>
        <x:v>118</x:v>
      </x:c>
      <x:c r="B122" s="22" t="n">
        <x:f>'밸런스 문서'!P122</x:f>
        <x:v>586</x:v>
      </x:c>
      <x:c r="C122" s="55" t="n">
        <x:f>'밸런스 문서'!R122</x:f>
        <x:v>3470.35</x:v>
      </x:c>
      <x:c r="D122" s="73" t="n">
        <x:f>'밸런스 문서'!N122</x:f>
        <x:v>0.13321759259259258</x:v>
      </x:c>
    </x:row>
    <x:row r="123">
      <x:c r="A123" s="74" t="n">
        <x:f>'밸런스 문서'!B123</x:f>
        <x:v>119</x:v>
      </x:c>
      <x:c r="B123" s="22" t="n">
        <x:f>'밸런스 문서'!P123</x:f>
        <x:v>593</x:v>
      </x:c>
      <x:c r="C123" s="55" t="n">
        <x:f>'밸런스 문서'!R123</x:f>
        <x:v>3552.69</x:v>
      </x:c>
      <x:c r="D123" s="73" t="n">
        <x:f>'밸런스 문서'!N123</x:f>
        <x:v>0.13460648148148147</x:v>
      </x:c>
    </x:row>
    <x:row r="124">
      <x:c r="A124" s="74" t="n">
        <x:f>'밸런스 문서'!B124</x:f>
        <x:v>120</x:v>
      </x:c>
      <x:c r="B124" s="22" t="n">
        <x:f>'밸런스 문서'!P124</x:f>
        <x:v>599</x:v>
      </x:c>
      <x:c r="C124" s="55" t="n">
        <x:f>'밸런스 문서'!R124</x:f>
        <x:v>3624.04</x:v>
      </x:c>
      <x:c r="D124" s="73" t="n">
        <x:f>'밸런스 문서'!N124</x:f>
        <x:v>0.137037037037037</x:v>
      </x:c>
    </x:row>
    <x:row r="125">
      <x:c r="A125" s="74" t="n">
        <x:f>'밸런스 문서'!B125</x:f>
        <x:v>121</x:v>
      </x:c>
      <x:c r="B125" s="22" t="n">
        <x:f>'밸런스 문서'!P125</x:f>
        <x:v>607</x:v>
      </x:c>
      <x:c r="C125" s="55" t="n">
        <x:f>'밸런스 문서'!R125</x:f>
        <x:v>3720.27</x:v>
      </x:c>
      <x:c r="D125" s="73" t="n">
        <x:f>'밸런스 문서'!N125</x:f>
        <x:v>0.13912037037037034</x:v>
      </x:c>
    </x:row>
    <x:row r="126">
      <x:c r="A126" s="74" t="n">
        <x:f>'밸런스 문서'!B126</x:f>
        <x:v>122</x:v>
      </x:c>
      <x:c r="B126" s="22" t="n">
        <x:f>'밸런스 문서'!P126</x:f>
        <x:v>613</x:v>
      </x:c>
      <x:c r="C126" s="55" t="n">
        <x:f>'밸런스 문서'!R126</x:f>
        <x:v>3793.27</x:v>
      </x:c>
      <x:c r="D126" s="73" t="n">
        <x:f>'밸런스 문서'!N126</x:f>
        <x:v>0.14143518518518516</x:v>
      </x:c>
    </x:row>
    <x:row r="127">
      <x:c r="A127" s="74" t="n">
        <x:f>'밸런스 문서'!B127</x:f>
        <x:v>123</x:v>
      </x:c>
      <x:c r="B127" s="22" t="n">
        <x:f>'밸런스 문서'!P127</x:f>
        <x:v>620</x:v>
      </x:c>
      <x:c r="C127" s="55" t="n">
        <x:f>'밸런스 문서'!R127</x:f>
        <x:v>3879.34</x:v>
      </x:c>
      <x:c r="D127" s="73" t="n">
        <x:f>'밸런스 문서'!N127</x:f>
        <x:v>0.14375</x:v>
      </x:c>
    </x:row>
    <x:row r="128">
      <x:c r="A128" s="74" t="n">
        <x:f>'밸런스 문서'!B128</x:f>
        <x:v>124</x:v>
      </x:c>
      <x:c r="B128" s="22" t="n">
        <x:f>'밸런스 문서'!P128</x:f>
        <x:v>626</x:v>
      </x:c>
      <x:c r="C128" s="55" t="n">
        <x:f>'밸런스 문서'!R128</x:f>
        <x:v>3953.88</x:v>
      </x:c>
      <x:c r="D128" s="73" t="n">
        <x:f>'밸런스 문서'!N128</x:f>
        <x:v>0.1449074074074074</x:v>
      </x:c>
    </x:row>
    <x:row r="129">
      <x:c r="A129" s="74" t="n">
        <x:f>'밸런스 문서'!B129</x:f>
        <x:v>125</x:v>
      </x:c>
      <x:c r="B129" s="22" t="n">
        <x:f>'밸런스 문서'!P129</x:f>
        <x:v>632</x:v>
      </x:c>
      <x:c r="C129" s="55" t="n">
        <x:f>'밸런스 문서'!R129</x:f>
        <x:v>4029.13</x:v>
      </x:c>
      <x:c r="D129" s="73" t="n">
        <x:f>'밸런스 문서'!N129</x:f>
        <x:v>0.14710648148148148</x:v>
      </x:c>
    </x:row>
    <x:row r="130">
      <x:c r="A130" s="74" t="n">
        <x:f>'밸런스 문서'!B130</x:f>
        <x:v>126</x:v>
      </x:c>
      <x:c r="B130" s="22" t="n">
        <x:f>'밸런스 문서'!P130</x:f>
        <x:v>639</x:v>
      </x:c>
      <x:c r="C130" s="55" t="n">
        <x:f>'밸런스 문서'!R130</x:f>
        <x:v>4117.81</x:v>
      </x:c>
      <x:c r="D130" s="73" t="n">
        <x:f>'밸런스 문서'!N130</x:f>
        <x:v>0.14884259259259258</x:v>
      </x:c>
    </x:row>
    <x:row r="131">
      <x:c r="A131" s="74" t="n">
        <x:f>'밸런스 문서'!B131</x:f>
        <x:v>127</x:v>
      </x:c>
      <x:c r="B131" s="22" t="n">
        <x:f>'밸런스 문서'!P131</x:f>
        <x:v>647</x:v>
      </x:c>
      <x:c r="C131" s="55" t="n">
        <x:f>'밸런스 문서'!R131</x:f>
        <x:v>4220.35</x:v>
      </x:c>
      <x:c r="D131" s="73" t="n">
        <x:f>'밸런스 문서'!N131</x:f>
        <x:v>0.15023148148148147</x:v>
      </x:c>
    </x:row>
    <x:row r="132">
      <x:c r="A132" s="74" t="n">
        <x:f>'밸런스 문서'!B132</x:f>
        <x:v>128</x:v>
      </x:c>
      <x:c r="B132" s="22" t="n">
        <x:f>'밸런스 문서'!P132</x:f>
        <x:v>654</x:v>
      </x:c>
      <x:c r="C132" s="55" t="n">
        <x:f>'밸런스 문서'!R132</x:f>
        <x:v>4311.1</x:v>
      </x:c>
      <x:c r="D132" s="73" t="n">
        <x:f>'밸런스 문서'!N132</x:f>
        <x:v>0.15104166666666666</x:v>
      </x:c>
    </x:row>
    <x:row r="133">
      <x:c r="A133" s="74" t="n">
        <x:f>'밸런스 문서'!B133</x:f>
        <x:v>129</x:v>
      </x:c>
      <x:c r="B133" s="22" t="n">
        <x:f>'밸런스 문서'!P133</x:f>
        <x:v>662</x:v>
      </x:c>
      <x:c r="C133" s="55" t="n">
        <x:f>'밸런스 문서'!R133</x:f>
        <x:v>4416</x:v>
      </x:c>
      <x:c r="D133" s="73" t="n">
        <x:f>'밸런스 문서'!N133</x:f>
        <x:v>0.15144675925925924</x:v>
      </x:c>
    </x:row>
    <x:row r="134">
      <x:c r="A134" s="72" t="n">
        <x:f>'밸런스 문서'!B134</x:f>
        <x:v>130</x:v>
      </x:c>
      <x:c r="B134" s="60" t="n">
        <x:f>'밸런스 문서'!P134</x:f>
        <x:v>669</x:v>
      </x:c>
      <x:c r="C134" s="53" t="n">
        <x:f>'밸런스 문서'!R134</x:f>
        <x:v>4508.83</x:v>
      </x:c>
      <x:c r="D134" s="73" t="n">
        <x:f>'밸런스 문서'!N134</x:f>
        <x:v>0.154224537037037</x:v>
      </x:c>
    </x:row>
    <x:row r="135">
      <x:c r="A135" s="72" t="n">
        <x:f>'밸런스 문서'!B135</x:f>
        <x:v>131</x:v>
      </x:c>
      <x:c r="B135" s="60" t="n">
        <x:f>'밸런스 문서'!P135</x:f>
        <x:v>675</x:v>
      </x:c>
      <x:c r="C135" s="53" t="n">
        <x:f>'밸런스 문서'!R135</x:f>
        <x:v>4589.16</x:v>
      </x:c>
      <x:c r="D135" s="73" t="n">
        <x:f>'밸런스 문서'!N135</x:f>
        <x:v>0.15665509259259255</x:v>
      </x:c>
    </x:row>
    <x:row r="136">
      <x:c r="A136" s="72" t="n">
        <x:f>'밸런스 문서'!B136</x:f>
        <x:v>132</x:v>
      </x:c>
      <x:c r="B136" s="60" t="n">
        <x:f>'밸런스 문서'!P136</x:f>
        <x:v>681</x:v>
      </x:c>
      <x:c r="C136" s="53" t="n">
        <x:f>'밸런스 문서'!R136</x:f>
        <x:v>4670.2</x:v>
      </x:c>
      <x:c r="D136" s="73" t="n">
        <x:f>'밸런스 문서'!N136</x:f>
        <x:v>0.1579282407407407</x:v>
      </x:c>
    </x:row>
    <x:row r="137">
      <x:c r="A137" s="72" t="n">
        <x:f>'밸런스 문서'!B137</x:f>
        <x:v>133</x:v>
      </x:c>
      <x:c r="B137" s="60" t="n">
        <x:f>'밸런스 문서'!P137</x:f>
        <x:v>688</x:v>
      </x:c>
      <x:c r="C137" s="53" t="n">
        <x:f>'밸런스 문서'!R137</x:f>
        <x:v>4765.64</x:v>
      </x:c>
      <x:c r="D137" s="73" t="n">
        <x:f>'밸런스 문서'!N137</x:f>
        <x:v>0.16012731481481476</x:v>
      </x:c>
    </x:row>
    <x:row r="138">
      <x:c r="A138" s="72" t="n">
        <x:f>'밸런스 문서'!B138</x:f>
        <x:v>134</x:v>
      </x:c>
      <x:c r="B138" s="60" t="n">
        <x:f>'밸런스 문서'!P138</x:f>
        <x:v>694</x:v>
      </x:c>
      <x:c r="C138" s="53" t="n">
        <x:f>'밸런스 문서'!R138</x:f>
        <x:v>4848.21</x:v>
      </x:c>
      <x:c r="D138" s="73" t="n">
        <x:f>'밸런스 문서'!N138</x:f>
        <x:v>0.1625578703703703</x:v>
      </x:c>
    </x:row>
    <x:row r="139">
      <x:c r="A139" s="72" t="n">
        <x:f>'밸런스 문서'!B139</x:f>
        <x:v>135</x:v>
      </x:c>
      <x:c r="B139" s="60" t="n">
        <x:f>'밸런스 문서'!P139</x:f>
        <x:v>699</x:v>
      </x:c>
      <x:c r="C139" s="53" t="n">
        <x:f>'밸런스 문서'!R139</x:f>
        <x:v>4917.57</x:v>
      </x:c>
      <x:c r="D139" s="73" t="n">
        <x:f>'밸런스 문서'!N139</x:f>
        <x:v>0.16348379629629622</x:v>
      </x:c>
    </x:row>
    <x:row r="140">
      <x:c r="A140" s="72" t="n">
        <x:f>'밸런스 문서'!B140</x:f>
        <x:v>136</x:v>
      </x:c>
      <x:c r="B140" s="60" t="n">
        <x:f>'밸런스 문서'!P140</x:f>
        <x:v>706</x:v>
      </x:c>
      <x:c r="C140" s="53" t="n">
        <x:f>'밸런스 문서'!R140</x:f>
        <x:v>5015.49</x:v>
      </x:c>
      <x:c r="D140" s="73" t="n">
        <x:f>'밸런스 문서'!N140</x:f>
        <x:v>0.16417824074074067</x:v>
      </x:c>
    </x:row>
    <x:row r="141">
      <x:c r="A141" s="72" t="n">
        <x:f>'밸런스 문서'!B141</x:f>
        <x:v>137</x:v>
      </x:c>
      <x:c r="B141" s="60" t="n">
        <x:f>'밸런스 문서'!P141</x:f>
        <x:v>713</x:v>
      </x:c>
      <x:c r="C141" s="53" t="n">
        <x:f>'밸런스 문서'!R141</x:f>
        <x:v>5114.38</x:v>
      </x:c>
      <x:c r="D141" s="73" t="n">
        <x:f>'밸런스 문서'!N141</x:f>
        <x:v>0.16533564814814808</x:v>
      </x:c>
    </x:row>
    <x:row r="142">
      <x:c r="A142" s="72" t="n">
        <x:f>'밸런스 문서'!B142</x:f>
        <x:v>138</x:v>
      </x:c>
      <x:c r="B142" s="60" t="n">
        <x:f>'밸런스 문서'!P142</x:f>
        <x:v>724</x:v>
      </x:c>
      <x:c r="C142" s="53" t="n">
        <x:f>'밸런스 문서'!R142</x:f>
        <x:v>5271.73</x:v>
      </x:c>
      <x:c r="D142" s="73" t="n">
        <x:f>'밸런스 문서'!N142</x:f>
        <x:v>0.16672453703703696</x:v>
      </x:c>
    </x:row>
    <x:row r="143">
      <x:c r="A143" s="72" t="n">
        <x:f>'밸런스 문서'!B143</x:f>
        <x:v>139</x:v>
      </x:c>
      <x:c r="B143" s="60" t="n">
        <x:f>'밸런스 문서'!P143</x:f>
        <x:v>735</x:v>
      </x:c>
      <x:c r="C143" s="53" t="n">
        <x:f>'밸런스 문서'!R143</x:f>
        <x:v>5431.47</x:v>
      </x:c>
      <x:c r="D143" s="73" t="n">
        <x:f>'밸런스 문서'!N143</x:f>
        <x:v>0.16776620370370363</x:v>
      </x:c>
    </x:row>
    <x:row r="144">
      <x:c r="A144" s="72" t="n">
        <x:f>'밸런스 문서'!B144</x:f>
        <x:v>140</x:v>
      </x:c>
      <x:c r="B144" s="60" t="n">
        <x:f>'밸런스 문서'!P144</x:f>
        <x:v>746</x:v>
      </x:c>
      <x:c r="C144" s="53" t="n">
        <x:f>'밸런스 문서'!R144</x:f>
        <x:v>5593.58</x:v>
      </x:c>
      <x:c r="D144" s="73" t="n">
        <x:f>'밸런스 문서'!N144</x:f>
        <x:v>0.16846064814814807</x:v>
      </x:c>
    </x:row>
    <x:row r="145">
      <x:c r="A145" s="72" t="n">
        <x:f>'밸런스 문서'!B145</x:f>
        <x:v>141</x:v>
      </x:c>
      <x:c r="B145" s="60" t="n">
        <x:f>'밸런스 문서'!P145</x:f>
        <x:v>757</x:v>
      </x:c>
      <x:c r="C145" s="53" t="n">
        <x:f>'밸런스 문서'!R145</x:f>
        <x:v>5758.08</x:v>
      </x:c>
      <x:c r="D145" s="73" t="n">
        <x:f>'밸런스 문서'!N145</x:f>
        <x:v>0.1705439814814814</x:v>
      </x:c>
    </x:row>
    <x:row r="146">
      <x:c r="A146" s="72" t="n">
        <x:f>'밸런스 문서'!B146</x:f>
        <x:v>142</x:v>
      </x:c>
      <x:c r="B146" s="60" t="n">
        <x:f>'밸런스 문서'!P146</x:f>
        <x:v>769</x:v>
      </x:c>
      <x:c r="C146" s="53" t="n">
        <x:f>'밸런스 문서'!R146</x:f>
        <x:v>5940.26</x:v>
      </x:c>
      <x:c r="D146" s="73" t="n">
        <x:f>'밸런스 문서'!N146</x:f>
        <x:v>0.17123842592592584</x:v>
      </x:c>
    </x:row>
    <x:row r="147">
      <x:c r="A147" s="72" t="n">
        <x:f>'밸런스 문서'!B147</x:f>
        <x:v>143</x:v>
      </x:c>
      <x:c r="B147" s="60" t="n">
        <x:f>'밸런스 문서'!P147</x:f>
        <x:v>779</x:v>
      </x:c>
      <x:c r="C147" s="53" t="n">
        <x:f>'밸런스 문서'!R147</x:f>
        <x:v>6094.23</x:v>
      </x:c>
      <x:c r="D147" s="73" t="n">
        <x:f>'밸런스 문서'!N147</x:f>
        <x:v>0.17285879629629622</x:v>
      </x:c>
    </x:row>
    <x:row r="148">
      <x:c r="A148" s="72" t="n">
        <x:f>'밸런스 문서'!B148</x:f>
        <x:v>144</x:v>
      </x:c>
      <x:c r="B148" s="60" t="n">
        <x:f>'밸런스 문서'!P148</x:f>
        <x:v>784</x:v>
      </x:c>
      <x:c r="C148" s="53" t="n">
        <x:f>'밸런스 문서'!R148</x:f>
        <x:v>6171.96</x:v>
      </x:c>
      <x:c r="D148" s="73" t="n">
        <x:f>'밸런스 문서'!N148</x:f>
        <x:v>0.17390046296296288</x:v>
      </x:c>
    </x:row>
    <x:row r="149">
      <x:c r="A149" s="72" t="n">
        <x:f>'밸런스 문서'!B149</x:f>
        <x:v>145</x:v>
      </x:c>
      <x:c r="B149" s="60" t="n">
        <x:f>'밸런스 문서'!P149</x:f>
        <x:v>790</x:v>
      </x:c>
      <x:c r="C149" s="53" t="n">
        <x:f>'밸런스 문서'!R149</x:f>
        <x:v>6265.89</x:v>
      </x:c>
      <x:c r="D149" s="73" t="n">
        <x:f>'밸런스 문서'!N149</x:f>
        <x:v>0.17552083333333326</x:v>
      </x:c>
    </x:row>
    <x:row r="150">
      <x:c r="A150" s="72" t="n">
        <x:f>'밸런스 문서'!B150</x:f>
        <x:v>146</x:v>
      </x:c>
      <x:c r="B150" s="60" t="n">
        <x:f>'밸런스 문서'!P150</x:f>
        <x:v>798</x:v>
      </x:c>
      <x:c r="C150" s="53" t="n">
        <x:f>'밸런스 문서'!R150</x:f>
        <x:v>6392.22</x:v>
      </x:c>
      <x:c r="D150" s="73" t="n">
        <x:f>'밸런스 문서'!N150</x:f>
        <x:v>0.1776041666666666</x:v>
      </x:c>
    </x:row>
    <x:row r="151">
      <x:c r="A151" s="72" t="n">
        <x:f>'밸런스 문서'!B151</x:f>
        <x:v>147</x:v>
      </x:c>
      <x:c r="B151" s="60" t="n">
        <x:f>'밸런스 문서'!P151</x:f>
        <x:v>802</x:v>
      </x:c>
      <x:c r="C151" s="53" t="n">
        <x:f>'밸런스 문서'!R151</x:f>
        <x:v>6455.86</x:v>
      </x:c>
      <x:c r="D151" s="73" t="n">
        <x:f>'밸런스 문서'!N151</x:f>
        <x:v>0.17887731481481473</x:v>
      </x:c>
    </x:row>
    <x:row r="152">
      <x:c r="A152" s="72" t="n">
        <x:f>'밸런스 문서'!B152</x:f>
        <x:v>148</x:v>
      </x:c>
      <x:c r="B152" s="60" t="n">
        <x:f>'밸런스 문서'!P152</x:f>
        <x:v>806</x:v>
      </x:c>
      <x:c r="C152" s="53" t="n">
        <x:f>'밸런스 문서'!R152</x:f>
        <x:v>6519.81</x:v>
      </x:c>
      <x:c r="D152" s="73" t="n">
        <x:f>'밸런스 문서'!N152</x:f>
        <x:v>0.18003472222222214</x:v>
      </x:c>
    </x:row>
    <x:row r="153">
      <x:c r="A153" s="72" t="n">
        <x:f>'밸런스 문서'!B153</x:f>
        <x:v>149</x:v>
      </x:c>
      <x:c r="B153" s="60" t="n">
        <x:f>'밸런스 문서'!P153</x:f>
        <x:v>810</x:v>
      </x:c>
      <x:c r="C153" s="53" t="n">
        <x:f>'밸런스 문서'!R153</x:f>
        <x:v>6584.09</x:v>
      </x:c>
      <x:c r="D153" s="73" t="n">
        <x:f>'밸런스 문서'!N153</x:f>
        <x:v>0.18165509259259252</x:v>
      </x:c>
    </x:row>
    <x:row r="154">
      <x:c r="A154" s="69" t="n">
        <x:f>'밸런스 문서'!B154</x:f>
        <x:v>150</x:v>
      </x:c>
      <x:c r="B154" s="25" t="n">
        <x:f>'밸런스 문서'!P154</x:f>
        <x:v>817</x:v>
      </x:c>
      <x:c r="C154" s="23" t="n">
        <x:f>'밸런스 문서'!R154</x:f>
        <x:v>6697.32</x:v>
      </x:c>
      <x:c r="D154" s="73" t="n">
        <x:f>'밸런스 문서'!N154</x:f>
        <x:v>0.18373842592592585</x:v>
      </x:c>
    </x:row>
    <x:row r="155">
      <x:c r="A155" s="69" t="n">
        <x:f>'밸런스 문서'!B155</x:f>
        <x:v>151</x:v>
      </x:c>
      <x:c r="B155" s="25" t="n">
        <x:f>'밸런스 문서'!P155</x:f>
        <x:v>826</x:v>
      </x:c>
      <x:c r="C155" s="23" t="n">
        <x:f>'밸런스 문서'!R155</x:f>
        <x:v>6844.32</x:v>
      </x:c>
      <x:c r="D155" s="73" t="n">
        <x:f>'밸런스 문서'!N155</x:f>
        <x:v>0.18524305555555548</x:v>
      </x:c>
    </x:row>
    <x:row r="156">
      <x:c r="A156" s="69" t="n">
        <x:f>'밸런스 문서'!B156</x:f>
        <x:v>152</x:v>
      </x:c>
      <x:c r="B156" s="25" t="n">
        <x:f>'밸런스 문서'!P156</x:f>
        <x:v>833</x:v>
      </x:c>
      <x:c r="C156" s="23" t="n">
        <x:f>'밸런스 문서'!R156</x:f>
        <x:v>6959.76</x:v>
      </x:c>
      <x:c r="D156" s="73" t="n">
        <x:f>'밸런스 문서'!N156</x:f>
        <x:v>0.18778935185185178</x:v>
      </x:c>
    </x:row>
    <x:row r="157">
      <x:c r="A157" s="69" t="n">
        <x:f>'밸런스 문서'!B157</x:f>
        <x:v>153</x:v>
      </x:c>
      <x:c r="B157" s="25" t="n">
        <x:f>'밸런스 문서'!P157</x:f>
        <x:v>839</x:v>
      </x:c>
      <x:c r="C157" s="23" t="n">
        <x:f>'밸런스 문서'!R157</x:f>
        <x:v>7059.47</x:v>
      </x:c>
      <x:c r="D157" s="73" t="n">
        <x:f>'밸런스 문서'!N157</x:f>
        <x:v>0.19021990740740732</x:v>
      </x:c>
    </x:row>
    <x:row r="158">
      <x:c r="A158" s="69" t="n">
        <x:f>'밸런스 문서'!B158</x:f>
        <x:v>154</x:v>
      </x:c>
      <x:c r="B158" s="25" t="n">
        <x:f>'밸런스 문서'!P158</x:f>
        <x:v>849</x:v>
      </x:c>
      <x:c r="C158" s="23" t="n">
        <x:f>'밸런스 문서'!R158</x:f>
        <x:v>7227.24</x:v>
      </x:c>
      <x:c r="D158" s="73" t="n">
        <x:f>'밸런스 문서'!N158</x:f>
        <x:v>0.1932291666666666</x:v>
      </x:c>
    </x:row>
    <x:row r="159">
      <x:c r="A159" s="69" t="n">
        <x:f>'밸런스 문서'!B159</x:f>
        <x:v>155</x:v>
      </x:c>
      <x:c r="B159" s="25" t="n">
        <x:f>'밸런스 문서'!P159</x:f>
        <x:v>858</x:v>
      </x:c>
      <x:c r="C159" s="23" t="n">
        <x:f>'밸런스 문서'!R159</x:f>
        <x:v>7379.92</x:v>
      </x:c>
      <x:c r="D159" s="73" t="n">
        <x:f>'밸런스 문서'!N159</x:f>
        <x:v>0.19542824074074067</x:v>
      </x:c>
    </x:row>
    <x:row r="160">
      <x:c r="A160" s="69" t="n">
        <x:f>'밸런스 문서'!B160</x:f>
        <x:v>156</x:v>
      </x:c>
      <x:c r="B160" s="25" t="n">
        <x:f>'밸런스 문서'!P160</x:f>
        <x:v>869</x:v>
      </x:c>
      <x:c r="C160" s="23" t="n">
        <x:f>'밸런스 문서'!R160</x:f>
        <x:v>7568.69</x:v>
      </x:c>
      <x:c r="D160" s="73" t="n">
        <x:f>'밸런스 문서'!N160</x:f>
        <x:v>0.1977430555555555</x:v>
      </x:c>
    </x:row>
    <x:row r="161">
      <x:c r="A161" s="69" t="n">
        <x:f>'밸런스 문서'!B161</x:f>
        <x:v>157</x:v>
      </x:c>
      <x:c r="B161" s="25" t="n">
        <x:f>'밸런스 문서'!P161</x:f>
        <x:v>876</x:v>
      </x:c>
      <x:c r="C161" s="23" t="n">
        <x:f>'밸런스 문서'!R161</x:f>
        <x:v>7690.05</x:v>
      </x:c>
      <x:c r="D161" s="73" t="n">
        <x:f>'밸런스 문서'!N161</x:f>
        <x:v>0.1989004629629629</x:v>
      </x:c>
    </x:row>
    <x:row r="162">
      <x:c r="A162" s="69" t="n">
        <x:f>'밸런스 문서'!B162</x:f>
        <x:v>158</x:v>
      </x:c>
      <x:c r="B162" s="25" t="n">
        <x:f>'밸런스 문서'!P162</x:f>
        <x:v>883</x:v>
      </x:c>
      <x:c r="C162" s="23" t="n">
        <x:f>'밸런스 문서'!R162</x:f>
        <x:v>7812.39</x:v>
      </x:c>
      <x:c r="D162" s="73" t="n">
        <x:f>'밸런스 문서'!N162</x:f>
        <x:v>0.2002893518518518</x:v>
      </x:c>
    </x:row>
    <x:row r="163">
      <x:c r="A163" s="69" t="n">
        <x:f>'밸런스 문서'!B163</x:f>
        <x:v>159</x:v>
      </x:c>
      <x:c r="B163" s="25" t="n">
        <x:f>'밸런스 문서'!P163</x:f>
        <x:v>893</x:v>
      </x:c>
      <x:c r="C163" s="23" t="n">
        <x:f>'밸런스 문서'!R163</x:f>
        <x:v>7988.82</x:v>
      </x:c>
      <x:c r="D163" s="73" t="n">
        <x:f>'밸런스 문서'!N163</x:f>
        <x:v>0.2020254629629629</x:v>
      </x:c>
    </x:row>
    <x:row r="164">
      <x:c r="A164" s="69" t="n">
        <x:f>'밸런스 문서'!B164</x:f>
        <x:v>160</x:v>
      </x:c>
      <x:c r="B164" s="25" t="n">
        <x:f>'밸런스 문서'!P164</x:f>
        <x:v>903</x:v>
      </x:c>
      <x:c r="C164" s="23" t="n">
        <x:f>'밸런스 문서'!R164</x:f>
        <x:v>8167.23</x:v>
      </x:c>
      <x:c r="D164" s="73" t="n">
        <x:f>'밸런스 문서'!N164</x:f>
        <x:v>0.203761574074074</x:v>
      </x:c>
    </x:row>
    <x:row r="165">
      <x:c r="A165" s="69" t="n">
        <x:f>'밸런스 문서'!B165</x:f>
        <x:v>161</x:v>
      </x:c>
      <x:c r="B165" s="25" t="n">
        <x:f>'밸런스 문서'!P165</x:f>
        <x:v>914</x:v>
      </x:c>
      <x:c r="C165" s="23" t="n">
        <x:f>'밸런스 문서'!R165</x:f>
        <x:v>8365.75</x:v>
      </x:c>
      <x:c r="D165" s="73" t="n">
        <x:f>'밸런스 문서'!N165</x:f>
        <x:v>0.20584490740740732</x:v>
      </x:c>
    </x:row>
    <x:row r="166">
      <x:c r="A166" s="69" t="n">
        <x:f>'밸런스 문서'!B166</x:f>
        <x:v>162</x:v>
      </x:c>
      <x:c r="B166" s="25" t="n">
        <x:f>'밸런스 문서'!P166</x:f>
        <x:v>925</x:v>
      </x:c>
      <x:c r="C166" s="23" t="n">
        <x:f>'밸런스 문서'!R166</x:f>
        <x:v>8566.66</x:v>
      </x:c>
      <x:c r="D166" s="73" t="n">
        <x:f>'밸런스 문서'!N166</x:f>
        <x:v>0.206886574074074</x:v>
      </x:c>
    </x:row>
    <x:row r="167">
      <x:c r="A167" s="69" t="n">
        <x:f>'밸런스 문서'!B167</x:f>
        <x:v>163</x:v>
      </x:c>
      <x:c r="B167" s="25" t="n">
        <x:f>'밸런스 문서'!P167</x:f>
        <x:v>932</x:v>
      </x:c>
      <x:c r="C167" s="23" t="n">
        <x:f>'밸런스 문서'!R167</x:f>
        <x:v>8695.75</x:v>
      </x:c>
      <x:c r="D167" s="73" t="n">
        <x:f>'밸런스 문서'!N167</x:f>
        <x:v>0.20827546296296287</x:v>
      </x:c>
    </x:row>
    <x:row r="168">
      <x:c r="A168" s="69" t="n">
        <x:f>'밸런스 문서'!B168</x:f>
        <x:v>164</x:v>
      </x:c>
      <x:c r="B168" s="25" t="n">
        <x:f>'밸런스 문서'!P168</x:f>
        <x:v>941</x:v>
      </x:c>
      <x:c r="C168" s="23" t="n">
        <x:f>'밸런스 문서'!R168</x:f>
        <x:v>8863.14</x:v>
      </x:c>
      <x:c r="D168" s="73" t="n">
        <x:f>'밸런스 문서'!N168</x:f>
        <x:v>0.21001157407407398</x:v>
      </x:c>
    </x:row>
    <x:row r="169">
      <x:c r="A169" s="69" t="n">
        <x:f>'밸런스 문서'!B169</x:f>
        <x:v>165</x:v>
      </x:c>
      <x:c r="B169" s="25" t="n">
        <x:f>'밸런스 문서'!P169</x:f>
        <x:v>946</x:v>
      </x:c>
      <x:c r="C169" s="23" t="n">
        <x:f>'밸런스 문서'!R169</x:f>
        <x:v>8956.82</x:v>
      </x:c>
      <x:c r="D169" s="73" t="n">
        <x:f>'밸런스 문서'!N169</x:f>
        <x:v>0.21221064814814805</x:v>
      </x:c>
    </x:row>
    <x:row r="170">
      <x:c r="A170" s="69" t="n">
        <x:f>'밸런스 문서'!B170</x:f>
        <x:v>166</x:v>
      </x:c>
      <x:c r="B170" s="25" t="n">
        <x:f>'밸런스 문서'!P170</x:f>
        <x:v>951</x:v>
      </x:c>
      <x:c r="C170" s="23" t="n">
        <x:f>'밸런스 문서'!R170</x:f>
        <x:v>9051</x:v>
      </x:c>
      <x:c r="D170" s="73" t="n">
        <x:f>'밸런스 문서'!N170</x:f>
        <x:v>0.2140624999999999</x:v>
      </x:c>
    </x:row>
    <x:row r="171">
      <x:c r="A171" s="69" t="n">
        <x:f>'밸런스 문서'!B171</x:f>
        <x:v>167</x:v>
      </x:c>
      <x:c r="B171" s="25" t="n">
        <x:f>'밸런스 문서'!P171</x:f>
        <x:v>956</x:v>
      </x:c>
      <x:c r="C171" s="23" t="n">
        <x:f>'밸런스 문서'!R171</x:f>
        <x:v>9145.67</x:v>
      </x:c>
      <x:c r="D171" s="73" t="n">
        <x:f>'밸런스 문서'!N171</x:f>
        <x:v>0.215798611111111</x:v>
      </x:c>
    </x:row>
    <x:row r="172">
      <x:c r="A172" s="69" t="n">
        <x:f>'밸런스 문서'!B172</x:f>
        <x:v>168</x:v>
      </x:c>
      <x:c r="B172" s="25" t="n">
        <x:f>'밸런스 문서'!P172</x:f>
        <x:v>963</x:v>
      </x:c>
      <x:c r="C172" s="23" t="n">
        <x:f>'밸런스 문서'!R172</x:f>
        <x:v>9279.03</x:v>
      </x:c>
      <x:c r="D172" s="73" t="n">
        <x:f>'밸런스 문서'!N172</x:f>
        <x:v>0.21811342592592584</x:v>
      </x:c>
    </x:row>
    <x:row r="173">
      <x:c r="A173" s="69" t="n">
        <x:f>'밸런스 문서'!B173</x:f>
        <x:v>169</x:v>
      </x:c>
      <x:c r="B173" s="25" t="n">
        <x:f>'밸런스 문서'!P173</x:f>
        <x:v>973</x:v>
      </x:c>
      <x:c r="C173" s="23" t="n">
        <x:f>'밸런스 문서'!R173</x:f>
        <x:v>9471.23</x:v>
      </x:c>
      <x:c r="D173" s="73" t="n">
        <x:f>'밸런스 문서'!N173</x:f>
        <x:v>0.22019675925925916</x:v>
      </x:c>
    </x:row>
    <x:row r="174">
      <x:c r="A174" s="69" t="n">
        <x:f>'밸런스 문서'!B174</x:f>
        <x:v>170</x:v>
      </x:c>
      <x:c r="B174" s="25" t="n">
        <x:f>'밸런스 문서'!P174</x:f>
        <x:v>982</x:v>
      </x:c>
      <x:c r="C174" s="23" t="n">
        <x:f>'밸런스 문서'!R174</x:f>
        <x:v>9645.89</x:v>
      </x:c>
      <x:c r="D174" s="73" t="n">
        <x:f>'밸런스 문서'!N174</x:f>
        <x:v>0.22274305555555546</x:v>
      </x:c>
    </x:row>
    <x:row r="175">
      <x:c r="A175" s="69" t="n">
        <x:f>'밸런스 문서'!B175</x:f>
        <x:v>171</x:v>
      </x:c>
      <x:c r="B175" s="25" t="n">
        <x:f>'밸런스 문서'!P175</x:f>
        <x:v>987</x:v>
      </x:c>
      <x:c r="C175" s="23" t="n">
        <x:f>'밸런스 문서'!R175</x:f>
        <x:v>9743.61</x:v>
      </x:c>
      <x:c r="D175" s="73" t="n">
        <x:f>'밸런스 문서'!N175</x:f>
        <x:v>0.22413194444444434</x:v>
      </x:c>
    </x:row>
    <x:row r="176">
      <x:c r="A176" s="69" t="n">
        <x:f>'밸런스 문서'!B176</x:f>
        <x:v>172</x:v>
      </x:c>
      <x:c r="B176" s="25" t="n">
        <x:f>'밸런스 문서'!P176</x:f>
        <x:v>992</x:v>
      </x:c>
      <x:c r="C176" s="23" t="n">
        <x:f>'밸런스 문서'!R176</x:f>
        <x:v>9841.83</x:v>
      </x:c>
      <x:c r="D176" s="73" t="n">
        <x:f>'밸런스 문서'!N176</x:f>
        <x:v>0.22586805555555545</x:v>
      </x:c>
    </x:row>
    <x:row r="177">
      <x:c r="A177" s="69" t="n">
        <x:f>'밸런스 문서'!B177</x:f>
        <x:v>173</x:v>
      </x:c>
      <x:c r="B177" s="25" t="n">
        <x:f>'밸런스 문서'!P177</x:f>
        <x:v>996</x:v>
      </x:c>
      <x:c r="C177" s="23" t="n">
        <x:f>'밸런스 문서'!R177</x:f>
        <x:v>9920.76</x:v>
      </x:c>
      <x:c r="D177" s="73" t="n">
        <x:f>'밸런스 문서'!N177</x:f>
        <x:v>0.22864583333333321</x:v>
      </x:c>
    </x:row>
    <x:row r="178">
      <x:c r="A178" s="75" t="n">
        <x:f>'밸런스 문서'!B178</x:f>
        <x:v>174</x:v>
      </x:c>
      <x:c r="B178" s="76" t="n">
        <x:f>'밸런스 문서'!P178</x:f>
        <x:v>1000</x:v>
      </x:c>
      <x:c r="C178" s="77" t="n">
        <x:f>'밸런스 문서'!R178</x:f>
        <x:v>10000</x:v>
      </x:c>
      <x:c r="D178" s="78" t="n">
        <x:f>'밸런스 문서'!N178</x:f>
        <x:v>0.23072916666666654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2e2a4c6963d14421"/>
</x:worksheet>
</file>

<file path=xl/worksheets/sheet5.xml><?xml version="1.0" encoding="utf-8"?>
<x:worksheet xmlns:x="http://schemas.openxmlformats.org/spreadsheetml/2006/main">
  <x:sheetFormatPr defaultRowHeight="14.25"/>
  <x:cols>
    <x:col min="1" max="1" width="6" customWidth="1"/>
    <x:col min="2" max="2" width="22" customWidth="1"/>
    <x:col min="3" max="3" width="18" customWidth="1"/>
    <x:col min="4" max="4" width="34" customWidth="1"/>
    <x:col min="5" max="5" width="38" customWidth="1"/>
    <x:col min="6" max="6" width="22" customWidth="1"/>
    <x:col min="7" max="7" width="36" customWidth="1"/>
    <x:col min="8" max="14" width="14" customWidth="1"/>
    <x:col min="15" max="16" width="12" customWidth="1"/>
    <x:col min="17" max="17" width="36" customWidth="1"/>
    <x:col min="18" max="18" width="10" customWidth="1"/>
  </x:cols>
  <x:sheetData>
    <x:row r="1" ht="30" customHeight="1">
      <x:c r="A1" s="81" t="s">
        <x:v>1259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</x:row>
    <x:row r="2" ht="32.099998474121094" customHeight="1">
      <x:c r="A2" s="82" t="str">
        <x:v>보스 경험치는 해당 구간 일반 몬스터 30체분으로 산정함. 보스 총시간은 헤비 유저의 1회 성공 기준이며, 밸런스 문서 W·X·Y열의 보스 대표 행에는 라이트·미들·헤비 유저의 재시도와 판단 시간을 반영한 전체 보스전 시간을 한 번만 기록함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</x:row>
    <x:row r="4" ht="48" customHeight="1">
      <x:c r="A4" s="26" t="s">
        <x:v>1260</x:v>
      </x:c>
      <x:c r="B4" s="27" t="s">
        <x:v>1261</x:v>
      </x:c>
      <x:c r="C4" s="27" t="s">
        <x:v>1262</x:v>
      </x:c>
      <x:c r="D4" s="27" t="s">
        <x:v>1263</x:v>
      </x:c>
      <x:c r="E4" s="27" t="s">
        <x:v>1264</x:v>
      </x:c>
      <x:c r="F4" s="27" t="s">
        <x:v>1265</x:v>
      </x:c>
      <x:c r="G4" s="27" t="s">
        <x:v>1266</x:v>
      </x:c>
      <x:c r="H4" s="27" t="s">
        <x:v>1267</x:v>
      </x:c>
      <x:c r="I4" s="27" t="s">
        <x:v>1268</x:v>
      </x:c>
      <x:c r="J4" s="27" t="s">
        <x:v>1269</x:v>
      </x:c>
      <x:c r="K4" s="27" t="s">
        <x:v>1270</x:v>
      </x:c>
      <x:c r="L4" s="27" t="s">
        <x:v>1271</x:v>
      </x:c>
      <x:c r="M4" s="27" t="s">
        <x:v>1272</x:v>
      </x:c>
      <x:c r="N4" s="27" t="s">
        <x:v>1273</x:v>
      </x:c>
      <x:c r="O4" s="27" t="s">
        <x:v>1274</x:v>
      </x:c>
      <x:c r="P4" s="27" t="s">
        <x:v>1275</x:v>
      </x:c>
      <x:c r="Q4" s="27" t="s">
        <x:v>1276</x:v>
      </x:c>
      <x:c r="R4" s="28" t="s">
        <x:v>1277</x:v>
      </x:c>
    </x:row>
    <x:row r="5" ht="84" customHeight="1">
      <x:c r="A5" s="31">
        <x:v>1</x:v>
      </x:c>
      <x:c r="B5" s="32" t="s">
        <x:v>586</x:v>
      </x:c>
      <x:c r="C5" s="32" t="s">
        <x:v>1278</x:v>
      </x:c>
      <x:c r="D5" s="29" t="s">
        <x:v>1279</x:v>
      </x:c>
      <x:c r="E5" s="29" t="s">
        <x:v>1280</x:v>
      </x:c>
      <x:c r="F5" s="29" t="s">
        <x:v>1281</x:v>
      </x:c>
      <x:c r="G5" s="29" t="s">
        <x:v>1282</x:v>
      </x:c>
      <x:c r="H5" s="37">
        <x:v>25</x:v>
      </x:c>
      <x:c r="I5" s="37" t="n">
        <x:f>H5*30</x:f>
        <x:v>750</x:v>
      </x:c>
      <x:c r="J5" s="37">
        <x:v>20</x:v>
      </x:c>
      <x:c r="K5" s="37" t="n">
        <x:f>J5*30</x:f>
        <x:v>600</x:v>
      </x:c>
      <x:c r="L5" s="37" t="n">
        <x:v>330</x:v>
      </x:c>
      <x:c r="M5" s="37" t="n">
        <x:v>210</x:v>
      </x:c>
      <x:c r="N5" s="37" t="n">
        <x:v>120</x:v>
      </x:c>
      <x:c r="O5" s="38" t="n">
        <x:f>L5/K5</x:f>
        <x:v>0.55</x:v>
      </x:c>
      <x:c r="P5" s="32">
        <x:v>3</x:v>
      </x:c>
      <x:c r="Q5" s="29" t="s">
        <x:v>1283</x:v>
      </x:c>
      <x:c r="R5" s="43" t="str">
        <x:f>IF(AND(L5&lt;K5,L5=M5+N5),"적정","재검토")</x:f>
        <x:v>적정</x:v>
      </x:c>
    </x:row>
    <x:row r="6" ht="84" customHeight="1">
      <x:c r="A6" s="33">
        <x:v>2</x:v>
      </x:c>
      <x:c r="B6" s="34" t="s">
        <x:v>648</x:v>
      </x:c>
      <x:c r="C6" s="34" t="s">
        <x:v>1284</x:v>
      </x:c>
      <x:c r="D6" s="21" t="s">
        <x:v>1285</x:v>
      </x:c>
      <x:c r="E6" s="21" t="s">
        <x:v>1286</x:v>
      </x:c>
      <x:c r="F6" s="21" t="s">
        <x:v>1287</x:v>
      </x:c>
      <x:c r="G6" s="21" t="s">
        <x:v>1288</x:v>
      </x:c>
      <x:c r="H6" s="39">
        <x:v>30</x:v>
      </x:c>
      <x:c r="I6" s="39" t="n">
        <x:f>H6*30</x:f>
        <x:v>900</x:v>
      </x:c>
      <x:c r="J6" s="39">
        <x:v>25</x:v>
      </x:c>
      <x:c r="K6" s="39" t="n">
        <x:f>J6*30</x:f>
        <x:v>750</x:v>
      </x:c>
      <x:c r="L6" s="39" t="n">
        <x:v>420</x:v>
      </x:c>
      <x:c r="M6" s="39" t="n">
        <x:v>210</x:v>
      </x:c>
      <x:c r="N6" s="39" t="n">
        <x:v>210</x:v>
      </x:c>
      <x:c r="O6" s="40" t="n">
        <x:f>L6/K6</x:f>
        <x:v>0.56</x:v>
      </x:c>
      <x:c r="P6" s="34">
        <x:v>3</x:v>
      </x:c>
      <x:c r="Q6" s="21" t="s">
        <x:v>1289</x:v>
      </x:c>
      <x:c r="R6" s="44" t="str">
        <x:f>IF(AND(L6&lt;K6,L6=M6+N6),"적정","재검토")</x:f>
        <x:v>적정</x:v>
      </x:c>
    </x:row>
    <x:row r="7" ht="84" customHeight="1">
      <x:c r="A7" s="33">
        <x:v>3</x:v>
      </x:c>
      <x:c r="B7" s="34" t="s">
        <x:v>730</x:v>
      </x:c>
      <x:c r="C7" s="34" t="s">
        <x:v>1290</x:v>
      </x:c>
      <x:c r="D7" s="21" t="s">
        <x:v>1291</x:v>
      </x:c>
      <x:c r="E7" s="21" t="s">
        <x:v>1292</x:v>
      </x:c>
      <x:c r="F7" s="21" t="s">
        <x:v>1293</x:v>
      </x:c>
      <x:c r="G7" s="21" t="s">
        <x:v>1294</x:v>
      </x:c>
      <x:c r="H7" s="39">
        <x:v>35</x:v>
      </x:c>
      <x:c r="I7" s="39" t="n">
        <x:f>H7*30</x:f>
        <x:v>1050</x:v>
      </x:c>
      <x:c r="J7" s="39">
        <x:v>26</x:v>
      </x:c>
      <x:c r="K7" s="39" t="n">
        <x:f>J7*30</x:f>
        <x:v>780</x:v>
      </x:c>
      <x:c r="L7" s="39" t="n">
        <x:v>450</x:v>
      </x:c>
      <x:c r="M7" s="39" t="n">
        <x:v>120</x:v>
      </x:c>
      <x:c r="N7" s="39" t="n">
        <x:v>330</x:v>
      </x:c>
      <x:c r="O7" s="40" t="n">
        <x:f>L7/K7</x:f>
        <x:v>0.5769230769230769</x:v>
      </x:c>
      <x:c r="P7" s="34">
        <x:v>3</x:v>
      </x:c>
      <x:c r="Q7" s="21" t="s">
        <x:v>1295</x:v>
      </x:c>
      <x:c r="R7" s="44" t="str">
        <x:f>IF(AND(L7&lt;K7,L7=M7+N7),"적정","재검토")</x:f>
        <x:v>적정</x:v>
      </x:c>
    </x:row>
    <x:row r="8" ht="84" customHeight="1">
      <x:c r="A8" s="33">
        <x:v>4</x:v>
      </x:c>
      <x:c r="B8" s="34" t="s">
        <x:v>897</x:v>
      </x:c>
      <x:c r="C8" s="34" t="s">
        <x:v>1296</x:v>
      </x:c>
      <x:c r="D8" s="21" t="s">
        <x:v>1297</x:v>
      </x:c>
      <x:c r="E8" s="21" t="s">
        <x:v>1298</x:v>
      </x:c>
      <x:c r="F8" s="21" t="s">
        <x:v>1299</x:v>
      </x:c>
      <x:c r="G8" s="21" t="s">
        <x:v>1300</x:v>
      </x:c>
      <x:c r="H8" s="39">
        <x:v>40</x:v>
      </x:c>
      <x:c r="I8" s="39" t="n">
        <x:f>H8*30</x:f>
        <x:v>1200</x:v>
      </x:c>
      <x:c r="J8" s="39">
        <x:v>28</x:v>
      </x:c>
      <x:c r="K8" s="39" t="n">
        <x:f>J8*30</x:f>
        <x:v>840</x:v>
      </x:c>
      <x:c r="L8" s="39" t="n">
        <x:v>510</x:v>
      </x:c>
      <x:c r="M8" s="39" t="n">
        <x:v>300</x:v>
      </x:c>
      <x:c r="N8" s="39" t="n">
        <x:v>210</x:v>
      </x:c>
      <x:c r="O8" s="40" t="n">
        <x:f>L8/K8</x:f>
        <x:v>0.6071428571428571</x:v>
      </x:c>
      <x:c r="P8" s="34">
        <x:v>1</x:v>
      </x:c>
      <x:c r="Q8" s="21" t="s">
        <x:v>1301</x:v>
      </x:c>
      <x:c r="R8" s="44" t="str">
        <x:f>IF(AND(L8&lt;K8,L8=M8+N8),"적정","재검토")</x:f>
        <x:v>적정</x:v>
      </x:c>
    </x:row>
    <x:row r="9" ht="84" customHeight="1">
      <x:c r="A9" s="35">
        <x:v>5</x:v>
      </x:c>
      <x:c r="B9" s="36" t="s">
        <x:v>1047</x:v>
      </x:c>
      <x:c r="C9" s="36" t="s">
        <x:v>1302</x:v>
      </x:c>
      <x:c r="D9" s="30" t="s">
        <x:v>1303</x:v>
      </x:c>
      <x:c r="E9" s="30" t="s">
        <x:v>1304</x:v>
      </x:c>
      <x:c r="F9" s="30" t="s">
        <x:v>1305</x:v>
      </x:c>
      <x:c r="G9" s="30" t="s">
        <x:v>1306</x:v>
      </x:c>
      <x:c r="H9" s="41">
        <x:v>50</x:v>
      </x:c>
      <x:c r="I9" s="41" t="n">
        <x:f>H9*30</x:f>
        <x:v>1500</x:v>
      </x:c>
      <x:c r="J9" s="41">
        <x:v>32</x:v>
      </x:c>
      <x:c r="K9" s="41" t="n">
        <x:f>J9*30</x:f>
        <x:v>960</x:v>
      </x:c>
      <x:c r="L9" s="41" t="n">
        <x:v>570</x:v>
      </x:c>
      <x:c r="M9" s="41" t="n">
        <x:v>180</x:v>
      </x:c>
      <x:c r="N9" s="41" t="n">
        <x:v>390</x:v>
      </x:c>
      <x:c r="O9" s="42" t="n">
        <x:f>L9/K9</x:f>
        <x:v>0.59375</x:v>
      </x:c>
      <x:c r="P9" s="36">
        <x:v>1</x:v>
      </x:c>
      <x:c r="Q9" s="30" t="s">
        <x:v>1307</x:v>
      </x:c>
      <x:c r="R9" s="45" t="str">
        <x:f>IF(AND(L9&lt;K9,L9=M9+N9),"적정","재검토")</x:f>
        <x:v>적정</x:v>
      </x:c>
    </x:row>
    <x:row r="11" ht="42" customHeight="1">
      <x:c r="A11" s="83" t="s">
        <x:v>1308</x:v>
      </x:c>
      <x:c r="B11" s="83"/>
      <x:c r="C11" s="83"/>
      <x:c r="D11" s="83"/>
      <x:c r="E11" s="83"/>
      <x:c r="F11" s="83"/>
      <x:c r="G11" s="83"/>
      <x:c r="H11" s="83"/>
      <x:c r="I11" s="83"/>
      <x:c r="J11" s="83"/>
      <x:c r="K11" s="83"/>
      <x:c r="L11" s="83"/>
      <x:c r="M11" s="83"/>
      <x:c r="N11" s="83"/>
      <x:c r="O11" s="83"/>
      <x:c r="P11" s="83"/>
      <x:c r="Q11" s="83"/>
      <x:c r="R11" s="83"/>
    </x:row>
  </x:sheetData>
  <x:mergeCells>
    <x:mergeCell ref="A1:R1"/>
    <x:mergeCell ref="A2:R2"/>
    <x:mergeCell ref="A11:R11"/>
  </x:mergeCells>
  <x:conditionalFormatting sqref="O5:O9">
    <x:cfRule type="colorScale" priority="1">
      <x:colorScale>
        <x:cfvo type="min"/>
        <x:cfvo type="percentile" val="50"/>
        <x:cfvo type="max"/>
        <x:color rgb="FFC6E0B4"/>
        <x:color rgb="FFFFE699"/>
        <x:color rgb="FFF4B183"/>
      </x:colorScale>
    </x:cfRule>
  </x:conditionalFormatting>
  <x:pageMargins left="0.7" right="0.7" top="0.75" bottom="0.75" header="0.3" footer="0.3"/>
  <x:drawing xmlns:r="http://schemas.openxmlformats.org/officeDocument/2006/relationships" r:id="R2266480ee591423f"/>
</x:worksheet>
</file>
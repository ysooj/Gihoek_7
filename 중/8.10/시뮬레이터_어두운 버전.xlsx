
<file path=[Content_Types].xml><?xml version="1.0" encoding="utf-8"?>
<Types xmlns="http://schemas.openxmlformats.org/package/2006/content-types">
  <Default Extension="rels" ContentType="application/vnd.openxmlformats-package.relationships+xml"/>
  <Default Extension="xlsx" ContentType="application/vnd.openxmlformats-officedocument.spreadsheetml.sheet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3\OneDrive\바탕 화면\Gihoek_7\"/>
    </mc:Choice>
  </mc:AlternateContent>
  <x:bookViews>
    <x:workbookView xWindow="0" yWindow="0" windowWidth="16710" windowHeight="8640" tabRatio="500"/>
  </x:bookViews>
  <x:sheets>
    <x:sheet name="시뮬레이터" sheetId="1" r:id="rId4"/>
  </x:sheets>
  <x:externalReferences>
    <x:externalReference r:id="rId5"/>
  </x:externalReferenc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<x:sst xmlns:r="http://schemas.openxmlformats.org/officeDocument/2006/relationships" xmlns:c="http://schemas.openxmlformats.org/drawingml/2006/chart" xmlns:x="http://schemas.openxmlformats.org/spreadsheetml/2006/main" count="189" uniqueCount="159">
  <x:si>
    <x:t>근거리 사랑의 매와 원거리 보랏빛 농구공을 빠르게 전환해 보스의 거리별 기억 패턴에 대응함.</x:t>
  </x:si>
  <x:si>
    <x:t>타입</x:t>
  </x:si>
  <x:si>
    <x:t>안정</x:t>
  </x:si>
  <x:si>
    <x:t>VS</x:t>
  </x:si>
  <x:si>
    <x:t>공명</x:t>
  </x:si>
  <x:si>
    <x:t>차한해</x:t>
  </x:si>
  <x:si>
    <x:t>속성</x:t>
  </x:si>
  <x:si>
    <x:t>생명력</x:t>
  </x:si>
  <x:si>
    <x:t>25%</x:t>
  </x:si>
  <x:si>
    <x:t>없음</x:t>
  </x:si>
  <x:si>
    <x:t>쉿.</x:t>
  </x:si>
  <x:si>
    <x:t>차단</x:t>
  </x:si>
  <x:si>
    <x:t>질질핵</x:t>
  </x:si>
  <x:si>
    <x:t>버텨!</x:t>
  </x:si>
  <x:si>
    <x:t>펑!</x:t>
  </x:si>
  <x:si>
    <x:t>캐릭터</x:t>
  </x:si>
  <x:si>
    <x:t>침식</x:t>
  </x:si>
  <x:si>
    <x:t>30%</x:t>
  </x:si>
  <x:si>
    <x:t>탕!</x:t>
  </x:si>
  <x:si>
    <x:t>액티브</x:t>
  </x:si>
  <x:si>
    <x:t>눈물</x:t>
  </x:si>
  <x:si>
    <x:t>PLAYER CONTEXT</x:t>
  </x:si>
  <x:si>
    <x:t>비상구 표식과 철문 파편을 등에 진 대형 게 선도체. 문짝 집게로 출구를 봉쇄하고 부하 진형을 유지한다.</x:t>
  </x:si>
  <x:si>
    <x:t>내자리산호</x:t>
  </x:si>
  <x:si>
    <x:t>변동 수치</x:t>
  </x:si>
  <x:si>
    <x:t>방어 변화</x:t>
  </x:si>
  <x:si>
    <x:t>쿨타임(초)</x:t>
  </x:si>
  <x:si>
    <x:t>상대 방어력</x:t>
  </x:si>
  <x:si>
    <x:t>능력 변동</x:t>
  </x:si>
  <x:si>
    <x:t>STAT</x:t>
  </x:si>
  <x:si>
    <x:t>현재 공격력</x:t>
  </x:si>
  <x:si>
    <x:t>공격 변화</x:t>
  </x:si>
  <x:si>
    <x:t>비상구대게</x:t>
  </x:si>
  <x:si>
    <x:t>공격 상성</x:t>
  </x:si>
  <x:si>
    <x:t>보스 전투</x:t>
  </x:si>
  <x:si>
    <x:t>문틈젤리</x:t>
  </x:si>
  <x:si>
    <x:t>추가 설명</x:t>
  </x:si>
  <x:si>
    <x:t>현재 방어력</x:t>
  </x:si>
  <x:si>
    <x:t>이쪽이야!</x:t>
  </x:si>
  <x:si>
    <x:t>한 번 튕겨!</x:t>
  </x:si>
  <x:si>
    <x:t>보라멍울</x:t>
  </x:si>
  <x:si>
    <x:t>울음주머니</x:t>
  </x:si>
  <x:si>
    <x:t>둘 중 하나!</x:t>
  </x:si>
  <x:si>
    <x:t>핵부터!</x:t>
  </x:si>
  <x:si>
    <x:t>안 찍히면 돼</x:t>
  </x:si>
  <x:si>
    <x:t>한 줄로 서!</x:t>
  </x:si>
  <x:si>
    <x:t>바꿔가며!</x:t>
  </x:si>
  <x:si>
    <x:t>무리 선도체</x:t>
  </x:si>
  <x:si>
    <x:t>비상구 폐쇄!</x:t>
  </x:si>
  <x:si>
    <x:t>대장촉수</x:t>
  </x:si>
  <x:si>
    <x:t>문틈새우</x:t>
  </x:si>
  <x:si>
    <x:t>싫어요.</x:t>
  </x:si>
  <x:si>
    <x:t>엉킨세포군</x:t>
  </x:si>
  <x:si>
    <x:t>껍데기부터</x:t>
  </x:si>
  <x:si>
    <x:t>쫓쫓해삼</x:t>
  </x:si>
  <x:si>
    <x:t>몸통 대여중</x:t>
  </x:si>
  <x:si>
    <x:t>길막말미잘</x:t>
  </x:si>
  <x:si>
    <x:t>밖으로 나가재</x:t>
  </x:si>
  <x:si>
    <x:t>길치섬모</x:t>
  </x:si>
  <x:si>
    <x:t>한입 단체석</x:t>
  </x:si>
  <x:si>
    <x:t>기본 공격력</x:t>
  </x:si>
  <x:si>
    <x:t>기본 방어력</x:t>
  </x:si>
  <x:si>
    <x:t>먼저 들었어</x:t>
  </x:si>
  <x:si>
    <x:t>전투 상태</x:t>
  </x:si>
  <x:si>
    <x:t>똑똑소라</x:t>
  </x:si>
  <x:si>
    <x:t>MONSTER</x:t>
  </x:si>
  <x:si>
    <x:t>피해 계수</x:t>
  </x:si>
  <x:si>
    <x:t>발동 조건</x:t>
  </x:si>
  <x:si>
    <x:t>최종 방어력</x:t>
  </x:si>
  <x:si>
    <x:t>방어 보정</x:t>
  </x:si>
  <x:si>
    <x:t>공격 보정</x:t>
  </x:si>
  <x:si>
    <x:t>최종 공격력</x:t>
  </x:si>
  <x:si>
    <x:t>PLAYER</x:t>
  </x:si>
  <x:si>
    <x:t>잠깐만!</x:t>
  </x:si>
  <x:si>
    <x:t>도와줘!</x:t>
  </x:si>
  <x:si>
    <x:t>손 내려.</x:t>
  </x:si>
  <x:si>
    <x:t>무한 선의</x:t>
  </x:si>
  <x:si>
    <x:t>이번엔 같이.</x:t>
  </x:si>
  <x:si>
    <x:t>장비 슬롯</x:t>
  </x:si>
  <x:si>
    <x:t>정신 차리자.</x:t>
  </x:si>
  <x:si>
    <x:t>신규 해금</x:t>
  </x:si>
  <x:si>
    <x:t>출현 콘텐츠</x:t>
  </x:si>
  <x:si>
    <x:t>집게 한 번</x:t>
  </x:si>
  <x:si>
    <x:t>합체는 했는데</x:t>
  </x:si>
  <x:si>
    <x:t>기립박수벌레</x:t>
  </x:si>
  <x:si>
    <x:t>추앙풍뎅이</x:t>
  </x:si>
  <x:si>
    <x:t>박수 저금통</x:t>
  </x:si>
  <x:si>
    <x:t>자리 바꿔!</x:t>
  </x:si>
  <x:si>
    <x:t>호명나방</x:t>
  </x:si>
  <x:si>
    <x:t>찰싹진드기</x:t>
  </x:si>
  <x:si>
    <x:t>퇴근하고 싶다</x:t>
  </x:si>
  <x:si>
    <x:t>그림자 팬클럽</x:t>
  </x:si>
  <x:si>
    <x:t>등 뒤 한 칸</x:t>
  </x:si>
  <x:si>
    <x:t>칠판 낄낄이</x:t>
  </x:si>
  <x:si>
    <x:t>때리지 마.</x:t>
  </x:si>
  <x:si>
    <x:t>네 탓 택배</x:t>
  </x:si>
  <x:si>
    <x:t>납작 엎드려</x:t>
  </x:si>
  <x:si>
    <x:t>선의 압류관</x:t>
  </x:si>
  <x:si>
    <x:t>스킬 타입</x:t>
  </x:si>
  <x:si>
    <x:t>저기 봐!</x:t>
  </x:si>
  <x:si>
    <x:t>앗, 피해!</x:t>
  </x:si>
  <x:si>
    <x:t>MONSTER SKILLS</x:t>
  </x:si>
  <x:si>
    <x:t>※ ‘공격-방어 격차’는 실제 피해량이 아닌 밸런스 비교용 보조 지표임. 실제 피해 공식이 확정되면 해당 영역만 공식으로 교체할 수 있도록 분리 설계함.</x:t>
  </x:si>
  <x:si>
    <x:t>MONSTER IMAGE
선택 몬스터 이미지 영역</x:t>
  </x:si>
  <x:si>
    <x:t>BATTLE BALANCE SIMULATOR</x:t>
  </x:si>
  <x:si>
    <x:t>COMBAT STATUS  ·  핵심 능력치 비교</x:t>
  </x:si>
  <x:si>
    <x:t>BATTLE REVIEW  ·  기획자 검토 메모</x:t>
  </x:si>
  <x:si>
    <x:t>몬스터 × 차한해 전투 수치·속성 상성 비교</x:t>
  </x:si>
  <x:si>
    <x:t>비교 지표
실제 피해량 공식이 문서에 정의되어 있지 않으므로,
최종 공격력 × 속성 K와 상대 방어력의 차이를
‘밸런스 비교용 지표’로만 표시함.</x:t>
  </x:si>
  <x:si>
    <x:t>현재 상태 메모</x:t>
  </x:si>
  <x:si>
    <x:t>몬스터 → 차한해</x:t>
  </x:si>
  <x:si>
    <x:t>차한해 → 몬스터</x:t>
  </x:si>
  <x:si>
    <x:t>비교 결과 요약</x:t>
  </x:si>
  <x:si>
    <x:t>차한해 방어 속성</x:t>
  </x:si>
  <x:si>
    <x:t>몬스터 설계 비고</x:t>
  </x:si>
  <x:si>
    <x:t>차한해 공격 속성</x:t>
  </x:si>
  <x:si>
    <x:t>보유 무기 2종</x:t>
  </x:si>
  <x:si>
    <x:t>앞은 내가 막아</x:t>
  </x:si>
  <x:si>
    <x:t>길 하나 만들게!</x:t>
  </x:si>
  <x:si>
    <x:t>시전 시간(초)</x:t>
  </x:si>
  <x:si>
    <x:t>상성 매개 상수 K</x:t>
  </x:si>
  <x:si>
    <x:t>해당 시점 스킬</x:t>
  </x:si>
  <x:si>
    <x:t>상성 적용 공격 지표</x:t>
  </x:si>
  <x:si>
    <x:t>너만 할 수 있대</x:t>
  </x:si>
  <x:si>
    <x:t>공격-방어 격차</x:t>
  </x:si>
  <x:si>
    <x:t>딱 한 명이면 돼</x:t>
  </x:si>
  <x:si>
    <x:t>너만 무한이잖아</x:t>
  </x:si>
  <x:si>
    <x:t>피했으면 내 차례</x:t>
  </x:si>
  <x:si>
    <x:t>보라색, 여기!</x:t>
  </x:si>
  <x:si>
    <x:t>증폭기, 켠다!</x:t>
  </x:si>
  <x:si>
    <x:t>다 같이 밀어!</x:t>
  </x:si>
  <x:si>
    <x:t>등급? 됐거든.</x:t>
  </x:si>
  <x:si>
    <x:t>하나, 둘—지금!</x:t>
  </x:si>
  <x:si>
    <x:t>아무도 안 봐도</x:t>
  </x:si>
  <x:si>
    <x:t>괜찮아, 아직.</x:t>
  </x:si>
  <x:si>
    <x:t>나만 살아서 다행</x:t>
  </x:si>
  <x:si>
    <x:t>합치면 강해진댔잖아</x:t>
  </x:si>
  <x:si>
    <x:t>한 명 빼고 전부</x:t>
  </x:si>
  <x:si>
    <x:t>별을 삼킨 강당</x:t>
  </x:si>
  <x:si>
    <x:t>박수 없인 못 살아</x:t>
  </x:si>
  <x:si>
    <x:t>3반에서 들었대</x:t>
  </x:si>
  <x:si>
    <x:t>아직도 안 구했어?</x:t>
  </x:si>
  <x:si>
    <x:t>못 본 척 동아리</x:t>
  </x:si>
  <x:si>
    <x:t>조회수는 못 참지</x:t>
  </x:si>
  <x:si>
    <x:t>권한이 없습니다</x:t>
  </x:si>
  <x:si>
    <x:t>그날의 오답노트</x:t>
  </x:si>
  <x:si>
    <x:t>현재 페이즈에서 사용 가능·가중치 판정</x:t>
  </x:si>
  <x:si>
    <x:t>PLAYER IMAGE
차한해 이미지 영역</x:t>
  </x:si>
  <x:si>
    <x:t>선택값 변경 시
전투 데이터 자동 갱신</x:t>
  </x:si>
  <x:si>
    <x:t>PLAYER  ·  차한해 전투 시점</x:t>
  </x:si>
  <x:si>
    <x:t>'공격 중지·접근' 행동을 수행해 위치·전투 리듬을 변화시킴.</x:t>
  </x:si>
  <x:si>
    <x:t>별을 삼킨 강당가 변혜서임을 확정하고 선의 안정 장치 발동 견디기</x:t>
  </x:si>
  <x:si>
    <x:t>ATTRIBUTE MATCH-UP  ·  속성 대차대조표 연동</x:t>
  </x:si>
  <x:si>
    <x:t>SKILL LOADOUT  ·  선택 개체 스킬 구성 및 상세</x:t>
  </x:si>
  <x:si>
    <x:t>몬스터 공격 우세</x:t>
  </x:si>
  <x:si>
    <x:t>콘텐츠 진행 순서</x:t>
  </x:si>
  <x:si>
    <x:t>MONSTER  ·  적 개체 선택</x:t>
  </x:si>
  <x:si>
    <x:t>공명  VS  침식</x:t>
  </x:si>
  <x:si>
    <x:t>15%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</x:si>
</x:sst>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2"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4f7f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4f7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9eabc4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9eabc4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9eabc4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9eabc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9eabc4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9eabc4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66718a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66718a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6"/>
          <x:color rgb="ff9b6c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6"/>
          <x:color rgb="ff9b6c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9eabc4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9eabc4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4f7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4f7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58d68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58d68d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9b6c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9b6c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5d6e8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5d6e8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"/>
          <x:color rgb="ff0b1020"/>
          <hs:size val="100"/>
          <hs:ratio val="100"/>
          <hs:spacing val="0"/>
          <hs:offset val="0"/>
        </x:font>
      </mc:Choice>
      <mc:Fallback>
        <x:font>
          <x:name val="Carlito"/>
          <x:sz val="1"/>
          <x:color rgb="ff0b1020"/>
        </x:font>
      </mc:Fallback>
    </mc:AlternateContent>
  </x:fonts>
  <x:fills count="14">
    <x:fill>
      <x:patternFill patternType="none"/>
    </x:fill>
    <x:fill>
      <x:patternFill patternType="gray125"/>
    </x:fill>
    <x:fill>
      <x:patternFill patternType="solid">
        <x:fgColor rgb="ff0b1020"/>
        <x:bgColor indexed="64"/>
      </x:patternFill>
    </x:fill>
    <x:fill>
      <x:patternFill patternType="solid">
        <x:fgColor rgb="ff6f4eea"/>
        <x:bgColor indexed="64"/>
      </x:patternFill>
    </x:fill>
    <x:fill>
      <x:patternFill patternType="solid">
        <x:fgColor rgb="ff235b75"/>
        <x:bgColor indexed="64"/>
      </x:patternFill>
    </x:fill>
    <x:fill>
      <x:patternFill patternType="solid">
        <x:fgColor rgb="ff17213a"/>
        <x:bgColor indexed="64"/>
      </x:patternFill>
    </x:fill>
    <x:fill>
      <x:patternFill patternType="solid">
        <x:fgColor rgb="ff121a2e"/>
        <x:bgColor indexed="64"/>
      </x:patternFill>
    </x:fill>
    <x:fill>
      <x:patternFill patternType="solid">
        <x:fgColor rgb="ff0f172a"/>
        <x:bgColor indexed="64"/>
      </x:patternFill>
    </x:fill>
    <x:fill>
      <x:patternFill patternType="solid">
        <x:fgColor rgb="ff211742"/>
        <x:bgColor indexed="64"/>
      </x:patternFill>
    </x:fill>
    <x:fill>
      <x:patternFill patternType="solid">
        <x:fgColor rgb="ff202c48"/>
        <x:bgColor indexed="64"/>
      </x:patternFill>
    </x:fill>
    <x:fill>
      <x:patternFill patternType="solid">
        <x:fgColor rgb="ff35265e"/>
        <x:bgColor indexed="64"/>
      </x:patternFill>
    </x:fill>
    <x:fill>
      <x:patternFill patternType="solid">
        <x:fgColor rgb="ff101827"/>
        <x:bgColor indexed="64"/>
      </x:patternFill>
    </x:fill>
    <x:fill>
      <x:patternFill patternType="solid">
        <x:fgColor rgb="ff13263a"/>
        <x:bgColor indexed="64"/>
      </x:patternFill>
    </x:fill>
    <x:fill>
      <x:patternFill patternType="solid">
        <x:fgColor rgb="ff133247"/>
        <x:bgColor indexed="64"/>
      </x:patternFill>
    </x:fill>
  </x:fills>
  <x:borders count="25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2e3b5b"/>
      </x:left>
      <x:right>
        <x:color auto="1"/>
      </x:right>
      <x:top style="thin">
        <x:color rgb="ff2e3b5b"/>
      </x:top>
      <x:bottom style="thin">
        <x:color rgb="ff2e3b5b"/>
      </x:bottom>
    </x:border>
    <x:border>
      <x:left>
        <x:color auto="1"/>
      </x:left>
      <x:right>
        <x:color auto="1"/>
      </x:right>
      <x:top style="thin">
        <x:color rgb="ff2e3b5b"/>
      </x:top>
      <x:bottom style="thin">
        <x:color rgb="ff2e3b5b"/>
      </x:bottom>
    </x:border>
    <x:border>
      <x:left>
        <x:color auto="1"/>
      </x:left>
      <x:right style="thin">
        <x:color rgb="ff2e3b5b"/>
      </x:right>
      <x:top style="thin">
        <x:color rgb="ff2e3b5b"/>
      </x:top>
      <x:bottom style="thin">
        <x:color rgb="ff2e3b5b"/>
      </x:bottom>
    </x:border>
    <x:border>
      <x:left style="thin">
        <x:color rgb="ff2e3b5b"/>
      </x:left>
      <x:right>
        <x:color auto="1"/>
      </x:right>
      <x:top>
        <x:color auto="1"/>
      </x:top>
      <x:bottom style="medium">
        <x:color rgb="ff9b6cff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9b6cff"/>
      </x:bottom>
    </x:border>
    <x:border>
      <x:left>
        <x:color auto="1"/>
      </x:left>
      <x:right style="thin">
        <x:color rgb="ff2e3b5b"/>
      </x:right>
      <x:top>
        <x:color auto="1"/>
      </x:top>
      <x:bottom style="medium">
        <x:color rgb="ff9b6cff"/>
      </x:bottom>
    </x:border>
    <x:border>
      <x:left style="thin">
        <x:color rgb="ff2e3b5b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55d6e8"/>
      </x:bottom>
    </x:border>
    <x:border>
      <x:left>
        <x:color auto="1"/>
      </x:left>
      <x:right style="thin">
        <x:color rgb="ff2e3b5b"/>
      </x:right>
      <x:top>
        <x:color auto="1"/>
      </x:top>
      <x:bottom style="medium">
        <x:color rgb="ff55d6e8"/>
      </x:bottom>
    </x:border>
    <x:border>
      <x:left>
        <x:color auto="1"/>
      </x:left>
      <x:right style="thin">
        <x:color rgb="ff2e3b5b"/>
      </x:right>
      <x:top>
        <x:color auto="1"/>
      </x:top>
      <x:bottom>
        <x:color auto="1"/>
      </x:bottom>
    </x:border>
    <x:border>
      <x:left style="thin">
        <x:color rgb="ff2e3b5b"/>
      </x:left>
      <x:right>
        <x:color auto="1"/>
      </x:right>
      <x:top style="thin">
        <x:color rgb="ff2e3b5b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2e3b5b"/>
      </x:top>
      <x:bottom>
        <x:color auto="1"/>
      </x:bottom>
    </x:border>
    <x:border>
      <x:left>
        <x:color auto="1"/>
      </x:left>
      <x:right style="thin">
        <x:color rgb="ff2e3b5b"/>
      </x:right>
      <x:top style="thin">
        <x:color rgb="ff2e3b5b"/>
      </x:top>
      <x:bottom>
        <x:color auto="1"/>
      </x:bottom>
    </x:border>
    <x:border>
      <x:left style="medium">
        <x:color rgb="ff9b6cff"/>
      </x:left>
      <x:right>
        <x:color auto="1"/>
      </x:right>
      <x:top style="medium">
        <x:color rgb="ff9b6cff"/>
      </x:top>
      <x:bottom>
        <x:color auto="1"/>
      </x:bottom>
    </x:border>
    <x:border>
      <x:left>
        <x:color auto="1"/>
      </x:left>
      <x:right>
        <x:color auto="1"/>
      </x:right>
      <x:top style="medium">
        <x:color rgb="ff9b6cff"/>
      </x:top>
      <x:bottom>
        <x:color auto="1"/>
      </x:bottom>
    </x:border>
    <x:border>
      <x:left>
        <x:color auto="1"/>
      </x:left>
      <x:right style="medium">
        <x:color rgb="ff9b6cff"/>
      </x:right>
      <x:top style="medium">
        <x:color rgb="ff9b6cff"/>
      </x:top>
      <x:bottom>
        <x:color auto="1"/>
      </x:bottom>
    </x:border>
    <x:border>
      <x:left style="medium">
        <x:color rgb="ff9b6cff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rgb="ff9b6cff"/>
      </x:right>
      <x:top>
        <x:color auto="1"/>
      </x:top>
      <x:bottom>
        <x:color auto="1"/>
      </x:bottom>
    </x:border>
    <x:border>
      <x:left style="medium">
        <x:color rgb="ff9b6cff"/>
      </x:left>
      <x:right>
        <x:color auto="1"/>
      </x:right>
      <x:top>
        <x:color auto="1"/>
      </x:top>
      <x:bottom style="medium">
        <x:color rgb="ff9b6cff"/>
      </x:bottom>
    </x:border>
    <x:border>
      <x:left>
        <x:color auto="1"/>
      </x:left>
      <x:right style="medium">
        <x:color rgb="ff9b6cff"/>
      </x:right>
      <x:top>
        <x:color auto="1"/>
      </x:top>
      <x:bottom style="medium">
        <x:color rgb="ff9b6cff"/>
      </x:bottom>
    </x:border>
    <x:border>
      <x:left style="thin">
        <x:color rgb="ff2e3b5b"/>
      </x:left>
      <x:right>
        <x:color auto="1"/>
      </x:right>
      <x:top>
        <x:color auto="1"/>
      </x:top>
      <x:bottom style="thin">
        <x:color rgb="ff2e3b5b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2e3b5b"/>
      </x:bottom>
    </x:border>
    <x:border>
      <x:left>
        <x:color auto="1"/>
      </x:left>
      <x:right style="thin">
        <x:color rgb="ff2e3b5b"/>
      </x:right>
      <x:top>
        <x:color auto="1"/>
      </x:top>
      <x:bottom style="thin">
        <x:color rgb="ff2e3b5b"/>
      </x:bottom>
    </x:border>
    <x:border>
      <x:left style="thin">
        <x:color rgb="ff2e3b5b"/>
      </x:left>
      <x:right>
        <x:color auto="1"/>
      </x:right>
      <x:top>
        <x:color auto="1"/>
      </x:top>
      <x:bottom style="medium">
        <x:color rgb="ff55d6e8"/>
      </x:bottom>
    </x:border>
  </x:borders>
  <x:cellStyleXfs count="1">
    <x:xf numFmtId="0" fontId="0" fillId="0" borderId="0">
      <x:alignment horizontal="general" vertical="center"/>
    </x:xf>
  </x:cellStyleXfs>
  <x:cellXfs count="120">
    <x:xf numFmtId="0" fontId="0" fillId="0" borderId="0" xfId="0">
      <x:alignment horizontal="general" vertical="center"/>
    </x:xf>
    <x:xf numFmtId="0" fontId="6" fillId="2" borderId="0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0" xfId="0" applyNumberFormat="1" applyFont="1" applyFill="1" applyBorder="1" applyAlignment="1">
          <x:alignment horizontal="center" vertical="center"/>
        </x:xf>
      </mc:Fallback>
    </mc:AlternateContent>
    <x:xf numFmtId="0" fontId="6" fillId="2" borderId="0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2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9" xfId="0" applyNumberFormat="1" applyFont="1" applyFill="1" applyBorder="1" applyAlignment="1">
          <x:alignment horizontal="center" vertical="center"/>
        </x:xf>
      </mc:Fallback>
    </mc:AlternateContent>
    <x:xf numFmtId="0" fontId="6" fillId="2" borderId="7" xfId="0" applyNumberFormat="1" applyFont="1" applyFill="1" applyBorder="1" applyAlignment="1">
      <x:alignment horizontal="general" vertical="center"/>
    </x:xf>
    <x:xf numFmtId="0" fontId="6" fillId="2" borderId="0" xfId="0" applyNumberFormat="1" applyFont="1" applyFill="1" applyAlignment="1">
      <x:alignment horizontal="general" vertical="center"/>
    </x:xf>
    <x:xf numFmtId="0" fontId="6" fillId="2" borderId="10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" fillId="6" borderId="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6" borderId="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6" borderId="0" xfId="0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6" borderId="0" xfId="0" applyNumberFormat="1" applyFont="1" applyFill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6" borderId="1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6" borderId="1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7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7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7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7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7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7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7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7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7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7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7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7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8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8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8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8" borderId="1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1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8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8" borderId="1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1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8" borderId="1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1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8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8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7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7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7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7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7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7" borderId="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0" xfId="0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0" xfId="0" applyNumberFormat="1" applyFont="1" applyFill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2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2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2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2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0" xfId="0" applyNumberFormat="1" applyFont="1" applyFill="1" applyBorder="1" applyAlignment="1">
          <x:alignment horizontal="center" vertical="center"/>
        </x:xf>
      </mc:Fallback>
    </mc:AlternateContent>
    <x:xf numFmtId="0" fontId="11" fillId="5" borderId="11" xfId="0" applyNumberFormat="1" applyFont="1" applyFill="1" applyBorder="1" applyAlignment="1">
      <x:alignment horizontal="general" vertical="center"/>
    </x:xf>
    <x:xf numFmtId="0" fontId="11" fillId="5" borderId="12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6" borderId="12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6" borderId="12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6" borderId="13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6" borderId="13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6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6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6" borderId="12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6" borderId="12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6" borderId="13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6" borderId="13" xfId="0" applyNumberFormat="1" applyFont="1" applyFill="1" applyBorder="1" applyAlignment="1">
          <x:alignment horizontal="right" vertical="center" wrapText="1"/>
        </x:xf>
      </mc:Fallback>
    </mc:AlternateContent>
    <x:xf numFmtId="0" fontId="11" fillId="5" borderId="7" xfId="0" applyNumberFormat="1" applyFont="1" applyFill="1" applyBorder="1" applyAlignment="1">
      <x:alignment horizontal="general" vertical="center"/>
    </x:xf>
    <x:xf numFmtId="0" fontId="11" fillId="5" borderId="0" xfId="0" applyNumberFormat="1" applyFont="1" applyFill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6" borderId="0" xfId="0" applyNumberFormat="1" applyFont="1" applyFill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6" borderId="0" xfId="0" applyNumberFormat="1" applyFont="1" applyFill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6" borderId="1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6" borderId="1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6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6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6" borderId="0" xfId="0" applyNumberFormat="1" applyFont="1" applyFill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6" borderId="0" xfId="0" applyNumberFormat="1" applyFont="1" applyFill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6" borderId="10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6" borderId="10" xfId="0" applyNumberFormat="1" applyFont="1" applyFill="1" applyBorder="1" applyAlignment="1">
          <x:alignment horizontal="right" vertical="center" wrapText="1"/>
        </x:xf>
      </mc:Fallback>
    </mc:AlternateContent>
    <x:xf numFmtId="0" fontId="11" fillId="5" borderId="21" xfId="0" applyNumberFormat="1" applyFont="1" applyFill="1" applyBorder="1" applyAlignment="1">
      <x:alignment horizontal="general" vertical="center"/>
    </x:xf>
    <x:xf numFmtId="0" fontId="11" fillId="5" borderId="22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6" borderId="22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6" borderId="22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6" borderId="23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6" borderId="23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6" borderId="22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6" borderId="22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6" borderId="23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6" borderId="23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0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0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8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8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8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8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8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8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11" borderId="1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11" borderId="1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11" borderId="1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11" borderId="1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11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11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11" borderId="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11" borderId="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11" borderId="0" xfId="0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11" borderId="0" xfId="0" applyNumberFormat="1" applyFont="1" applyFill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11" borderId="1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11" borderId="1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2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2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2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2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2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2" borderId="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11" borderId="2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11" borderId="2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11" borderId="2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11" borderId="2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11" borderId="2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11" borderId="2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5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5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5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5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5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5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5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5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5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5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5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5" borderId="13" xfId="0" applyNumberFormat="1" applyFont="1" applyFill="1" applyBorder="1" applyAlignment="1">
          <x:alignment horizontal="center" vertical="center"/>
        </x:xf>
      </mc:Fallback>
    </mc:AlternateContent>
    <x:xf numFmtId="0" fontId="6" fillId="6" borderId="21" xfId="0" applyNumberFormat="1" applyFont="1" applyFill="1" applyBorder="1" applyAlignment="1">
      <x:alignment horizontal="general" vertical="center"/>
    </x:xf>
    <x:xf numFmtId="0" fontId="6" fillId="6" borderId="22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6" borderId="22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22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23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23" xfId="0" applyNumberFormat="1" applyFont="1" applyFill="1" applyBorder="1" applyAlignment="1">
          <x:alignment horizontal="right" vertical="center"/>
        </x:xf>
      </mc:Fallback>
    </mc:AlternateContent>
    <x:xf numFmtId="0" fontId="6" fillId="6" borderId="0" xfId="0" applyNumberFormat="1" applyFont="1" applyFill="1" applyAlignment="1">
      <x:alignment horizontal="general" vertical="center" wrapText="1"/>
    </x:xf>
    <x:xf numFmtId="0" fontId="6" fillId="6" borderId="10" xfId="0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20" fillId="8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8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8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8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8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8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13" borderId="2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13" borderId="2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13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13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13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13" borderId="9" xfId="0" applyNumberFormat="1" applyFont="1" applyFill="1" applyBorder="1" applyAlignment="1">
          <x:alignment horizontal="center" vertical="center"/>
        </x:xf>
      </mc:Fallback>
    </mc:AlternateContent>
    <x:xf numFmtId="0" fontId="6" fillId="6" borderId="22" xfId="0" applyNumberFormat="1" applyFont="1" applyFill="1" applyBorder="1" applyAlignment="1">
      <x:alignment horizontal="general" vertical="center" wrapText="1"/>
    </x:xf>
    <x:xf numFmtId="0" fontId="6" fillId="6" borderId="23" xfId="0" applyNumberFormat="1" applyFont="1" applyFill="1" applyBorder="1" applyAlignment="1">
      <x:alignment horizontal="general" vertical="center" wrapText="1"/>
    </x:xf>
    <x:xf numFmtId="0" fontId="11" fillId="5" borderId="0" xfId="0" applyNumberFormat="1" applyFont="1" applyFill="1" applyBorder="1" applyAlignment="1">
      <x:alignment horizontal="general" vertical="center"/>
    </x:xf>
    <x:xf numFmtId="0" fontId="6" fillId="6" borderId="0" xfId="0" applyNumberFormat="1" applyFont="1" applyFill="1" applyBorder="1" applyAlignment="1">
      <x:alignment horizontal="general" vertical="center" wrapText="1"/>
    </x:xf>
    <x:xf numFmtId="0" fontId="6" fillId="11" borderId="0" xfId="0" applyNumberFormat="1" applyFont="1" applyFill="1" applyBorder="1" applyAlignment="1">
      <x:alignment horizontal="left" vertical="center" wrapText="1"/>
    </x:xf>
    <x:xf numFmtId="0" fontId="21" fillId="0" borderId="0" xfId="0" applyNumberFormat="1" applyFont="1" applyFill="1" applyBorder="1" applyAlignment="1">
      <x:alignment horizontal="general" vertical="bottom"/>
    </x:xf>
  </x:cellXfs>
  <x:cellStyles count="1">
    <x:cellStyle name="표준" xfId="0" builtinId="0" iLevel="0"/>
  </x:cellStyles>
  <x:dxfs count="14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6b7a"/>
            <hs:useFontSpace val="0"/>
            <hs:size val="0"/>
            <hs:ratio val="0"/>
            <hs:spacing val="0"/>
            <hs:offset val="0"/>
          </x:font>
          <x:fill>
            <x:patternFill>
              <x:bgColor rgb="ff351820"/>
            </x:patternFill>
          </x:fill>
        </x:dxf>
      </mc:Choice>
      <mc:Fallback>
        <x:dxf>
          <x:font>
            <x:color rgb="ffff6b7a"/>
          </x:font>
          <x:fill>
            <x:patternFill>
              <x:bgColor rgb="ff35182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4c95d"/>
            <hs:useFontSpace val="0"/>
            <hs:size val="0"/>
            <hs:ratio val="0"/>
            <hs:spacing val="0"/>
            <hs:offset val="0"/>
          </x:font>
          <x:fill>
            <x:patternFill>
              <x:bgColor rgb="ff302a18"/>
            </x:patternFill>
          </x:fill>
        </x:dxf>
      </mc:Choice>
      <mc:Fallback>
        <x:dxf>
          <x:font>
            <x:color rgb="fff4c95d"/>
          </x:font>
          <x:fill>
            <x:patternFill>
              <x:bgColor rgb="ff302a18"/>
            </x:patternFill>
          </x:fill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externalLink" Target="externalLinks/externalLink1.xml"  /></Relationships>
</file>

<file path=xl/externalLinks/_rels/externalLink1.xml.rels><?xml version="1.0" encoding="UTF-8" standalone="yes" ?><Relationships xmlns="http://schemas.openxmlformats.org/package/2006/relationships"><Relationship Id="rId1" Type="http://schemas.openxmlformats.org/officeDocument/2006/relationships/externalLinkPath" Target="file:///C:/Users/82103/Downloads/&#45324;_&#52265;&#54644;_&#48184;&#47088;&#49828;_&#44592;&#54925;&#49436;_&#50500;&#51060;&#53596;&#49549;&#49457;_&#50672;&#46041;&#49688;&#51221;.xlsx" TargetMode="External" /></Relationships>
</file>

<file path=xl/externalLinks/externalLink1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밸런스 문서"/>
      <x:sheetName val="PC DATA(대차대조표)"/>
      <x:sheetName val="아이템"/>
      <x:sheetName val="속성 대차대조표 (2)"/>
      <x:sheetName val="스킬 DATA"/>
      <x:sheetName val="몬스터"/>
      <x:sheetName val="전투 시뮬레이터"/>
      <x:sheetName val="밸런스 팩터"/>
      <x:sheetName val="작성 기준"/>
      <x:sheetName val="밸런스 곡선"/>
      <x:sheetName val="보스 설계 요약"/>
      <x:sheetName val="시뮬레이터_최종"/>
    </x:sheetNames>
    <x:sheetDataSet>
      <x:sheetData sheetId="0" refreshError="0"/>
      <x:sheetData sheetId="1" refreshError="0">
        <x:row r="2">
          <x:cell r="A2">
            <x:v>1</x:v>
          </x:cell>
          <x:cell r="B2" t="str">
            <x:v>차한해</x:v>
          </x:cell>
          <x:cell r="C2"/>
          <x:cell r="D2" t="str">
            <x:v>차한해의 과거 오프닝 감상</x:v>
          </x:cell>
          <x:cell r="E2" t="str">
            <x:v>전투 시스템 미개방</x:v>
          </x:cell>
          <x:cell r="F2">
            <x:v>10</x:v>
          </x:cell>
          <x:cell r="G2"/>
          <x:cell r="H2">
            <x:v>10</x:v>
          </x:cell>
          <x:cell r="I2"/>
          <x:cell r="J2" t="str">
            <x:v>싫어요.</x:v>
          </x:cell>
          <x:cell r="K2" t="str">
            <x:v>기본 공격력 10 / 기본 방어력 10</x:v>
          </x:cell>
        </x:row>
        <x:row r="3">
          <x:cell r="A3">
            <x:v>2</x:v>
          </x:cell>
          <x:cell r="B3" t="str">
            <x:v>차한해</x:v>
          </x:cell>
          <x:cell r="C3"/>
          <x:cell r="D3" t="str">
            <x:v>아버지 회사 서류를 챙겨 식탁에 올려두기</x:v>
          </x:cell>
          <x:cell r="E3" t="str">
            <x:v>전투 시스템 미개방</x:v>
          </x:cell>
          <x:cell r="F3">
            <x:v>10</x:v>
          </x:cell>
          <x:cell r="G3"/>
          <x:cell r="H3">
            <x:v>10</x:v>
          </x:cell>
          <x:cell r="I3"/>
          <x:cell r="J3"/>
          <x:cell r="K3" t="str">
            <x:v>일반인 신체 능력 유지</x:v>
          </x:cell>
        </x:row>
        <x:row r="4">
          <x:cell r="A4">
            <x:v>3</x:v>
          </x:cell>
          <x:cell r="B4" t="str">
            <x:v>차한해</x:v>
          </x:cell>
          <x:cell r="C4"/>
          <x:cell r="D4" t="str">
            <x:v>빨래를 분류해 세탁기에 넣고 작동하기</x:v>
          </x:cell>
          <x:cell r="E4" t="str">
            <x:v>전투 시스템 미개방</x:v>
          </x:cell>
          <x:cell r="F4">
            <x:v>10</x:v>
          </x:cell>
          <x:cell r="G4"/>
          <x:cell r="H4">
            <x:v>10</x:v>
          </x:cell>
          <x:cell r="I4"/>
          <x:cell r="J4"/>
          <x:cell r="K4"/>
        </x:row>
        <x:row r="5">
          <x:cell r="A5">
            <x:v>4</x:v>
          </x:cell>
          <x:cell r="B5" t="str">
            <x:v>차한해</x:v>
          </x:cell>
          <x:cell r="C5"/>
          <x:cell r="D5" t="str">
            <x:v>어머니의 비싼 블라우스를 손세탁하기</x:v>
          </x:cell>
          <x:cell r="E5" t="str">
            <x:v>전투 시스템 미개방</x:v>
          </x:cell>
          <x:cell r="F5">
            <x:v>10</x:v>
          </x:cell>
          <x:cell r="G5"/>
          <x:cell r="H5">
            <x:v>10</x:v>
          </x:cell>
          <x:cell r="I5"/>
          <x:cell r="J5"/>
          <x:cell r="K5"/>
        </x:row>
        <x:row r="6">
          <x:cell r="A6">
            <x:v>5</x:v>
          </x:cell>
          <x:cell r="B6" t="str">
            <x:v>차한해</x:v>
          </x:cell>
          <x:cell r="C6"/>
          <x:cell r="D6" t="str">
            <x:v>건조기 완료음을 듣고 빨래를 꺼내 거실에서 개기</x:v>
          </x:cell>
          <x:cell r="E6" t="str">
            <x:v>전투 시스템 미개방</x:v>
          </x:cell>
          <x:cell r="F6">
            <x:v>10</x:v>
          </x:cell>
          <x:cell r="G6"/>
          <x:cell r="H6">
            <x:v>10</x:v>
          </x:cell>
          <x:cell r="I6"/>
          <x:cell r="J6"/>
          <x:cell r="K6"/>
        </x:row>
        <x:row r="7">
          <x:cell r="A7">
            <x:v>6</x:v>
          </x:cell>
          <x:cell r="B7" t="str">
            <x:v>차한해</x:v>
          </x:cell>
          <x:cell r="C7"/>
          <x:cell r="D7" t="str">
            <x:v>동생에게 신상 과자·헤어롤·팝콘 심부름 받기</x:v>
          </x:cell>
          <x:cell r="E7" t="str">
            <x:v>전투 시스템 미개방</x:v>
          </x:cell>
          <x:cell r="F7">
            <x:v>10</x:v>
          </x:cell>
          <x:cell r="G7"/>
          <x:cell r="H7">
            <x:v>10</x:v>
          </x:cell>
          <x:cell r="I7"/>
          <x:cell r="J7"/>
          <x:cell r="K7"/>
        </x:row>
        <x:row r="8">
          <x:cell r="A8">
            <x:v>7</x:v>
          </x:cell>
          <x:cell r="B8" t="str">
            <x:v>차한해</x:v>
          </x:cell>
          <x:cell r="C8"/>
          <x:cell r="D8" t="str">
            <x:v>엘리베이터에서 주민 모두에게 인사하며 밖으로 나가기</x:v>
          </x:cell>
          <x:cell r="E8" t="str">
            <x:v>전투 시스템 미개방</x:v>
          </x:cell>
          <x:cell r="F8">
            <x:v>10</x:v>
          </x:cell>
          <x:cell r="G8"/>
          <x:cell r="H8">
            <x:v>10</x:v>
          </x:cell>
          <x:cell r="I8"/>
          <x:cell r="J8"/>
          <x:cell r="K8"/>
        </x:row>
        <x:row r="9">
          <x:cell r="A9">
            <x:v>8</x:v>
          </x:cell>
          <x:cell r="B9" t="str">
            <x:v>차한해</x:v>
          </x:cell>
          <x:cell r="C9"/>
          <x:cell r="D9" t="str">
            <x:v>편의점에서 신상 과자가 아직 입고되지 않았음을 확인하기</x:v>
          </x:cell>
          <x:cell r="E9" t="str">
            <x:v>전투 시스템 미개방</x:v>
          </x:cell>
          <x:cell r="F9">
            <x:v>10</x:v>
          </x:cell>
          <x:cell r="G9"/>
          <x:cell r="H9">
            <x:v>10</x:v>
          </x:cell>
          <x:cell r="I9"/>
          <x:cell r="J9"/>
          <x:cell r="K9"/>
        </x:row>
        <x:row r="10">
          <x:cell r="A10">
            <x:v>9</x:v>
          </x:cell>
          <x:cell r="B10" t="str">
            <x:v>차한해</x:v>
          </x:cell>
          <x:cell r="C10"/>
          <x:cell r="D10" t="str">
            <x:v>알바생의 무거운 음료 박스 진열 부탁을 수락할지 선택하기</x:v>
          </x:cell>
          <x:cell r="E10" t="str">
            <x:v>전투 시스템 미개방</x:v>
          </x:cell>
          <x:cell r="F10">
            <x:v>10</x:v>
          </x:cell>
          <x:cell r="G10"/>
          <x:cell r="H10">
            <x:v>10</x:v>
          </x:cell>
          <x:cell r="I10"/>
          <x:cell r="J10"/>
          <x:cell r="K10"/>
        </x:row>
        <x:row r="11">
          <x:cell r="A11">
            <x:v>10</x:v>
          </x:cell>
          <x:cell r="B11" t="str">
            <x:v>차한해</x:v>
          </x:cell>
          <x:cell r="C11"/>
          <x:cell r="D11" t="str">
            <x:v>음료 박스를 가격표에 맞춰 진열하기</x:v>
          </x:cell>
          <x:cell r="E11" t="str">
            <x:v>전투 시스템 미개방</x:v>
          </x:cell>
          <x:cell r="F11">
            <x:v>10</x:v>
          </x:cell>
          <x:cell r="G11"/>
          <x:cell r="H11">
            <x:v>10</x:v>
          </x:cell>
          <x:cell r="I11"/>
          <x:cell r="J11"/>
          <x:cell r="K11"/>
        </x:row>
        <x:row r="12">
          <x:cell r="A12">
            <x:v>11</x:v>
          </x:cell>
          <x:cell r="B12" t="str">
            <x:v>차한해</x:v>
          </x:cell>
          <x:cell r="C12"/>
          <x:cell r="D12" t="str">
            <x:v>골목에서 들리는 예쁜 고양이 울음소리 확인하기</x:v>
          </x:cell>
          <x:cell r="E12" t="str">
            <x:v>전투 시스템 미개방</x:v>
          </x:cell>
          <x:cell r="F12">
            <x:v>10</x:v>
          </x:cell>
          <x:cell r="G12"/>
          <x:cell r="H12">
            <x:v>10</x:v>
          </x:cell>
          <x:cell r="I12"/>
          <x:cell r="J12"/>
          <x:cell r="K12"/>
        </x:row>
        <x:row r="13">
          <x:cell r="A13">
            <x:v>12</x:v>
          </x:cell>
          <x:cell r="B13" t="str">
            <x:v>차한해</x:v>
          </x:cell>
          <x:cell r="C13"/>
          <x:cell r="D13" t="str">
            <x:v>편의점에서 츄르 4개입 세트 구매하기</x:v>
          </x:cell>
          <x:cell r="E13" t="str">
            <x:v>전투 시스템 미개방</x:v>
          </x:cell>
          <x:cell r="F13">
            <x:v>10</x:v>
          </x:cell>
          <x:cell r="G13"/>
          <x:cell r="H13">
            <x:v>10</x:v>
          </x:cell>
          <x:cell r="I13"/>
          <x:cell r="J13"/>
          <x:cell r="K13"/>
        </x:row>
        <x:row r="14">
          <x:cell r="A14">
            <x:v>13</x:v>
          </x:cell>
          <x:cell r="B14" t="str">
            <x:v>차한해</x:v>
          </x:cell>
          <x:cell r="C14"/>
          <x:cell r="D14" t="str">
            <x:v>예쁜 고양이에게 첫 번째 츄르 건네기</x:v>
          </x:cell>
          <x:cell r="E14" t="str">
            <x:v>전투 시스템 미개방</x:v>
          </x:cell>
          <x:cell r="F14">
            <x:v>10</x:v>
          </x:cell>
          <x:cell r="G14"/>
          <x:cell r="H14">
            <x:v>10</x:v>
          </x:cell>
          <x:cell r="I14"/>
          <x:cell r="J14"/>
          <x:cell r="K14"/>
        </x:row>
        <x:row r="15">
          <x:cell r="A15">
            <x:v>14</x:v>
          </x:cell>
          <x:cell r="B15" t="str">
            <x:v>차한해</x:v>
          </x:cell>
          <x:cell r="C15"/>
          <x:cell r="D15" t="str">
            <x:v>다이소로 이동하기</x:v>
          </x:cell>
          <x:cell r="E15" t="str">
            <x:v>전투 시스템 미개방</x:v>
          </x:cell>
          <x:cell r="F15">
            <x:v>10</x:v>
          </x:cell>
          <x:cell r="G15"/>
          <x:cell r="H15">
            <x:v>10</x:v>
          </x:cell>
          <x:cell r="I15"/>
          <x:cell r="J15"/>
          <x:cell r="K15"/>
        </x:row>
        <x:row r="16">
          <x:cell r="A16">
            <x:v>15</x:v>
          </x:cell>
          <x:cell r="B16" t="str">
            <x:v>차한해</x:v>
          </x:cell>
          <x:cell r="C16"/>
          <x:cell r="D16" t="str">
            <x:v>헤어롤 진열대 찾기</x:v>
          </x:cell>
          <x:cell r="E16" t="str">
            <x:v>전투 시스템 미개방</x:v>
          </x:cell>
          <x:cell r="F16">
            <x:v>10</x:v>
          </x:cell>
          <x:cell r="G16"/>
          <x:cell r="H16">
            <x:v>10</x:v>
          </x:cell>
          <x:cell r="I16"/>
          <x:cell r="J16"/>
          <x:cell r="K16"/>
        </x:row>
        <x:row r="17">
          <x:cell r="A17">
            <x:v>16</x:v>
          </x:cell>
          <x:cell r="B17" t="str">
            <x:v>차한해</x:v>
          </x:cell>
          <x:cell r="C17"/>
          <x:cell r="D17" t="str">
            <x:v>헤어롤 구매하기</x:v>
          </x:cell>
          <x:cell r="E17" t="str">
            <x:v>전투 시스템 미개방</x:v>
          </x:cell>
          <x:cell r="F17">
            <x:v>10</x:v>
          </x:cell>
          <x:cell r="G17"/>
          <x:cell r="H17">
            <x:v>10</x:v>
          </x:cell>
          <x:cell r="I17"/>
          <x:cell r="J17"/>
          <x:cell r="K17"/>
        </x:row>
        <x:row r="18">
          <x:cell r="A18">
            <x:v>17</x:v>
          </x:cell>
          <x:cell r="B18" t="str">
            <x:v>차한해</x:v>
          </x:cell>
          <x:cell r="C18"/>
          <x:cell r="D18" t="str">
            <x:v>다이소를 나오자 편의점 물류 트럭이 지나가는 장면 확인하기</x:v>
          </x:cell>
          <x:cell r="E18" t="str">
            <x:v>전투 시스템 미개방</x:v>
          </x:cell>
          <x:cell r="F18">
            <x:v>10</x:v>
          </x:cell>
          <x:cell r="G18"/>
          <x:cell r="H18">
            <x:v>10</x:v>
          </x:cell>
          <x:cell r="I18"/>
          <x:cell r="J18"/>
          <x:cell r="K18"/>
        </x:row>
        <x:row r="19">
          <x:cell r="A19">
            <x:v>18</x:v>
          </x:cell>
          <x:cell r="B19" t="str">
            <x:v>차한해</x:v>
          </x:cell>
          <x:cell r="C19"/>
          <x:cell r="D19" t="str">
            <x:v>짐이 많은 어르신을 도울지 신상 과자를 사러 갈지 선택하기</x:v>
          </x:cell>
          <x:cell r="E19" t="str">
            <x:v>전투 시스템 미개방</x:v>
          </x:cell>
          <x:cell r="F19">
            <x:v>10</x:v>
          </x:cell>
          <x:cell r="G19"/>
          <x:cell r="H19">
            <x:v>10</x:v>
          </x:cell>
          <x:cell r="I19"/>
          <x:cell r="J19"/>
          <x:cell r="K19"/>
        </x:row>
        <x:row r="20">
          <x:cell r="A20">
            <x:v>19</x:v>
          </x:cell>
          <x:cell r="B20" t="str">
            <x:v>차한해</x:v>
          </x:cell>
          <x:cell r="C20"/>
          <x:cell r="D20" t="str">
            <x:v>어르신의 무거운 짐을 목적지까지 옮기기</x:v>
          </x:cell>
          <x:cell r="E20" t="str">
            <x:v>전투 시스템 미개방</x:v>
          </x:cell>
          <x:cell r="F20">
            <x:v>10</x:v>
          </x:cell>
          <x:cell r="G20"/>
          <x:cell r="H20">
            <x:v>10</x:v>
          </x:cell>
          <x:cell r="I20"/>
          <x:cell r="J20"/>
          <x:cell r="K20"/>
        </x:row>
        <x:row r="21">
          <x:cell r="A21">
            <x:v>20</x:v>
          </x:cell>
          <x:cell r="B21" t="str">
            <x:v>차한해</x:v>
          </x:cell>
          <x:cell r="C21"/>
          <x:cell r="D21" t="str">
            <x:v>치킨집 앞 두 손님의 주문 대화 듣기</x:v>
          </x:cell>
          <x:cell r="E21" t="str">
            <x:v>전투 시스템 미개방</x:v>
          </x:cell>
          <x:cell r="F21">
            <x:v>10</x:v>
          </x:cell>
          <x:cell r="G21"/>
          <x:cell r="H21">
            <x:v>10</x:v>
          </x:cell>
          <x:cell r="I21"/>
          <x:cell r="J21"/>
          <x:cell r="K21"/>
        </x:row>
        <x:row r="22">
          <x:cell r="A22">
            <x:v>21</x:v>
          </x:cell>
          <x:cell r="B22" t="str">
            <x:v>차한해</x:v>
          </x:cell>
          <x:cell r="C22"/>
          <x:cell r="D22" t="str">
            <x:v>바쁜 직원의 도움 요청을 확인하기</x:v>
          </x:cell>
          <x:cell r="E22" t="str">
            <x:v>전투 시스템 미개방</x:v>
          </x:cell>
          <x:cell r="F22">
            <x:v>10</x:v>
          </x:cell>
          <x:cell r="G22"/>
          <x:cell r="H22">
            <x:v>10</x:v>
          </x:cell>
          <x:cell r="I22"/>
          <x:cell r="J22"/>
          <x:cell r="K22"/>
        </x:row>
        <x:row r="23">
          <x:cell r="A23">
            <x:v>22</x:v>
          </x:cell>
          <x:cell r="B23" t="str">
            <x:v>차한해</x:v>
          </x:cell>
          <x:cell r="C23"/>
          <x:cell r="D23" t="str">
            <x:v>치킨집 알바를 도울지 선택하기</x:v>
          </x:cell>
          <x:cell r="E23" t="str">
            <x:v>전투 시스템 미개방</x:v>
          </x:cell>
          <x:cell r="F23">
            <x:v>10</x:v>
          </x:cell>
          <x:cell r="G23"/>
          <x:cell r="H23">
            <x:v>10</x:v>
          </x:cell>
          <x:cell r="I23"/>
          <x:cell r="J23"/>
          <x:cell r="K23"/>
        </x:row>
        <x:row r="24">
          <x:cell r="A24">
            <x:v>23</x:v>
          </x:cell>
          <x:cell r="B24" t="str">
            <x:v>차한해</x:v>
          </x:cell>
          <x:cell r="C24"/>
          <x:cell r="D24" t="str">
            <x:v>주문표의 치킨·소스·음료 확인하기</x:v>
          </x:cell>
          <x:cell r="E24" t="str">
            <x:v>전투 시스템 미개방</x:v>
          </x:cell>
          <x:cell r="F24">
            <x:v>10</x:v>
          </x:cell>
          <x:cell r="G24"/>
          <x:cell r="H24">
            <x:v>10</x:v>
          </x:cell>
          <x:cell r="I24"/>
          <x:cell r="J24"/>
          <x:cell r="K24"/>
        </x:row>
        <x:row r="25">
          <x:cell r="A25">
            <x:v>24</x:v>
          </x:cell>
          <x:cell r="B25" t="str">
            <x:v>차한해</x:v>
          </x:cell>
          <x:cell r="C25"/>
          <x:cell r="D25" t="str">
            <x:v>주문에 맞게 치킨 포장하기</x:v>
          </x:cell>
          <x:cell r="E25" t="str">
            <x:v>전투 시스템 미개방</x:v>
          </x:cell>
          <x:cell r="F25">
            <x:v>10</x:v>
          </x:cell>
          <x:cell r="G25"/>
          <x:cell r="H25">
            <x:v>10</x:v>
          </x:cell>
          <x:cell r="I25"/>
          <x:cell r="J25"/>
          <x:cell r="K25"/>
        </x:row>
        <x:row r="26">
          <x:cell r="A26">
            <x:v>25</x:v>
          </x:cell>
          <x:cell r="B26" t="str">
            <x:v>차한해</x:v>
          </x:cell>
          <x:cell r="C26"/>
          <x:cell r="D26" t="str">
            <x:v>잘못 포장된 주문 수정하기</x:v>
          </x:cell>
          <x:cell r="E26" t="str">
            <x:v>전투 시스템 미개방</x:v>
          </x:cell>
          <x:cell r="F26">
            <x:v>10</x:v>
          </x:cell>
          <x:cell r="G26"/>
          <x:cell r="H26">
            <x:v>10</x:v>
          </x:cell>
          <x:cell r="I26"/>
          <x:cell r="J26"/>
          <x:cell r="K26"/>
        </x:row>
        <x:row r="27">
          <x:cell r="A27">
            <x:v>26</x:v>
          </x:cell>
          <x:cell r="B27" t="str">
            <x:v>차한해</x:v>
          </x:cell>
          <x:cell r="C27"/>
          <x:cell r="D27" t="str">
            <x:v>손님에게 주문을 전달하고 보상 받기</x:v>
          </x:cell>
          <x:cell r="E27" t="str">
            <x:v>전투 시스템 미개방</x:v>
          </x:cell>
          <x:cell r="F27">
            <x:v>10</x:v>
          </x:cell>
          <x:cell r="G27"/>
          <x:cell r="H27">
            <x:v>10</x:v>
          </x:cell>
          <x:cell r="I27"/>
          <x:cell r="J27"/>
          <x:cell r="K27"/>
        </x:row>
        <x:row r="28">
          <x:cell r="A28">
            <x:v>27</x:v>
          </x:cell>
          <x:cell r="B28" t="str">
            <x:v>차한해</x:v>
          </x:cell>
          <x:cell r="C28"/>
          <x:cell r="D28" t="str">
            <x:v>편의점으로 돌아가 신상 과자 재고 확인하기</x:v>
          </x:cell>
          <x:cell r="E28" t="str">
            <x:v>전투 시스템 미개방</x:v>
          </x:cell>
          <x:cell r="F28">
            <x:v>10</x:v>
          </x:cell>
          <x:cell r="G28"/>
          <x:cell r="H28">
            <x:v>10</x:v>
          </x:cell>
          <x:cell r="I28"/>
          <x:cell r="J28"/>
          <x:cell r="K28"/>
        </x:row>
        <x:row r="29">
          <x:cell r="A29">
            <x:v>28</x:v>
          </x:cell>
          <x:cell r="B29" t="str">
            <x:v>차한해</x:v>
          </x:cell>
          <x:cell r="C29"/>
          <x:cell r="D29" t="str">
            <x:v>선택 결과에 따라 신상 과자 확보 여부 확정하기</x:v>
          </x:cell>
          <x:cell r="E29" t="str">
            <x:v>전투 시스템 미개방</x:v>
          </x:cell>
          <x:cell r="F29">
            <x:v>10</x:v>
          </x:cell>
          <x:cell r="G29"/>
          <x:cell r="H29">
            <x:v>10</x:v>
          </x:cell>
          <x:cell r="I29"/>
          <x:cell r="J29"/>
          <x:cell r="K29"/>
        </x:row>
        <x:row r="30">
          <x:cell r="A30">
            <x:v>29</x:v>
          </x:cell>
          <x:cell r="B30" t="str">
            <x:v>차한해</x:v>
          </x:cell>
          <x:cell r="C30"/>
          <x:cell r="D30" t="str">
            <x:v>동생에게 과자 결과를 알리고 지하철 중고거래 심부름 받기</x:v>
          </x:cell>
          <x:cell r="E30" t="str">
            <x:v>전투 시스템 미개방</x:v>
          </x:cell>
          <x:cell r="F30">
            <x:v>10</x:v>
          </x:cell>
          <x:cell r="G30"/>
          <x:cell r="H30">
            <x:v>10</x:v>
          </x:cell>
          <x:cell r="I30"/>
          <x:cell r="J30"/>
          <x:cell r="K30"/>
        </x:row>
        <x:row r="31">
          <x:cell r="A31">
            <x:v>30</x:v>
          </x:cell>
          <x:cell r="B31" t="str">
            <x:v>차한해</x:v>
          </x:cell>
          <x:cell r="C31"/>
          <x:cell r="D31" t="str">
            <x:v>영화관으로 이동하기</x:v>
          </x:cell>
          <x:cell r="E31" t="str">
            <x:v>전투 시스템 미개방</x:v>
          </x:cell>
          <x:cell r="F31">
            <x:v>10</x:v>
          </x:cell>
          <x:cell r="G31"/>
          <x:cell r="H31">
            <x:v>10</x:v>
          </x:cell>
          <x:cell r="I31"/>
          <x:cell r="J31"/>
          <x:cell r="K31"/>
        </x:row>
        <x:row r="32">
          <x:cell r="A32">
            <x:v>31</x:v>
          </x:cell>
          <x:cell r="B32" t="str">
            <x:v>차한해</x:v>
          </x:cell>
          <x:cell r="C32"/>
          <x:cell r="D32" t="str">
            <x:v>동생이 부탁한 팝콘 구매하기</x:v>
          </x:cell>
          <x:cell r="E32" t="str">
            <x:v>전투 시스템 미개방</x:v>
          </x:cell>
          <x:cell r="F32">
            <x:v>10</x:v>
          </x:cell>
          <x:cell r="G32"/>
          <x:cell r="H32">
            <x:v>10</x:v>
          </x:cell>
          <x:cell r="I32"/>
          <x:cell r="J32"/>
          <x:cell r="K32"/>
        </x:row>
        <x:row r="33">
          <x:cell r="A33">
            <x:v>32</x:v>
          </x:cell>
          <x:cell r="B33" t="str">
            <x:v>차한해</x:v>
          </x:cell>
          <x:cell r="C33"/>
          <x:cell r="D33" t="str">
            <x:v>지하철 중고거래 장소로 이동하기</x:v>
          </x:cell>
          <x:cell r="E33" t="str">
            <x:v>전투 시스템 미개방</x:v>
          </x:cell>
          <x:cell r="F33">
            <x:v>10</x:v>
          </x:cell>
          <x:cell r="G33"/>
          <x:cell r="H33">
            <x:v>10</x:v>
          </x:cell>
          <x:cell r="I33"/>
          <x:cell r="J33"/>
          <x:cell r="K33"/>
        </x:row>
        <x:row r="34">
          <x:cell r="A34">
            <x:v>33</x:v>
          </x:cell>
          <x:cell r="B34" t="str">
            <x:v>차한해</x:v>
          </x:cell>
          <x:cell r="C34"/>
          <x:cell r="D34" t="str">
            <x:v>거래 후보 세 명의 특징 관찰하기</x:v>
          </x:cell>
          <x:cell r="E34" t="str">
            <x:v>전투 시스템 미개방</x:v>
          </x:cell>
          <x:cell r="F34">
            <x:v>10</x:v>
          </x:cell>
          <x:cell r="G34"/>
          <x:cell r="H34">
            <x:v>10</x:v>
          </x:cell>
          <x:cell r="I34"/>
          <x:cell r="J34"/>
          <x:cell r="K34"/>
        </x:row>
        <x:row r="35">
          <x:cell r="A35">
            <x:v>34</x:v>
          </x:cell>
          <x:cell r="B35" t="str">
            <x:v>차한해</x:v>
          </x:cell>
          <x:cell r="C35"/>
          <x:cell r="D35" t="str">
            <x:v>올바른 중고거래 상대 찾기</x:v>
          </x:cell>
          <x:cell r="E35" t="str">
            <x:v>전투 시스템 미개방</x:v>
          </x:cell>
          <x:cell r="F35">
            <x:v>10</x:v>
          </x:cell>
          <x:cell r="G35"/>
          <x:cell r="H35">
            <x:v>10</x:v>
          </x:cell>
          <x:cell r="I35"/>
          <x:cell r="J35"/>
          <x:cell r="K35"/>
        </x:row>
        <x:row r="36">
          <x:cell r="A36">
            <x:v>35</x:v>
          </x:cell>
          <x:cell r="B36" t="str">
            <x:v>차한해</x:v>
          </x:cell>
          <x:cell r="C36"/>
          <x:cell r="D36" t="str">
            <x:v>중고거래를 마치고 동생에게 완료 연락하기</x:v>
          </x:cell>
          <x:cell r="E36" t="str">
            <x:v>전투 시스템 미개방</x:v>
          </x:cell>
          <x:cell r="F36">
            <x:v>10</x:v>
          </x:cell>
          <x:cell r="G36"/>
          <x:cell r="H36">
            <x:v>10</x:v>
          </x:cell>
          <x:cell r="I36"/>
          <x:cell r="J36"/>
          <x:cell r="K36"/>
        </x:row>
        <x:row r="37">
          <x:cell r="A37">
            <x:v>36</x:v>
          </x:cell>
          <x:cell r="B37" t="str">
            <x:v>차한해</x:v>
          </x:cell>
          <x:cell r="C37"/>
          <x:cell r="D37" t="str">
            <x:v>횡단보도에서 아이가 떨어뜨린 학용품을 주워주기</x:v>
          </x:cell>
          <x:cell r="E37" t="str">
            <x:v>전투 시스템 미개방</x:v>
          </x:cell>
          <x:cell r="F37">
            <x:v>10</x:v>
          </x:cell>
          <x:cell r="G37"/>
          <x:cell r="H37">
            <x:v>10</x:v>
          </x:cell>
          <x:cell r="I37"/>
          <x:cell r="J37"/>
          <x:cell r="K37"/>
        </x:row>
        <x:row r="38">
          <x:cell r="A38">
            <x:v>37</x:v>
          </x:cell>
          <x:cell r="B38" t="str">
            <x:v>차한해</x:v>
          </x:cell>
          <x:cell r="C38"/>
          <x:cell r="D38" t="str">
            <x:v>공원에서 모든 심부름 완료와 섬광 이상 현상 확인하기</x:v>
          </x:cell>
          <x:cell r="E38" t="str">
            <x:v>전투 시스템 미개방</x:v>
          </x:cell>
          <x:cell r="F38">
            <x:v>10</x:v>
          </x:cell>
          <x:cell r="G38"/>
          <x:cell r="H38">
            <x:v>10</x:v>
          </x:cell>
          <x:cell r="I38"/>
          <x:cell r="J38"/>
          <x:cell r="K38"/>
        </x:row>
        <x:row r="39">
          <x:cell r="A39">
            <x:v>38</x:v>
          </x:cell>
          <x:cell r="B39" t="str">
            <x:v>차한해</x:v>
          </x:cell>
          <x:cell r="C39"/>
          <x:cell r="D39" t="str">
            <x:v>축제 종료 현장과 남은 이상 징후 관찰하기</x:v>
          </x:cell>
          <x:cell r="E39" t="str">
            <x:v>전투 시스템 미개방</x:v>
          </x:cell>
          <x:cell r="F39">
            <x:v>10</x:v>
          </x:cell>
          <x:cell r="G39"/>
          <x:cell r="H39">
            <x:v>10</x:v>
          </x:cell>
          <x:cell r="I39"/>
          <x:cell r="J39"/>
          <x:cell r="K39"/>
        </x:row>
        <x:row r="40">
          <x:cell r="A40">
            <x:v>39</x:v>
          </x:cell>
          <x:cell r="B40" t="str">
            <x:v>차한해</x:v>
          </x:cell>
          <x:cell r="C40"/>
          <x:cell r="D40" t="str">
            <x:v>아이가 쓰레기에 걸려 넘어질 뻔한 장면 목격하기</x:v>
          </x:cell>
          <x:cell r="E40" t="str">
            <x:v>전투 시스템 미개방</x:v>
          </x:cell>
          <x:cell r="F40">
            <x:v>10</x:v>
          </x:cell>
          <x:cell r="G40"/>
          <x:cell r="H40">
            <x:v>10</x:v>
          </x:cell>
          <x:cell r="I40"/>
          <x:cell r="J40"/>
          <x:cell r="K40"/>
        </x:row>
        <x:row r="41">
          <x:cell r="A41">
            <x:v>40</x:v>
          </x:cell>
          <x:cell r="B41" t="str">
            <x:v>차한해</x:v>
          </x:cell>
          <x:cell r="C41"/>
          <x:cell r="D41" t="str">
            <x:v>쓰레기를 치우기로 결정하기</x:v>
          </x:cell>
          <x:cell r="E41" t="str">
            <x:v>전투 시스템 미개방</x:v>
          </x:cell>
          <x:cell r="F41">
            <x:v>10</x:v>
          </x:cell>
          <x:cell r="G41"/>
          <x:cell r="H41">
            <x:v>10</x:v>
          </x:cell>
          <x:cell r="I41"/>
          <x:cell r="J41"/>
          <x:cell r="K41"/>
        </x:row>
        <x:row r="42">
          <x:cell r="A42">
            <x:v>41</x:v>
          </x:cell>
          <x:cell r="B42" t="str">
            <x:v>차한해</x:v>
          </x:cell>
          <x:cell r="C42"/>
          <x:cell r="D42" t="str">
            <x:v>청소 도구 찾기</x:v>
          </x:cell>
          <x:cell r="E42" t="str">
            <x:v>전투 시스템 미개방</x:v>
          </x:cell>
          <x:cell r="F42">
            <x:v>10</x:v>
          </x:cell>
          <x:cell r="G42"/>
          <x:cell r="H42">
            <x:v>10</x:v>
          </x:cell>
          <x:cell r="I42"/>
          <x:cell r="J42"/>
          <x:cell r="K42"/>
        </x:row>
        <x:row r="43">
          <x:cell r="A43">
            <x:v>42</x:v>
          </x:cell>
          <x:cell r="B43" t="str">
            <x:v>차한해</x:v>
          </x:cell>
          <x:cell r="C43"/>
          <x:cell r="D43" t="str">
            <x:v>바람에 날린 비닐봉지 추격하기</x:v>
          </x:cell>
          <x:cell r="E43" t="str">
            <x:v>전투 시스템 미개방</x:v>
          </x:cell>
          <x:cell r="F43">
            <x:v>10</x:v>
          </x:cell>
          <x:cell r="G43"/>
          <x:cell r="H43">
            <x:v>10</x:v>
          </x:cell>
          <x:cell r="I43"/>
          <x:cell r="J43"/>
          <x:cell r="K43"/>
        </x:row>
        <x:row r="44">
          <x:cell r="A44">
            <x:v>43</x:v>
          </x:cell>
          <x:cell r="B44" t="str">
            <x:v>차한해</x:v>
          </x:cell>
          <x:cell r="C44"/>
          <x:cell r="D44" t="str">
            <x:v>첫 쓰레기 줍기</x:v>
          </x:cell>
          <x:cell r="E44" t="str">
            <x:v>전투 시스템 미개방</x:v>
          </x:cell>
          <x:cell r="F44">
            <x:v>10</x:v>
          </x:cell>
          <x:cell r="G44"/>
          <x:cell r="H44">
            <x:v>10</x:v>
          </x:cell>
          <x:cell r="I44"/>
          <x:cell r="J44"/>
          <x:cell r="K44"/>
        </x:row>
        <x:row r="45">
          <x:cell r="A45">
            <x:v>44</x:v>
          </x:cell>
          <x:cell r="B45" t="str">
            <x:v>차한해</x:v>
          </x:cell>
          <x:cell r="C45"/>
          <x:cell r="D45" t="str">
            <x:v>잔디 구역 쓰레기 수거하기</x:v>
          </x:cell>
          <x:cell r="E45" t="str">
            <x:v>전투 시스템 미개방</x:v>
          </x:cell>
          <x:cell r="F45">
            <x:v>10</x:v>
          </x:cell>
          <x:cell r="G45"/>
          <x:cell r="H45">
            <x:v>10</x:v>
          </x:cell>
          <x:cell r="I45"/>
          <x:cell r="J45"/>
          <x:cell r="K45"/>
        </x:row>
        <x:row r="46">
          <x:cell r="A46">
            <x:v>45</x:v>
          </x:cell>
          <x:cell r="B46" t="str">
            <x:v>차한해</x:v>
          </x:cell>
          <x:cell r="C46"/>
          <x:cell r="D46" t="str">
            <x:v>산책로 쓰레기 수거하기</x:v>
          </x:cell>
          <x:cell r="E46" t="str">
            <x:v>전투 시스템 미개방</x:v>
          </x:cell>
          <x:cell r="F46">
            <x:v>10</x:v>
          </x:cell>
          <x:cell r="G46"/>
          <x:cell r="H46">
            <x:v>10</x:v>
          </x:cell>
          <x:cell r="I46"/>
          <x:cell r="J46"/>
          <x:cell r="K46"/>
        </x:row>
        <x:row r="47">
          <x:cell r="A47">
            <x:v>46</x:v>
          </x:cell>
          <x:cell r="B47" t="str">
            <x:v>차한해</x:v>
          </x:cell>
          <x:cell r="C47"/>
          <x:cell r="D47" t="str">
            <x:v>쓰레기 더미 근처 예쁜 고양이 울음 확인하기</x:v>
          </x:cell>
          <x:cell r="E47" t="str">
            <x:v>전투 시스템 미개방</x:v>
          </x:cell>
          <x:cell r="F47">
            <x:v>10</x:v>
          </x:cell>
          <x:cell r="G47"/>
          <x:cell r="H47">
            <x:v>10</x:v>
          </x:cell>
          <x:cell r="I47"/>
          <x:cell r="J47"/>
          <x:cell r="K47"/>
        </x:row>
        <x:row r="48">
          <x:cell r="A48">
            <x:v>47</x:v>
          </x:cell>
          <x:cell r="B48" t="str">
            <x:v>차한해</x:v>
          </x:cell>
          <x:cell r="C48"/>
          <x:cell r="D48" t="str">
            <x:v>예쁜 고양이가 지나갈 안전한 길 만들기</x:v>
          </x:cell>
          <x:cell r="E48" t="str">
            <x:v>전투 시스템 미개방</x:v>
          </x:cell>
          <x:cell r="F48">
            <x:v>10</x:v>
          </x:cell>
          <x:cell r="G48"/>
          <x:cell r="H48">
            <x:v>10</x:v>
          </x:cell>
          <x:cell r="I48"/>
          <x:cell r="J48"/>
          <x:cell r="K48"/>
        </x:row>
        <x:row r="49">
          <x:cell r="A49">
            <x:v>48</x:v>
          </x:cell>
          <x:cell r="B49" t="str">
            <x:v>차한해</x:v>
          </x:cell>
          <x:cell r="C49"/>
          <x:cell r="D49" t="str">
            <x:v>예쁜 고양이에게 두 번째 츄르 건네기</x:v>
          </x:cell>
          <x:cell r="E49" t="str">
            <x:v>전투 시스템 미개방</x:v>
          </x:cell>
          <x:cell r="F49">
            <x:v>10</x:v>
          </x:cell>
          <x:cell r="G49"/>
          <x:cell r="H49">
            <x:v>10</x:v>
          </x:cell>
          <x:cell r="I49"/>
          <x:cell r="J49"/>
          <x:cell r="K49"/>
        </x:row>
        <x:row r="50">
          <x:cell r="A50">
            <x:v>49</x:v>
          </x:cell>
          <x:cell r="B50" t="str">
            <x:v>차한해</x:v>
          </x:cell>
          <x:cell r="C50"/>
          <x:cell r="D50" t="str">
            <x:v>벤치 주변 쓰레기 수거하기</x:v>
          </x:cell>
          <x:cell r="E50" t="str">
            <x:v>전투 시스템 미개방</x:v>
          </x:cell>
          <x:cell r="F50">
            <x:v>10</x:v>
          </x:cell>
          <x:cell r="G50"/>
          <x:cell r="H50">
            <x:v>10</x:v>
          </x:cell>
          <x:cell r="I50"/>
          <x:cell r="J50"/>
          <x:cell r="K50"/>
        </x:row>
        <x:row r="51">
          <x:cell r="A51">
            <x:v>50</x:v>
          </x:cell>
          <x:cell r="B51" t="str">
            <x:v>차한해</x:v>
          </x:cell>
          <x:cell r="C51"/>
          <x:cell r="D51" t="str">
            <x:v>한도윤과 대화하기</x:v>
          </x:cell>
          <x:cell r="E51" t="str">
            <x:v>전투 시스템 미개방</x:v>
          </x:cell>
          <x:cell r="F51">
            <x:v>10</x:v>
          </x:cell>
          <x:cell r="G51"/>
          <x:cell r="H51">
            <x:v>10</x:v>
          </x:cell>
          <x:cell r="I51"/>
          <x:cell r="J51"/>
          <x:cell r="K51"/>
        </x:row>
        <x:row r="52">
          <x:cell r="A52">
            <x:v>51</x:v>
          </x:cell>
          <x:cell r="B52" t="str">
            <x:v>차한해</x:v>
          </x:cell>
          <x:cell r="C52"/>
          <x:cell r="D52" t="str">
            <x:v>한도윤과 구역 분담하기</x:v>
          </x:cell>
          <x:cell r="E52" t="str">
            <x:v>전투 시스템 미개방</x:v>
          </x:cell>
          <x:cell r="F52">
            <x:v>10</x:v>
          </x:cell>
          <x:cell r="G52"/>
          <x:cell r="H52">
            <x:v>10</x:v>
          </x:cell>
          <x:cell r="I52"/>
          <x:cell r="J52"/>
          <x:cell r="K52"/>
        </x:row>
        <x:row r="53">
          <x:cell r="A53">
            <x:v>52</x:v>
          </x:cell>
          <x:cell r="B53" t="str">
            <x:v>차한해</x:v>
          </x:cell>
          <x:cell r="C53"/>
          <x:cell r="D53" t="str">
            <x:v>청소 콤보 유지하기</x:v>
          </x:cell>
          <x:cell r="E53" t="str">
            <x:v>전투 시스템 미개방</x:v>
          </x:cell>
          <x:cell r="F53">
            <x:v>10</x:v>
          </x:cell>
          <x:cell r="G53"/>
          <x:cell r="H53">
            <x:v>10</x:v>
          </x:cell>
          <x:cell r="I53"/>
          <x:cell r="J53"/>
          <x:cell r="K53"/>
        </x:row>
        <x:row r="54">
          <x:cell r="A54">
            <x:v>53</x:v>
          </x:cell>
          <x:cell r="B54" t="str">
            <x:v>차한해</x:v>
          </x:cell>
          <x:cell r="C54"/>
          <x:cell r="D54" t="str">
            <x:v>별 문양 우정 반지와 검은 흔적 단서 발견하기</x:v>
          </x:cell>
          <x:cell r="E54" t="str">
            <x:v>전투 시스템 미개방</x:v>
          </x:cell>
          <x:cell r="F54">
            <x:v>10</x:v>
          </x:cell>
          <x:cell r="G54"/>
          <x:cell r="H54">
            <x:v>10</x:v>
          </x:cell>
          <x:cell r="I54"/>
          <x:cell r="J54"/>
          <x:cell r="K54"/>
        </x:row>
        <x:row r="55">
          <x:cell r="A55">
            <x:v>54</x:v>
          </x:cell>
          <x:cell r="B55" t="str">
            <x:v>차한해</x:v>
          </x:cell>
          <x:cell r="C55"/>
          <x:cell r="D55" t="str">
            <x:v>발자국과 스티커 단서 대조하기</x:v>
          </x:cell>
          <x:cell r="E55" t="str">
            <x:v>전투 시스템 미개방</x:v>
          </x:cell>
          <x:cell r="F55">
            <x:v>10</x:v>
          </x:cell>
          <x:cell r="G55"/>
          <x:cell r="H55">
            <x:v>10</x:v>
          </x:cell>
          <x:cell r="I55"/>
          <x:cell r="J55"/>
          <x:cell r="K55"/>
        </x:row>
        <x:row r="56">
          <x:cell r="A56">
            <x:v>55</x:v>
          </x:cell>
          <x:cell r="B56" t="str">
            <x:v>차한해</x:v>
          </x:cell>
          <x:cell r="C56"/>
          <x:cell r="D56" t="str">
            <x:v>별 문양 우정 반지 찾기</x:v>
          </x:cell>
          <x:cell r="E56" t="str">
            <x:v>전투 시스템 미개방</x:v>
          </x:cell>
          <x:cell r="F56">
            <x:v>10</x:v>
          </x:cell>
          <x:cell r="G56"/>
          <x:cell r="H56">
            <x:v>10</x:v>
          </x:cell>
          <x:cell r="I56"/>
          <x:cell r="J56"/>
          <x:cell r="K56"/>
        </x:row>
        <x:row r="57">
          <x:cell r="A57">
            <x:v>56</x:v>
          </x:cell>
          <x:cell r="B57" t="str">
            <x:v>차한해</x:v>
          </x:cell>
          <x:cell r="C57"/>
          <x:cell r="D57" t="str">
            <x:v>중학생에게 우정 반지를 돌려주고 반지의 의미 듣기</x:v>
          </x:cell>
          <x:cell r="E57" t="str">
            <x:v>전투 시스템 미개방</x:v>
          </x:cell>
          <x:cell r="F57">
            <x:v>10</x:v>
          </x:cell>
          <x:cell r="G57"/>
          <x:cell r="H57">
            <x:v>10</x:v>
          </x:cell>
          <x:cell r="I57"/>
          <x:cell r="J57"/>
          <x:cell r="K57"/>
        </x:row>
        <x:row r="58">
          <x:cell r="A58">
            <x:v>57</x:v>
          </x:cell>
          <x:cell r="B58" t="str">
            <x:v>차한해</x:v>
          </x:cell>
          <x:cell r="C58"/>
          <x:cell r="D58" t="str">
            <x:v>남은 쓰레기와 갑작스러운 공원 정적 확인하기</x:v>
          </x:cell>
          <x:cell r="E58" t="str">
            <x:v>전투 시스템 미개방</x:v>
          </x:cell>
          <x:cell r="F58">
            <x:v>10</x:v>
          </x:cell>
          <x:cell r="G58"/>
          <x:cell r="H58">
            <x:v>10</x:v>
          </x:cell>
          <x:cell r="I58"/>
          <x:cell r="J58"/>
          <x:cell r="K58"/>
        </x:row>
        <x:row r="59">
          <x:cell r="A59">
            <x:v>58</x:v>
          </x:cell>
          <x:cell r="B59" t="str">
            <x:v>차한해</x:v>
          </x:cell>
          <x:cell r="C59"/>
          <x:cell r="D59" t="str">
            <x:v>진동이 커지는 분리수거장으로 이동하기</x:v>
          </x:cell>
          <x:cell r="E59" t="str">
            <x:v>전투 시스템 미개방</x:v>
          </x:cell>
          <x:cell r="F59">
            <x:v>10</x:v>
          </x:cell>
          <x:cell r="G59"/>
          <x:cell r="H59">
            <x:v>10</x:v>
          </x:cell>
          <x:cell r="I59"/>
          <x:cell r="J59"/>
          <x:cell r="K59"/>
        </x:row>
        <x:row r="60">
          <x:cell r="A60">
            <x:v>59</x:v>
          </x:cell>
          <x:cell r="B60" t="str">
            <x:v>차한해</x:v>
          </x:cell>
          <x:cell r="C60"/>
          <x:cell r="D60" t="str">
            <x:v>일반쓰레기 분류하기</x:v>
          </x:cell>
          <x:cell r="E60" t="str">
            <x:v>전투 시스템 미개방</x:v>
          </x:cell>
          <x:cell r="F60">
            <x:v>10</x:v>
          </x:cell>
          <x:cell r="G60"/>
          <x:cell r="H60">
            <x:v>10</x:v>
          </x:cell>
          <x:cell r="I60"/>
          <x:cell r="J60"/>
          <x:cell r="K60"/>
        </x:row>
        <x:row r="61">
          <x:cell r="A61">
            <x:v>60</x:v>
          </x:cell>
          <x:cell r="B61" t="str">
            <x:v>차한해</x:v>
          </x:cell>
          <x:cell r="C61"/>
          <x:cell r="D61" t="str">
            <x:v>재활용품 분류하기</x:v>
          </x:cell>
          <x:cell r="E61" t="str">
            <x:v>전투 시스템 미개방</x:v>
          </x:cell>
          <x:cell r="F61">
            <x:v>10</x:v>
          </x:cell>
          <x:cell r="G61"/>
          <x:cell r="H61">
            <x:v>10</x:v>
          </x:cell>
          <x:cell r="I61"/>
          <x:cell r="J61"/>
          <x:cell r="K61"/>
        </x:row>
        <x:row r="62">
          <x:cell r="A62">
            <x:v>61</x:v>
          </x:cell>
          <x:cell r="B62" t="str">
            <x:v>차한해</x:v>
          </x:cell>
          <x:cell r="C62"/>
          <x:cell r="D62" t="str">
            <x:v>오염된 쓰레기 분류하기</x:v>
          </x:cell>
          <x:cell r="E62" t="str">
            <x:v>전투 시스템 미개방</x:v>
          </x:cell>
          <x:cell r="F62">
            <x:v>10</x:v>
          </x:cell>
          <x:cell r="G62"/>
          <x:cell r="H62">
            <x:v>10</x:v>
          </x:cell>
          <x:cell r="I62"/>
          <x:cell r="J62"/>
          <x:cell r="K62"/>
        </x:row>
        <x:row r="63">
          <x:cell r="A63">
            <x:v>62</x:v>
          </x:cell>
          <x:cell r="B63" t="str">
            <x:v>차한해</x:v>
          </x:cell>
          <x:cell r="C63"/>
          <x:cell r="D63" t="str">
            <x:v>분리수거 라인 막힘 해소하기</x:v>
          </x:cell>
          <x:cell r="E63" t="str">
            <x:v>전투 시스템 미개방</x:v>
          </x:cell>
          <x:cell r="F63">
            <x:v>10</x:v>
          </x:cell>
          <x:cell r="G63"/>
          <x:cell r="H63">
            <x:v>10</x:v>
          </x:cell>
          <x:cell r="I63"/>
          <x:cell r="J63"/>
          <x:cell r="K63"/>
        </x:row>
        <x:row r="64">
          <x:cell r="A64">
            <x:v>63</x:v>
          </x:cell>
          <x:cell r="B64" t="str">
            <x:v>차한해</x:v>
          </x:cell>
          <x:cell r="C64"/>
          <x:cell r="D64" t="str">
            <x:v>분리수거를 완료하고 바닥의 균열 흔적 확인하기</x:v>
          </x:cell>
          <x:cell r="E64" t="str">
            <x:v>전투 시스템 미개방</x:v>
          </x:cell>
          <x:cell r="F64">
            <x:v>10</x:v>
          </x:cell>
          <x:cell r="G64"/>
          <x:cell r="H64">
            <x:v>10</x:v>
          </x:cell>
          <x:cell r="I64"/>
          <x:cell r="J64"/>
          <x:cell r="K64"/>
        </x:row>
        <x:row r="65">
          <x:cell r="A65">
            <x:v>64</x:v>
          </x:cell>
          <x:cell r="B65" t="str">
            <x:v>차한해</x:v>
          </x:cell>
          <x:cell r="C65"/>
          <x:cell r="D65" t="str">
            <x:v>비가 오지 않는데 이어지는 소리 없는 번개 목격하기</x:v>
          </x:cell>
          <x:cell r="E65" t="str">
            <x:v>전투 시스템 미개방</x:v>
          </x:cell>
          <x:cell r="F65">
            <x:v>10</x:v>
          </x:cell>
          <x:cell r="G65"/>
          <x:cell r="H65">
            <x:v>10</x:v>
          </x:cell>
          <x:cell r="I65"/>
          <x:cell r="J65"/>
          <x:cell r="K65"/>
        </x:row>
        <x:row r="66">
          <x:cell r="A66">
            <x:v>65</x:v>
          </x:cell>
          <x:cell r="B66" t="str">
            <x:v>차한해</x:v>
          </x:cell>
          <x:cell r="C66"/>
          <x:cell r="D66" t="str">
            <x:v>미세 지진과 도로의 금을 확인하기</x:v>
          </x:cell>
          <x:cell r="E66" t="str">
            <x:v>전투 시스템 미개방</x:v>
          </x:cell>
          <x:cell r="F66">
            <x:v>10</x:v>
          </x:cell>
          <x:cell r="G66"/>
          <x:cell r="H66">
            <x:v>10</x:v>
          </x:cell>
          <x:cell r="I66"/>
          <x:cell r="J66"/>
          <x:cell r="K66"/>
        </x:row>
        <x:row r="67">
          <x:cell r="A67">
            <x:v>66</x:v>
          </x:cell>
          <x:cell r="B67" t="str">
            <x:v>차한해</x:v>
          </x:cell>
          <x:cell r="C67"/>
          <x:cell r="D67" t="str">
            <x:v>시민과 상인의 자연재해 추측 듣기</x:v>
          </x:cell>
          <x:cell r="E67" t="str">
            <x:v>전투 시스템 미개방</x:v>
          </x:cell>
          <x:cell r="F67">
            <x:v>10</x:v>
          </x:cell>
          <x:cell r="G67"/>
          <x:cell r="H67">
            <x:v>10</x:v>
          </x:cell>
          <x:cell r="I67"/>
          <x:cell r="J67"/>
          <x:cell r="K67"/>
        </x:row>
        <x:row r="68">
          <x:cell r="A68">
            <x:v>67</x:v>
          </x:cell>
          <x:cell r="B68" t="str">
            <x:v>차한해</x:v>
          </x:cell>
          <x:cell r="C68"/>
          <x:cell r="D68" t="str">
            <x:v>정부의 도로 크랙·싱크홀 통제 안내 확인하기</x:v>
          </x:cell>
          <x:cell r="E68" t="str">
            <x:v>전투 시스템 미개방</x:v>
          </x:cell>
          <x:cell r="F68">
            <x:v>10</x:v>
          </x:cell>
          <x:cell r="G68"/>
          <x:cell r="H68">
            <x:v>10</x:v>
          </x:cell>
          <x:cell r="I68"/>
          <x:cell r="J68"/>
          <x:cell r="K68"/>
        </x:row>
        <x:row r="69">
          <x:cell r="A69">
            <x:v>68</x:v>
          </x:cell>
          <x:cell r="B69" t="str">
            <x:v>차한해</x:v>
          </x:cell>
          <x:cell r="C69"/>
          <x:cell r="D69" t="str">
            <x:v>밤이 되자 사라진 보랏빛 잔상 확인하고 귀가하기</x:v>
          </x:cell>
          <x:cell r="E69" t="str">
            <x:v>전투 시스템 미개방</x:v>
          </x:cell>
          <x:cell r="F69">
            <x:v>10</x:v>
          </x:cell>
          <x:cell r="G69"/>
          <x:cell r="H69">
            <x:v>10</x:v>
          </x:cell>
          <x:cell r="I69"/>
          <x:cell r="J69"/>
          <x:cell r="K69"/>
        </x:row>
        <x:row r="70">
          <x:cell r="A70">
            <x:v>69</x:v>
          </x:cell>
          <x:cell r="B70" t="str">
            <x:v>차한해</x:v>
          </x:cell>
          <x:cell r="C70"/>
          <x:cell r="D70" t="str">
            <x:v>괴물 없이 끝난 이상 현상 보도를 확인하고 잠자기</x:v>
          </x:cell>
          <x:cell r="E70" t="str">
            <x:v>전투 시스템 미개방</x:v>
          </x:cell>
          <x:cell r="F70">
            <x:v>10</x:v>
          </x:cell>
          <x:cell r="G70"/>
          <x:cell r="H70">
            <x:v>10</x:v>
          </x:cell>
          <x:cell r="I70"/>
          <x:cell r="J70"/>
          <x:cell r="K70"/>
        </x:row>
        <x:row r="71">
          <x:cell r="A71">
            <x:v>70</x:v>
          </x:cell>
          <x:cell r="B71" t="str">
            <x:v>차한해</x:v>
          </x:cell>
          <x:cell r="C71"/>
          <x:cell r="D71" t="str">
            <x:v>새벽 재난 문자 확인하기</x:v>
          </x:cell>
          <x:cell r="E71" t="str">
            <x:v>전투 시스템 미개방</x:v>
          </x:cell>
          <x:cell r="F71">
            <x:v>10</x:v>
          </x:cell>
          <x:cell r="G71"/>
          <x:cell r="H71">
            <x:v>10</x:v>
          </x:cell>
          <x:cell r="I71"/>
          <x:cell r="J71"/>
          <x:cell r="K71"/>
        </x:row>
        <x:row r="72">
          <x:cell r="A72">
            <x:v>71</x:v>
          </x:cell>
          <x:cell r="B72" t="str">
            <x:v>차한해</x:v>
          </x:cell>
          <x:cell r="C72"/>
          <x:cell r="D72" t="str">
            <x:v>가족 찾기</x:v>
          </x:cell>
          <x:cell r="E72" t="str">
            <x:v>전투 시스템 미개방</x:v>
          </x:cell>
          <x:cell r="F72">
            <x:v>10</x:v>
          </x:cell>
          <x:cell r="G72"/>
          <x:cell r="H72">
            <x:v>10</x:v>
          </x:cell>
          <x:cell r="I72"/>
          <x:cell r="J72"/>
          <x:cell r="K72"/>
        </x:row>
        <x:row r="73">
          <x:cell r="A73">
            <x:v>72</x:v>
          </x:cell>
          <x:cell r="B73" t="str">
            <x:v>차한해</x:v>
          </x:cell>
          <x:cell r="C73"/>
          <x:cell r="D73" t="str">
            <x:v>비상 물품 챙기기</x:v>
          </x:cell>
          <x:cell r="E73" t="str">
            <x:v>전투 시스템 미개방</x:v>
          </x:cell>
          <x:cell r="F73">
            <x:v>10</x:v>
          </x:cell>
          <x:cell r="G73"/>
          <x:cell r="H73">
            <x:v>10</x:v>
          </x:cell>
          <x:cell r="I73"/>
          <x:cell r="J73"/>
          <x:cell r="K73"/>
        </x:row>
        <x:row r="74">
          <x:cell r="A74">
            <x:v>73</x:v>
          </x:cell>
          <x:cell r="B74" t="str">
            <x:v>차한해</x:v>
          </x:cell>
          <x:cell r="C74"/>
          <x:cell r="D74" t="str">
            <x:v>가족들 대피시키기</x:v>
          </x:cell>
          <x:cell r="E74" t="str">
            <x:v>전투 시스템 미개방</x:v>
          </x:cell>
          <x:cell r="F74">
            <x:v>10</x:v>
          </x:cell>
          <x:cell r="G74"/>
          <x:cell r="H74">
            <x:v>10</x:v>
          </x:cell>
          <x:cell r="I74"/>
          <x:cell r="J74"/>
          <x:cell r="K74"/>
        </x:row>
        <x:row r="75">
          <x:cell r="A75">
            <x:v>74</x:v>
          </x:cell>
          <x:cell r="B75" t="str">
            <x:v>차한해</x:v>
          </x:cell>
          <x:cell r="C75"/>
          <x:cell r="D75" t="str">
            <x:v>아파트 계단으로 이동하며 ‘보라멍울’를 피해 숨기</x:v>
          </x:cell>
          <x:cell r="E75" t="str">
            <x:v>전투 시스템 미개방</x:v>
          </x:cell>
          <x:cell r="F75">
            <x:v>10</x:v>
          </x:cell>
          <x:cell r="G75"/>
          <x:cell r="H75">
            <x:v>10</x:v>
          </x:cell>
          <x:cell r="I75"/>
          <x:cell r="J75"/>
          <x:cell r="K75"/>
        </x:row>
        <x:row r="76">
          <x:cell r="A76">
            <x:v>75</x:v>
          </x:cell>
          <x:cell r="B76" t="str">
            <x:v>차한해</x:v>
          </x:cell>
          <x:cell r="C76"/>
          <x:cell r="D76" t="str">
            <x:v>이웃 주민 구조하기</x:v>
          </x:cell>
          <x:cell r="E76" t="str">
            <x:v>전투 시스템 미개방</x:v>
          </x:cell>
          <x:cell r="F76">
            <x:v>10</x:v>
          </x:cell>
          <x:cell r="G76"/>
          <x:cell r="H76">
            <x:v>10</x:v>
          </x:cell>
          <x:cell r="I76"/>
          <x:cell r="J76"/>
          <x:cell r="K76"/>
        </x:row>
        <x:row r="77">
          <x:cell r="A77">
            <x:v>76</x:v>
          </x:cell>
          <x:cell r="B77" t="str">
            <x:v>차한해</x:v>
          </x:cell>
          <x:cell r="C77"/>
          <x:cell r="D77" t="str">
            <x:v>가족과 이웃 주민을 건물 밖으로 먼저 내보내기</x:v>
          </x:cell>
          <x:cell r="E77" t="str">
            <x:v>전투 시스템 미개방</x:v>
          </x:cell>
          <x:cell r="F77">
            <x:v>10</x:v>
          </x:cell>
          <x:cell r="G77"/>
          <x:cell r="H77">
            <x:v>10</x:v>
          </x:cell>
          <x:cell r="I77"/>
          <x:cell r="J77"/>
          <x:cell r="K77"/>
        </x:row>
        <x:row r="78">
          <x:cell r="A78">
            <x:v>77</x:v>
          </x:cell>
          <x:cell r="B78" t="str">
            <x:v>차한해</x:v>
          </x:cell>
          <x:cell r="C78"/>
          <x:cell r="D78" t="str">
            <x:v>건물 안에 남은 어린아이의 울음소리 찾기</x:v>
          </x:cell>
          <x:cell r="E78" t="str">
            <x:v>전투 시스템 미개방</x:v>
          </x:cell>
          <x:cell r="F78">
            <x:v>10</x:v>
          </x:cell>
          <x:cell r="G78"/>
          <x:cell r="H78">
            <x:v>10</x:v>
          </x:cell>
          <x:cell r="I78"/>
          <x:cell r="J78"/>
          <x:cell r="K78"/>
        </x:row>
        <x:row r="79">
          <x:cell r="A79">
            <x:v>78</x:v>
          </x:cell>
          <x:cell r="B79" t="str">
            <x:v>차한해</x:v>
          </x:cell>
          <x:cell r="C79"/>
          <x:cell r="D79" t="str">
            <x:v>문틈젤리와 정면으로 마주치기</x:v>
          </x:cell>
          <x:cell r="E79" t="str">
            <x:v>전투 시스템 미개방</x:v>
          </x:cell>
          <x:cell r="F79">
            <x:v>10</x:v>
          </x:cell>
          <x:cell r="G79"/>
          <x:cell r="H79">
            <x:v>10</x:v>
          </x:cell>
          <x:cell r="I79"/>
          <x:cell r="J79"/>
          <x:cell r="K79"/>
        </x:row>
        <x:row r="80">
          <x:cell r="A80">
            <x:v>79</x:v>
          </x:cell>
          <x:cell r="B80" t="str">
            <x:v>차한해</x:v>
          </x:cell>
          <x:cell r="C80"/>
          <x:cell r="D80" t="str">
            <x:v>두 눈을 감고 양손으로 괴물을 막기</x:v>
          </x:cell>
          <x:cell r="E80" t="str">
            <x:v>무의식적 일회성 발현</x:v>
          </x:cell>
          <x:cell r="F80">
            <x:v>10</x:v>
          </x:cell>
          <x:cell r="G80" t="str">
            <x:v>[펑!] 연계 : 무의식적 선의 폭발 +990
순간 출력 1000</x:v>
          </x:cell>
          <x:cell r="H80">
            <x:v>10</x:v>
          </x:cell>
          <x:cell r="I80"/>
          <x:cell r="J80" t="str">
            <x:v>펑!</x:v>
          </x:cell>
          <x:cell r="K80" t="str">
            <x:v>기본 공격력 10 / 무의식적 선의 폭발 +990 · 순간 출력 1000 / 기본 방어력 10</x:v>
          </x:cell>
        </x:row>
        <x:row r="81">
          <x:cell r="A81">
            <x:v>80</x:v>
          </x:cell>
          <x:cell r="B81" t="str">
            <x:v>차한해</x:v>
          </x:cell>
          <x:cell r="C81"/>
          <x:cell r="D81" t="str">
            <x:v>먼지처럼 사라진 괴물의 흔적 확인하기</x:v>
          </x:cell>
          <x:cell r="E81" t="str">
            <x:v>미개방·힘 재현 불가</x:v>
          </x:cell>
          <x:cell r="F81">
            <x:v>10</x:v>
          </x:cell>
          <x:cell r="G81" t="str">
            <x:v>[펑!] 연계 종료 : +990 → 0</x:v>
          </x:cell>
          <x:cell r="H81">
            <x:v>10</x:v>
          </x:cell>
          <x:cell r="I81"/>
          <x:cell r="J81"/>
          <x:cell r="K81" t="str">
            <x:v>무의식적 선의 폭발 종료 : +990 → 0</x:v>
          </x:cell>
        </x:row>
        <x:row r="82">
          <x:cell r="A82">
            <x:v>81</x:v>
          </x:cell>
          <x:cell r="B82" t="str">
            <x:v>차한해</x:v>
          </x:cell>
          <x:cell r="C82"/>
          <x:cell r="D82" t="str">
            <x:v>어린아이를 공주님 안기로 구출하기</x:v>
          </x:cell>
          <x:cell r="E82" t="str">
            <x:v>미개방·힘 재현 불가</x:v>
          </x:cell>
          <x:cell r="F82">
            <x:v>10</x:v>
          </x:cell>
          <x:cell r="G82"/>
          <x:cell r="H82">
            <x:v>10</x:v>
          </x:cell>
          <x:cell r="I82"/>
          <x:cell r="J82"/>
          <x:cell r="K82" t="str">
            <x:v>첫 힘의 존재와 발동 방법을 인식하지 못함</x:v>
          </x:cell>
        </x:row>
        <x:row r="83">
          <x:cell r="A83">
            <x:v>82</x:v>
          </x:cell>
          <x:cell r="B83" t="str">
            <x:v>차한해</x:v>
          </x:cell>
          <x:cell r="C83"/>
          <x:cell r="D83" t="str">
            <x:v>아이의 ‘괴물 펑’ 목격담 듣기</x:v>
          </x:cell>
          <x:cell r="E83" t="str">
            <x:v>미개방·힘 재현 불가</x:v>
          </x:cell>
          <x:cell r="F83">
            <x:v>10</x:v>
          </x:cell>
          <x:cell r="G83"/>
          <x:cell r="H83">
            <x:v>10</x:v>
          </x:cell>
          <x:cell r="I83"/>
          <x:cell r="J83"/>
          <x:cell r="K83"/>
        </x:row>
        <x:row r="84">
          <x:cell r="A84">
            <x:v>83</x:v>
          </x:cell>
          <x:cell r="B84" t="str">
            <x:v>차한해</x:v>
          </x:cell>
          <x:cell r="C84"/>
          <x:cell r="D84" t="str">
            <x:v>질질핵를 우회해 안전 구역으로 이동하기</x:v>
          </x:cell>
          <x:cell r="E84" t="str">
            <x:v>미개방·힘 재현 불가</x:v>
          </x:cell>
          <x:cell r="F84">
            <x:v>10</x:v>
          </x:cell>
          <x:cell r="G84"/>
          <x:cell r="H84">
            <x:v>10</x:v>
          </x:cell>
          <x:cell r="I84"/>
          <x:cell r="J84"/>
          <x:cell r="K84"/>
        </x:row>
        <x:row r="85">
          <x:cell r="A85">
            <x:v>84</x:v>
          </x:cell>
          <x:cell r="B85" t="str">
            <x:v>차한해</x:v>
          </x:cell>
          <x:cell r="C85"/>
          <x:cell r="D85" t="str">
            <x:v>울음주머니의 울음 파동을 피해 새벽 괴물 습격 구간 벗어나기</x:v>
          </x:cell>
          <x:cell r="E85" t="str">
            <x:v>미개방·힘 재현 불가</x:v>
          </x:cell>
          <x:cell r="F85">
            <x:v>10</x:v>
          </x:cell>
          <x:cell r="G85"/>
          <x:cell r="H85">
            <x:v>10</x:v>
          </x:cell>
          <x:cell r="I85"/>
          <x:cell r="J85"/>
          <x:cell r="K85"/>
        </x:row>
        <x:row r="86">
          <x:cell r="A86">
            <x:v>85</x:v>
          </x:cell>
          <x:cell r="B86" t="str">
            <x:v>차한해</x:v>
          </x:cell>
          <x:cell r="C86"/>
          <x:cell r="D86" t="str">
            <x:v>길치섬모의 배회 경로를 피해 한도윤과 합류하기</x:v>
          </x:cell>
          <x:cell r="E86" t="str">
            <x:v>미개방·힘 재현 불가</x:v>
          </x:cell>
          <x:cell r="F86">
            <x:v>10</x:v>
          </x:cell>
          <x:cell r="G86"/>
          <x:cell r="H86">
            <x:v>10</x:v>
          </x:cell>
          <x:cell r="I86"/>
          <x:cell r="J86"/>
          <x:cell r="K86"/>
        </x:row>
        <x:row r="87">
          <x:cell r="A87">
            <x:v>86</x:v>
          </x:cell>
          <x:cell r="B87" t="str">
            <x:v>차한해</x:v>
          </x:cell>
          <x:cell r="C87"/>
          <x:cell r="D87" t="str">
            <x:v>임시 대피소 도착하기</x:v>
          </x:cell>
          <x:cell r="E87" t="str">
            <x:v>미개방·힘 재현 불가</x:v>
          </x:cell>
          <x:cell r="F87">
            <x:v>10</x:v>
          </x:cell>
          <x:cell r="G87"/>
          <x:cell r="H87">
            <x:v>10</x:v>
          </x:cell>
          <x:cell r="I87"/>
          <x:cell r="J87"/>
          <x:cell r="K87"/>
        </x:row>
        <x:row r="88">
          <x:cell r="A88">
            <x:v>87</x:v>
          </x:cell>
          <x:cell r="B88" t="str">
            <x:v>차한해</x:v>
          </x:cell>
          <x:cell r="C88"/>
          <x:cell r="D88" t="str">
            <x:v>맨몸으로 할머니를 구해 유명해진 청년의 뉴스 확인하기</x:v>
          </x:cell>
          <x:cell r="E88" t="str">
            <x:v>미개방·힘 재현 불가</x:v>
          </x:cell>
          <x:cell r="F88">
            <x:v>10</x:v>
          </x:cell>
          <x:cell r="G88"/>
          <x:cell r="H88">
            <x:v>10</x:v>
          </x:cell>
          <x:cell r="I88"/>
          <x:cell r="J88"/>
          <x:cell r="K88"/>
        </x:row>
        <x:row r="89">
          <x:cell r="A89">
            <x:v>88</x:v>
          </x:cell>
          <x:cell r="B89" t="str">
            <x:v>차한해</x:v>
          </x:cell>
          <x:cell r="C89"/>
          <x:cell r="D89" t="str">
            <x:v>선행으로 유명해진 청년의 인터뷰와 밈 확인하기</x:v>
          </x:cell>
          <x:cell r="E89" t="str">
            <x:v>미개방·힘 재현 불가</x:v>
          </x:cell>
          <x:cell r="F89">
            <x:v>10</x:v>
          </x:cell>
          <x:cell r="G89"/>
          <x:cell r="H89">
            <x:v>10</x:v>
          </x:cell>
          <x:cell r="I89"/>
          <x:cell r="J89"/>
          <x:cell r="K89"/>
        </x:row>
        <x:row r="90">
          <x:cell r="A90">
            <x:v>89</x:v>
          </x:cell>
          <x:cell r="B90" t="str">
            <x:v>차한해</x:v>
          </x:cell>
          <x:cell r="C90"/>
          <x:cell r="D90" t="str">
            <x:v>악질 채널 ‘클릭헌터’의 균열 접근 생방송 시청하기</x:v>
          </x:cell>
          <x:cell r="E90" t="str">
            <x:v>미개방·힘 재현 불가</x:v>
          </x:cell>
          <x:cell r="F90">
            <x:v>10</x:v>
          </x:cell>
          <x:cell r="G90"/>
          <x:cell r="H90">
            <x:v>10</x:v>
          </x:cell>
          <x:cell r="I90"/>
          <x:cell r="J90"/>
          <x:cell r="K90"/>
        </x:row>
        <x:row r="91">
          <x:cell r="A91">
            <x:v>90</x:v>
          </x:cell>
          <x:cell r="B91" t="str">
            <x:v>차한해</x:v>
          </x:cell>
          <x:cell r="C91"/>
          <x:cell r="D91" t="str">
            <x:v>클릭헌터에게 나타난 선의 수치 96 확인하기</x:v>
          </x:cell>
          <x:cell r="E91" t="str">
            <x:v>미개방·힘 재현 불가</x:v>
          </x:cell>
          <x:cell r="F91">
            <x:v>10</x:v>
          </x:cell>
          <x:cell r="G91"/>
          <x:cell r="H91">
            <x:v>10</x:v>
          </x:cell>
          <x:cell r="I91"/>
          <x:cell r="J91"/>
          <x:cell r="K91"/>
        </x:row>
        <x:row r="92">
          <x:cell r="A92">
            <x:v>91</x:v>
          </x:cell>
          <x:cell r="B92" t="str">
            <x:v>차한해</x:v>
          </x:cell>
          <x:cell r="C92"/>
          <x:cell r="D92" t="str">
            <x:v>기계가 정상 작동하는 균열 연구 현장 확인하기</x:v>
          </x:cell>
          <x:cell r="E92" t="str">
            <x:v>미개방·힘 재현 불가</x:v>
          </x:cell>
          <x:cell r="F92">
            <x:v>10</x:v>
          </x:cell>
          <x:cell r="G92"/>
          <x:cell r="H92">
            <x:v>10</x:v>
          </x:cell>
          <x:cell r="I92"/>
          <x:cell r="J92"/>
          <x:cell r="K92"/>
        </x:row>
        <x:row r="93">
          <x:cell r="A93">
            <x:v>92</x:v>
          </x:cell>
          <x:cell r="B93" t="str">
            <x:v>차한해</x:v>
          </x:cell>
          <x:cell r="C93"/>
          <x:cell r="D93" t="str">
            <x:v>유명 청년의 선의 수치 836 측정하기</x:v>
          </x:cell>
          <x:cell r="E93" t="str">
            <x:v>미개방·힘 재현 불가</x:v>
          </x:cell>
          <x:cell r="F93">
            <x:v>10</x:v>
          </x:cell>
          <x:cell r="G93"/>
          <x:cell r="H93">
            <x:v>10</x:v>
          </x:cell>
          <x:cell r="I93"/>
          <x:cell r="J93"/>
          <x:cell r="K93"/>
        </x:row>
        <x:row r="94">
          <x:cell r="A94">
            <x:v>93</x:v>
          </x:cell>
          <x:cell r="B94" t="str">
            <x:v>차한해</x:v>
          </x:cell>
          <x:cell r="C94"/>
          <x:cell r="D94" t="str">
            <x:v>새로운 수치를 ‘선의 수치’라고 부르는 과정 확인하기</x:v>
          </x:cell>
          <x:cell r="E94" t="str">
            <x:v>미개방·힘 재현 불가</x:v>
          </x:cell>
          <x:cell r="F94">
            <x:v>10</x:v>
          </x:cell>
          <x:cell r="G94"/>
          <x:cell r="H94">
            <x:v>10</x:v>
          </x:cell>
          <x:cell r="I94"/>
          <x:cell r="J94"/>
          <x:cell r="K94"/>
        </x:row>
        <x:row r="95">
          <x:cell r="A95">
            <x:v>94</x:v>
          </x:cell>
          <x:cell r="B95" t="str">
            <x:v>차한해</x:v>
          </x:cell>
          <x:cell r="C95"/>
          <x:cell r="D95" t="str">
            <x:v>전국민 선의 수치 의무 측정 발표 듣기</x:v>
          </x:cell>
          <x:cell r="E95" t="str">
            <x:v>미개방·힘 재현 불가</x:v>
          </x:cell>
          <x:cell r="F95">
            <x:v>10</x:v>
          </x:cell>
          <x:cell r="G95"/>
          <x:cell r="H95">
            <x:v>10</x:v>
          </x:cell>
          <x:cell r="I95"/>
          <x:cell r="J95"/>
          <x:cell r="K95"/>
        </x:row>
        <x:row r="96">
          <x:cell r="A96">
            <x:v>95</x:v>
          </x:cell>
          <x:cell r="B96" t="str">
            <x:v>차한해</x:v>
          </x:cell>
          <x:cell r="C96"/>
          <x:cell r="D96" t="str">
            <x:v>출생연도 끝자리 6의 월요일 측정 일정 확인하기</x:v>
          </x:cell>
          <x:cell r="E96" t="str">
            <x:v>미개방·힘 재현 불가</x:v>
          </x:cell>
          <x:cell r="F96">
            <x:v>10</x:v>
          </x:cell>
          <x:cell r="G96"/>
          <x:cell r="H96">
            <x:v>10</x:v>
          </x:cell>
          <x:cell r="I96"/>
          <x:cell r="J96"/>
          <x:cell r="K96"/>
        </x:row>
        <x:row r="97">
          <x:cell r="A97">
            <x:v>96</x:v>
          </x:cell>
          <x:cell r="B97" t="str">
            <x:v>차한해</x:v>
          </x:cell>
          <x:cell r="C97"/>
          <x:cell r="D97" t="str">
            <x:v>구호 음식이 질렸다는 가족의 부탁 받기</x:v>
          </x:cell>
          <x:cell r="E97" t="str">
            <x:v>미개방·힘 재현 불가</x:v>
          </x:cell>
          <x:cell r="F97">
            <x:v>10</x:v>
          </x:cell>
          <x:cell r="G97"/>
          <x:cell r="H97">
            <x:v>10</x:v>
          </x:cell>
          <x:cell r="I97"/>
          <x:cell r="J97"/>
          <x:cell r="K97"/>
        </x:row>
        <x:row r="98">
          <x:cell r="A98">
            <x:v>97</x:v>
          </x:cell>
          <x:cell r="B98" t="str">
            <x:v>차한해</x:v>
          </x:cell>
          <x:cell r="C98"/>
          <x:cell r="D98" t="str">
            <x:v>쫓쫓해삼와 싸우는 고등급자 곁을 지나 따뜻한 음식 구해오기</x:v>
          </x:cell>
          <x:cell r="E98" t="str">
            <x:v>미개방·힘 재현 불가</x:v>
          </x:cell>
          <x:cell r="F98">
            <x:v>10</x:v>
          </x:cell>
          <x:cell r="G98"/>
          <x:cell r="H98">
            <x:v>10</x:v>
          </x:cell>
          <x:cell r="I98"/>
          <x:cell r="J98"/>
          <x:cell r="K98"/>
        </x:row>
        <x:row r="99">
          <x:cell r="A99">
            <x:v>98</x:v>
          </x:cell>
          <x:cell r="B99" t="str">
            <x:v>차한해</x:v>
          </x:cell>
          <x:cell r="C99"/>
          <x:cell r="D99" t="str">
            <x:v>길막말미잘가 점거한 보급로에서 노인의 약주머니 찾아주기</x:v>
          </x:cell>
          <x:cell r="E99" t="str">
            <x:v>미개방·힘 재현 불가</x:v>
          </x:cell>
          <x:cell r="F99">
            <x:v>10</x:v>
          </x:cell>
          <x:cell r="G99"/>
          <x:cell r="H99">
            <x:v>10</x:v>
          </x:cell>
          <x:cell r="I99"/>
          <x:cell r="J99"/>
          <x:cell r="K99"/>
        </x:row>
        <x:row r="100">
          <x:cell r="A100">
            <x:v>99</x:v>
          </x:cell>
          <x:cell r="B100" t="str">
            <x:v>차한해</x:v>
          </x:cell>
          <x:cell r="C100"/>
          <x:cell r="D100" t="str">
            <x:v>딱딱한 바닥 때문에 토퍼를 가져오라는 부탁 받기</x:v>
          </x:cell>
          <x:cell r="E100" t="str">
            <x:v>미개방·힘 재현 불가</x:v>
          </x:cell>
          <x:cell r="F100">
            <x:v>10</x:v>
          </x:cell>
          <x:cell r="G100"/>
          <x:cell r="H100">
            <x:v>10</x:v>
          </x:cell>
          <x:cell r="I100"/>
          <x:cell r="J100"/>
          <x:cell r="K100"/>
        </x:row>
        <x:row r="101">
          <x:cell r="A101">
            <x:v>100</x:v>
          </x:cell>
          <x:cell r="B101" t="str">
            <x:v>차한해</x:v>
          </x:cell>
          <x:cell r="C101"/>
          <x:cell r="D101" t="str">
            <x:v>엉킨세포군의 공격 범위를 피해 아파트에서 토퍼와 생활용품 챙기기</x:v>
          </x:cell>
          <x:cell r="E101" t="str">
            <x:v>미개방·힘 재현 불가</x:v>
          </x:cell>
          <x:cell r="F101">
            <x:v>10</x:v>
          </x:cell>
          <x:cell r="G101"/>
          <x:cell r="H101">
            <x:v>10</x:v>
          </x:cell>
          <x:cell r="I101"/>
          <x:cell r="J101"/>
          <x:cell r="K101"/>
        </x:row>
        <x:row r="102">
          <x:cell r="A102">
            <x:v>101</x:v>
          </x:cell>
          <x:cell r="B102" t="str">
            <x:v>차한해</x:v>
          </x:cell>
          <x:cell r="C102"/>
          <x:cell r="D102" t="str">
            <x:v>보급 차량 아래 예쁜 고양이 발견하기</x:v>
          </x:cell>
          <x:cell r="E102" t="str">
            <x:v>미개방·힘 재현 불가</x:v>
          </x:cell>
          <x:cell r="F102">
            <x:v>10</x:v>
          </x:cell>
          <x:cell r="G102"/>
          <x:cell r="H102">
            <x:v>10</x:v>
          </x:cell>
          <x:cell r="I102"/>
          <x:cell r="J102"/>
          <x:cell r="K102"/>
        </x:row>
        <x:row r="103">
          <x:cell r="A103">
            <x:v>102</x:v>
          </x:cell>
          <x:cell r="B103" t="str">
            <x:v>차한해</x:v>
          </x:cell>
          <x:cell r="C103"/>
          <x:cell r="D103" t="str">
            <x:v>세 번째 츄르로 예쁜 고양이를 차량 아래에서 유도하기</x:v>
          </x:cell>
          <x:cell r="E103" t="str">
            <x:v>미개방·힘 재현 불가</x:v>
          </x:cell>
          <x:cell r="F103">
            <x:v>10</x:v>
          </x:cell>
          <x:cell r="G103"/>
          <x:cell r="H103">
            <x:v>10</x:v>
          </x:cell>
          <x:cell r="I103"/>
          <x:cell r="J103"/>
          <x:cell r="K103"/>
        </x:row>
        <x:row r="104">
          <x:cell r="A104">
            <x:v>103</x:v>
          </x:cell>
          <x:cell r="B104" t="str">
            <x:v>차한해</x:v>
          </x:cell>
          <x:cell r="C104"/>
          <x:cell r="D104" t="str">
            <x:v>대장촉수의 습격으로 지연되어 선의 수치 측정 마감 놓치기</x:v>
          </x:cell>
          <x:cell r="E104" t="str">
            <x:v>미개방·힘 재현 불가</x:v>
          </x:cell>
          <x:cell r="F104">
            <x:v>10</x:v>
          </x:cell>
          <x:cell r="G104"/>
          <x:cell r="H104">
            <x:v>10</x:v>
          </x:cell>
          <x:cell r="I104"/>
          <x:cell r="J104"/>
          <x:cell r="K104"/>
        </x:row>
        <x:row r="105">
          <x:cell r="A105">
            <x:v>104</x:v>
          </x:cell>
          <x:cell r="B105" t="str">
            <x:v>차한해</x:v>
          </x:cell>
          <x:cell r="C105"/>
          <x:cell r="D105" t="str">
            <x:v>첫 힘을 목격한 아이의 그림을 받아줄지 선택하기</x:v>
          </x:cell>
          <x:cell r="E105" t="str">
            <x:v>미개방·힘 재현 불가</x:v>
          </x:cell>
          <x:cell r="F105">
            <x:v>10</x:v>
          </x:cell>
          <x:cell r="G105"/>
          <x:cell r="H105">
            <x:v>10</x:v>
          </x:cell>
          <x:cell r="I105"/>
          <x:cell r="J105"/>
          <x:cell r="K105"/>
        </x:row>
        <x:row r="106">
          <x:cell r="A106">
            <x:v>105</x:v>
          </x:cell>
          <x:cell r="B106" t="str">
            <x:v>차한해</x:v>
          </x:cell>
          <x:cell r="C106"/>
          <x:cell r="D106" t="str">
            <x:v>선의 수치 700 이상 고등급자 분류 확인하기</x:v>
          </x:cell>
          <x:cell r="E106" t="str">
            <x:v>미개방·힘 재현 불가</x:v>
          </x:cell>
          <x:cell r="F106">
            <x:v>10</x:v>
          </x:cell>
          <x:cell r="G106"/>
          <x:cell r="H106">
            <x:v>10</x:v>
          </x:cell>
          <x:cell r="I106"/>
          <x:cell r="J106"/>
          <x:cell r="K106"/>
        </x:row>
        <x:row r="107">
          <x:cell r="A107">
            <x:v>106</x:v>
          </x:cell>
          <x:cell r="B107" t="str">
            <x:v>차한해</x:v>
          </x:cell>
          <x:cell r="C107"/>
          <x:cell r="D107" t="str">
            <x:v>고등급자들의 영웅 활동과 특혜 보도 확인하기</x:v>
          </x:cell>
          <x:cell r="E107" t="str">
            <x:v>미개방·힘 재현 불가</x:v>
          </x:cell>
          <x:cell r="F107">
            <x:v>10</x:v>
          </x:cell>
          <x:cell r="G107"/>
          <x:cell r="H107">
            <x:v>10</x:v>
          </x:cell>
          <x:cell r="I107"/>
          <x:cell r="J107"/>
          <x:cell r="K107"/>
        </x:row>
        <x:row r="108">
          <x:cell r="A108">
            <x:v>107</x:v>
          </x:cell>
          <x:cell r="B108" t="str">
            <x:v>차한해</x:v>
          </x:cell>
          <x:cell r="C108"/>
          <x:cell r="D108" t="str">
            <x:v>선수촌 VIP 숙박동이 고등급자 숙소로 바뀐 모습 확인하기</x:v>
          </x:cell>
          <x:cell r="E108" t="str">
            <x:v>미개방·힘 재현 불가</x:v>
          </x:cell>
          <x:cell r="F108">
            <x:v>10</x:v>
          </x:cell>
          <x:cell r="G108"/>
          <x:cell r="H108">
            <x:v>10</x:v>
          </x:cell>
          <x:cell r="I108"/>
          <x:cell r="J108"/>
          <x:cell r="K108"/>
        </x:row>
        <x:row r="109">
          <x:cell r="A109">
            <x:v>108</x:v>
          </x:cell>
          <x:cell r="B109" t="str">
            <x:v>차한해</x:v>
          </x:cell>
          <x:cell r="C109"/>
          <x:cell r="D109" t="str">
            <x:v>일주일 뒤 추가 측정일까지 기다리기</x:v>
          </x:cell>
          <x:cell r="E109" t="str">
            <x:v>미개방·힘 재현 불가</x:v>
          </x:cell>
          <x:cell r="F109">
            <x:v>10</x:v>
          </x:cell>
          <x:cell r="G109"/>
          <x:cell r="H109">
            <x:v>10</x:v>
          </x:cell>
          <x:cell r="I109"/>
          <x:cell r="J109"/>
          <x:cell r="K109"/>
        </x:row>
        <x:row r="110">
          <x:cell r="A110">
            <x:v>109</x:v>
          </x:cell>
          <x:cell r="B110" t="str">
            <x:v>차한해</x:v>
          </x:cell>
          <x:cell r="C110"/>
          <x:cell r="D110" t="str">
            <x:v>생년월일 구분 없는 추가 측정 접수하기</x:v>
          </x:cell>
          <x:cell r="E110" t="str">
            <x:v>미개방·힘 재현 불가</x:v>
          </x:cell>
          <x:cell r="F110">
            <x:v>10</x:v>
          </x:cell>
          <x:cell r="G110"/>
          <x:cell r="H110">
            <x:v>10</x:v>
          </x:cell>
          <x:cell r="I110"/>
          <x:cell r="J110"/>
          <x:cell r="K110"/>
        </x:row>
        <x:row r="111">
          <x:cell r="A111">
            <x:v>110</x:v>
          </x:cell>
          <x:cell r="B111" t="str">
            <x:v>차한해</x:v>
          </x:cell>
          <x:cell r="C111"/>
          <x:cell r="D111" t="str">
            <x:v>측정기에 표시된 수치 0 확인하기</x:v>
          </x:cell>
          <x:cell r="E111" t="str">
            <x:v>미개방·힘 재현 불가</x:v>
          </x:cell>
          <x:cell r="F111">
            <x:v>10</x:v>
          </x:cell>
          <x:cell r="G111"/>
          <x:cell r="H111">
            <x:v>10</x:v>
          </x:cell>
          <x:cell r="I111"/>
          <x:cell r="J111"/>
          <x:cell r="K111"/>
        </x:row>
        <x:row r="112">
          <x:cell r="A112">
            <x:v>111</x:v>
          </x:cell>
          <x:cell r="B112" t="str">
            <x:v>차한해</x:v>
          </x:cell>
          <x:cell r="C112"/>
          <x:cell r="D112" t="str">
            <x:v>지지직거리는 화면에서 수치가 999까지 치솟는 장면 확인하기</x:v>
          </x:cell>
          <x:cell r="E112" t="str">
            <x:v>미개방·힘 재현 불가</x:v>
          </x:cell>
          <x:cell r="F112">
            <x:v>10</x:v>
          </x:cell>
          <x:cell r="G112"/>
          <x:cell r="H112">
            <x:v>10</x:v>
          </x:cell>
          <x:cell r="I112"/>
          <x:cell r="J112"/>
          <x:cell r="K112"/>
        </x:row>
        <x:row r="113">
          <x:cell r="A113">
            <x:v>112</x:v>
          </x:cell>
          <x:cell r="B113" t="str">
            <x:v>차한해</x:v>
          </x:cell>
          <x:cell r="C113"/>
          <x:cell r="D113" t="str">
            <x:v>다른 측정기로 재측정하고 같은 오류 확인하기</x:v>
          </x:cell>
          <x:cell r="E113" t="str">
            <x:v>미개방·힘 재현 불가</x:v>
          </x:cell>
          <x:cell r="F113">
            <x:v>10</x:v>
          </x:cell>
          <x:cell r="G113"/>
          <x:cell r="H113">
            <x:v>10</x:v>
          </x:cell>
          <x:cell r="I113"/>
          <x:cell r="J113"/>
          <x:cell r="K113"/>
        </x:row>
        <x:row r="114">
          <x:cell r="A114">
            <x:v>113</x:v>
          </x:cell>
          <x:cell r="B114" t="str">
            <x:v>차한해</x:v>
          </x:cell>
          <x:cell r="C114"/>
          <x:cell r="D114" t="str">
            <x:v>균열연구실장 나대진과 첫 대면하기</x:v>
          </x:cell>
          <x:cell r="E114" t="str">
            <x:v>미개방·힘 재현 불가</x:v>
          </x:cell>
          <x:cell r="F114">
            <x:v>10</x:v>
          </x:cell>
          <x:cell r="G114"/>
          <x:cell r="H114">
            <x:v>10</x:v>
          </x:cell>
          <x:cell r="I114"/>
          <x:cell r="J114"/>
          <x:cell r="K114"/>
        </x:row>
        <x:row r="115">
          <x:cell r="A115">
            <x:v>114</x:v>
          </x:cell>
          <x:cell r="B115" t="str">
            <x:v>차한해</x:v>
          </x:cell>
          <x:cell r="C115"/>
          <x:cell r="D115" t="str">
            <x:v>고등급자 숙소 방과 선의관리국 본청 위치 확인하기</x:v>
          </x:cell>
          <x:cell r="E115" t="str">
            <x:v>미개방·힘 재현 불가</x:v>
          </x:cell>
          <x:cell r="F115">
            <x:v>10</x:v>
          </x:cell>
          <x:cell r="G115"/>
          <x:cell r="H115">
            <x:v>10</x:v>
          </x:cell>
          <x:cell r="I115"/>
          <x:cell r="J115"/>
          <x:cell r="K115"/>
        </x:row>
        <x:row r="116">
          <x:cell r="A116">
            <x:v>115</x:v>
          </x:cell>
          <x:cell r="B116" t="str">
            <x:v>차한해</x:v>
          </x:cell>
          <x:cell r="C116"/>
          <x:cell r="D116" t="str">
            <x:v>첫 고등급자 공동 출동 수락하기</x:v>
          </x:cell>
          <x:cell r="E116" t="str">
            <x:v>미개방·힘 재현 불가</x:v>
          </x:cell>
          <x:cell r="F116">
            <x:v>10</x:v>
          </x:cell>
          <x:cell r="G116"/>
          <x:cell r="H116">
            <x:v>10</x:v>
          </x:cell>
          <x:cell r="I116"/>
          <x:cell r="J116"/>
          <x:cell r="K116"/>
        </x:row>
        <x:row r="117">
          <x:cell r="A117">
            <x:v>116</x:v>
          </x:cell>
          <x:cell r="B117" t="str">
            <x:v>차한해</x:v>
          </x:cell>
          <x:cell r="C117"/>
          <x:cell r="D117" t="str">
            <x:v>첫 고등급자 파티원들과 인사하기</x:v>
          </x:cell>
          <x:cell r="E117" t="str">
            <x:v>미개방·힘 재현 불가</x:v>
          </x:cell>
          <x:cell r="F117">
            <x:v>10</x:v>
          </x:cell>
          <x:cell r="G117"/>
          <x:cell r="H117">
            <x:v>10</x:v>
          </x:cell>
          <x:cell r="I117"/>
          <x:cell r="J117"/>
          <x:cell r="K117"/>
        </x:row>
        <x:row r="118">
          <x:cell r="A118">
            <x:v>117</x:v>
          </x:cell>
          <x:cell r="B118" t="str">
            <x:v>차한해</x:v>
          </x:cell>
          <x:cell r="C118"/>
          <x:cell r="D118" t="str">
            <x:v>선의 수치 836 청년의 초기 구조 원칙 듣기</x:v>
          </x:cell>
          <x:cell r="E118" t="str">
            <x:v>미개방·힘 재현 불가</x:v>
          </x:cell>
          <x:cell r="F118">
            <x:v>10</x:v>
          </x:cell>
          <x:cell r="G118"/>
          <x:cell r="H118">
            <x:v>10</x:v>
          </x:cell>
          <x:cell r="I118"/>
          <x:cell r="J118"/>
          <x:cell r="K118"/>
        </x:row>
        <x:row r="119">
          <x:cell r="A119">
            <x:v>118</x:v>
          </x:cell>
          <x:cell r="B119" t="str">
            <x:v>차한해</x:v>
          </x:cell>
          <x:cell r="C119"/>
          <x:cell r="D119" t="str">
            <x:v>관리국 표준 대응 장비 8종·응급품 2종을 수령하고 상태 UI 확인하기</x:v>
          </x:cell>
          <x:cell r="E119" t="str">
            <x:v>전투 가능·비전투 콘텐츠</x:v>
          </x:cell>
          <x:cell r="F119">
            <x:v>80</x:v>
          </x:cell>
          <x:cell r="G119" t="str">
            <x:v>관리국 지급 권총 +20
관리국 대응 장갑 +3
비살상 충격탄 사용 시 +6</x:v>
          </x:cell>
          <x:cell r="H119">
            <x:v>100</x:v>
          </x:cell>
          <x:cell r="I119" t="str">
            <x:v>기본 보호 조끼 +30
관리국 방진 고글 +4
관리국 대응 장갑 +5
관리국 전술화 +6
관리국 방진 마스크 +3</x:v>
          </x:cell>
          <x:cell r="J119" t="str">
            <x:v>탕!
앗, 피해!
잠깐만!</x:v>
          </x:cell>
          <x:cell r="K119" t="str">
            <x:v>관리국 표준 대응 세트 8종·응급 주사·비살상 충격탄 획득</x:v>
          </x:cell>
        </x:row>
        <x:row r="120">
          <x:cell r="A120">
            <x:v>119</x:v>
          </x:cell>
          <x:cell r="B120" t="str">
            <x:v>차한해</x:v>
          </x:cell>
          <x:cell r="C120"/>
          <x:cell r="D120" t="str">
            <x:v>관리국 지급 권총·비살상 충격탄·관리국 전술화를 이용해 사격과 회피 연습하기</x:v>
          </x:cell>
          <x:cell r="E120" t="str">
            <x:v>전투 가능</x:v>
          </x:cell>
          <x:cell r="F120">
            <x:v>100</x:v>
          </x:cell>
          <x:cell r="G120"/>
          <x:cell r="H120">
            <x:v>100</x:v>
          </x:cell>
          <x:cell r="I120"/>
          <x:cell r="J120"/>
          <x:cell r="K120" t="str">
            <x:v>기본 공격력 100 / 스킬 : 조준 사격 · 긴급 회피</x:v>
          </x:cell>
        </x:row>
        <x:row r="121">
          <x:cell r="A121">
            <x:v>120</x:v>
          </x:cell>
          <x:cell r="B121" t="str">
            <x:v>차한해</x:v>
          </x:cell>
          <x:cell r="C121"/>
          <x:cell r="D121" t="str">
            <x:v>출동 차량을 향해 환호하는 시민들 지나가기</x:v>
          </x:cell>
          <x:cell r="E121" t="str">
            <x:v>전투 가능·비전투 콘텐츠</x:v>
          </x:cell>
          <x:cell r="F121">
            <x:v>100</x:v>
          </x:cell>
          <x:cell r="G121"/>
          <x:cell r="H121">
            <x:v>100</x:v>
          </x:cell>
          <x:cell r="I121"/>
          <x:cell r="J121"/>
          <x:cell r="K121" t="str">
            <x:v>전투 수치 변화 없이 탐색·대화·이동 진행</x:v>
          </x:cell>
        </x:row>
        <x:row r="122">
          <x:cell r="A122">
            <x:v>121</x:v>
          </x:cell>
          <x:cell r="B122" t="str">
            <x:v>차한해</x:v>
          </x:cell>
          <x:cell r="C122"/>
          <x:cell r="D122" t="str">
            <x:v>도심 잔해 구역으로 이동하며 관리국 보급 상자에서 소형 방진 필터 챙기기</x:v>
          </x:cell>
          <x:cell r="E122" t="str">
            <x:v>전투 가능·비전투 콘텐츠</x:v>
          </x:cell>
          <x:cell r="F122">
            <x:v>100</x:v>
          </x:cell>
          <x:cell r="G122"/>
          <x:cell r="H122">
            <x:v>100</x:v>
          </x:cell>
          <x:cell r="I122"/>
          <x:cell r="J122"/>
          <x:cell r="K122" t="str">
            <x:v>소형 방진 필터 1개 획득</x:v>
          </x:cell>
        </x:row>
        <x:row r="123">
          <x:cell r="A123">
            <x:v>122</x:v>
          </x:cell>
          <x:cell r="B123" t="str">
            <x:v>차한해</x:v>
          </x:cell>
          <x:cell r="C123"/>
          <x:cell r="D123" t="str">
            <x:v>고립 시민 찾기</x:v>
          </x:cell>
          <x:cell r="E123" t="str">
            <x:v>전투 가능·비전투 콘텐츠</x:v>
          </x:cell>
          <x:cell r="F123">
            <x:v>100</x:v>
          </x:cell>
          <x:cell r="G123"/>
          <x:cell r="H123">
            <x:v>100</x:v>
          </x:cell>
          <x:cell r="I123"/>
          <x:cell r="J123"/>
          <x:cell r="K123"/>
        </x:row>
        <x:row r="124">
          <x:cell r="A124">
            <x:v>123</x:v>
          </x:cell>
          <x:cell r="B124" t="str">
            <x:v>차한해</x:v>
          </x:cell>
          <x:cell r="C124"/>
          <x:cell r="D124" t="str">
            <x:v>관리국 대응 장갑을 착용하고 잔해 제거하기</x:v>
          </x:cell>
          <x:cell r="E124" t="str">
            <x:v>전투 가능·비전투 콘텐츠</x:v>
          </x:cell>
          <x:cell r="F124">
            <x:v>100</x:v>
          </x:cell>
          <x:cell r="G124"/>
          <x:cell r="H124">
            <x:v>100</x:v>
          </x:cell>
          <x:cell r="I124"/>
          <x:cell r="J124"/>
          <x:cell r="K124"/>
        </x:row>
        <x:row r="125">
          <x:cell r="A125">
            <x:v>124</x:v>
          </x:cell>
          <x:cell r="B125" t="str">
            <x:v>차한해</x:v>
          </x:cell>
          <x:cell r="C125"/>
          <x:cell r="D125" t="str">
            <x:v>시민 대피 유도하기</x:v>
          </x:cell>
          <x:cell r="E125" t="str">
            <x:v>전투 가능·비전투 콘텐츠</x:v>
          </x:cell>
          <x:cell r="F125">
            <x:v>100</x:v>
          </x:cell>
          <x:cell r="G125"/>
          <x:cell r="H125">
            <x:v>100</x:v>
          </x:cell>
          <x:cell r="I125"/>
          <x:cell r="J125"/>
          <x:cell r="K125"/>
        </x:row>
        <x:row r="126">
          <x:cell r="A126">
            <x:v>125</x:v>
          </x:cell>
          <x:cell r="B126" t="str">
            <x:v>차한해</x:v>
          </x:cell>
          <x:cell r="C126"/>
          <x:cell r="D126" t="str">
            <x:v>관리국 무전 이어피스로 똑똑소라의 공격 예고 신호 파악하기</x:v>
          </x:cell>
          <x:cell r="E126" t="str">
            <x:v>전투 가능</x:v>
          </x:cell>
          <x:cell r="F126">
            <x:v>100</x:v>
          </x:cell>
          <x:cell r="G126"/>
          <x:cell r="H126">
            <x:v>100</x:v>
          </x:cell>
          <x:cell r="I126"/>
          <x:cell r="J126" t="str">
            <x:v>먼저 들었어</x:v>
          </x:cell>
          <x:cell r="K126" t="str">
            <x:v>스킬 : 공격 예고 판독</x:v>
          </x:cell>
        </x:row>
        <x:row r="127">
          <x:cell r="A127">
            <x:v>126</x:v>
          </x:cell>
          <x:cell r="B127" t="str">
            <x:v>차한해</x:v>
          </x:cell>
          <x:cell r="C127"/>
          <x:cell r="D127" t="str">
            <x:v>문틈새우의 후방 기습을 피하고 반격 타이밍 맞추기</x:v>
          </x:cell>
          <x:cell r="E127" t="str">
            <x:v>전투 가능</x:v>
          </x:cell>
          <x:cell r="F127">
            <x:v>120</x:v>
          </x:cell>
          <x:cell r="G127"/>
          <x:cell r="H127">
            <x:v>100</x:v>
          </x:cell>
          <x:cell r="I127"/>
          <x:cell r="J127" t="str">
            <x:v>피했으면 내 차례</x:v>
          </x:cell>
          <x:cell r="K127" t="str">
            <x:v>기본 공격력 120 / 스킬 : 회피 반격</x:v>
          </x:cell>
        </x:row>
        <x:row r="128">
          <x:cell r="A128">
            <x:v>127</x:v>
          </x:cell>
          <x:cell r="B128" t="str">
            <x:v>차한해</x:v>
          </x:cell>
          <x:cell r="C128"/>
          <x:cell r="D128" t="str">
            <x:v>관리국 지급 권총의 낮은 피해 확인하기</x:v>
          </x:cell>
          <x:cell r="E128" t="str">
            <x:v>전투 가능</x:v>
          </x:cell>
          <x:cell r="F128">
            <x:v>120</x:v>
          </x:cell>
          <x:cell r="G128"/>
          <x:cell r="H128">
            <x:v>100</x:v>
          </x:cell>
          <x:cell r="I128"/>
          <x:cell r="J128"/>
          <x:cell r="K128" t="str">
            <x:v>현재 전투 숙련·장비 상태 적용</x:v>
          </x:cell>
        </x:row>
        <x:row r="129">
          <x:cell r="A129">
            <x:v>128</x:v>
          </x:cell>
          <x:cell r="B129" t="str">
            <x:v>차한해</x:v>
          </x:cell>
          <x:cell r="C129"/>
          <x:cell r="D129" t="str">
            <x:v>관리국 방진 고글로 공명 흔적을 추적하고 소형 방진 필터 교체하기</x:v>
          </x:cell>
          <x:cell r="E129" t="str">
            <x:v>전투 가능·비전투 콘텐츠</x:v>
          </x:cell>
          <x:cell r="F129">
            <x:v>120</x:v>
          </x:cell>
          <x:cell r="G129"/>
          <x:cell r="H129">
            <x:v>100</x:v>
          </x:cell>
          <x:cell r="I129" t="str">
            <x:v>관리국 방진 마스크 내구도 +30</x:v>
          </x:cell>
          <x:cell r="J129"/>
          <x:cell r="K129" t="str">
            <x:v>소형 방진 필터 1개 사용·관리국 방진 마스크 내구도 30 회복</x:v>
          </x:cell>
        </x:row>
        <x:row r="130">
          <x:cell r="A130">
            <x:v>129</x:v>
          </x:cell>
          <x:cell r="B130" t="str">
            <x:v>차한해</x:v>
          </x:cell>
          <x:cell r="C130"/>
          <x:cell r="D130" t="str">
            <x:v>차한해에게만 보랏빛 아우라가 보이는 표지판 철봉 회수하기</x:v>
          </x:cell>
          <x:cell r="E130" t="str">
            <x:v>전투 가능·비전투 콘텐츠</x:v>
          </x:cell>
          <x:cell r="F130">
            <x:v>120</x:v>
          </x:cell>
          <x:cell r="G130" t="str">
            <x:v>보랏빛 철봉 +80</x:v>
          </x:cell>
          <x:cell r="H130">
            <x:v>100</x:v>
          </x:cell>
          <x:cell r="I130"/>
          <x:cell r="J130"/>
          <x:cell r="K130" t="str">
            <x:v>보랏빛 철봉 +80</x:v>
          </x:cell>
        </x:row>
        <x:row r="131">
          <x:cell r="A131">
            <x:v>130</x:v>
          </x:cell>
          <x:cell r="B131" t="str">
            <x:v>차한해</x:v>
          </x:cell>
          <x:cell r="C131"/>
          <x:cell r="D131" t="str">
            <x:v>보랏빛 철봉으로 밖으로 나가재 제압하기</x:v>
          </x:cell>
          <x:cell r="E131" t="str">
            <x:v>전투 가능</x:v>
          </x:cell>
          <x:cell r="F131">
            <x:v>160</x:v>
          </x:cell>
          <x:cell r="G131"/>
          <x:cell r="H131">
            <x:v>100</x:v>
          </x:cell>
          <x:cell r="I131"/>
          <x:cell r="J131" t="str">
            <x:v>보라색, 여기!</x:v>
          </x:cell>
          <x:cell r="K131" t="str">
            <x:v>기본 공격력 160 / 스킬 : 공명 약점 타격</x:v>
          </x:cell>
        </x:row>
        <x:row r="132">
          <x:cell r="A132">
            <x:v>131</x:v>
          </x:cell>
          <x:cell r="B132" t="str">
            <x:v>차한해</x:v>
          </x:cell>
          <x:cell r="C132"/>
          <x:cell r="D132" t="str">
            <x:v>관리국 상태 측정기로 기본 보호 조끼의 손상 확인하기</x:v>
          </x:cell>
          <x:cell r="E132" t="str">
            <x:v>전투 가능·비전투 콘텐츠</x:v>
          </x:cell>
          <x:cell r="F132">
            <x:v>160</x:v>
          </x:cell>
          <x:cell r="G132"/>
          <x:cell r="H132">
            <x:v>110</x:v>
          </x:cell>
          <x:cell r="I132" t="str">
            <x:v>기본 보호 조끼 손상: +30 → +15</x:v>
          </x:cell>
          <x:cell r="J132"/>
          <x:cell r="K132" t="str">
            <x:v>기본 방어력 110 / 기본 보호 조끼 손상 : +30 → +15 / 스킬 : 장비 내구도 확인</x:v>
          </x:cell>
        </x:row>
        <x:row r="133">
          <x:cell r="A133">
            <x:v>132</x:v>
          </x:cell>
          <x:cell r="B133" t="str">
            <x:v>차한해</x:v>
          </x:cell>
          <x:cell r="C133"/>
          <x:cell r="D133" t="str">
            <x:v>공명 무기가 보랏빛 재로 소멸하는 현상 확인하기</x:v>
          </x:cell>
          <x:cell r="E133" t="str">
            <x:v>전투 가능·비전투 콘텐츠</x:v>
          </x:cell>
          <x:cell r="F133">
            <x:v>160</x:v>
          </x:cell>
          <x:cell r="G133"/>
          <x:cell r="H133">
            <x:v>110</x:v>
          </x:cell>
          <x:cell r="I133"/>
          <x:cell r="J133"/>
          <x:cell r="K133" t="str">
            <x:v>전투 수치 변화 없이 탐색·대화·이동 진행</x:v>
          </x:cell>
        </x:row>
        <x:row r="134">
          <x:cell r="A134">
            <x:v>133</x:v>
          </x:cell>
          <x:cell r="B134" t="str">
            <x:v>차한해</x:v>
          </x:cell>
          <x:cell r="C134"/>
          <x:cell r="D134" t="str">
            <x:v>구조 임무 완료 보고하기</x:v>
          </x:cell>
          <x:cell r="E134" t="str">
            <x:v>전투 가능·비전투 콘텐츠</x:v>
          </x:cell>
          <x:cell r="F134">
            <x:v>160</x:v>
          </x:cell>
          <x:cell r="G134"/>
          <x:cell r="H134">
            <x:v>110</x:v>
          </x:cell>
          <x:cell r="I134"/>
          <x:cell r="J134"/>
          <x:cell r="K134" t="str">
            <x:v>전투 수치 변화 없이 탐색·대화·이동 진행</x:v>
          </x:cell>
        </x:row>
        <x:row r="135">
          <x:cell r="A135">
            <x:v>134</x:v>
          </x:cell>
          <x:cell r="B135" t="str">
            <x:v>차한해</x:v>
          </x:cell>
          <x:cell r="C135"/>
          <x:cell r="D135" t="str">
            <x:v>구조한 경찰에게 깨진 경찰 방패와 휴대용 섬광 신호기 받기</x:v>
          </x:cell>
          <x:cell r="E135" t="str">
            <x:v>전투 가능·비전투 콘텐츠</x:v>
          </x:cell>
          <x:cell r="F135">
            <x:v>160</x:v>
          </x:cell>
          <x:cell r="G135"/>
          <x:cell r="H135">
            <x:v>110</x:v>
          </x:cell>
          <x:cell r="I135" t="str">
            <x:v>깨진 경찰 방패 +20</x:v>
          </x:cell>
          <x:cell r="J135" t="str">
            <x:v>앞은 내가 막아
저기 봐!</x:v>
          </x:cell>
          <x:cell r="K135" t="str">
            <x:v>깨진 경찰 방패·휴대용 섬광 신호기 획득</x:v>
          </x:cell>
        </x:row>
        <x:row r="136">
          <x:cell r="A136">
            <x:v>135</x:v>
          </x:cell>
          <x:cell r="B136" t="str">
            <x:v>차한해</x:v>
          </x:cell>
          <x:cell r="C136"/>
          <x:cell r="D136" t="str">
            <x:v>편의점 알바생 가족의 대피소 위치를 확인해 전달하기</x:v>
          </x:cell>
          <x:cell r="E136" t="str">
            <x:v>전투 가능·비전투 콘텐츠</x:v>
          </x:cell>
          <x:cell r="F136">
            <x:v>160</x:v>
          </x:cell>
          <x:cell r="G136"/>
          <x:cell r="H136">
            <x:v>110</x:v>
          </x:cell>
          <x:cell r="I136"/>
          <x:cell r="J136"/>
          <x:cell r="K136" t="str">
            <x:v>전투 수치 변화 없이 탐색·대화·이동 진행</x:v>
          </x:cell>
        </x:row>
        <x:row r="137">
          <x:cell r="A137">
            <x:v>136</x:v>
          </x:cell>
          <x:cell r="B137" t="str">
            <x:v>차한해</x:v>
          </x:cell>
          <x:cell r="C137"/>
          <x:cell r="D137" t="str">
            <x:v>카메라가 없는 골목의 구조 요청을 확인하고 시민 구출하기</x:v>
          </x:cell>
          <x:cell r="E137" t="str">
            <x:v>전투 가능·비전투 콘텐츠</x:v>
          </x:cell>
          <x:cell r="F137">
            <x:v>160</x:v>
          </x:cell>
          <x:cell r="G137"/>
          <x:cell r="H137">
            <x:v>110</x:v>
          </x:cell>
          <x:cell r="I137"/>
          <x:cell r="J137"/>
          <x:cell r="K137"/>
        </x:row>
        <x:row r="138">
          <x:cell r="A138">
            <x:v>137</x:v>
          </x:cell>
          <x:cell r="B138" t="str">
            <x:v>차한해</x:v>
          </x:cell>
          <x:cell r="C138"/>
          <x:cell r="D138" t="str">
            <x:v>숙소 귀환길에 예쁜 고양이와 다시 만나기</x:v>
          </x:cell>
          <x:cell r="E138" t="str">
            <x:v>전투 가능·비전투 콘텐츠</x:v>
          </x:cell>
          <x:cell r="F138">
            <x:v>160</x:v>
          </x:cell>
          <x:cell r="G138"/>
          <x:cell r="H138">
            <x:v>110</x:v>
          </x:cell>
          <x:cell r="I138"/>
          <x:cell r="J138"/>
          <x:cell r="K138"/>
        </x:row>
        <x:row r="139">
          <x:cell r="A139">
            <x:v>138</x:v>
          </x:cell>
          <x:cell r="B139" t="str">
            <x:v>차한해</x:v>
          </x:cell>
          <x:cell r="C139"/>
          <x:cell r="D139" t="str">
            <x:v>예쁜 고양이에게 네 번째 츄르 건네기</x:v>
          </x:cell>
          <x:cell r="E139" t="str">
            <x:v>전투 가능·비전투 콘텐츠</x:v>
          </x:cell>
          <x:cell r="F139">
            <x:v>160</x:v>
          </x:cell>
          <x:cell r="G139"/>
          <x:cell r="H139">
            <x:v>110</x:v>
          </x:cell>
          <x:cell r="I139"/>
          <x:cell r="J139"/>
          <x:cell r="K139"/>
        </x:row>
        <x:row r="140">
          <x:cell r="A140">
            <x:v>139</x:v>
          </x:cell>
          <x:cell r="B140" t="str">
            <x:v>차한해</x:v>
          </x:cell>
          <x:cell r="C140"/>
          <x:cell r="D140" t="str">
            <x:v>지하 주차장 구조 요청 받기</x:v>
          </x:cell>
          <x:cell r="E140" t="str">
            <x:v>전투 가능·비전투 콘텐츠</x:v>
          </x:cell>
          <x:cell r="F140">
            <x:v>160</x:v>
          </x:cell>
          <x:cell r="G140"/>
          <x:cell r="H140">
            <x:v>110</x:v>
          </x:cell>
          <x:cell r="I140"/>
          <x:cell r="J140"/>
          <x:cell r="K140"/>
        </x:row>
        <x:row r="141">
          <x:cell r="A141">
            <x:v>140</x:v>
          </x:cell>
          <x:cell r="B141" t="str">
            <x:v>차한해</x:v>
          </x:cell>
          <x:cell r="C141"/>
          <x:cell r="D141" t="str">
            <x:v>차한해에게만 보이는 보랏빛 공명으로 차단기 막대 회수하기</x:v>
          </x:cell>
          <x:cell r="E141" t="str">
            <x:v>전투 가능·비전투 콘텐츠</x:v>
          </x:cell>
          <x:cell r="F141">
            <x:v>160</x:v>
          </x:cell>
          <x:cell r="G141" t="str">
            <x:v>차단기 막대 +90</x:v>
          </x:cell>
          <x:cell r="H141">
            <x:v>110</x:v>
          </x:cell>
          <x:cell r="I141"/>
          <x:cell r="J141"/>
          <x:cell r="K141" t="str">
            <x:v>차단기 막대 +90·현장 회수 및 무기 등록 완료</x:v>
          </x:cell>
        </x:row>
        <x:row r="142">
          <x:cell r="A142">
            <x:v>141</x:v>
          </x:cell>
          <x:cell r="B142" t="str">
            <x:v>차한해</x:v>
          </x:cell>
          <x:cell r="C142"/>
          <x:cell r="D142" t="str">
            <x:v>휴대용 섬광 신호기와 차단기 막대로 내자리산호 유인하기</x:v>
          </x:cell>
          <x:cell r="E142" t="str">
            <x:v>전투 가능</x:v>
          </x:cell>
          <x:cell r="F142">
            <x:v>160</x:v>
          </x:cell>
          <x:cell r="G142"/>
          <x:cell r="H142">
            <x:v>110</x:v>
          </x:cell>
          <x:cell r="I142"/>
          <x:cell r="J142" t="str">
            <x:v>이쪽이야!</x:v>
          </x:cell>
          <x:cell r="K142" t="str">
            <x:v>스킬 : 환경 유인</x:v>
          </x:cell>
        </x:row>
        <x:row r="143">
          <x:cell r="A143">
            <x:v>142</x:v>
          </x:cell>
          <x:cell r="B143" t="str">
            <x:v>차한해</x:v>
          </x:cell>
          <x:cell r="C143"/>
          <x:cell r="D143" t="str">
            <x:v>차단기 막대로 비상구대게 제압하기</x:v>
          </x:cell>
          <x:cell r="E143" t="str">
            <x:v>전투 가능</x:v>
          </x:cell>
          <x:cell r="F143">
            <x:v>180</x:v>
          </x:cell>
          <x:cell r="G143"/>
          <x:cell r="H143">
            <x:v>110</x:v>
          </x:cell>
          <x:cell r="I143"/>
          <x:cell r="J143"/>
          <x:cell r="K143" t="str">
            <x:v>기본 공격력 180</x:v>
          </x:cell>
        </x:row>
        <x:row r="144">
          <x:cell r="A144">
            <x:v>143</x:v>
          </x:cell>
          <x:cell r="B144" t="str">
            <x:v>차한해</x:v>
          </x:cell>
          <x:cell r="C144"/>
          <x:cell r="D144" t="str">
            <x:v>괴물 발생 지역에서 실종자의 소지품을 찾아 가족에게 전달하기</x:v>
          </x:cell>
          <x:cell r="E144" t="str">
            <x:v>전투 가능</x:v>
          </x:cell>
          <x:cell r="F144">
            <x:v>180</x:v>
          </x:cell>
          <x:cell r="G144"/>
          <x:cell r="H144">
            <x:v>110</x:v>
          </x:cell>
          <x:cell r="I144"/>
          <x:cell r="J144"/>
          <x:cell r="K144" t="str">
            <x:v>현재 전투 숙련·장비 상태 적용</x:v>
          </x:cell>
        </x:row>
        <x:row r="145">
          <x:cell r="A145">
            <x:v>144</x:v>
          </x:cell>
          <x:cell r="B145" t="str">
            <x:v>차한해</x:v>
          </x:cell>
          <x:cell r="C145"/>
          <x:cell r="D145" t="str">
            <x:v>봉쇄된 임시 대피소의 구조 요청을 확인하고 응급 압박 붕대 챙기기</x:v>
          </x:cell>
          <x:cell r="E145" t="str">
            <x:v>전투 가능·비전투 콘텐츠</x:v>
          </x:cell>
          <x:cell r="F145">
            <x:v>180</x:v>
          </x:cell>
          <x:cell r="G145"/>
          <x:cell r="H145">
            <x:v>110</x:v>
          </x:cell>
          <x:cell r="I145"/>
          <x:cell r="J145"/>
          <x:cell r="K145" t="str">
            <x:v>전투 수치 변화 없이 탐색·대화·이동 진행</x:v>
          </x:cell>
        </x:row>
        <x:row r="146">
          <x:cell r="A146">
            <x:v>145</x:v>
          </x:cell>
          <x:cell r="B146" t="str">
            <x:v>차한해</x:v>
          </x:cell>
          <x:cell r="C146"/>
          <x:cell r="D146" t="str">
            <x:v>대피소 시민과 나무판 보호대 만들기</x:v>
          </x:cell>
          <x:cell r="E146" t="str">
            <x:v>전투 가능·비전투 콘텐츠</x:v>
          </x:cell>
          <x:cell r="F146">
            <x:v>180</x:v>
          </x:cell>
          <x:cell r="G146"/>
          <x:cell r="H146">
            <x:v>110</x:v>
          </x:cell>
          <x:cell r="I146" t="str">
            <x:v>나무판 보호대 +10</x:v>
          </x:cell>
          <x:cell r="J146"/>
          <x:cell r="K146" t="str">
            <x:v>나무판 보호대 +10 / 스킬 : 임시 장비 제작</x:v>
          </x:cell>
        </x:row>
        <x:row r="147">
          <x:cell r="A147">
            <x:v>146</x:v>
          </x:cell>
          <x:cell r="B147" t="str">
            <x:v>차한해</x:v>
          </x:cell>
          <x:cell r="C147"/>
          <x:cell r="D147" t="str">
            <x:v>나만 살아서 다행이 연속으로 닫는 방화문 다시 열기</x:v>
          </x:cell>
          <x:cell r="E147" t="str">
            <x:v>전투 가능</x:v>
          </x:cell>
          <x:cell r="F147">
            <x:v>180</x:v>
          </x:cell>
          <x:cell r="G147"/>
          <x:cell r="H147">
            <x:v>110</x:v>
          </x:cell>
          <x:cell r="I147"/>
          <x:cell r="J147"/>
          <x:cell r="K147" t="str">
            <x:v>현재 전투 숙련·장비 상태 적용</x:v>
          </x:cell>
        </x:row>
        <x:row r="148">
          <x:cell r="A148">
            <x:v>147</x:v>
          </x:cell>
          <x:cell r="B148" t="str">
            <x:v>차한해</x:v>
          </x:cell>
          <x:cell r="C148"/>
          <x:cell r="D148" t="str">
            <x:v>문밖에서 지워지는 시민의 존재를 확인하고 전원 구조하기</x:v>
          </x:cell>
          <x:cell r="E148" t="str">
            <x:v>전투 가능</x:v>
          </x:cell>
          <x:cell r="F148">
            <x:v>180</x:v>
          </x:cell>
          <x:cell r="G148"/>
          <x:cell r="H148">
            <x:v>110</x:v>
          </x:cell>
          <x:cell r="I148"/>
          <x:cell r="J148"/>
          <x:cell r="K148" t="str">
            <x:v>현재 전투 숙련·장비 상태 적용</x:v>
          </x:cell>
        </x:row>
        <x:row r="149">
          <x:cell r="A149">
            <x:v>148</x:v>
          </x:cell>
          <x:cell r="B149" t="str">
            <x:v>차한해</x:v>
          </x:cell>
          <x:cell r="C149"/>
          <x:cell r="D149" t="str">
            <x:v>모든 문을 열린 채 고정하고 잠금 핵 무력화하기</x:v>
          </x:cell>
          <x:cell r="E149" t="str">
            <x:v>전투 가능</x:v>
          </x:cell>
          <x:cell r="F149">
            <x:v>220</x:v>
          </x:cell>
          <x:cell r="G149"/>
          <x:cell r="H149">
            <x:v>120</x:v>
          </x:cell>
          <x:cell r="I149" t="str">
            <x:v>나무판 보호대 파손: 사용 불가</x:v>
          </x:cell>
          <x:cell r="J149" t="str">
            <x:v>핵부터!</x:v>
          </x:cell>
          <x:cell r="K149" t="str">
            <x:v>기본 공격력 220 / 기본 방어력 120 / 나무판 보호대 파손: 사용 불가 / 스킬 : 보스 핵 집중 공격</x:v>
          </x:cell>
        </x:row>
        <x:row r="150">
          <x:cell r="A150">
            <x:v>149</x:v>
          </x:cell>
          <x:cell r="B150" t="str">
            <x:v>차한해</x:v>
          </x:cell>
          <x:cell r="C150"/>
          <x:cell r="D150" t="str">
            <x:v>관리인의 마지막 출입 기록 확인하기</x:v>
          </x:cell>
          <x:cell r="E150" t="str">
            <x:v>전투 가능·비전투 콘텐츠</x:v>
          </x:cell>
          <x:cell r="F150">
            <x:v>220</x:v>
          </x:cell>
          <x:cell r="G150"/>
          <x:cell r="H150">
            <x:v>120</x:v>
          </x:cell>
          <x:cell r="I150"/>
          <x:cell r="J150"/>
          <x:cell r="K150" t="str">
            <x:v>전투 수치 변화 없이 탐색·대화·이동 진행</x:v>
          </x:cell>
        </x:row>
        <x:row r="151">
          <x:cell r="A151">
            <x:v>150</x:v>
          </x:cell>
          <x:cell r="B151" t="str">
            <x:v>차한해</x:v>
          </x:cell>
          <x:cell r="C151"/>
          <x:cell r="D151" t="str">
            <x:v>구조 지연 항의 현장 통과하기</x:v>
          </x:cell>
          <x:cell r="E151" t="str">
            <x:v>전투 가능·비전투 콘텐츠</x:v>
          </x:cell>
          <x:cell r="F151">
            <x:v>220</x:v>
          </x:cell>
          <x:cell r="G151"/>
          <x:cell r="H151">
            <x:v>120</x:v>
          </x:cell>
          <x:cell r="I151"/>
          <x:cell r="J151"/>
          <x:cell r="K151" t="str">
            <x:v>전투 수치 변화 없이 탐색·대화·이동 진행</x:v>
          </x:cell>
        </x:row>
        <x:row r="152">
          <x:cell r="A152">
            <x:v>151</x:v>
          </x:cell>
          <x:cell r="B152" t="str">
            <x:v>차한해</x:v>
          </x:cell>
          <x:cell r="C152"/>
          <x:cell r="D152" t="str">
            <x:v>강재한에게 늦은 출동을 질타받기</x:v>
          </x:cell>
          <x:cell r="E152" t="str">
            <x:v>전투 가능·비전투 콘텐츠</x:v>
          </x:cell>
          <x:cell r="F152">
            <x:v>220</x:v>
          </x:cell>
          <x:cell r="G152"/>
          <x:cell r="H152">
            <x:v>120</x:v>
          </x:cell>
          <x:cell r="I152"/>
          <x:cell r="J152"/>
          <x:cell r="K152" t="str">
            <x:v>전투 수치 변화 없이 탐색·대화·이동 진행</x:v>
          </x:cell>
        </x:row>
        <x:row r="153">
          <x:cell r="A153">
            <x:v>152</x:v>
          </x:cell>
          <x:cell r="B153" t="str">
            <x:v>차한해</x:v>
          </x:cell>
          <x:cell r="C153"/>
          <x:cell r="D153" t="str">
            <x:v>부상당한 시민의 원망을 끝까지 들을지 선택하기</x:v>
          </x:cell>
          <x:cell r="E153" t="str">
            <x:v>전투 가능·비전투 콘텐츠</x:v>
          </x:cell>
          <x:cell r="F153">
            <x:v>220</x:v>
          </x:cell>
          <x:cell r="G153"/>
          <x:cell r="H153">
            <x:v>120</x:v>
          </x:cell>
          <x:cell r="I153"/>
          <x:cell r="J153"/>
          <x:cell r="K153" t="str">
            <x:v>전투 수치 변화 없이 탐색·대화·이동 진행</x:v>
          </x:cell>
        </x:row>
        <x:row r="154">
          <x:cell r="A154">
            <x:v>153</x:v>
          </x:cell>
          <x:cell r="B154" t="str">
            <x:v>차한해</x:v>
          </x:cell>
          <x:cell r="C154"/>
          <x:cell r="D154" t="str">
            <x:v>나대진에게 충격 보호대·공명 보호 장갑·고등급자 공명 증폭기 수령하기</x:v>
          </x:cell>
          <x:cell r="E154" t="str">
            <x:v>전투 가능·비전투 콘텐츠</x:v>
          </x:cell>
          <x:cell r="F154">
            <x:v>220</x:v>
          </x:cell>
          <x:cell r="G154" t="str">
            <x:v>고등급자 공명 증폭기 +15</x:v>
          </x:cell>
          <x:cell r="H154">
            <x:v>120</x:v>
          </x:cell>
          <x:cell r="I154" t="str">
            <x:v>충격 보호대 +20
관리국 대응 장갑 해제 : +5 → 0
공명 보호 장갑 +15</x:v>
          </x:cell>
          <x:cell r="J154" t="str">
            <x:v>증폭기, 켠다!</x:v>
          </x:cell>
          <x:cell r="K154" t="str">
            <x:v>[나대진] 75% 이상에서 충격 보호대·공명 보호 장갑·고등급자 공명 증폭기 획득</x:v>
          </x:cell>
        </x:row>
        <x:row r="155">
          <x:cell r="A155">
            <x:v>154</x:v>
          </x:cell>
          <x:cell r="B155" t="str">
            <x:v>차한해</x:v>
          </x:cell>
          <x:cell r="C155"/>
          <x:cell r="D155" t="str">
            <x:v>시민들의 연속 부탁 처리하기</x:v>
          </x:cell>
          <x:cell r="E155" t="str">
            <x:v>전투 가능·비전투 콘텐츠</x:v>
          </x:cell>
          <x:cell r="F155">
            <x:v>220</x:v>
          </x:cell>
          <x:cell r="G155"/>
          <x:cell r="H155">
            <x:v>120</x:v>
          </x:cell>
          <x:cell r="I155"/>
          <x:cell r="J155"/>
          <x:cell r="K155" t="str">
            <x:v>전투 수치 변화 없이 탐색·대화·이동 진행</x:v>
          </x:cell>
        </x:row>
        <x:row r="156">
          <x:cell r="A156">
            <x:v>155</x:v>
          </x:cell>
          <x:cell r="B156" t="str">
            <x:v>차한해</x:v>
          </x:cell>
          <x:cell r="C156"/>
          <x:cell r="D156" t="str">
            <x:v>836 청년을 포함한 고등급자들의 선의 수치 하락 보고 확인하기</x:v>
          </x:cell>
          <x:cell r="E156" t="str">
            <x:v>전투 가능·비전투 콘텐츠</x:v>
          </x:cell>
          <x:cell r="F156">
            <x:v>220</x:v>
          </x:cell>
          <x:cell r="G156"/>
          <x:cell r="H156">
            <x:v>120</x:v>
          </x:cell>
          <x:cell r="I156"/>
          <x:cell r="J156"/>
          <x:cell r="K156"/>
        </x:row>
        <x:row r="157">
          <x:cell r="A157">
            <x:v>156</x:v>
          </x:cell>
          <x:cell r="B157" t="str">
            <x:v>차한해</x:v>
          </x:cell>
          <x:cell r="C157"/>
          <x:cell r="D157" t="str">
            <x:v>836 청년이 특혜 상실을 두려워하는 비공개 대화 확인하기</x:v>
          </x:cell>
          <x:cell r="E157" t="str">
            <x:v>전투 가능·비전투 콘텐츠</x:v>
          </x:cell>
          <x:cell r="F157">
            <x:v>220</x:v>
          </x:cell>
          <x:cell r="G157"/>
          <x:cell r="H157">
            <x:v>120</x:v>
          </x:cell>
          <x:cell r="I157"/>
          <x:cell r="J157"/>
          <x:cell r="K157"/>
        </x:row>
        <x:row r="158">
          <x:cell r="A158">
            <x:v>157</x:v>
          </x:cell>
          <x:cell r="B158" t="str">
            <x:v>차한해</x:v>
          </x:cell>
          <x:cell r="C158"/>
          <x:cell r="D158" t="str">
            <x:v>836 청년이 퍼뜨린 ‘괴물 처치가 선의를 깎는다’는 헛소문 확인하기</x:v>
          </x:cell>
          <x:cell r="E158" t="str">
            <x:v>전투 가능</x:v>
          </x:cell>
          <x:cell r="F158">
            <x:v>220</x:v>
          </x:cell>
          <x:cell r="G158"/>
          <x:cell r="H158">
            <x:v>120</x:v>
          </x:cell>
          <x:cell r="I158"/>
          <x:cell r="J158"/>
          <x:cell r="K158" t="str">
            <x:v>현재 전투 숙련·장비 상태 적용</x:v>
          </x:cell>
        </x:row>
        <x:row r="159">
          <x:cell r="A159">
            <x:v>158</x:v>
          </x:cell>
          <x:cell r="B159" t="str">
            <x:v>차한해</x:v>
          </x:cell>
          <x:cell r="C159"/>
          <x:cell r="D159" t="str">
            <x:v>836 청년이 무한대인 차한해에게 모든 출동을 맡기라고 요구하는 장면 확인하기</x:v>
          </x:cell>
          <x:cell r="E159" t="str">
            <x:v>전투 가능·비전투 콘텐츠</x:v>
          </x:cell>
          <x:cell r="F159">
            <x:v>220</x:v>
          </x:cell>
          <x:cell r="G159"/>
          <x:cell r="H159">
            <x:v>120</x:v>
          </x:cell>
          <x:cell r="I159"/>
          <x:cell r="J159"/>
          <x:cell r="K159" t="str">
            <x:v>전투 수치 변화 없이 탐색·대화·이동 진행</x:v>
          </x:cell>
        </x:row>
        <x:row r="160">
          <x:cell r="A160">
            <x:v>159</x:v>
          </x:cell>
          <x:cell r="B160" t="str">
            <x:v>차한해</x:v>
          </x:cell>
          <x:cell r="C160"/>
          <x:cell r="D160" t="str">
            <x:v>보랏빛 아우라가 흐르는 전광판 쇠막대 회수하기</x:v>
          </x:cell>
          <x:cell r="E160" t="str">
            <x:v>전투 가능·비전투 콘텐츠</x:v>
          </x:cell>
          <x:cell r="F160">
            <x:v>220</x:v>
          </x:cell>
          <x:cell r="G160" t="str">
            <x:v>전광판 쇠막대 +100</x:v>
          </x:cell>
          <x:cell r="H160">
            <x:v>120</x:v>
          </x:cell>
          <x:cell r="I160"/>
          <x:cell r="J160"/>
          <x:cell r="K160" t="str">
            <x:v>전광판 쇠막대 +100</x:v>
          </x:cell>
        </x:row>
        <x:row r="161">
          <x:cell r="A161">
            <x:v>160</x:v>
          </x:cell>
          <x:cell r="B161" t="str">
            <x:v>차한해</x:v>
          </x:cell>
          <x:cell r="C161"/>
          <x:cell r="D161" t="str">
            <x:v>공명 증폭기와 전광판 쇠막대로 승강장의 찰싹진드기 제압하기</x:v>
          </x:cell>
          <x:cell r="E161" t="str">
            <x:v>전투 가능</x:v>
          </x:cell>
          <x:cell r="F161">
            <x:v>250</x:v>
          </x:cell>
          <x:cell r="G161"/>
          <x:cell r="H161">
            <x:v>120</x:v>
          </x:cell>
          <x:cell r="I161"/>
          <x:cell r="J161" t="str">
            <x:v>한 줄로 서!</x:v>
          </x:cell>
          <x:cell r="K161" t="str">
            <x:v>고등급자 공명 증폭기와 전광판 쇠막대 동시 사용</x:v>
          </x:cell>
        </x:row>
        <x:row r="162">
          <x:cell r="A162">
            <x:v>161</x:v>
          </x:cell>
          <x:cell r="B162" t="str">
            <x:v>차한해</x:v>
          </x:cell>
          <x:cell r="C162"/>
          <x:cell r="D162" t="str">
            <x:v>합체는 했는데 제압 후 작은 대피 구역의 수동 발전기 복구하기</x:v>
          </x:cell>
          <x:cell r="E162" t="str">
            <x:v>전투 가능·비전투 콘텐츠</x:v>
          </x:cell>
          <x:cell r="F162">
            <x:v>250</x:v>
          </x:cell>
          <x:cell r="G162"/>
          <x:cell r="H162">
            <x:v>120</x:v>
          </x:cell>
          <x:cell r="I162"/>
          <x:cell r="J162"/>
          <x:cell r="K162" t="str">
            <x:v>전투 수치 변화 없이 탐색·대화·이동 진행</x:v>
          </x:cell>
        </x:row>
        <x:row r="163">
          <x:cell r="A163">
            <x:v>162</x:v>
          </x:cell>
          <x:cell r="B163" t="str">
            <x:v>차한해</x:v>
          </x:cell>
          <x:cell r="C163"/>
          <x:cell r="D163" t="str">
            <x:v>대피소의 아이에게 사탕 건네기</x:v>
          </x:cell>
          <x:cell r="E163" t="str">
            <x:v>전투 가능·비전투 콘텐츠</x:v>
          </x:cell>
          <x:cell r="F163">
            <x:v>250</x:v>
          </x:cell>
          <x:cell r="G163"/>
          <x:cell r="H163">
            <x:v>120</x:v>
          </x:cell>
          <x:cell r="I163"/>
          <x:cell r="J163"/>
          <x:cell r="K163" t="str">
            <x:v>전투 수치 변화 없이 탐색·대화·이동 진행</x:v>
          </x:cell>
        </x:row>
        <x:row r="164">
          <x:cell r="A164">
            <x:v>163</x:v>
          </x:cell>
          <x:cell r="B164" t="str">
            <x:v>차한해</x:v>
          </x:cell>
          <x:cell r="C164"/>
          <x:cell r="D164" t="str">
            <x:v>합치면 강해진댔잖아의 단일 외피 공략하기</x:v>
          </x:cell>
          <x:cell r="E164" t="str">
            <x:v>전투 가능</x:v>
          </x:cell>
          <x:cell r="F164">
            <x:v>250</x:v>
          </x:cell>
          <x:cell r="G164"/>
          <x:cell r="H164">
            <x:v>120</x:v>
          </x:cell>
          <x:cell r="I164"/>
          <x:cell r="J164" t="str">
            <x:v>둘 중 하나!</x:v>
          </x:cell>
          <x:cell r="K164" t="str">
            <x:v>스킬 : 상반 전조 판별</x:v>
          </x:cell>
        </x:row>
        <x:row r="165">
          <x:cell r="A165">
            <x:v>164</x:v>
          </x:cell>
          <x:cell r="B165" t="str">
            <x:v>차한해</x:v>
          </x:cell>
          <x:cell r="C165"/>
          <x:cell r="D165" t="str">
            <x:v>몸통 대여중의 몸통 방패 공격을 시민 대신 막기</x:v>
          </x:cell>
          <x:cell r="E165" t="str">
            <x:v>전투 가능</x:v>
          </x:cell>
          <x:cell r="F165">
            <x:v>250</x:v>
          </x:cell>
          <x:cell r="G165"/>
          <x:cell r="H165">
            <x:v>120</x:v>
          </x:cell>
          <x:cell r="I165"/>
          <x:cell r="J165"/>
          <x:cell r="K165" t="str">
            <x:v>현재 전투 숙련·장비 상태 적용</x:v>
          </x:cell>
        </x:row>
        <x:row r="166">
          <x:cell r="A166">
            <x:v>165</x:v>
          </x:cell>
          <x:cell r="B166" t="str">
            <x:v>차한해</x:v>
          </x:cell>
          <x:cell r="C166"/>
          <x:cell r="D166" t="str">
            <x:v>한입 단체석가 흡수한 부하의 돌격을 끝까지 피하기</x:v>
          </x:cell>
          <x:cell r="E166" t="str">
            <x:v>전투 가능</x:v>
          </x:cell>
          <x:cell r="F166">
            <x:v>250</x:v>
          </x:cell>
          <x:cell r="G166"/>
          <x:cell r="H166">
            <x:v>120</x:v>
          </x:cell>
          <x:cell r="I166"/>
          <x:cell r="J166"/>
          <x:cell r="K166" t="str">
            <x:v>현재 전투 숙련·장비 상태 적용</x:v>
          </x:cell>
        </x:row>
        <x:row r="167">
          <x:cell r="A167">
            <x:v>166</x:v>
          </x:cell>
          <x:cell r="B167" t="str">
            <x:v>차한해</x:v>
          </x:cell>
          <x:cell r="C167"/>
          <x:cell r="D167" t="str">
            <x:v>군인의 트라우마 폭주에서 시민 대피시키기</x:v>
          </x:cell>
          <x:cell r="E167" t="str">
            <x:v>전투 가능</x:v>
          </x:cell>
          <x:cell r="F167">
            <x:v>250</x:v>
          </x:cell>
          <x:cell r="G167"/>
          <x:cell r="H167">
            <x:v>120</x:v>
          </x:cell>
          <x:cell r="I167" t="str">
            <x:v>깨진 경찰 방패 파손: 사용 불가</x:v>
          </x:cell>
          <x:cell r="J167"/>
          <x:cell r="K167" t="str">
            <x:v>깨진 경찰 방패 파손 : 사용 불가</x:v>
          </x:cell>
        </x:row>
        <x:row r="168">
          <x:cell r="A168">
            <x:v>167</x:v>
          </x:cell>
          <x:cell r="B168" t="str">
            <x:v>차한해</x:v>
          </x:cell>
          <x:cell r="C168"/>
          <x:cell r="D168" t="str">
            <x:v>엄마의 화염 폭주 경로 차단하기</x:v>
          </x:cell>
          <x:cell r="E168" t="str">
            <x:v>전투 가능</x:v>
          </x:cell>
          <x:cell r="F168">
            <x:v>250</x:v>
          </x:cell>
          <x:cell r="G168"/>
          <x:cell r="H168">
            <x:v>120</x:v>
          </x:cell>
          <x:cell r="I168"/>
          <x:cell r="J168"/>
          <x:cell r="K168" t="str">
            <x:v>현재 전투 숙련·장비 상태 적용</x:v>
          </x:cell>
        </x:row>
        <x:row r="169">
          <x:cell r="A169">
            <x:v>168</x:v>
          </x:cell>
          <x:cell r="B169" t="str">
            <x:v>차한해</x:v>
          </x:cell>
          <x:cell r="C169"/>
          <x:cell r="D169" t="str">
            <x:v>관리국 응급 주사를 사용하고 폭력의 순환 핵 파괴하기</x:v>
          </x:cell>
          <x:cell r="E169" t="str">
            <x:v>전투 가능</x:v>
          </x:cell>
          <x:cell r="F169">
            <x:v>300</x:v>
          </x:cell>
          <x:cell r="G169"/>
          <x:cell r="H169">
            <x:v>135</x:v>
          </x:cell>
          <x:cell r="I169"/>
          <x:cell r="J169" t="str">
            <x:v>하나, 둘—지금!</x:v>
          </x:cell>
          <x:cell r="K169" t="str">
            <x:v>관리국 응급 주사 1개 사용·합치면 강해진댔잖아 보스전 완료</x:v>
          </x:cell>
        </x:row>
        <x:row r="170">
          <x:cell r="A170">
            <x:v>169</x:v>
          </x:cell>
          <x:cell r="B170" t="str">
            <x:v>차한해</x:v>
          </x:cell>
          <x:cell r="C170"/>
          <x:cell r="D170" t="str">
            <x:v>구조된 군인에게 군용 방탄판 받기</x:v>
          </x:cell>
          <x:cell r="E170" t="str">
            <x:v>전투 가능·비전투 콘텐츠</x:v>
          </x:cell>
          <x:cell r="F170">
            <x:v>300</x:v>
          </x:cell>
          <x:cell r="G170"/>
          <x:cell r="H170">
            <x:v>135</x:v>
          </x:cell>
          <x:cell r="I170" t="str">
            <x:v>군용 방탄판 +35</x:v>
          </x:cell>
          <x:cell r="J170" t="str">
            <x:v>버텨!</x:v>
          </x:cell>
          <x:cell r="K170" t="str">
            <x:v>군용 방탄판 +35 / 스킬 : 강한 공격 방어</x:v>
          </x:cell>
        </x:row>
        <x:row r="171">
          <x:cell r="A171">
            <x:v>170</x:v>
          </x:cell>
          <x:cell r="B171" t="str">
            <x:v>차한해</x:v>
          </x:cell>
          <x:cell r="C171"/>
          <x:cell r="D171" t="str">
            <x:v>청와대 괴물 습격 속보 확인하기</x:v>
          </x:cell>
          <x:cell r="E171" t="str">
            <x:v>전투 가능</x:v>
          </x:cell>
          <x:cell r="F171">
            <x:v>300</x:v>
          </x:cell>
          <x:cell r="G171"/>
          <x:cell r="H171">
            <x:v>135</x:v>
          </x:cell>
          <x:cell r="I171"/>
          <x:cell r="J171"/>
          <x:cell r="K171" t="str">
            <x:v>현재 전투 숙련·장비 상태 적용</x:v>
          </x:cell>
        </x:row>
        <x:row r="172">
          <x:cell r="A172">
            <x:v>171</x:v>
          </x:cell>
          <x:cell r="B172" t="str">
            <x:v>차한해</x:v>
          </x:cell>
          <x:cell r="C172"/>
          <x:cell r="D172" t="str">
            <x:v>이용익의 임시 대통령 취임 담화 듣기</x:v>
          </x:cell>
          <x:cell r="E172" t="str">
            <x:v>전투 가능·비전투 콘텐츠</x:v>
          </x:cell>
          <x:cell r="F172">
            <x:v>300</x:v>
          </x:cell>
          <x:cell r="G172"/>
          <x:cell r="H172">
            <x:v>135</x:v>
          </x:cell>
          <x:cell r="I172"/>
          <x:cell r="J172"/>
          <x:cell r="K172" t="str">
            <x:v>전투 수치 변화 없이 탐색·대화·이동 진행</x:v>
          </x:cell>
        </x:row>
        <x:row r="173">
          <x:cell r="A173">
            <x:v>172</x:v>
          </x:cell>
          <x:cell r="B173" t="str">
            <x:v>차한해</x:v>
          </x:cell>
          <x:cell r="C173"/>
          <x:cell r="D173" t="str">
            <x:v>국가 우선 출동 명령 체계 확인하기</x:v>
          </x:cell>
          <x:cell r="E173" t="str">
            <x:v>전투 가능·비전투 콘텐츠</x:v>
          </x:cell>
          <x:cell r="F173">
            <x:v>300</x:v>
          </x:cell>
          <x:cell r="G173"/>
          <x:cell r="H173">
            <x:v>135</x:v>
          </x:cell>
          <x:cell r="I173"/>
          <x:cell r="J173"/>
          <x:cell r="K173"/>
        </x:row>
        <x:row r="174">
          <x:cell r="A174">
            <x:v>173</x:v>
          </x:cell>
          <x:cell r="B174" t="str">
            <x:v>차한해</x:v>
          </x:cell>
          <x:cell r="C174"/>
          <x:cell r="D174" t="str">
            <x:v>고등급자와 폭력시위단체의 공동 기자회견 확인하기</x:v>
          </x:cell>
          <x:cell r="E174" t="str">
            <x:v>전투 가능·비전투 콘텐츠</x:v>
          </x:cell>
          <x:cell r="F174">
            <x:v>300</x:v>
          </x:cell>
          <x:cell r="G174"/>
          <x:cell r="H174">
            <x:v>135</x:v>
          </x:cell>
          <x:cell r="I174"/>
          <x:cell r="J174"/>
          <x:cell r="K174"/>
        </x:row>
        <x:row r="175">
          <x:cell r="A175">
            <x:v>174</x:v>
          </x:cell>
          <x:cell r="B175" t="str">
            <x:v>차한해</x:v>
          </x:cell>
          <x:cell r="C175"/>
          <x:cell r="D175" t="str">
            <x:v>자아마모도 16% 누적 변화 확인하기</x:v>
          </x:cell>
          <x:cell r="E175" t="str">
            <x:v>전투 가능·비전투 콘텐츠</x:v>
          </x:cell>
          <x:cell r="F175">
            <x:v>300</x:v>
          </x:cell>
          <x:cell r="G175"/>
          <x:cell r="H175">
            <x:v>135</x:v>
          </x:cell>
          <x:cell r="I175"/>
          <x:cell r="J175"/>
          <x:cell r="K175"/>
        </x:row>
        <x:row r="176">
          <x:cell r="A176">
            <x:v>175</x:v>
          </x:cell>
          <x:cell r="B176" t="str">
            <x:v>차한해</x:v>
          </x:cell>
          <x:cell r="C176"/>
          <x:cell r="D176" t="str">
            <x:v>다음 출동을 준비하던 중 기립박수벌레의 강화 차단하기</x:v>
          </x:cell>
          <x:cell r="E176" t="str">
            <x:v>전투 가능·비전투 콘텐츠</x:v>
          </x:cell>
          <x:cell r="F176">
            <x:v>300</x:v>
          </x:cell>
          <x:cell r="G176"/>
          <x:cell r="H176">
            <x:v>135</x:v>
          </x:cell>
          <x:cell r="I176"/>
          <x:cell r="J176"/>
          <x:cell r="K176"/>
        </x:row>
        <x:row r="177">
          <x:cell r="A177">
            <x:v>176</x:v>
          </x:cell>
          <x:cell r="B177" t="str">
            <x:v>차한해</x:v>
          </x:cell>
          <x:cell r="C177"/>
          <x:cell r="D177" t="str">
            <x:v>박수 없인 못 살아가 긴급 구조 알림을 껐던 기억 확인하기</x:v>
          </x:cell>
          <x:cell r="E177" t="str">
            <x:v>전투 가능·비전투 콘텐츠</x:v>
          </x:cell>
          <x:cell r="F177">
            <x:v>300</x:v>
          </x:cell>
          <x:cell r="G177"/>
          <x:cell r="H177">
            <x:v>135</x:v>
          </x:cell>
          <x:cell r="I177"/>
          <x:cell r="J177"/>
          <x:cell r="K177"/>
        </x:row>
        <x:row r="178">
          <x:cell r="A178">
            <x:v>177</x:v>
          </x:cell>
          <x:cell r="B178" t="str">
            <x:v>차한해</x:v>
          </x:cell>
          <x:cell r="C178"/>
          <x:cell r="D178" t="str">
            <x:v>박수 없인 못 살아가 참사 뉴스를 보며 책임을 합리화한 장면 확인하기</x:v>
          </x:cell>
          <x:cell r="E178" t="str">
            <x:v>전투 가능·비전투 콘텐츠</x:v>
          </x:cell>
          <x:cell r="F178">
            <x:v>300</x:v>
          </x:cell>
          <x:cell r="G178"/>
          <x:cell r="H178">
            <x:v>135</x:v>
          </x:cell>
          <x:cell r="I178"/>
          <x:cell r="J178"/>
          <x:cell r="K178"/>
        </x:row>
        <x:row r="179">
          <x:cell r="A179">
            <x:v>178</x:v>
          </x:cell>
          <x:cell r="B179" t="str">
            <x:v>차한해</x:v>
          </x:cell>
          <x:cell r="C179"/>
          <x:cell r="D179" t="str">
            <x:v>그림자 팬클럽의 추격을 피해 촬영 무대 진입하기</x:v>
          </x:cell>
          <x:cell r="E179" t="str">
            <x:v>보스 전투</x:v>
          </x:cell>
          <x:cell r="F179">
            <x:v>300</x:v>
          </x:cell>
          <x:cell r="G179"/>
          <x:cell r="H179">
            <x:v>135</x:v>
          </x:cell>
          <x:cell r="I179"/>
          <x:cell r="J179"/>
          <x:cell r="K179" t="str">
            <x:v>보스 기믹 진행</x:v>
          </x:cell>
        </x:row>
        <x:row r="180">
          <x:cell r="A180">
            <x:v>179</x:v>
          </x:cell>
          <x:cell r="B180" t="str">
            <x:v>차한해</x:v>
          </x:cell>
          <x:cell r="C180"/>
          <x:cell r="D180" t="str">
            <x:v>추앙풍뎅이의 보호막 부여를 차단하고 중계 카메라 끄기</x:v>
          </x:cell>
          <x:cell r="E180" t="str">
            <x:v>보스 전투</x:v>
          </x:cell>
          <x:cell r="F180">
            <x:v>300</x:v>
          </x:cell>
          <x:cell r="G180"/>
          <x:cell r="H180">
            <x:v>135</x:v>
          </x:cell>
          <x:cell r="I180"/>
          <x:cell r="J180" t="str">
            <x:v>안 찍히면 돼</x:v>
          </x:cell>
          <x:cell r="K180" t="str">
            <x:v>스킬 : 카메라 사각지대 이동</x:v>
          </x:cell>
        </x:row>
        <x:row r="181">
          <x:cell r="A181">
            <x:v>180</x:v>
          </x:cell>
          <x:cell r="B181" t="str">
            <x:v>차한해</x:v>
          </x:cell>
          <x:cell r="C181"/>
          <x:cell r="D181" t="str">
            <x:v>박수 저금통의 집단 강화를 끊으며 실제 시민 구분하기</x:v>
          </x:cell>
          <x:cell r="E181" t="str">
            <x:v>보스 전투</x:v>
          </x:cell>
          <x:cell r="F181">
            <x:v>300</x:v>
          </x:cell>
          <x:cell r="G181"/>
          <x:cell r="H181">
            <x:v>135</x:v>
          </x:cell>
          <x:cell r="I181"/>
          <x:cell r="J181"/>
          <x:cell r="K181" t="str">
            <x:v>보스 기믹 진행</x:v>
          </x:cell>
        </x:row>
        <x:row r="182">
          <x:cell r="A182">
            <x:v>181</x:v>
          </x:cell>
          <x:cell r="B182" t="str">
            <x:v>차한해</x:v>
          </x:cell>
          <x:cell r="C182"/>
          <x:cell r="D182" t="str">
            <x:v>아무도 보지 않는 곳에서 시민을 구하고 박수 없인 못 살아 제압하기</x:v>
          </x:cell>
          <x:cell r="E182" t="str">
            <x:v>보스 전투</x:v>
          </x:cell>
          <x:cell r="F182">
            <x:v>340</x:v>
          </x:cell>
          <x:cell r="G182"/>
          <x:cell r="H182">
            <x:v>150</x:v>
          </x:cell>
          <x:cell r="I182" t="str">
            <x:v>군용 방탄판 균열: +35 → +15</x:v>
          </x:cell>
          <x:cell r="J182" t="str">
            <x:v>아무도 안 봐도</x:v>
          </x:cell>
          <x:cell r="K182" t="str">
            <x:v>기본 공격력 340 / 기본 방어력 150 / 군용 방탄판 균열: +35 → +15 / 스킬 : 비공개 구조</x:v>
          </x:cell>
        </x:row>
        <x:row r="183">
          <x:cell r="A183">
            <x:v>182</x:v>
          </x:cell>
          <x:cell r="B183" t="str">
            <x:v>차한해</x:v>
          </x:cell>
          <x:cell r="C183"/>
          <x:cell r="D183" t="str">
            <x:v>구조 영상의 빈 장면 때문에 차한해를 의심하는 보도 확인하기</x:v>
          </x:cell>
          <x:cell r="E183" t="str">
            <x:v>보스 전투</x:v>
          </x:cell>
          <x:cell r="F183">
            <x:v>340</x:v>
          </x:cell>
          <x:cell r="G183"/>
          <x:cell r="H183">
            <x:v>150</x:v>
          </x:cell>
          <x:cell r="I183"/>
          <x:cell r="J183"/>
          <x:cell r="K183" t="str">
            <x:v>보스 기믹 진행</x:v>
          </x:cell>
        </x:row>
        <x:row r="184">
          <x:cell r="A184">
            <x:v>183</x:v>
          </x:cell>
          <x:cell r="B184" t="str">
            <x:v>차한해</x:v>
          </x:cell>
          <x:cell r="C184"/>
          <x:cell r="D184" t="str">
            <x:v>한도윤과 비공개 안부 통화하기</x:v>
          </x:cell>
          <x:cell r="E184" t="str">
            <x:v>전투 가능·비전투 콘텐츠</x:v>
          </x:cell>
          <x:cell r="F184">
            <x:v>340</x:v>
          </x:cell>
          <x:cell r="G184"/>
          <x:cell r="H184">
            <x:v>150</x:v>
          </x:cell>
          <x:cell r="I184"/>
          <x:cell r="J184"/>
          <x:cell r="K184" t="str">
            <x:v>전투 수치 변화 없이 탐색·대화·이동 진행</x:v>
          </x:cell>
        </x:row>
        <x:row r="185">
          <x:cell r="A185">
            <x:v>184</x:v>
          </x:cell>
          <x:cell r="B185" t="str">
            <x:v>차한해</x:v>
          </x:cell>
          <x:cell r="C185"/>
          <x:cell r="D185" t="str">
            <x:v>한도윤의 회사 긴급 구조 요청 받기</x:v>
          </x:cell>
          <x:cell r="E185" t="str">
            <x:v>전투 가능·비전투 콘텐츠</x:v>
          </x:cell>
          <x:cell r="F185">
            <x:v>340</x:v>
          </x:cell>
          <x:cell r="G185"/>
          <x:cell r="H185">
            <x:v>150</x:v>
          </x:cell>
          <x:cell r="I185"/>
          <x:cell r="J185"/>
          <x:cell r="K185"/>
        </x:row>
        <x:row r="186">
          <x:cell r="A186">
            <x:v>185</x:v>
          </x:cell>
          <x:cell r="B186" t="str">
            <x:v>차한해</x:v>
          </x:cell>
          <x:cell r="C186"/>
          <x:cell r="D186" t="str">
            <x:v>회사로 우회하며 소방 보급 상자에서 진압 도끼·안전모·로프 발사기 확보하기</x:v>
          </x:cell>
          <x:cell r="E186" t="str">
            <x:v>전투 가능·비전투 콘텐츠</x:v>
          </x:cell>
          <x:cell r="F186">
            <x:v>340</x:v>
          </x:cell>
          <x:cell r="G186" t="str">
            <x:v>소방용 진압 도끼 +75
구조용 로프 발사기 +12</x:v>
          </x:cell>
          <x:cell r="H186">
            <x:v>150</x:v>
          </x:cell>
          <x:cell r="I186" t="str">
            <x:v>구조대 안전모 +8</x:v>
          </x:cell>
          <x:cell r="J186" t="str">
            <x:v>도와줘!
길 하나 만들게!</x:v>
          </x:cell>
          <x:cell r="K186" t="str">
            <x:v>재난 구조 세트 3종 임시 대여</x:v>
          </x:cell>
        </x:row>
        <x:row r="187">
          <x:cell r="A187">
            <x:v>186</x:v>
          </x:cell>
          <x:cell r="B187" t="str">
            <x:v>차한해</x:v>
          </x:cell>
          <x:cell r="C187"/>
          <x:cell r="D187" t="str">
            <x:v>구조용 로프 발사기로 한도윤과 회사 직원 대피시키기</x:v>
          </x:cell>
          <x:cell r="E187" t="str">
            <x:v>전투 가능·비전투 콘텐츠</x:v>
          </x:cell>
          <x:cell r="F187">
            <x:v>340</x:v>
          </x:cell>
          <x:cell r="G187"/>
          <x:cell r="H187">
            <x:v>150</x:v>
          </x:cell>
          <x:cell r="I187"/>
          <x:cell r="J187"/>
          <x:cell r="K187"/>
        </x:row>
        <x:row r="188">
          <x:cell r="A188">
            <x:v>187</x:v>
          </x:cell>
          <x:cell r="B188" t="str">
            <x:v>차한해</x:v>
          </x:cell>
          <x:cell r="C188"/>
          <x:cell r="D188" t="str">
            <x:v>부상당한 소방관을 구조하고 소방 방열복·화염 보호복 받기</x:v>
          </x:cell>
          <x:cell r="E188" t="str">
            <x:v>전투 가능·비전투 콘텐츠</x:v>
          </x:cell>
          <x:cell r="F188">
            <x:v>340</x:v>
          </x:cell>
          <x:cell r="G188"/>
          <x:cell r="H188">
            <x:v>150</x:v>
          </x:cell>
          <x:cell r="I188" t="str">
            <x:v>소방 방열복 +22
화염 보호복 +20</x:v>
          </x:cell>
          <x:cell r="J188"/>
          <x:cell r="K188" t="str">
            <x:v>소방 방열복 임시 착용·도시 인연 50% 이상 시 화염 보호복 획득</x:v>
          </x:cell>
        </x:row>
        <x:row r="189">
          <x:cell r="A189">
            <x:v>188</x:v>
          </x:cell>
          <x:cell r="B189" t="str">
            <x:v>차한해</x:v>
          </x:cell>
          <x:cell r="C189"/>
          <x:cell r="D189" t="str">
            <x:v>소방용 진압 도끼·로프 발사기로 붕괴 통로를 열어 마지막 직원 구조하기</x:v>
          </x:cell>
          <x:cell r="E189" t="str">
            <x:v>전투 가능·비전투 콘텐츠</x:v>
          </x:cell>
          <x:cell r="F189">
            <x:v>380</x:v>
          </x:cell>
          <x:cell r="G189" t="str">
            <x:v>소방용 진압 도끼·구조용 로프 발사기 반납 : +87 → 0</x:v>
          </x:cell>
          <x:cell r="H189">
            <x:v>165</x:v>
          </x:cell>
          <x:cell r="I189" t="str">
            <x:v>구조대 안전모·소방 방열복 반납 : +30 → 0
기본 보호 조끼 완전 파손 : 사용 불가
화염 보호복 손상 : +20 → +10</x:v>
          </x:cell>
          <x:cell r="J189"/>
          <x:cell r="K189" t="str">
            <x:v>재난 구조 세트 임시 장비 반납·영구 장비 손상 반영</x:v>
          </x:cell>
        </x:row>
        <x:row r="190">
          <x:cell r="A190">
            <x:v>189</x:v>
          </x:cell>
          <x:cell r="B190" t="str">
            <x:v>차한해</x:v>
          </x:cell>
          <x:cell r="C190"/>
          <x:cell r="D190" t="str">
            <x:v>한도윤의 사망 확인하기</x:v>
          </x:cell>
          <x:cell r="E190" t="str">
            <x:v>전투 가능·비전투 콘텐츠</x:v>
          </x:cell>
          <x:cell r="F190">
            <x:v>380</x:v>
          </x:cell>
          <x:cell r="G190"/>
          <x:cell r="H190">
            <x:v>165</x:v>
          </x:cell>
          <x:cell r="I190"/>
          <x:cell r="J190"/>
          <x:cell r="K190" t="str">
            <x:v>전투 수치 변화 없이 탐색·대화·이동 진행</x:v>
          </x:cell>
        </x:row>
        <x:row r="191">
          <x:cell r="A191">
            <x:v>190</x:v>
          </x:cell>
          <x:cell r="B191" t="str">
            <x:v>차한해</x:v>
          </x:cell>
          <x:cell r="C191"/>
          <x:cell r="D191" t="str">
            <x:v>강재한의 차한해 책임론 시위 확인하기</x:v>
          </x:cell>
          <x:cell r="E191" t="str">
            <x:v>전투 가능·비전투 콘텐츠</x:v>
          </x:cell>
          <x:cell r="F191">
            <x:v>380</x:v>
          </x:cell>
          <x:cell r="G191"/>
          <x:cell r="H191">
            <x:v>165</x:v>
          </x:cell>
          <x:cell r="I191"/>
          <x:cell r="J191"/>
          <x:cell r="K191"/>
        </x:row>
        <x:row r="192">
          <x:cell r="A192">
            <x:v>191</x:v>
          </x:cell>
          <x:cell r="B192" t="str">
            <x:v>차한해</x:v>
          </x:cell>
          <x:cell r="C192"/>
          <x:cell r="D192" t="str">
            <x:v>차우선의 원망 섞인 연락 받기</x:v>
          </x:cell>
          <x:cell r="E192" t="str">
            <x:v>전투 가능·비전투 콘텐츠</x:v>
          </x:cell>
          <x:cell r="F192">
            <x:v>380</x:v>
          </x:cell>
          <x:cell r="G192"/>
          <x:cell r="H192">
            <x:v>165</x:v>
          </x:cell>
          <x:cell r="I192"/>
          <x:cell r="J192"/>
          <x:cell r="K192"/>
        </x:row>
        <x:row r="193">
          <x:cell r="A193">
            <x:v>192</x:v>
          </x:cell>
          <x:cell r="B193" t="str">
            <x:v>차한해</x:v>
          </x:cell>
          <x:cell r="C193"/>
          <x:cell r="D193" t="str">
            <x:v>나대진에게 먼지 보호 안경·균열 보호 마스크·안정 앰플 수령하기</x:v>
          </x:cell>
          <x:cell r="E193" t="str">
            <x:v>전투 가능·비전투 콘텐츠</x:v>
          </x:cell>
          <x:cell r="F193">
            <x:v>380</x:v>
          </x:cell>
          <x:cell r="G193"/>
          <x:cell r="H193">
            <x:v>165</x:v>
          </x:cell>
          <x:cell r="I193" t="str">
            <x:v>관리국 방진 고글 해제 : +4 → 0
관리국 방진 마스크 해제 : +3 → 0
먼지 보호 안경 +10
균열 보호 마스크 +15</x:v>
          </x:cell>
          <x:cell r="J193"/>
          <x:cell r="K193" t="str">
            <x:v>관리국 환경 장비를 폐교 전용 장비로 교체</x:v>
          </x:cell>
        </x:row>
        <x:row r="194">
          <x:cell r="A194">
            <x:v>193</x:v>
          </x:cell>
          <x:cell r="B194" t="str">
            <x:v>차한해</x:v>
          </x:cell>
          <x:cell r="C194"/>
          <x:cell r="D194" t="str">
            <x:v>이용익의 폐교 조사 압박 듣기</x:v>
          </x:cell>
          <x:cell r="E194" t="str">
            <x:v>전투 가능·비전투 콘텐츠</x:v>
          </x:cell>
          <x:cell r="F194">
            <x:v>380</x:v>
          </x:cell>
          <x:cell r="G194"/>
          <x:cell r="H194">
            <x:v>165</x:v>
          </x:cell>
          <x:cell r="I194"/>
          <x:cell r="J194"/>
          <x:cell r="K194" t="str">
            <x:v>전투 수치 변화 없이 탐색·대화·이동 진행</x:v>
          </x:cell>
        </x:row>
        <x:row r="195">
          <x:cell r="A195">
            <x:v>194</x:v>
          </x:cell>
          <x:cell r="B195" t="str">
            <x:v>차한해</x:v>
          </x:cell>
          <x:cell r="C195"/>
          <x:cell r="D195" t="str">
            <x:v>구조받은 정비공에게 철판 보호대 받기</x:v>
          </x:cell>
          <x:cell r="E195" t="str">
            <x:v>전투 가능·비전투 콘텐츠</x:v>
          </x:cell>
          <x:cell r="F195">
            <x:v>380</x:v>
          </x:cell>
          <x:cell r="G195"/>
          <x:cell r="H195">
            <x:v>165</x:v>
          </x:cell>
          <x:cell r="I195" t="str">
            <x:v>철판 보호대 +25</x:v>
          </x:cell>
          <x:cell r="J195"/>
          <x:cell r="K195" t="str">
            <x:v>철판 보호대 +25 / 스킬 : 시민 지원 장비</x:v>
          </x:cell>
        </x:row>
        <x:row r="196">
          <x:cell r="A196">
            <x:v>195</x:v>
          </x:cell>
          <x:cell r="B196" t="str">
            <x:v>차한해</x:v>
          </x:cell>
          <x:cell r="C196"/>
          <x:cell r="D196" t="str">
            <x:v>폐교 조사 명령 받기</x:v>
          </x:cell>
          <x:cell r="E196" t="str">
            <x:v>전투 가능·비전투 콘텐츠</x:v>
          </x:cell>
          <x:cell r="F196">
            <x:v>380</x:v>
          </x:cell>
          <x:cell r="G196"/>
          <x:cell r="H196">
            <x:v>165</x:v>
          </x:cell>
          <x:cell r="I196"/>
          <x:cell r="J196"/>
          <x:cell r="K196" t="str">
            <x:v>전투 수치 변화 없이 탐색·대화·이동 진행</x:v>
          </x:cell>
        </x:row>
        <x:row r="197">
          <x:cell r="A197">
            <x:v>196</x:v>
          </x:cell>
          <x:cell r="B197" t="str">
            <x:v>차한해</x:v>
          </x:cell>
          <x:cell r="C197"/>
          <x:cell r="D197" t="str">
            <x:v>관리국 현장 보급함에서 폐교 조사 장비와 심층 균열 탐사 세트 수령·점검하기</x:v>
          </x:cell>
          <x:cell r="E197" t="str">
            <x:v>전투 가능·비전투 콘텐츠</x:v>
          </x:cell>
          <x:cell r="F197">
            <x:v>380</x:v>
          </x:cell>
          <x:cell r="G197"/>
          <x:cell r="H197">
            <x:v>165</x:v>
          </x:cell>
          <x:cell r="I197" t="str">
            <x:v>오염 차단 전신복 +35
심층 균열 탐사 헬멧 +12
관리국 전술화 해제 : +6 → 0
고밀도 충격 흡수 장화 +10</x:v>
          </x:cell>
          <x:cell r="J197" t="str">
            <x:v>괜찮아, 아직.</x:v>
          </x:cell>
          <x:cell r="K197" t="str">
            <x:v>심층 균열 탐사 기본 장비 3종 수령·장착·조건 달성 시 선의 안정 장치 추가 수령</x:v>
          </x:cell>
        </x:row>
        <x:row r="198">
          <x:cell r="A198">
            <x:v>197</x:v>
          </x:cell>
          <x:cell r="B198" t="str">
            <x:v>차한해</x:v>
          </x:cell>
          <x:cell r="C198"/>
          <x:cell r="D198" t="str">
            <x:v>고등급자 파티의 폐교 출동 거부 확인하기</x:v>
          </x:cell>
          <x:cell r="E198" t="str">
            <x:v>전투 가능·비전투 콘텐츠</x:v>
          </x:cell>
          <x:cell r="F198">
            <x:v>380</x:v>
          </x:cell>
          <x:cell r="G198"/>
          <x:cell r="H198">
            <x:v>165</x:v>
          </x:cell>
          <x:cell r="I198"/>
          <x:cell r="J198"/>
          <x:cell r="K198"/>
        </x:row>
        <x:row r="199">
          <x:cell r="A199">
            <x:v>198</x:v>
          </x:cell>
          <x:cell r="B199" t="str">
            <x:v>차한해</x:v>
          </x:cell>
          <x:cell r="C199"/>
          <x:cell r="D199" t="str">
            <x:v>한도윤이 남긴 예약 음성 확인하기</x:v>
          </x:cell>
          <x:cell r="E199" t="str">
            <x:v>전투 가능·비전투 콘텐츠</x:v>
          </x:cell>
          <x:cell r="F199">
            <x:v>380</x:v>
          </x:cell>
          <x:cell r="G199"/>
          <x:cell r="H199">
            <x:v>165</x:v>
          </x:cell>
          <x:cell r="I199"/>
          <x:cell r="J199"/>
          <x:cell r="K199"/>
        </x:row>
        <x:row r="200">
          <x:cell r="A200">
            <x:v>199</x:v>
          </x:cell>
          <x:cell r="B200" t="str">
            <x:v>차한해</x:v>
          </x:cell>
          <x:cell r="C200"/>
          <x:cell r="D200" t="str">
            <x:v>도시에서 폐교로 향하는 길에 대장 고양이 영역 진입하기</x:v>
          </x:cell>
          <x:cell r="E200" t="str">
            <x:v>전투 가능·비전투 콘텐츠</x:v>
          </x:cell>
          <x:cell r="F200">
            <x:v>380</x:v>
          </x:cell>
          <x:cell r="G200"/>
          <x:cell r="H200">
            <x:v>165</x:v>
          </x:cell>
          <x:cell r="I200"/>
          <x:cell r="J200"/>
          <x:cell r="K200"/>
        </x:row>
        <x:row r="201">
          <x:cell r="A201">
            <x:v>200</x:v>
          </x:cell>
          <x:cell r="B201" t="str">
            <x:v>차한해</x:v>
          </x:cell>
          <x:cell r="C201"/>
          <x:cell r="D201" t="str">
            <x:v>자기 영역으로 돌아온 대장 고양이에게 길 막히기</x:v>
          </x:cell>
          <x:cell r="E201" t="str">
            <x:v>전투 가능·비전투 콘텐츠</x:v>
          </x:cell>
          <x:cell r="F201">
            <x:v>380</x:v>
          </x:cell>
          <x:cell r="G201"/>
          <x:cell r="H201">
            <x:v>165</x:v>
          </x:cell>
          <x:cell r="I201"/>
          <x:cell r="J201"/>
          <x:cell r="K201"/>
        </x:row>
        <x:row r="202">
          <x:cell r="A202">
            <x:v>201</x:v>
          </x:cell>
          <x:cell r="B202" t="str">
            <x:v>차한해</x:v>
          </x:cell>
          <x:cell r="C202"/>
          <x:cell r="D202" t="str">
            <x:v>영역과 갇힌 고양이 쪽을 오가는 대장 고양이 관찰하기</x:v>
          </x:cell>
          <x:cell r="E202" t="str">
            <x:v>전투 가능·비전투 콘텐츠</x:v>
          </x:cell>
          <x:cell r="F202">
            <x:v>380</x:v>
          </x:cell>
          <x:cell r="G202"/>
          <x:cell r="H202">
            <x:v>165</x:v>
          </x:cell>
          <x:cell r="I202"/>
          <x:cell r="J202"/>
          <x:cell r="K202"/>
        </x:row>
        <x:row r="203">
          <x:cell r="A203">
            <x:v>202</x:v>
          </x:cell>
          <x:cell r="B203" t="str">
            <x:v>차한해</x:v>
          </x:cell>
          <x:cell r="C203"/>
          <x:cell r="D203" t="str">
            <x:v>예쁜 고양이와 차한해를 번갈아 보는 멈칫 행동 확인하기</x:v>
          </x:cell>
          <x:cell r="E203" t="str">
            <x:v>전투 가능·비전투 콘텐츠</x:v>
          </x:cell>
          <x:cell r="F203">
            <x:v>380</x:v>
          </x:cell>
          <x:cell r="G203"/>
          <x:cell r="H203">
            <x:v>165</x:v>
          </x:cell>
          <x:cell r="I203"/>
          <x:cell r="J203"/>
          <x:cell r="K203"/>
        </x:row>
        <x:row r="204">
          <x:cell r="A204">
            <x:v>203</x:v>
          </x:cell>
          <x:cell r="B204" t="str">
            <x:v>차한해</x:v>
          </x:cell>
          <x:cell r="C204"/>
          <x:cell r="D204" t="str">
            <x:v>작은 울음소리와 흔들리는 물류 박스 따라가기</x:v>
          </x:cell>
          <x:cell r="E204" t="str">
            <x:v>전투 가능·비전투 콘텐츠</x:v>
          </x:cell>
          <x:cell r="F204">
            <x:v>380</x:v>
          </x:cell>
          <x:cell r="G204"/>
          <x:cell r="H204">
            <x:v>165</x:v>
          </x:cell>
          <x:cell r="I204"/>
          <x:cell r="J204"/>
          <x:cell r="K204"/>
        </x:row>
        <x:row r="205">
          <x:cell r="A205">
            <x:v>204</x:v>
          </x:cell>
          <x:cell r="B205" t="str">
            <x:v>차한해</x:v>
          </x:cell>
          <x:cell r="C205"/>
          <x:cell r="D205" t="str">
            <x:v>하악질하는 대장 고양이와 갇힌 예쁜 고양이 반응 확인하기</x:v>
          </x:cell>
          <x:cell r="E205" t="str">
            <x:v>전투 가능·비전투 콘텐츠</x:v>
          </x:cell>
          <x:cell r="F205">
            <x:v>380</x:v>
          </x:cell>
          <x:cell r="G205"/>
          <x:cell r="H205">
            <x:v>165</x:v>
          </x:cell>
          <x:cell r="I205"/>
          <x:cell r="J205"/>
          <x:cell r="K205"/>
        </x:row>
        <x:row r="206">
          <x:cell r="A206">
            <x:v>205</x:v>
          </x:cell>
          <x:cell r="B206" t="str">
            <x:v>차한해</x:v>
          </x:cell>
          <x:cell r="C206"/>
          <x:cell r="D206" t="str">
            <x:v>예쁜 고양이 인연에 따라 필요한 간식 준비하기</x:v>
          </x:cell>
          <x:cell r="E206" t="str">
            <x:v>전투 가능·비전투 콘텐츠</x:v>
          </x:cell>
          <x:cell r="F206">
            <x:v>380</x:v>
          </x:cell>
          <x:cell r="G206"/>
          <x:cell r="H206">
            <x:v>165</x:v>
          </x:cell>
          <x:cell r="I206"/>
          <x:cell r="J206"/>
          <x:cell r="K206"/>
        </x:row>
        <x:row r="207">
          <x:cell r="A207">
            <x:v>206</x:v>
          </x:cell>
          <x:cell r="B207" t="str">
            <x:v>차한해</x:v>
          </x:cell>
          <x:cell r="C207"/>
          <x:cell r="D207" t="str">
            <x:v>경계하며 간식을 먹는 대장 고양이의 발짓 확인하기</x:v>
          </x:cell>
          <x:cell r="E207" t="str">
            <x:v>전투 가능·비전투 콘텐츠</x:v>
          </x:cell>
          <x:cell r="F207">
            <x:v>380</x:v>
          </x:cell>
          <x:cell r="G207"/>
          <x:cell r="H207">
            <x:v>165</x:v>
          </x:cell>
          <x:cell r="I207"/>
          <x:cell r="J207"/>
          <x:cell r="K207"/>
        </x:row>
        <x:row r="208">
          <x:cell r="A208">
            <x:v>207</x:v>
          </x:cell>
          <x:cell r="B208" t="str">
            <x:v>차한해</x:v>
          </x:cell>
          <x:cell r="C208"/>
          <x:cell r="D208" t="str">
            <x:v>예쁜 고양이가 플라스틱 물류 박스를 가리키는 몸짓 확인하기</x:v>
          </x:cell>
          <x:cell r="E208" t="str">
            <x:v>전투 가능·비전투 콘텐츠</x:v>
          </x:cell>
          <x:cell r="F208">
            <x:v>380</x:v>
          </x:cell>
          <x:cell r="G208"/>
          <x:cell r="H208">
            <x:v>165</x:v>
          </x:cell>
          <x:cell r="I208"/>
          <x:cell r="J208"/>
          <x:cell r="K208"/>
        </x:row>
        <x:row r="209">
          <x:cell r="A209">
            <x:v>208</x:v>
          </x:cell>
          <x:cell r="B209" t="str">
            <x:v>차한해</x:v>
          </x:cell>
          <x:cell r="C209"/>
          <x:cell r="D209" t="str">
            <x:v>편의점 플라스틱 물류 박스를 옮겨 출구 만들기</x:v>
          </x:cell>
          <x:cell r="E209" t="str">
            <x:v>전투 가능·비전투 콘텐츠</x:v>
          </x:cell>
          <x:cell r="F209">
            <x:v>380</x:v>
          </x:cell>
          <x:cell r="G209"/>
          <x:cell r="H209">
            <x:v>165</x:v>
          </x:cell>
          <x:cell r="I209"/>
          <x:cell r="J209"/>
          <x:cell r="K209"/>
        </x:row>
        <x:row r="210">
          <x:cell r="A210">
            <x:v>209</x:v>
          </x:cell>
          <x:cell r="B210" t="str">
            <x:v>차한해</x:v>
          </x:cell>
          <x:cell r="C210"/>
          <x:cell r="D210" t="str">
            <x:v>예쁜 고양이 구출 후 인연별 애교 반응 확인하기</x:v>
          </x:cell>
          <x:cell r="E210" t="str">
            <x:v>전투 가능·비전투 콘텐츠</x:v>
          </x:cell>
          <x:cell r="F210">
            <x:v>380</x:v>
          </x:cell>
          <x:cell r="G210"/>
          <x:cell r="H210">
            <x:v>165</x:v>
          </x:cell>
          <x:cell r="I210"/>
          <x:cell r="J210"/>
          <x:cell r="K210"/>
        </x:row>
        <x:row r="211">
          <x:cell r="A211">
            <x:v>210</x:v>
          </x:cell>
          <x:cell r="B211" t="str">
            <x:v>차한해</x:v>
          </x:cell>
          <x:cell r="C211"/>
          <x:cell r="D211" t="str">
            <x:v>고양이 커플과 일정 거리를 유지하며 영역 지나가기</x:v>
          </x:cell>
          <x:cell r="E211" t="str">
            <x:v>전투 가능·비전투 콘텐츠</x:v>
          </x:cell>
          <x:cell r="F211">
            <x:v>380</x:v>
          </x:cell>
          <x:cell r="G211"/>
          <x:cell r="H211">
            <x:v>165</x:v>
          </x:cell>
          <x:cell r="I211"/>
          <x:cell r="J211"/>
          <x:cell r="K211"/>
        </x:row>
        <x:row r="212">
          <x:cell r="A212">
            <x:v>211</x:v>
          </x:cell>
          <x:cell r="B212" t="str">
            <x:v>차한해</x:v>
          </x:cell>
          <x:cell r="C212"/>
          <x:cell r="D212" t="str">
            <x:v>폐교 정문에 도착하기</x:v>
          </x:cell>
          <x:cell r="E212" t="str">
            <x:v>전투 가능·비전투 콘텐츠</x:v>
          </x:cell>
          <x:cell r="F212">
            <x:v>380</x:v>
          </x:cell>
          <x:cell r="G212"/>
          <x:cell r="H212">
            <x:v>165</x:v>
          </x:cell>
          <x:cell r="I212"/>
          <x:cell r="J212"/>
          <x:cell r="K212"/>
        </x:row>
        <x:row r="213">
          <x:cell r="A213">
            <x:v>212</x:v>
          </x:cell>
          <x:cell r="B213" t="str">
            <x:v>차한해</x:v>
          </x:cell>
          <x:cell r="C213"/>
          <x:cell r="D213" t="str">
            <x:v>정문 봉인 해제하기</x:v>
          </x:cell>
          <x:cell r="E213" t="str">
            <x:v>전투 가능·비전투 콘텐츠</x:v>
          </x:cell>
          <x:cell r="F213">
            <x:v>380</x:v>
          </x:cell>
          <x:cell r="G213"/>
          <x:cell r="H213">
            <x:v>165</x:v>
          </x:cell>
          <x:cell r="I213"/>
          <x:cell r="J213"/>
          <x:cell r="K213"/>
        </x:row>
        <x:row r="214">
          <x:cell r="A214">
            <x:v>213</x:v>
          </x:cell>
          <x:cell r="B214" t="str">
            <x:v>차한해</x:v>
          </x:cell>
          <x:cell r="C214"/>
          <x:cell r="D214" t="str">
            <x:v>오염 차단 전신복과 심층 균열 탐사 헬멧으로 보랏빛 발자국 추적하기</x:v>
          </x:cell>
          <x:cell r="E214" t="str">
            <x:v>전투 가능·비전투 콘텐츠</x:v>
          </x:cell>
          <x:cell r="F214">
            <x:v>380</x:v>
          </x:cell>
          <x:cell r="G214"/>
          <x:cell r="H214">
            <x:v>165</x:v>
          </x:cell>
          <x:cell r="I214"/>
          <x:cell r="J214"/>
          <x:cell r="K214"/>
        </x:row>
        <x:row r="215">
          <x:cell r="A215">
            <x:v>214</x:v>
          </x:cell>
          <x:cell r="B215" t="str">
            <x:v>차한해</x:v>
          </x:cell>
          <x:cell r="C215"/>
          <x:cell r="D215" t="str">
            <x:v>퇴근하고 싶다의 순찰 경로를 피해 본관 1층 탐색하기</x:v>
          </x:cell>
          <x:cell r="E215" t="str">
            <x:v>전투 가능·비전투 콘텐츠</x:v>
          </x:cell>
          <x:cell r="F215">
            <x:v>380</x:v>
          </x:cell>
          <x:cell r="G215"/>
          <x:cell r="H215">
            <x:v>165</x:v>
          </x:cell>
          <x:cell r="I215"/>
          <x:cell r="J215"/>
          <x:cell r="K215"/>
        </x:row>
        <x:row r="216">
          <x:cell r="A216">
            <x:v>215</x:v>
          </x:cell>
          <x:cell r="B216" t="str">
            <x:v>차한해</x:v>
          </x:cell>
          <x:cell r="C216"/>
          <x:cell r="D216" t="str">
            <x:v>고밀도 충격 흡수 장화로 등 뒤 한 칸의 기습을 버티며 복도 통과하기</x:v>
          </x:cell>
          <x:cell r="E216" t="str">
            <x:v>전투 가능</x:v>
          </x:cell>
          <x:cell r="F216">
            <x:v>380</x:v>
          </x:cell>
          <x:cell r="G216"/>
          <x:cell r="H216">
            <x:v>165</x:v>
          </x:cell>
          <x:cell r="I216"/>
          <x:cell r="J216" t="str">
            <x:v>쉿.</x:v>
          </x:cell>
          <x:cell r="K216" t="str">
            <x:v>스킬 : 청각 추적 끊기</x:v>
          </x:cell>
        </x:row>
        <x:row r="217">
          <x:cell r="A217">
            <x:v>216</x:v>
          </x:cell>
          <x:cell r="B217" t="str">
            <x:v>차한해</x:v>
          </x:cell>
          <x:cell r="C217"/>
          <x:cell r="D217" t="str">
            <x:v>찢어진 졸업앨범을 맞춰 변혜서의 어린 시절 기록 복원하기</x:v>
          </x:cell>
          <x:cell r="E217" t="str">
            <x:v>전투 가능·비전투 콘텐츠</x:v>
          </x:cell>
          <x:cell r="F217">
            <x:v>380</x:v>
          </x:cell>
          <x:cell r="G217"/>
          <x:cell r="H217">
            <x:v>165</x:v>
          </x:cell>
          <x:cell r="I217"/>
          <x:cell r="J217"/>
          <x:cell r="K217" t="str">
            <x:v>전투 수치 변화 없이 탐색·대화·이동 진행</x:v>
          </x:cell>
        </x:row>
        <x:row r="218">
          <x:cell r="A218">
            <x:v>217</x:v>
          </x:cell>
          <x:cell r="B218" t="str">
            <x:v>차한해</x:v>
          </x:cell>
          <x:cell r="C218"/>
          <x:cell r="D218" t="str">
            <x:v>심층 균열 탐사 헬멧의 센서로 단서를 찾고 컴퓨터 잠금 퍼즐 해결하기</x:v>
          </x:cell>
          <x:cell r="E218" t="str">
            <x:v>전투 가능·비전투 콘텐츠</x:v>
          </x:cell>
          <x:cell r="F218">
            <x:v>380</x:v>
          </x:cell>
          <x:cell r="G218"/>
          <x:cell r="H218">
            <x:v>165</x:v>
          </x:cell>
          <x:cell r="I218"/>
          <x:cell r="J218"/>
          <x:cell r="K218"/>
        </x:row>
        <x:row r="219">
          <x:cell r="A219">
            <x:v>218</x:v>
          </x:cell>
          <x:cell r="B219" t="str">
            <x:v>차한해</x:v>
          </x:cell>
          <x:cell r="C219"/>
          <x:cell r="D219" t="str">
            <x:v>본관 2층으로 이동하기</x:v>
          </x:cell>
          <x:cell r="E219" t="str">
            <x:v>전투 가능·비전투 콘텐츠</x:v>
          </x:cell>
          <x:cell r="F219">
            <x:v>380</x:v>
          </x:cell>
          <x:cell r="G219"/>
          <x:cell r="H219">
            <x:v>165</x:v>
          </x:cell>
          <x:cell r="I219"/>
          <x:cell r="J219"/>
          <x:cell r="K219"/>
        </x:row>
        <x:row r="220">
          <x:cell r="A220">
            <x:v>219</x:v>
          </x:cell>
          <x:cell r="B220" t="str">
            <x:v>차한해</x:v>
          </x:cell>
          <x:cell r="C220"/>
          <x:cell r="D220" t="str">
            <x:v>변혜서가 사용했던 책상 조사하기</x:v>
          </x:cell>
          <x:cell r="E220" t="str">
            <x:v>전투 가능·비전투 콘텐츠</x:v>
          </x:cell>
          <x:cell r="F220">
            <x:v>380</x:v>
          </x:cell>
          <x:cell r="G220"/>
          <x:cell r="H220">
            <x:v>165</x:v>
          </x:cell>
          <x:cell r="I220"/>
          <x:cell r="J220"/>
          <x:cell r="K220"/>
        </x:row>
        <x:row r="221">
          <x:cell r="A221">
            <x:v>220</x:v>
          </x:cell>
          <x:cell r="B221" t="str">
            <x:v>차한해</x:v>
          </x:cell>
          <x:cell r="C221"/>
          <x:cell r="D221" t="str">
            <x:v>암전과 종소리 뒤 과거 학교에서 눈뜨기</x:v>
          </x:cell>
          <x:cell r="E221" t="str">
            <x:v>전투 가능·비전투 콘텐츠</x:v>
          </x:cell>
          <x:cell r="F221">
            <x:v>380</x:v>
          </x:cell>
          <x:cell r="G221"/>
          <x:cell r="H221">
            <x:v>165</x:v>
          </x:cell>
          <x:cell r="I221"/>
          <x:cell r="J221"/>
          <x:cell r="K221"/>
        </x:row>
        <x:row r="222">
          <x:cell r="A222">
            <x:v>221</x:v>
          </x:cell>
          <x:cell r="B222" t="str">
            <x:v>차한해</x:v>
          </x:cell>
          <x:cell r="C222"/>
          <x:cell r="D222" t="str">
            <x:v>점심시간 학생들을 따라 급식소로 이동하기</x:v>
          </x:cell>
          <x:cell r="E222" t="str">
            <x:v>전투 가능·비전투 콘텐츠</x:v>
          </x:cell>
          <x:cell r="F222">
            <x:v>380</x:v>
          </x:cell>
          <x:cell r="G222"/>
          <x:cell r="H222">
            <x:v>165</x:v>
          </x:cell>
          <x:cell r="I222"/>
          <x:cell r="J222"/>
          <x:cell r="K222"/>
        </x:row>
        <x:row r="223">
          <x:cell r="A223">
            <x:v>222</x:v>
          </x:cell>
          <x:cell r="B223" t="str">
            <x:v>차한해</x:v>
          </x:cell>
          <x:cell r="C223"/>
          <x:cell r="D223" t="str">
            <x:v>칠판 낄낄이의 환각을 견디며 급식 줄에서 차례 기다리기</x:v>
          </x:cell>
          <x:cell r="E223" t="str">
            <x:v>전투 가능·비전투 콘텐츠</x:v>
          </x:cell>
          <x:cell r="F223">
            <x:v>380</x:v>
          </x:cell>
          <x:cell r="G223"/>
          <x:cell r="H223">
            <x:v>165</x:v>
          </x:cell>
          <x:cell r="I223"/>
          <x:cell r="J223"/>
          <x:cell r="K223"/>
        </x:row>
        <x:row r="224">
          <x:cell r="A224">
            <x:v>223</x:v>
          </x:cell>
          <x:cell r="B224" t="str">
            <x:v>차한해</x:v>
          </x:cell>
          <x:cell r="C224"/>
          <x:cell r="D224" t="str">
            <x:v>일진 무리에게 밀려 급식 새치기 당하기</x:v>
          </x:cell>
          <x:cell r="E224" t="str">
            <x:v>전투 가능·비전투 콘텐츠</x:v>
          </x:cell>
          <x:cell r="F224">
            <x:v>380</x:v>
          </x:cell>
          <x:cell r="G224"/>
          <x:cell r="H224">
            <x:v>165</x:v>
          </x:cell>
          <x:cell r="I224"/>
          <x:cell r="J224"/>
          <x:cell r="K224"/>
        </x:row>
        <x:row r="225">
          <x:cell r="A225">
            <x:v>224</x:v>
          </x:cell>
          <x:cell r="B225" t="str">
            <x:v>차한해</x:v>
          </x:cell>
          <x:cell r="C225"/>
          <x:cell r="D225" t="str">
            <x:v>일진들이 강요한 옆자리에 앉기</x:v>
          </x:cell>
          <x:cell r="E225" t="str">
            <x:v>전투 가능·비전투 콘텐츠</x:v>
          </x:cell>
          <x:cell r="F225">
            <x:v>380</x:v>
          </x:cell>
          <x:cell r="G225"/>
          <x:cell r="H225">
            <x:v>165</x:v>
          </x:cell>
          <x:cell r="I225"/>
          <x:cell r="J225"/>
          <x:cell r="K225"/>
        </x:row>
        <x:row r="226">
          <x:cell r="A226">
            <x:v>225</x:v>
          </x:cell>
          <x:cell r="B226" t="str">
            <x:v>차한해</x:v>
          </x:cell>
          <x:cell r="C226"/>
          <x:cell r="D226" t="str">
            <x:v>맛있는 반찬을 빼앗기는 장면 겪기</x:v>
          </x:cell>
          <x:cell r="E226" t="str">
            <x:v>전투 가능·비전투 콘텐츠</x:v>
          </x:cell>
          <x:cell r="F226">
            <x:v>380</x:v>
          </x:cell>
          <x:cell r="G226"/>
          <x:cell r="H226">
            <x:v>165</x:v>
          </x:cell>
          <x:cell r="I226"/>
          <x:cell r="J226"/>
          <x:cell r="K226"/>
        </x:row>
        <x:row r="227">
          <x:cell r="A227">
            <x:v>226</x:v>
          </x:cell>
          <x:cell r="B227" t="str">
            <x:v>차한해</x:v>
          </x:cell>
          <x:cell r="C227"/>
          <x:cell r="D227" t="str">
            <x:v>일진들이 남긴 식판까지 정리하기</x:v>
          </x:cell>
          <x:cell r="E227" t="str">
            <x:v>전투 가능·비전투 콘텐츠</x:v>
          </x:cell>
          <x:cell r="F227">
            <x:v>380</x:v>
          </x:cell>
          <x:cell r="G227"/>
          <x:cell r="H227">
            <x:v>165</x:v>
          </x:cell>
          <x:cell r="I227"/>
          <x:cell r="J227"/>
          <x:cell r="K227"/>
        </x:row>
        <x:row r="228">
          <x:cell r="A228">
            <x:v>227</x:v>
          </x:cell>
          <x:cell r="B228" t="str">
            <x:v>차한해</x:v>
          </x:cell>
          <x:cell r="C228"/>
          <x:cell r="D228" t="str">
            <x:v>과거 학교 강당으로 이동하기</x:v>
          </x:cell>
          <x:cell r="E228" t="str">
            <x:v>전투 가능·비전투 콘텐츠</x:v>
          </x:cell>
          <x:cell r="F228">
            <x:v>380</x:v>
          </x:cell>
          <x:cell r="G228"/>
          <x:cell r="H228">
            <x:v>165</x:v>
          </x:cell>
          <x:cell r="I228"/>
          <x:cell r="J228"/>
          <x:cell r="K228"/>
        </x:row>
        <x:row r="229">
          <x:cell r="A229">
            <x:v>228</x:v>
          </x:cell>
          <x:cell r="B229" t="str">
            <x:v>차한해</x:v>
          </x:cell>
          <x:cell r="C229"/>
          <x:cell r="D229" t="str">
            <x:v>농구공으로 폭행당하는 변혜서의 기억 목격하기</x:v>
          </x:cell>
          <x:cell r="E229" t="str">
            <x:v>전투 가능·비전투 콘텐츠</x:v>
          </x:cell>
          <x:cell r="F229">
            <x:v>380</x:v>
          </x:cell>
          <x:cell r="G229"/>
          <x:cell r="H229">
            <x:v>165</x:v>
          </x:cell>
          <x:cell r="I229"/>
          <x:cell r="J229"/>
          <x:cell r="K229"/>
        </x:row>
        <x:row r="230">
          <x:cell r="A230">
            <x:v>229</x:v>
          </x:cell>
          <x:cell r="B230" t="str">
            <x:v>차한해</x:v>
          </x:cell>
          <x:cell r="C230"/>
          <x:cell r="D230" t="str">
            <x:v>농구공 충돌음과 함께 현재 폐교로 돌아오기</x:v>
          </x:cell>
          <x:cell r="E230" t="str">
            <x:v>전투 가능·비전투 콘텐츠</x:v>
          </x:cell>
          <x:cell r="F230">
            <x:v>380</x:v>
          </x:cell>
          <x:cell r="G230"/>
          <x:cell r="H230">
            <x:v>165</x:v>
          </x:cell>
          <x:cell r="I230"/>
          <x:cell r="J230"/>
          <x:cell r="K230"/>
        </x:row>
        <x:row r="231">
          <x:cell r="A231">
            <x:v>230</x:v>
          </x:cell>
          <x:cell r="B231" t="str">
            <x:v>차한해</x:v>
          </x:cell>
          <x:cell r="C231"/>
          <x:cell r="D231" t="str">
            <x:v>못 본 척 동아리의 가로막기를 뚫고 본관 3층으로 이동하기</x:v>
          </x:cell>
          <x:cell r="E231" t="str">
            <x:v>전투 가능·비전투 콘텐츠</x:v>
          </x:cell>
          <x:cell r="F231">
            <x:v>380</x:v>
          </x:cell>
          <x:cell r="G231"/>
          <x:cell r="H231">
            <x:v>165</x:v>
          </x:cell>
          <x:cell r="I231"/>
          <x:cell r="J231"/>
          <x:cell r="K231"/>
        </x:row>
        <x:row r="232">
          <x:cell r="A232">
            <x:v>231</x:v>
          </x:cell>
          <x:cell r="B232" t="str">
            <x:v>차한해</x:v>
          </x:cell>
          <x:cell r="C232"/>
          <x:cell r="D232" t="str">
            <x:v>전학 직후 변혜서와 주고받은 연락 기록 확인하기</x:v>
          </x:cell>
          <x:cell r="E232" t="str">
            <x:v>전투 가능·비전투 콘텐츠</x:v>
          </x:cell>
          <x:cell r="F232">
            <x:v>380</x:v>
          </x:cell>
          <x:cell r="G232"/>
          <x:cell r="H232">
            <x:v>165</x:v>
          </x:cell>
          <x:cell r="I232"/>
          <x:cell r="J232"/>
          <x:cell r="K232"/>
        </x:row>
        <x:row r="233">
          <x:cell r="A233">
            <x:v>232</x:v>
          </x:cell>
          <x:cell r="B233" t="str">
            <x:v>차한해</x:v>
          </x:cell>
          <x:cell r="C233"/>
          <x:cell r="D233" t="str">
            <x:v>변혜서가 도움 요청 메시지를 지운 흔적 확인하기</x:v>
          </x:cell>
          <x:cell r="E233" t="str">
            <x:v>전투 가능·비전투 콘텐츠</x:v>
          </x:cell>
          <x:cell r="F233">
            <x:v>380</x:v>
          </x:cell>
          <x:cell r="G233"/>
          <x:cell r="H233">
            <x:v>165</x:v>
          </x:cell>
          <x:cell r="I233"/>
          <x:cell r="J233"/>
          <x:cell r="K233"/>
        </x:row>
        <x:row r="234">
          <x:cell r="A234">
            <x:v>233</x:v>
          </x:cell>
          <x:cell r="B234" t="str">
            <x:v>차한해</x:v>
          </x:cell>
          <x:cell r="C234"/>
          <x:cell r="D234" t="str">
            <x:v>성인이 된 변혜서의 불신과 이기적 선택 기록 확인하기</x:v>
          </x:cell>
          <x:cell r="E234" t="str">
            <x:v>전투 가능·비전투 콘텐츠</x:v>
          </x:cell>
          <x:cell r="F234">
            <x:v>380</x:v>
          </x:cell>
          <x:cell r="G234"/>
          <x:cell r="H234">
            <x:v>165</x:v>
          </x:cell>
          <x:cell r="I234"/>
          <x:cell r="J234"/>
          <x:cell r="K234"/>
        </x:row>
        <x:row r="235">
          <x:cell r="A235">
            <x:v>234</x:v>
          </x:cell>
          <x:cell r="B235" t="str">
            <x:v>차한해</x:v>
          </x:cell>
          <x:cell r="C235"/>
          <x:cell r="D235" t="str">
            <x:v>변혜서가 과거의 자신처럼 괴롭힘당한 아이를 외면한 마지막 선택 확인하기</x:v>
          </x:cell>
          <x:cell r="E235" t="str">
            <x:v>전투 가능·비전투 콘텐츠</x:v>
          </x:cell>
          <x:cell r="F235">
            <x:v>380</x:v>
          </x:cell>
          <x:cell r="G235"/>
          <x:cell r="H235">
            <x:v>165</x:v>
          </x:cell>
          <x:cell r="I235"/>
          <x:cell r="J235"/>
          <x:cell r="K235"/>
        </x:row>
        <x:row r="236">
          <x:cell r="A236">
            <x:v>235</x:v>
          </x:cell>
          <x:cell r="B236" t="str">
            <x:v>차한해</x:v>
          </x:cell>
          <x:cell r="C236"/>
          <x:cell r="D236" t="str">
            <x:v>변혜서의 교무실 체벌·상담 기록 대조하기</x:v>
          </x:cell>
          <x:cell r="E236" t="str">
            <x:v>전투 가능·비전투 콘텐츠</x:v>
          </x:cell>
          <x:cell r="F236">
            <x:v>380</x:v>
          </x:cell>
          <x:cell r="G236"/>
          <x:cell r="H236">
            <x:v>165</x:v>
          </x:cell>
          <x:cell r="I236"/>
          <x:cell r="J236"/>
          <x:cell r="K236"/>
        </x:row>
        <x:row r="237">
          <x:cell r="A237">
            <x:v>236</x:v>
          </x:cell>
          <x:cell r="B237" t="str">
            <x:v>차한해</x:v>
          </x:cell>
          <x:cell r="C237"/>
          <x:cell r="D237" t="str">
            <x:v>3반에서 들었대의 증원 호출을 막고 교탁 비밀칸 해제하기</x:v>
          </x:cell>
          <x:cell r="E237" t="str">
            <x:v>전투 가능·비전투 콘텐츠</x:v>
          </x:cell>
          <x:cell r="F237">
            <x:v>380</x:v>
          </x:cell>
          <x:cell r="G237"/>
          <x:cell r="H237">
            <x:v>165</x:v>
          </x:cell>
          <x:cell r="I237"/>
          <x:cell r="J237"/>
          <x:cell r="K237"/>
        </x:row>
        <x:row r="238">
          <x:cell r="A238">
            <x:v>237</x:v>
          </x:cell>
          <x:cell r="B238" t="str">
            <x:v>차한해</x:v>
          </x:cell>
          <x:cell r="C238"/>
          <x:cell r="D238" t="str">
            <x:v>차한해에게만 보랏빛으로 보이는 사랑의 매 회수·무기 등록하기</x:v>
          </x:cell>
          <x:cell r="E238" t="str">
            <x:v>전투 가능·비전투 콘텐츠</x:v>
          </x:cell>
          <x:cell r="F238">
            <x:v>380</x:v>
          </x:cell>
          <x:cell r="G238" t="str">
            <x:v>사랑의 매 +140</x:v>
          </x:cell>
          <x:cell r="H238">
            <x:v>165</x:v>
          </x:cell>
          <x:cell r="I238"/>
          <x:cell r="J238"/>
          <x:cell r="K238" t="str">
            <x:v>사랑의 매 +140·현장 회수 및 무기 등록 완료</x:v>
          </x:cell>
        </x:row>
        <x:row r="239">
          <x:cell r="A239">
            <x:v>238</x:v>
          </x:cell>
          <x:cell r="B239" t="str">
            <x:v>차한해</x:v>
          </x:cell>
          <x:cell r="C239"/>
          <x:cell r="D239" t="str">
            <x:v>보랏빛 사랑의 매로 기억 외피 공명 타격 시험하기</x:v>
          </x:cell>
          <x:cell r="E239" t="str">
            <x:v>전투 가능</x:v>
          </x:cell>
          <x:cell r="F239">
            <x:v>430</x:v>
          </x:cell>
          <x:cell r="G239"/>
          <x:cell r="H239">
            <x:v>165</x:v>
          </x:cell>
          <x:cell r="I239"/>
          <x:cell r="J239" t="str">
            <x:v>껍데기부터</x:v>
          </x:cell>
          <x:cell r="K239" t="str">
            <x:v>기본 공격력 430 / 스킬 : 공명 외피 파괴</x:v>
          </x:cell>
        </x:row>
        <x:row r="240">
          <x:cell r="A240">
            <x:v>239</x:v>
          </x:cell>
          <x:cell r="B240" t="str">
            <x:v>차한해</x:v>
          </x:cell>
          <x:cell r="C240"/>
          <x:cell r="D240" t="str">
            <x:v>한 명 빼고 전부의 포위망 속 왜곡된 변혜서 기억 판별하기</x:v>
          </x:cell>
          <x:cell r="E240" t="str">
            <x:v>무리 선도체·구역 보스 전투</x:v>
          </x:cell>
          <x:cell r="F240">
            <x:v>430</x:v>
          </x:cell>
          <x:cell r="G240"/>
          <x:cell r="H240">
            <x:v>165</x:v>
          </x:cell>
          <x:cell r="I240"/>
          <x:cell r="J240"/>
          <x:cell r="K240" t="str">
            <x:v>전투 수치 변화 없이 탐색·대화·이동 진행</x:v>
          </x:cell>
        </x:row>
        <x:row r="241">
          <x:cell r="A241">
            <x:v>240</x:v>
          </x:cell>
          <x:cell r="B241" t="str">
            <x:v>차한해</x:v>
          </x:cell>
          <x:cell r="C241"/>
          <x:cell r="D241" t="str">
            <x:v>그날의 오답노트의 거짓 닻을 깨고 강당 열쇠 찾기</x:v>
          </x:cell>
          <x:cell r="E241" t="str">
            <x:v>구역 보스 전투</x:v>
          </x:cell>
          <x:cell r="F241">
            <x:v>430</x:v>
          </x:cell>
          <x:cell r="G241"/>
          <x:cell r="H241">
            <x:v>165</x:v>
          </x:cell>
          <x:cell r="I241"/>
          <x:cell r="J241"/>
          <x:cell r="K241" t="str">
            <x:v>그날의 오답노트 2페이즈·강당 열쇠 획득</x:v>
          </x:cell>
        </x:row>
        <x:row r="242">
          <x:cell r="A242">
            <x:v>241</x:v>
          </x:cell>
          <x:cell r="B242" t="str">
            <x:v>차한해</x:v>
          </x:cell>
          <x:cell r="C242"/>
          <x:cell r="D242" t="str">
            <x:v>강당에 진입하기</x:v>
          </x:cell>
          <x:cell r="E242" t="str">
            <x:v>보스 전투</x:v>
          </x:cell>
          <x:cell r="F242">
            <x:v>430</x:v>
          </x:cell>
          <x:cell r="G242"/>
          <x:cell r="H242">
            <x:v>165</x:v>
          </x:cell>
          <x:cell r="I242"/>
          <x:cell r="J242"/>
          <x:cell r="K242" t="str">
            <x:v>보스 기믹 진행</x:v>
          </x:cell>
        </x:row>
        <x:row r="243">
          <x:cell r="A243">
            <x:v>242</x:v>
          </x:cell>
          <x:cell r="B243" t="str">
            <x:v>차한해</x:v>
          </x:cell>
          <x:cell r="C243"/>
          <x:cell r="D243" t="str">
            <x:v>체육관 매트로 매트 보호대 만들기</x:v>
          </x:cell>
          <x:cell r="E243" t="str">
            <x:v>보스 전투</x:v>
          </x:cell>
          <x:cell r="F243">
            <x:v>430</x:v>
          </x:cell>
          <x:cell r="G243"/>
          <x:cell r="H243">
            <x:v>165</x:v>
          </x:cell>
          <x:cell r="I243" t="str">
            <x:v>매트 보호대 +15</x:v>
          </x:cell>
          <x:cell r="J243"/>
          <x:cell r="K243" t="str">
            <x:v>매트 보호대 +15 / 스킬 : 현장 방어구 제작</x:v>
          </x:cell>
        </x:row>
        <x:row r="244">
          <x:cell r="A244">
            <x:v>243</x:v>
          </x:cell>
          <x:cell r="B244" t="str">
            <x:v>차한해</x:v>
          </x:cell>
          <x:cell r="C244"/>
          <x:cell r="D244" t="str">
            <x:v>차한해에게만 보랏빛으로 보이는 농구공의 공명 확인하기</x:v>
          </x:cell>
          <x:cell r="E244" t="str">
            <x:v>보스 전투</x:v>
          </x:cell>
          <x:cell r="F244">
            <x:v>430</x:v>
          </x:cell>
          <x:cell r="G244" t="str">
            <x:v>보랏빛 농구공 +120</x:v>
          </x:cell>
          <x:cell r="H244">
            <x:v>165</x:v>
          </x:cell>
          <x:cell r="I244"/>
          <x:cell r="J244"/>
          <x:cell r="K244" t="str">
            <x:v>보랏빛 농구공 +120</x:v>
          </x:cell>
        </x:row>
        <x:row r="245">
          <x:cell r="A245">
            <x:v>244</x:v>
          </x:cell>
          <x:cell r="B245" t="str">
            <x:v>차한해</x:v>
          </x:cell>
          <x:cell r="C245"/>
          <x:cell r="D245" t="str">
            <x:v>농구공의 투척 궤적 익히기</x:v>
          </x:cell>
          <x:cell r="E245" t="str">
            <x:v>보스 전투</x:v>
          </x:cell>
          <x:cell r="F245">
            <x:v>430</x:v>
          </x:cell>
          <x:cell r="G245"/>
          <x:cell r="H245">
            <x:v>165</x:v>
          </x:cell>
          <x:cell r="I245"/>
          <x:cell r="J245" t="str">
            <x:v>한 번 튕겨!</x:v>
          </x:cell>
          <x:cell r="K245" t="str">
            <x:v>스킬 : 반사 투척</x:v>
          </x:cell>
        </x:row>
        <x:row r="246">
          <x:cell r="A246">
            <x:v>245</x:v>
          </x:cell>
          <x:cell r="B246" t="str">
            <x:v>차한해</x:v>
          </x:cell>
          <x:cell r="C246"/>
          <x:cell r="D246" t="str">
            <x:v>별을 삼킨 강당 안에서 변혜서의 별 모양 우정 목걸이 펜던트 심장 확인하기</x:v>
          </x:cell>
          <x:cell r="E246" t="str">
            <x:v>보스 전투</x:v>
          </x:cell>
          <x:cell r="F246">
            <x:v>430</x:v>
          </x:cell>
          <x:cell r="G246"/>
          <x:cell r="H246">
            <x:v>165</x:v>
          </x:cell>
          <x:cell r="I246"/>
          <x:cell r="J246"/>
          <x:cell r="K246" t="str">
            <x:v>보스 기믹 진행</x:v>
          </x:cell>
        </x:row>
        <x:row r="247">
          <x:cell r="A247">
            <x:v>246</x:v>
          </x:cell>
          <x:cell r="B247" t="str">
            <x:v>차한해</x:v>
          </x:cell>
          <x:cell r="C247"/>
          <x:cell r="D247" t="str">
            <x:v>사랑의 매로 변혜서의 괴물 외피 방어막 깨기</x:v>
          </x:cell>
          <x:cell r="E247" t="str">
            <x:v>보스 전투</x:v>
          </x:cell>
          <x:cell r="F247">
            <x:v>430</x:v>
          </x:cell>
          <x:cell r="G247"/>
          <x:cell r="H247">
            <x:v>165</x:v>
          </x:cell>
          <x:cell r="I247"/>
          <x:cell r="J247"/>
          <x:cell r="K247"/>
        </x:row>
        <x:row r="248">
          <x:cell r="A248">
            <x:v>247</x:v>
          </x:cell>
          <x:cell r="B248" t="str">
            <x:v>차한해</x:v>
          </x:cell>
          <x:cell r="C248"/>
          <x:cell r="D248" t="str">
            <x:v>농구공으로 변혜서의 기억 개입 패턴 끊기</x:v>
          </x:cell>
          <x:cell r="E248" t="str">
            <x:v>보스 전투</x:v>
          </x:cell>
          <x:cell r="F248">
            <x:v>430</x:v>
          </x:cell>
          <x:cell r="G248"/>
          <x:cell r="H248">
            <x:v>165</x:v>
          </x:cell>
          <x:cell r="I248"/>
          <x:cell r="J248"/>
          <x:cell r="K248"/>
        </x:row>
        <x:row r="249">
          <x:cell r="A249">
            <x:v>248</x:v>
          </x:cell>
          <x:cell r="B249" t="str">
            <x:v>차한해</x:v>
          </x:cell>
          <x:cell r="C249"/>
          <x:cell r="D249" t="str">
            <x:v>튕겨 나온 농구공 회수하기</x:v>
          </x:cell>
          <x:cell r="E249" t="str">
            <x:v>보스 전투</x:v>
          </x:cell>
          <x:cell r="F249">
            <x:v>430</x:v>
          </x:cell>
          <x:cell r="G249"/>
          <x:cell r="H249">
            <x:v>165</x:v>
          </x:cell>
          <x:cell r="I249"/>
          <x:cell r="J249"/>
          <x:cell r="K249"/>
        </x:row>
        <x:row r="250">
          <x:cell r="A250">
            <x:v>249</x:v>
          </x:cell>
          <x:cell r="B250" t="str">
            <x:v>차한해</x:v>
          </x:cell>
          <x:cell r="C250"/>
          <x:cell r="D250" t="str">
            <x:v>별을 삼킨 강당가 변혜서임을 확정하고 선의 안정 장치 발동 견디기</x:v>
          </x:cell>
          <x:cell r="E250" t="str">
            <x:v>보스 전투</x:v>
          </x:cell>
          <x:cell r="F250">
            <x:v>470</x:v>
          </x:cell>
          <x:cell r="G250"/>
          <x:cell r="H250">
            <x:v>165</x:v>
          </x:cell>
          <x:cell r="I250"/>
          <x:cell r="J250" t="str">
            <x:v>바꿔가며!</x:v>
          </x:cell>
          <x:cell r="K250" t="str">
            <x:v>선의 안정 장치 1회 소진·자아마모 수치는 유지하고 입력 흔들림 10초 완화</x:v>
          </x:cell>
        </x:row>
        <x:row r="251">
          <x:cell r="A251">
            <x:v>250</x:v>
          </x:cell>
          <x:cell r="B251" t="str">
            <x:v>차한해</x:v>
          </x:cell>
          <x:cell r="C251"/>
          <x:cell r="D251" t="str">
            <x:v>안정 앰플로 화면 간섭을 완화하고 변혜서에게 공격 멈추기</x:v>
          </x:cell>
          <x:cell r="E251" t="str">
            <x:v>보스 전투</x:v>
          </x:cell>
          <x:cell r="F251">
            <x:v>470</x:v>
          </x:cell>
          <x:cell r="G251"/>
          <x:cell r="H251">
            <x:v>165</x:v>
          </x:cell>
          <x:cell r="I251"/>
          <x:cell r="J251"/>
          <x:cell r="K251" t="str">
            <x:v>안정 앰플 1개 사용·자아마모 수치는 유지하고 UI 간섭 8초 완화</x:v>
          </x:cell>
        </x:row>
        <x:row r="252">
          <x:cell r="A252">
            <x:v>251</x:v>
          </x:cell>
          <x:cell r="B252" t="str">
            <x:v>차한해</x:v>
          </x:cell>
          <x:cell r="C252"/>
          <x:cell r="D252" t="str">
            <x:v>장화와 보호대가 파손되는 충격을 버티며 변혜서에게 다가가기</x:v>
          </x:cell>
          <x:cell r="E252" t="str">
            <x:v>보스 전투</x:v>
          </x:cell>
          <x:cell r="F252">
            <x:v>470</x:v>
          </x:cell>
          <x:cell r="G252"/>
          <x:cell r="H252">
            <x:v>180</x:v>
          </x:cell>
          <x:cell r="I252" t="str">
            <x:v>철판 보호대 파손 : 사용 불가
매트 보호대 파손 : 사용 불가</x:v>
          </x:cell>
          <x:cell r="J252"/>
          <x:cell r="K252" t="str">
            <x:v>기본 방어력 180 / 철판 보호대 파손 : 사용 불가 · 매트 보호대 파손 : 사용 불가</x:v>
          </x:cell>
        </x:row>
        <x:row r="253">
          <x:cell r="A253">
            <x:v>252</x:v>
          </x:cell>
          <x:cell r="B253" t="str">
            <x:v>차한해</x:v>
          </x:cell>
          <x:cell r="C253"/>
          <x:cell r="D253" t="str">
            <x:v>무기를 내려놓고 변혜서를 포옹하기</x:v>
          </x:cell>
          <x:cell r="E253" t="str">
            <x:v>보스 전투</x:v>
          </x:cell>
          <x:cell r="F253">
            <x:v>470</x:v>
          </x:cell>
          <x:cell r="G253"/>
          <x:cell r="H253">
            <x:v>180</x:v>
          </x:cell>
          <x:cell r="I253"/>
          <x:cell r="J253"/>
          <x:cell r="K253" t="str">
            <x:v>보스 기믹 진행</x:v>
          </x:cell>
        </x:row>
        <x:row r="254">
          <x:cell r="A254">
            <x:v>253</x:v>
          </x:cell>
          <x:cell r="B254" t="str">
            <x:v>차한해</x:v>
          </x:cell>
          <x:cell r="C254"/>
          <x:cell r="D254" t="str">
            <x:v>괴물 껍데기 안에서 잠깐 돌아온 변혜서의 인간 모습 확인하기</x:v>
          </x:cell>
          <x:cell r="E254" t="str">
            <x:v>보스 전투</x:v>
          </x:cell>
          <x:cell r="F254">
            <x:v>470</x:v>
          </x:cell>
          <x:cell r="G254"/>
          <x:cell r="H254">
            <x:v>180</x:v>
          </x:cell>
          <x:cell r="I254"/>
          <x:cell r="J254"/>
          <x:cell r="K254"/>
        </x:row>
        <x:row r="255">
          <x:cell r="A255">
            <x:v>254</x:v>
          </x:cell>
          <x:cell r="B255" t="str">
            <x:v>차한해</x:v>
          </x:cell>
          <x:cell r="C255"/>
          <x:cell r="D255" t="str">
            <x:v>변혜서의 ‘구해줘서 고마워’라는 마지막 말 듣기</x:v>
          </x:cell>
          <x:cell r="E255" t="str">
            <x:v>보스 전투</x:v>
          </x:cell>
          <x:cell r="F255">
            <x:v>470</x:v>
          </x:cell>
          <x:cell r="G255"/>
          <x:cell r="H255">
            <x:v>180</x:v>
          </x:cell>
          <x:cell r="I255"/>
          <x:cell r="J255"/>
          <x:cell r="K255"/>
        </x:row>
        <x:row r="256">
          <x:cell r="A256">
            <x:v>255</x:v>
          </x:cell>
          <x:cell r="B256" t="str">
            <x:v>차한해</x:v>
          </x:cell>
          <x:cell r="C256"/>
          <x:cell r="D256" t="str">
            <x:v>소멸하는 변혜서를 끌어안고 보내주기</x:v>
          </x:cell>
          <x:cell r="E256" t="str">
            <x:v>보스 전투</x:v>
          </x:cell>
          <x:cell r="F256">
            <x:v>470</x:v>
          </x:cell>
          <x:cell r="G256"/>
          <x:cell r="H256">
            <x:v>180</x:v>
          </x:cell>
          <x:cell r="I256"/>
          <x:cell r="J256"/>
          <x:cell r="K256"/>
        </x:row>
        <x:row r="257">
          <x:cell r="A257">
            <x:v>256</x:v>
          </x:cell>
          <x:cell r="B257" t="str">
            <x:v>차한해</x:v>
          </x:cell>
          <x:cell r="C257"/>
          <x:cell r="D257" t="str">
            <x:v>폐교에서 탈출하기</x:v>
          </x:cell>
          <x:cell r="E257" t="str">
            <x:v>전투 가능·비전투 콘텐츠</x:v>
          </x:cell>
          <x:cell r="F257">
            <x:v>470</x:v>
          </x:cell>
          <x:cell r="G257"/>
          <x:cell r="H257">
            <x:v>180</x:v>
          </x:cell>
          <x:cell r="I257"/>
          <x:cell r="J257"/>
          <x:cell r="K257" t="str">
            <x:v>전투 수치 변화 없이 탐색·대화·이동 진행</x:v>
          </x:cell>
        </x:row>
        <x:row r="258">
          <x:cell r="A258">
            <x:v>257</x:v>
          </x:cell>
          <x:cell r="B258" t="str">
            <x:v>차한해</x:v>
          </x:cell>
          <x:cell r="C258"/>
          <x:cell r="D258" t="str">
            <x:v>관리국에 귀환 보고하기</x:v>
          </x:cell>
          <x:cell r="E258" t="str">
            <x:v>전투 가능·비전투 콘텐츠</x:v>
          </x:cell>
          <x:cell r="F258">
            <x:v>470</x:v>
          </x:cell>
          <x:cell r="G258"/>
          <x:cell r="H258">
            <x:v>180</x:v>
          </x:cell>
          <x:cell r="I258"/>
          <x:cell r="J258"/>
          <x:cell r="K258"/>
        </x:row>
        <x:row r="259">
          <x:cell r="A259">
            <x:v>258</x:v>
          </x:cell>
          <x:cell r="B259" t="str">
            <x:v>차한해</x:v>
          </x:cell>
          <x:cell r="C259"/>
          <x:cell r="D259" t="str">
            <x:v>폐교 친구의 기록으로 괴물이 인간 변이체임을 공식 확인하기</x:v>
          </x:cell>
          <x:cell r="E259" t="str">
            <x:v>전투 가능</x:v>
          </x:cell>
          <x:cell r="F259">
            <x:v>470</x:v>
          </x:cell>
          <x:cell r="G259"/>
          <x:cell r="H259">
            <x:v>180</x:v>
          </x:cell>
          <x:cell r="I259"/>
          <x:cell r="J259"/>
          <x:cell r="K259" t="str">
            <x:v>현재 전투 숙련·장비 상태 적용</x:v>
          </x:cell>
        </x:row>
        <x:row r="260">
          <x:cell r="A260">
            <x:v>259</x:v>
          </x:cell>
          <x:cell r="B260" t="str">
            <x:v>차한해</x:v>
          </x:cell>
          <x:cell r="C260"/>
          <x:cell r="D260" t="str">
            <x:v>클릭헌터의 ‘균열 안으로 들어가겠다’는 예고 방송 확인하기</x:v>
          </x:cell>
          <x:cell r="E260" t="str">
            <x:v>전투 가능·비전투 콘텐츠</x:v>
          </x:cell>
          <x:cell r="F260">
            <x:v>470</x:v>
          </x:cell>
          <x:cell r="G260"/>
          <x:cell r="H260">
            <x:v>180</x:v>
          </x:cell>
          <x:cell r="I260"/>
          <x:cell r="J260"/>
          <x:cell r="K260" t="str">
            <x:v>전투 수치 변화 없이 탐색·대화·이동 진행</x:v>
          </x:cell>
        </x:row>
        <x:row r="261">
          <x:cell r="A261">
            <x:v>260</x:v>
          </x:cell>
          <x:cell r="B261" t="str">
            <x:v>차한해</x:v>
          </x:cell>
          <x:cell r="C261"/>
          <x:cell r="D261" t="str">
            <x:v>삼각대 생방송을 남기고 균열로 들어가는 클릭헌터 지켜보기</x:v>
          </x:cell>
          <x:cell r="E261" t="str">
            <x:v>전투 가능·비전투 콘텐츠</x:v>
          </x:cell>
          <x:cell r="F261">
            <x:v>470</x:v>
          </x:cell>
          <x:cell r="G261"/>
          <x:cell r="H261">
            <x:v>180</x:v>
          </x:cell>
          <x:cell r="I261"/>
          <x:cell r="J261"/>
          <x:cell r="K261"/>
        </x:row>
        <x:row r="262">
          <x:cell r="A262">
            <x:v>261</x:v>
          </x:cell>
          <x:cell r="B262" t="str">
            <x:v>차한해</x:v>
          </x:cell>
          <x:cell r="C262"/>
          <x:cell r="D262" t="str">
            <x:v>클릭헌터의 선의 수치가 96에서 0으로 떨어지는 장면 확인하기</x:v>
          </x:cell>
          <x:cell r="E262" t="str">
            <x:v>전투 가능·비전투 콘텐츠</x:v>
          </x:cell>
          <x:cell r="F262">
            <x:v>470</x:v>
          </x:cell>
          <x:cell r="G262"/>
          <x:cell r="H262">
            <x:v>180</x:v>
          </x:cell>
          <x:cell r="I262"/>
          <x:cell r="J262"/>
          <x:cell r="K262"/>
        </x:row>
        <x:row r="263">
          <x:cell r="A263">
            <x:v>262</x:v>
          </x:cell>
          <x:cell r="B263" t="str">
            <x:v>차한해</x:v>
          </x:cell>
          <x:cell r="C263"/>
          <x:cell r="D263" t="str">
            <x:v>클릭헌터가 비인간형 ‘조회수는 못 참지’로 변이해 튀어나오는 장면 확인하기</x:v>
          </x:cell>
          <x:cell r="E263" t="str">
            <x:v>전투 가능</x:v>
          </x:cell>
          <x:cell r="F263">
            <x:v>470</x:v>
          </x:cell>
          <x:cell r="G263"/>
          <x:cell r="H263">
            <x:v>180</x:v>
          </x:cell>
          <x:cell r="I263"/>
          <x:cell r="J263"/>
          <x:cell r="K263" t="str">
            <x:v>현재 전투 숙련·장비 상태 적용</x:v>
          </x:cell>
        </x:row>
        <x:row r="264">
          <x:cell r="A264">
            <x:v>263</x:v>
          </x:cell>
          <x:cell r="B264" t="str">
            <x:v>차한해</x:v>
          </x:cell>
          <x:cell r="C264"/>
          <x:cell r="D264" t="str">
            <x:v>선의 수치 836 청년이 주도한 차한해 균열 진입 요구 성명 듣기</x:v>
          </x:cell>
          <x:cell r="E264" t="str">
            <x:v>전투 가능·비전투 콘텐츠</x:v>
          </x:cell>
          <x:cell r="F264">
            <x:v>470</x:v>
          </x:cell>
          <x:cell r="G264"/>
          <x:cell r="H264">
            <x:v>180</x:v>
          </x:cell>
          <x:cell r="I264"/>
          <x:cell r="J264"/>
          <x:cell r="K264" t="str">
            <x:v>전투 수치 변화 없이 탐색·대화·이동 진행</x:v>
          </x:cell>
        </x:row>
        <x:row r="265">
          <x:cell r="A265">
            <x:v>264</x:v>
          </x:cell>
          <x:cell r="B265" t="str">
            <x:v>차한해</x:v>
          </x:cell>
          <x:cell r="C265"/>
          <x:cell r="D265" t="str">
            <x:v>폭력시위단체의 ‘괴물이 되더라도 들어가라’는 선동 확인하기</x:v>
          </x:cell>
          <x:cell r="E265" t="str">
            <x:v>전투 가능</x:v>
          </x:cell>
          <x:cell r="F265">
            <x:v>470</x:v>
          </x:cell>
          <x:cell r="G265"/>
          <x:cell r="H265">
            <x:v>180</x:v>
          </x:cell>
          <x:cell r="I265"/>
          <x:cell r="J265"/>
          <x:cell r="K265" t="str">
            <x:v>현재 전투 숙련·장비 상태 적용</x:v>
          </x:cell>
        </x:row>
        <x:row r="266">
          <x:cell r="A266">
            <x:v>265</x:v>
          </x:cell>
          <x:cell r="B266" t="str">
            <x:v>차한해</x:v>
          </x:cell>
          <x:cell r="C266"/>
          <x:cell r="D266" t="str">
            <x:v>연구시설에 침투해 ‘권한이 없습니다’를 제압하고 접근 도구 회수하기</x:v>
          </x:cell>
          <x:cell r="E266" t="str">
            <x:v>강화 변이체 전투</x:v>
          </x:cell>
          <x:cell r="F266">
            <x:v>470</x:v>
          </x:cell>
          <x:cell r="G266"/>
          <x:cell r="H266">
            <x:v>180</x:v>
          </x:cell>
          <x:cell r="I266"/>
          <x:cell r="J266"/>
          <x:cell r="K266" t="str">
            <x:v>권한이 없습니다 제압·연구실 최고 권한 키카드·보안 요원 생체 인증 모듈 회수</x:v>
          </x:cell>
        </x:row>
        <x:row r="267">
          <x:cell r="A267">
            <x:v>266</x:v>
          </x:cell>
          <x:cell r="B267" t="str">
            <x:v>차한해</x:v>
          </x:cell>
          <x:cell r="C267"/>
          <x:cell r="D267" t="str">
            <x:v>키카드와 생체 인증 모듈로 보안문 2개를 열고 이용익 비리 공개 여부 선택하기</x:v>
          </x:cell>
          <x:cell r="E267" t="str">
            <x:v>선택 콘텐츠·접근 도구 사용</x:v>
          </x:cell>
          <x:cell r="F267">
            <x:v>470</x:v>
          </x:cell>
          <x:cell r="G267"/>
          <x:cell r="H267">
            <x:v>180</x:v>
          </x:cell>
          <x:cell r="I267"/>
          <x:cell r="J267"/>
          <x:cell r="K267" t="str">
            <x:v>보안문 2개 해제·이용익 비리 공개 여부 선택</x:v>
          </x:cell>
        </x:row>
        <x:row r="268">
          <x:cell r="A268">
            <x:v>267</x:v>
          </x:cell>
          <x:cell r="B268" t="str">
            <x:v>차한해</x:v>
          </x:cell>
          <x:cell r="C268"/>
          <x:cell r="D268" t="str">
            <x:v>강재한의 희생 촉구 시위대에 포위되기</x:v>
          </x:cell>
          <x:cell r="E268" t="str">
            <x:v>전투 가능·비전투 콘텐츠</x:v>
          </x:cell>
          <x:cell r="F268">
            <x:v>470</x:v>
          </x:cell>
          <x:cell r="G268"/>
          <x:cell r="H268">
            <x:v>180</x:v>
          </x:cell>
          <x:cell r="I268"/>
          <x:cell r="J268"/>
          <x:cell r="K268"/>
        </x:row>
        <x:row r="269">
          <x:cell r="A269">
            <x:v>268</x:v>
          </x:cell>
          <x:cell r="B269" t="str">
            <x:v>차한해</x:v>
          </x:cell>
          <x:cell r="C269"/>
          <x:cell r="D269" t="str">
            <x:v>차우선과 마지막으로 대면하기</x:v>
          </x:cell>
          <x:cell r="E269" t="str">
            <x:v>전투 가능·비전투 콘텐츠</x:v>
          </x:cell>
          <x:cell r="F269">
            <x:v>470</x:v>
          </x:cell>
          <x:cell r="G269"/>
          <x:cell r="H269">
            <x:v>180</x:v>
          </x:cell>
          <x:cell r="I269"/>
          <x:cell r="J269"/>
          <x:cell r="K269"/>
        </x:row>
        <x:row r="270">
          <x:cell r="A270">
            <x:v>269</x:v>
          </x:cell>
          <x:cell r="B270" t="str">
            <x:v>차한해</x:v>
          </x:cell>
          <x:cell r="C270"/>
          <x:cell r="D270" t="str">
            <x:v>나대진의 단독 탈출 계획 듣기</x:v>
          </x:cell>
          <x:cell r="E270" t="str">
            <x:v>전투 가능·비전투 콘텐츠</x:v>
          </x:cell>
          <x:cell r="F270">
            <x:v>470</x:v>
          </x:cell>
          <x:cell r="G270"/>
          <x:cell r="H270">
            <x:v>180</x:v>
          </x:cell>
          <x:cell r="I270"/>
          <x:cell r="J270"/>
          <x:cell r="K270"/>
        </x:row>
        <x:row r="271">
          <x:cell r="A271">
            <x:v>270</x:v>
          </x:cell>
          <x:cell r="B271" t="str">
            <x:v>차한해</x:v>
          </x:cell>
          <x:cell r="C271"/>
          <x:cell r="D271" t="str">
            <x:v>나대진에게 공명 보호 외투와 강화 전투화 수령하기</x:v>
          </x:cell>
          <x:cell r="E271" t="str">
            <x:v>전투 가능</x:v>
          </x:cell>
          <x:cell r="F271">
            <x:v>470</x:v>
          </x:cell>
          <x:cell r="G271"/>
          <x:cell r="H271">
            <x:v>180</x:v>
          </x:cell>
          <x:cell r="I271" t="str">
            <x:v>오염 차단 전신복 해제 : +35 → 0
공명 보호 외투 +30
고밀도 충격 흡수 장화 해제 : +10 → 0
강화 전투화 +20</x:v>
          </x:cell>
          <x:cell r="J271"/>
          <x:cell r="K271" t="str">
            <x:v>심층 탐사 장비를 최종 균열 장비로 교체</x:v>
          </x:cell>
        </x:row>
        <x:row r="272">
          <x:cell r="A272">
            <x:v>271</x:v>
          </x:cell>
          <x:cell r="B272" t="str">
            <x:v>차한해</x:v>
          </x:cell>
          <x:cell r="C272"/>
          <x:cell r="D272" t="str">
            <x:v>강요된 균열 진입을 받아들이고 최종 출동하기</x:v>
          </x:cell>
          <x:cell r="E272" t="str">
            <x:v>전투 가능·비전투 콘텐츠</x:v>
          </x:cell>
          <x:cell r="F272">
            <x:v>470</x:v>
          </x:cell>
          <x:cell r="G272"/>
          <x:cell r="H272">
            <x:v>180</x:v>
          </x:cell>
          <x:cell r="I272"/>
          <x:cell r="J272"/>
          <x:cell r="K272" t="str">
            <x:v>전투 수치 변화 없이 탐색·대화·이동 진행</x:v>
          </x:cell>
        </x:row>
        <x:row r="273">
          <x:cell r="A273">
            <x:v>272</x:v>
          </x:cell>
          <x:cell r="B273" t="str">
            <x:v>차한해</x:v>
          </x:cell>
          <x:cell r="C273"/>
          <x:cell r="D273" t="str">
            <x:v>균열 중심부로 이동하기</x:v>
          </x:cell>
          <x:cell r="E273" t="str">
            <x:v>전투 가능·비전투 콘텐츠</x:v>
          </x:cell>
          <x:cell r="F273">
            <x:v>470</x:v>
          </x:cell>
          <x:cell r="G273"/>
          <x:cell r="H273">
            <x:v>180</x:v>
          </x:cell>
          <x:cell r="I273"/>
          <x:cell r="J273"/>
          <x:cell r="K273"/>
        </x:row>
        <x:row r="274">
          <x:cell r="A274">
            <x:v>273</x:v>
          </x:cell>
          <x:cell r="B274" t="str">
            <x:v>차한해</x:v>
          </x:cell>
          <x:cell r="C274"/>
          <x:cell r="D274" t="str">
            <x:v>균열 내부에 진입하기</x:v>
          </x:cell>
          <x:cell r="E274" t="str">
            <x:v>전투 가능·비전투 콘텐츠</x:v>
          </x:cell>
          <x:cell r="F274">
            <x:v>470</x:v>
          </x:cell>
          <x:cell r="G274"/>
          <x:cell r="H274">
            <x:v>180</x:v>
          </x:cell>
          <x:cell r="I274"/>
          <x:cell r="J274"/>
          <x:cell r="K274"/>
        </x:row>
        <x:row r="275">
          <x:cell r="A275">
            <x:v>274</x:v>
          </x:cell>
          <x:cell r="B275" t="str">
            <x:v>차한해</x:v>
          </x:cell>
          <x:cell r="C275"/>
          <x:cell r="D275" t="str">
            <x:v>조회수는 못 참지의 비난 파동을 피하며 클릭헌터의 삼각대와 소지품 조사하기</x:v>
          </x:cell>
          <x:cell r="E275" t="str">
            <x:v>전투 가능·비전투 콘텐츠</x:v>
          </x:cell>
          <x:cell r="F275">
            <x:v>470</x:v>
          </x:cell>
          <x:cell r="G275"/>
          <x:cell r="H275">
            <x:v>180</x:v>
          </x:cell>
          <x:cell r="I275"/>
          <x:cell r="J275"/>
          <x:cell r="K275"/>
        </x:row>
        <x:row r="276">
          <x:cell r="A276">
            <x:v>275</x:v>
          </x:cell>
          <x:cell r="B276" t="str">
            <x:v>차한해</x:v>
          </x:cell>
          <x:cell r="C276"/>
          <x:cell r="D276" t="str">
            <x:v>네 탓 택배의 피해 전가를 끊고 거울 미로 진입하기</x:v>
          </x:cell>
          <x:cell r="E276" t="str">
            <x:v>전투 가능·비전투 콘텐츠</x:v>
          </x:cell>
          <x:cell r="F276">
            <x:v>470</x:v>
          </x:cell>
          <x:cell r="G276"/>
          <x:cell r="H276">
            <x:v>180</x:v>
          </x:cell>
          <x:cell r="I276"/>
          <x:cell r="J276"/>
          <x:cell r="K276"/>
        </x:row>
        <x:row r="277">
          <x:cell r="A277">
            <x:v>276</x:v>
          </x:cell>
          <x:cell r="B277" t="str">
            <x:v>차한해</x:v>
          </x:cell>
          <x:cell r="C277"/>
          <x:cell r="D277" t="str">
            <x:v>공명 보호 외투와 강화 전투화로 납작 엎드려의 속박을 풀며 상하좌우 반전 통로 이동하기</x:v>
          </x:cell>
          <x:cell r="E277" t="str">
            <x:v>전투 가능·비전투 콘텐츠</x:v>
          </x:cell>
          <x:cell r="F277">
            <x:v>470</x:v>
          </x:cell>
          <x:cell r="G277"/>
          <x:cell r="H277">
            <x:v>180</x:v>
          </x:cell>
          <x:cell r="I277"/>
          <x:cell r="J277"/>
          <x:cell r="K277"/>
        </x:row>
        <x:row r="278">
          <x:cell r="A278">
            <x:v>277</x:v>
          </x:cell>
          <x:cell r="B278" t="str">
            <x:v>차한해</x:v>
          </x:cell>
          <x:cell r="C278"/>
          <x:cell r="D278" t="str">
            <x:v>아직도 안 구했어?의 연속 돌진을 피하며 비난의 거울 깨뜨리기</x:v>
          </x:cell>
          <x:cell r="E278" t="str">
            <x:v>전투 가능·비전투 콘텐츠</x:v>
          </x:cell>
          <x:cell r="F278">
            <x:v>470</x:v>
          </x:cell>
          <x:cell r="G278"/>
          <x:cell r="H278">
            <x:v>180</x:v>
          </x:cell>
          <x:cell r="I278"/>
          <x:cell r="J278"/>
          <x:cell r="K278"/>
        </x:row>
        <x:row r="279">
          <x:cell r="A279">
            <x:v>278</x:v>
          </x:cell>
          <x:cell r="B279" t="str">
            <x:v>차한해</x:v>
          </x:cell>
          <x:cell r="C279"/>
          <x:cell r="D279" t="str">
            <x:v>차한해의 모습으로 나타난 또 다른 차한해와 마주하기</x:v>
          </x:cell>
          <x:cell r="E279" t="str">
            <x:v>전투 가능·비전투 콘텐츠</x:v>
          </x:cell>
          <x:cell r="F279">
            <x:v>470</x:v>
          </x:cell>
          <x:cell r="G279"/>
          <x:cell r="H279">
            <x:v>180</x:v>
          </x:cell>
          <x:cell r="I279"/>
          <x:cell r="J279"/>
          <x:cell r="K279"/>
        </x:row>
        <x:row r="280">
          <x:cell r="A280">
            <x:v>279</x:v>
          </x:cell>
          <x:cell r="B280" t="str">
            <x:v>차한해</x:v>
          </x:cell>
          <x:cell r="C280"/>
          <x:cell r="D280" t="str">
            <x:v>너만 할 수 있대의 구호를 끊고 ‘네가 사라지면 모두가 편하다’는 목소리 부정하기</x:v>
          </x:cell>
          <x:cell r="E280" t="str">
            <x:v>전투 가능·비전투 콘텐츠</x:v>
          </x:cell>
          <x:cell r="F280">
            <x:v>470</x:v>
          </x:cell>
          <x:cell r="G280"/>
          <x:cell r="H280">
            <x:v>180</x:v>
          </x:cell>
          <x:cell r="I280"/>
          <x:cell r="J280"/>
          <x:cell r="K280"/>
        </x:row>
        <x:row r="281">
          <x:cell r="A281">
            <x:v>280</x:v>
          </x:cell>
          <x:cell r="B281" t="str">
            <x:v>차한해</x:v>
          </x:cell>
          <x:cell r="C281"/>
          <x:cell r="D281" t="str">
            <x:v>강화 전투화로 딱 한 명이면 돼의 양면 압박을 버티며 공간 도약 통로 통과하기</x:v>
          </x:cell>
          <x:cell r="E281" t="str">
            <x:v>전투 가능·비전투 콘텐츠</x:v>
          </x:cell>
          <x:cell r="F281">
            <x:v>470</x:v>
          </x:cell>
          <x:cell r="G281"/>
          <x:cell r="H281">
            <x:v>180</x:v>
          </x:cell>
          <x:cell r="I281"/>
          <x:cell r="J281"/>
          <x:cell r="K281"/>
        </x:row>
        <x:row r="282">
          <x:cell r="A282">
            <x:v>281</x:v>
          </x:cell>
          <x:cell r="B282" t="str">
            <x:v>차한해</x:v>
          </x:cell>
          <x:cell r="C282"/>
          <x:cell r="D282" t="str">
            <x:v>사람들의 껍데기로 뒤덮인 바다 같은 공간 확인하기</x:v>
          </x:cell>
          <x:cell r="E282" t="str">
            <x:v>전투 가능·비전투 콘텐츠</x:v>
          </x:cell>
          <x:cell r="F282">
            <x:v>470</x:v>
          </x:cell>
          <x:cell r="G282"/>
          <x:cell r="H282">
            <x:v>180</x:v>
          </x:cell>
          <x:cell r="I282"/>
          <x:cell r="J282"/>
          <x:cell r="K282"/>
        </x:row>
        <x:row r="283">
          <x:cell r="A283">
            <x:v>282</x:v>
          </x:cell>
          <x:cell r="B283" t="str">
            <x:v>차한해</x:v>
          </x:cell>
          <x:cell r="C283"/>
          <x:cell r="D283" t="str">
            <x:v>굳어진 균열 결정으로 이루어진 중심 섬으로 이동하기</x:v>
          </x:cell>
          <x:cell r="E283" t="str">
            <x:v>전투 가능·비전투 콘텐츠</x:v>
          </x:cell>
          <x:cell r="F283">
            <x:v>470</x:v>
          </x:cell>
          <x:cell r="G283"/>
          <x:cell r="H283">
            <x:v>180</x:v>
          </x:cell>
          <x:cell r="I283"/>
          <x:cell r="J283"/>
          <x:cell r="K283"/>
        </x:row>
        <x:row r="284">
          <x:cell r="A284">
            <x:v>283</x:v>
          </x:cell>
          <x:cell r="B284" t="str">
            <x:v>차한해</x:v>
          </x:cell>
          <x:cell r="C284"/>
          <x:cell r="D284" t="str">
            <x:v>정예 균열 수호체 ‘선의 압류관’과 전투 치르기</x:v>
          </x:cell>
          <x:cell r="E284" t="str">
            <x:v>정예 전투</x:v>
          </x:cell>
          <x:cell r="F284">
            <x:v>520</x:v>
          </x:cell>
          <x:cell r="G284"/>
          <x:cell r="H284">
            <x:v>200</x:v>
          </x:cell>
          <x:cell r="I284"/>
          <x:cell r="J284"/>
          <x:cell r="K284" t="str">
            <x:v>기본 공격력 520 / 기본 방어력 200 / 스킬 : 안전 구역 확보</x:v>
          </x:cell>
        </x:row>
        <x:row r="285">
          <x:cell r="A285">
            <x:v>284</x:v>
          </x:cell>
          <x:cell r="B285" t="str">
            <x:v>차한해</x:v>
          </x:cell>
          <x:cell r="C285"/>
          <x:cell r="D285" t="str">
            <x:v>중심 섬의 너만 무한이잖아와 마주하기</x:v>
          </x:cell>
          <x:cell r="E285" t="str">
            <x:v>보스 전투</x:v>
          </x:cell>
          <x:cell r="F285">
            <x:v>520</x:v>
          </x:cell>
          <x:cell r="G285"/>
          <x:cell r="H285">
            <x:v>200</x:v>
          </x:cell>
          <x:cell r="I285"/>
          <x:cell r="J285"/>
          <x:cell r="K285" t="str">
            <x:v>보스 기믹 진행</x:v>
          </x:cell>
        </x:row>
        <x:row r="286">
          <x:cell r="A286">
            <x:v>285</x:v>
          </x:cell>
          <x:cell r="B286" t="str">
            <x:v>차한해</x:v>
          </x:cell>
          <x:cell r="C286"/>
          <x:cell r="D286" t="str">
            <x:v>너만 무한이잖아의 등급 배정 규칙 무효화하기</x:v>
          </x:cell>
          <x:cell r="E286" t="str">
            <x:v>보스 전투</x:v>
          </x:cell>
          <x:cell r="F286">
            <x:v>520</x:v>
          </x:cell>
          <x:cell r="G286"/>
          <x:cell r="H286">
            <x:v>200</x:v>
          </x:cell>
          <x:cell r="I286"/>
          <x:cell r="J286" t="str">
            <x:v>등급? 됐거든.</x:v>
          </x:cell>
          <x:cell r="K286" t="str">
            <x:v>스킬: 등급 규칙 무효화</x:v>
          </x:cell>
        </x:row>
        <x:row r="287">
          <x:cell r="A287">
            <x:v>286</x:v>
          </x:cell>
          <x:cell r="B287" t="str">
            <x:v>차한해</x:v>
          </x:cell>
          <x:cell r="C287"/>
          <x:cell r="D287" t="str">
            <x:v>시민·동료에게 부여된 등급 표식 해제하기</x:v>
          </x:cell>
          <x:cell r="E287" t="str">
            <x:v>보스 전투</x:v>
          </x:cell>
          <x:cell r="F287">
            <x:v>520</x:v>
          </x:cell>
          <x:cell r="G287"/>
          <x:cell r="H287">
            <x:v>200</x:v>
          </x:cell>
          <x:cell r="I287"/>
          <x:cell r="J287"/>
          <x:cell r="K287" t="str">
            <x:v>보스 기믹 진행</x:v>
          </x:cell>
        </x:row>
        <x:row r="288">
          <x:cell r="A288">
            <x:v>287</x:v>
          </x:cell>
          <x:cell r="B288" t="str">
            <x:v>차한해</x:v>
          </x:cell>
          <x:cell r="C288"/>
          <x:cell r="D288" t="str">
            <x:v>차한해에게 연결된 무한대 부담 장치 파괴하기</x:v>
          </x:cell>
          <x:cell r="E288" t="str">
            <x:v>보스 전투</x:v>
          </x:cell>
          <x:cell r="F288">
            <x:v>520</x:v>
          </x:cell>
          <x:cell r="G288"/>
          <x:cell r="H288">
            <x:v>200</x:v>
          </x:cell>
          <x:cell r="I288"/>
          <x:cell r="J288"/>
          <x:cell r="K288"/>
        </x:row>
        <x:row r="289">
          <x:cell r="A289">
            <x:v>288</x:v>
          </x:cell>
          <x:cell r="B289" t="str">
            <x:v>차한해</x:v>
          </x:cell>
          <x:cell r="C289"/>
          <x:cell r="D289" t="str">
            <x:v>너만 무한이잖아의 핵을 노출시켜 마지막 일격 준비하기</x:v>
          </x:cell>
          <x:cell r="E289" t="str">
            <x:v>보스 전투</x:v>
          </x:cell>
          <x:cell r="F289">
            <x:v>560</x:v>
          </x:cell>
          <x:cell r="G289"/>
          <x:cell r="H289">
            <x:v>220</x:v>
          </x:cell>
          <x:cell r="I289"/>
          <x:cell r="J289"/>
          <x:cell r="K289" t="str">
            <x:v>기본 공격력 560 / 기본 방어력 220 / 스킬: 유한한 선의 분담</x:v>
          </x:cell>
        </x:row>
        <x:row r="290">
          <x:cell r="A290">
            <x:v>289</x:v>
          </x:cell>
          <x:cell r="B290" t="str">
            <x:v>차한해</x:v>
          </x:cell>
          <x:cell r="C290"/>
          <x:cell r="D290" t="str">
            <x:v>마지막 일격으로 너만 무한이잖아와 동기화하기</x:v>
          </x:cell>
          <x:cell r="E290" t="str">
            <x:v>보스 전투</x:v>
          </x:cell>
          <x:cell r="F290">
            <x:v>560</x:v>
          </x:cell>
          <x:cell r="G290"/>
          <x:cell r="H290">
            <x:v>220</x:v>
          </x:cell>
          <x:cell r="I290"/>
          <x:cell r="J290"/>
          <x:cell r="K290" t="str">
            <x:v>보스 기믹 진행</x:v>
          </x:cell>
        </x:row>
        <x:row r="291">
          <x:cell r="A291">
            <x:v>290</x:v>
          </x:cell>
          <x:cell r="B291" t="str">
            <x:v>차한해</x:v>
          </x:cell>
          <x:cell r="C291"/>
          <x:cell r="D291" t="str">
            <x:v>차한해와 너만 무한이잖아가 둘이면서 하나라는 진실 확인하기</x:v>
          </x:cell>
          <x:cell r="E291" t="str">
            <x:v>전투 가능·비전투 콘텐츠</x:v>
          </x:cell>
          <x:cell r="F291">
            <x:v>560</x:v>
          </x:cell>
          <x:cell r="G291"/>
          <x:cell r="H291">
            <x:v>220</x:v>
          </x:cell>
          <x:cell r="I291"/>
          <x:cell r="J291"/>
          <x:cell r="K291" t="str">
            <x:v>전투 수치 변화 없이 탐색·대화·이동 진행</x:v>
          </x:cell>
        </x:row>
        <x:row r="292">
          <x:cell r="A292">
            <x:v>291</x:v>
          </x:cell>
          <x:cell r="B292" t="str">
            <x:v>차한해</x:v>
          </x:cell>
          <x:cell r="C292"/>
          <x:cell r="D292" t="str">
            <x:v>너만 무한이잖아가 제시한 두 해결 방법 듣기</x:v>
          </x:cell>
          <x:cell r="E292" t="str">
            <x:v>전투 가능·비전투 콘텐츠</x:v>
          </x:cell>
          <x:cell r="F292">
            <x:v>560</x:v>
          </x:cell>
          <x:cell r="G292"/>
          <x:cell r="H292">
            <x:v>220</x:v>
          </x:cell>
          <x:cell r="I292"/>
          <x:cell r="J292"/>
          <x:cell r="K292"/>
        </x:row>
        <x:row r="293">
          <x:cell r="A293">
            <x:v>292</x:v>
          </x:cell>
          <x:cell r="B293" t="str">
            <x:v>차한해</x:v>
          </x:cell>
          <x:cell r="C293"/>
          <x:cell r="D293" t="str">
            <x:v>진실을 사람들에게 모두 알릴지 숨길지 선택하기</x:v>
          </x:cell>
          <x:cell r="E293" t="str">
            <x:v>전투 가능·비전투 콘텐츠</x:v>
          </x:cell>
          <x:cell r="F293">
            <x:v>560</x:v>
          </x:cell>
          <x:cell r="G293"/>
          <x:cell r="H293">
            <x:v>220</x:v>
          </x:cell>
          <x:cell r="I293"/>
          <x:cell r="J293"/>
          <x:cell r="K293"/>
        </x:row>
        <x:row r="294">
          <x:cell r="A294">
            <x:v>293</x:v>
          </x:cell>
          <x:cell r="B294" t="str">
            <x:v>차한해</x:v>
          </x:cell>
          <x:cell r="C294"/>
          <x:cell r="D294" t="str">
            <x:v>도시 인연과 진실 공개 여부에 따른 시민 반응 확인하기</x:v>
          </x:cell>
          <x:cell r="E294" t="str">
            <x:v>전투 가능·비전투 콘텐츠</x:v>
          </x:cell>
          <x:cell r="F294">
            <x:v>560</x:v>
          </x:cell>
          <x:cell r="G294"/>
          <x:cell r="H294">
            <x:v>220</x:v>
          </x:cell>
          <x:cell r="I294"/>
          <x:cell r="J294"/>
          <x:cell r="K294"/>
        </x:row>
        <x:row r="295">
          <x:cell r="A295">
            <x:v>294</x:v>
          </x:cell>
          <x:cell r="B295" t="str">
            <x:v>차한해</x:v>
          </x:cell>
          <x:cell r="C295"/>
          <x:cell r="D295" t="str">
            <x:v>차한해의 희생을 반대하는 시민들의 증언 듣기</x:v>
          </x:cell>
          <x:cell r="E295" t="str">
            <x:v>전투 가능·비전투 콘텐츠</x:v>
          </x:cell>
          <x:cell r="F295">
            <x:v>560</x:v>
          </x:cell>
          <x:cell r="G295"/>
          <x:cell r="H295">
            <x:v>220</x:v>
          </x:cell>
          <x:cell r="I295"/>
          <x:cell r="J295"/>
          <x:cell r="K295"/>
        </x:row>
        <x:row r="296">
          <x:cell r="A296">
            <x:v>295</x:v>
          </x:cell>
          <x:cell r="B296" t="str">
            <x:v>차한해</x:v>
          </x:cell>
          <x:cell r="C296"/>
          <x:cell r="D296" t="str">
            <x:v>시민들의 목소리로 고등급자와 폭력시위단체 설득하기</x:v>
          </x:cell>
          <x:cell r="E296" t="str">
            <x:v>전투 가능·비전투 콘텐츠</x:v>
          </x:cell>
          <x:cell r="F296">
            <x:v>560</x:v>
          </x:cell>
          <x:cell r="G296"/>
          <x:cell r="H296">
            <x:v>220</x:v>
          </x:cell>
          <x:cell r="I296"/>
          <x:cell r="J296"/>
          <x:cell r="K296"/>
        </x:row>
        <x:row r="297">
          <x:cell r="A297">
            <x:v>296</x:v>
          </x:cell>
          <x:cell r="B297" t="str">
            <x:v>차한해</x:v>
          </x:cell>
          <x:cell r="C297"/>
          <x:cell r="D297" t="str">
            <x:v>모두가 각자 가까운 균열로 함께 들어가기</x:v>
          </x:cell>
          <x:cell r="E297" t="str">
            <x:v>전투 가능·비전투 콘텐츠</x:v>
          </x:cell>
          <x:cell r="F297">
            <x:v>560</x:v>
          </x:cell>
          <x:cell r="G297"/>
          <x:cell r="H297">
            <x:v>220</x:v>
          </x:cell>
          <x:cell r="I297"/>
          <x:cell r="J297"/>
          <x:cell r="K297"/>
        </x:row>
        <x:row r="298">
          <x:cell r="A298">
            <x:v>297</x:v>
          </x:cell>
          <x:cell r="B298" t="str">
            <x:v>차한해</x:v>
          </x:cell>
          <x:cell r="C298"/>
          <x:cell r="D298" t="str">
            <x:v>껍데기까지 인간으로 돌아오며 너만 무한이잖아의 거짓말 확인하기</x:v>
          </x:cell>
          <x:cell r="E298" t="str">
            <x:v>전투 종료</x:v>
          </x:cell>
          <x:cell r="F298">
            <x:v>560</x:v>
          </x:cell>
          <x:cell r="G298"/>
          <x:cell r="H298">
            <x:v>220</x:v>
          </x:cell>
          <x:cell r="I298"/>
          <x:cell r="J298"/>
          <x:cell r="K298" t="str">
            <x:v>최종 전투 이후 상태 유지</x:v>
          </x:cell>
        </x:row>
        <x:row r="299">
          <x:cell r="A299">
            <x:v>298</x:v>
          </x:cell>
          <x:cell r="B299" t="str">
            <x:v>차한해</x:v>
          </x:cell>
          <x:cell r="C299"/>
          <x:cell r="D299" t="str">
            <x:v>차한해 단독 희생과 변이체 복원 결과 확인하기</x:v>
          </x:cell>
          <x:cell r="E299" t="str">
            <x:v>전투 종료</x:v>
          </x:cell>
          <x:cell r="F299">
            <x:v>560</x:v>
          </x:cell>
          <x:cell r="G299"/>
          <x:cell r="H299">
            <x:v>220</x:v>
          </x:cell>
          <x:cell r="I299"/>
          <x:cell r="J299"/>
          <x:cell r="K299"/>
        </x:row>
        <x:row r="300">
          <x:cell r="A300">
            <x:v>299</x:v>
          </x:cell>
          <x:cell r="B300" t="str">
            <x:v>차한해</x:v>
          </x:cell>
          <x:cell r="C300"/>
          <x:cell r="D300" t="str">
            <x:v>차한해와 도시의 최종 생존 상태 확인하기</x:v>
          </x:cell>
          <x:cell r="E300" t="str">
            <x:v>전투 종료</x:v>
          </x:cell>
          <x:cell r="F300">
            <x:v>560</x:v>
          </x:cell>
          <x:cell r="G300"/>
          <x:cell r="H300">
            <x:v>220</x:v>
          </x:cell>
          <x:cell r="I300"/>
          <x:cell r="J300"/>
          <x:cell r="K300"/>
        </x:row>
        <x:row r="301">
          <x:cell r="A301">
            <x:v>300</x:v>
          </x:cell>
          <x:cell r="B301" t="str">
            <x:v>차한해</x:v>
          </x:cell>
          <x:cell r="C301"/>
          <x:cell r="D301" t="str">
            <x:v>균열 소멸과 변이체 복원 결과 확인하기</x:v>
          </x:cell>
          <x:cell r="E301" t="str">
            <x:v>전투 종료</x:v>
          </x:cell>
          <x:cell r="F301">
            <x:v>560</x:v>
          </x:cell>
          <x:cell r="G301"/>
          <x:cell r="H301">
            <x:v>220</x:v>
          </x:cell>
          <x:cell r="I301"/>
          <x:cell r="J301"/>
          <x:cell r="K301"/>
        </x:row>
        <x:row r="302">
          <x:cell r="A302">
            <x:v>301</x:v>
          </x:cell>
          <x:cell r="B302" t="str">
            <x:v>차한해</x:v>
          </x:cell>
          <x:cell r="C302"/>
          <x:cell r="D302" t="str">
            <x:v>차우선의 편지 또는 생존한 차한해와의 재회 확인하기</x:v>
          </x:cell>
          <x:cell r="E302" t="str">
            <x:v>전투 종료</x:v>
          </x:cell>
          <x:cell r="F302">
            <x:v>560</x:v>
          </x:cell>
          <x:cell r="G302"/>
          <x:cell r="H302">
            <x:v>220</x:v>
          </x:cell>
          <x:cell r="I302"/>
          <x:cell r="J302"/>
          <x:cell r="K302"/>
        </x:row>
        <x:row r="303">
          <x:cell r="A303">
            <x:v>302</x:v>
          </x:cell>
          <x:cell r="B303" t="str">
            <x:v>차한해</x:v>
          </x:cell>
          <x:cell r="C303"/>
          <x:cell r="D303" t="str">
            <x:v>도시의 책임 인정 또는 이용익의 정치적 소비 확인하기</x:v>
          </x:cell>
          <x:cell r="E303" t="str">
            <x:v>전투 종료</x:v>
          </x:cell>
          <x:cell r="F303">
            <x:v>560</x:v>
          </x:cell>
          <x:cell r="G303"/>
          <x:cell r="H303">
            <x:v>220</x:v>
          </x:cell>
          <x:cell r="I303"/>
          <x:cell r="J303"/>
          <x:cell r="K303"/>
        </x:row>
        <x:row r="304">
          <x:cell r="A304">
            <x:v>303</x:v>
          </x:cell>
          <x:cell r="B304" t="str">
            <x:v>차한해</x:v>
          </x:cell>
          <x:cell r="C304"/>
          <x:cell r="D304" t="str">
            <x:v>나대진이 보존한 차한해 연구 기록 확인하기</x:v>
          </x:cell>
          <x:cell r="E304" t="str">
            <x:v>전투 종료</x:v>
          </x:cell>
          <x:cell r="F304">
            <x:v>560</x:v>
          </x:cell>
          <x:cell r="G304"/>
          <x:cell r="H304">
            <x:v>220</x:v>
          </x:cell>
          <x:cell r="I304"/>
          <x:cell r="J304"/>
          <x:cell r="K304"/>
        </x:row>
        <x:row r="305">
          <x:cell r="A305">
            <x:v>304</x:v>
          </x:cell>
          <x:cell r="B305" t="str">
            <x:v>차한해</x:v>
          </x:cell>
          <x:cell r="C305"/>
          <x:cell r="D305" t="str">
            <x:v>수년 뒤 차한해와 도시가 기억하는 선택 확인하기</x:v>
          </x:cell>
          <x:cell r="E305" t="str">
            <x:v>전투 종료</x:v>
          </x:cell>
          <x:cell r="F305">
            <x:v>560</x:v>
          </x:cell>
          <x:cell r="G305"/>
          <x:cell r="H305">
            <x:v>220</x:v>
          </x:cell>
          <x:cell r="I305"/>
          <x:cell r="J305"/>
          <x:cell r="K305"/>
        </x:row>
        <x:row r="306">
          <x:cell r="A306">
            <x:v>305</x:v>
          </x:cell>
          <x:cell r="B306" t="str">
            <x:v>차한해</x:v>
          </x:cell>
          <x:cell r="C306"/>
          <x:cell r="D306" t="str">
            <x:v>생존자들의 변화와 남겨진 관계 확인하기</x:v>
          </x:cell>
          <x:cell r="E306" t="str">
            <x:v>전투 종료</x:v>
          </x:cell>
          <x:cell r="F306">
            <x:v>560</x:v>
          </x:cell>
          <x:cell r="G306"/>
          <x:cell r="H306">
            <x:v>220</x:v>
          </x:cell>
          <x:cell r="I306"/>
          <x:cell r="J306"/>
          <x:cell r="K306"/>
        </x:row>
        <x:row r="307">
          <x:cell r="A307">
            <x:v>306</x:v>
          </x:cell>
          <x:cell r="B307" t="str">
            <x:v>차한해</x:v>
          </x:cell>
          <x:cell r="C307"/>
          <x:cell r="D307" t="str">
            <x:v>엔딩 크레딧 감상하기</x:v>
          </x:cell>
          <x:cell r="E307" t="str">
            <x:v>전투 종료</x:v>
          </x:cell>
          <x:cell r="F307">
            <x:v>560</x:v>
          </x:cell>
          <x:cell r="G307"/>
          <x:cell r="H307">
            <x:v>220</x:v>
          </x:cell>
          <x:cell r="I307"/>
          <x:cell r="J307"/>
          <x:cell r="K307"/>
        </x:row>
      </x:sheetData>
      <x:sheetData sheetId="2" refreshError="0"/>
      <x:sheetData sheetId="3" refreshError="0"/>
      <x:sheetData sheetId="4" refreshError="0">
        <x:row r="2">
          <x:cell r="G2" t="str">
            <x:v>싫어요.</x:v>
          </x:cell>
          <x:cell r="H2" t="str">
            <x:v>거절 가능한 부탁·요청에서 수락 대신 사용해 해당 요청을 종료하는 기본 상호작용 스킬. 거절한 콘텐츠의 인연·보상 획득 기회는 포기함.</x:v>
          </x:cell>
          <x:cell r="I2"/>
          <x:cell r="J2" t="str">
            <x:v>액티브</x:v>
          </x:cell>
          <x:cell r="K2" t="str">
            <x:v>차한해</x:v>
          </x:cell>
          <x:cell r="L2"/>
          <x:cell r="M2" t="str">
            <x:v>입력</x:v>
          </x:cell>
          <x:cell r="N2" t="str">
            <x:v>수락 전 [싫어요.] 선택</x:v>
          </x:cell>
          <x:cell r="O2" t="str">
            <x:v>없음</x:v>
          </x:cell>
          <x:cell r="P2">
            <x:v>0</x:v>
          </x:cell>
          <x:cell r="Q2">
            <x:v>0</x:v>
          </x:cell>
          <x:cell r="R2" t="str">
            <x:v>피해 없음</x:v>
          </x:cell>
          <x:cell r="S2"/>
          <x:cell r="T2"/>
          <x:cell r="U2" t="str">
            <x:v>없음</x:v>
          </x:cell>
          <x:cell r="V2">
            <x:v>0</x:v>
          </x:cell>
          <x:cell r="W2">
            <x:v>0</x:v>
          </x:cell>
          <x:cell r="X2" t="str">
            <x:v>없음</x:v>
          </x:cell>
          <x:cell r="Y2">
            <x:v>0</x:v>
          </x:cell>
          <x:cell r="Z2" t="str">
            <x:v>없음</x:v>
          </x:cell>
          <x:cell r="AA2">
            <x:v>0</x:v>
          </x:cell>
          <x:cell r="AB2" t="str">
            <x:v>선택 확정</x:v>
          </x:cell>
          <x:cell r="AC2" t="str">
            <x:v>없음</x:v>
          </x:cell>
          <x:cell r="AD2" t="str">
            <x:v>게임 시작부터 해금·첫 사용 가능 콘텐츠 9번</x:v>
          </x:cell>
        </x:row>
        <x:row r="3">
          <x:cell r="G3" t="str">
            <x:v>펑!</x:v>
          </x:cell>
          <x:cell r="H3" t="str">
            <x:v>괴물이 덮치기 직전 전용 UI에서 1회 발동하는 사건형 액티브. 무의식적 선의 폭발을 호출해 순간 출력 1000을 만들고 접촉 소멸까지 연쇄함.</x:v>
          </x:cell>
          <x:cell r="I3"/>
          <x:cell r="J3" t="str">
            <x:v>연출용+액티브</x:v>
          </x:cell>
          <x:cell r="K3" t="str">
            <x:v>차한해</x:v>
          </x:cell>
          <x:cell r="L3"/>
          <x:cell r="M3" t="str">
            <x:v>1회 강제 발동</x:v>
          </x:cell>
          <x:cell r="N3" t="str">
            <x:v>문틈젤리 접촉 직전</x:v>
          </x:cell>
          <x:cell r="O3" t="str">
            <x:v>없음</x:v>
          </x:cell>
          <x:cell r="P3">
            <x:v>0</x:v>
          </x:cell>
          <x:cell r="Q3">
            <x:v>0</x:v>
          </x:cell>
          <x:cell r="R3" t="str">
            <x:v>피해 없음</x:v>
          </x:cell>
          <x:cell r="S3"/>
          <x:cell r="T3"/>
          <x:cell r="U3" t="str">
            <x:v>없음</x:v>
          </x:cell>
          <x:cell r="V3">
            <x:v>0</x:v>
          </x:cell>
          <x:cell r="W3">
            <x:v>0.59999999999999998</x:v>
          </x:cell>
          <x:cell r="X3" t="str">
            <x:v>공격력</x:v>
          </x:cell>
          <x:cell r="Y3">
            <x:v>990</x:v>
          </x:cell>
          <x:cell r="Z3" t="str">
            <x:v>+</x:v>
          </x:cell>
          <x:cell r="AA3">
            <x:v>0</x:v>
          </x:cell>
          <x:cell r="AB3" t="str">
            <x:v>접촉 소멸 완료</x:v>
          </x:cell>
          <x:cell r="AC3" t="str">
            <x:v>SKL-STS-011 → SKL-STS-012</x:v>
          </x:cell>
          <x:cell r="AD3" t="str">
            <x:v>스토리 필수 사용·해당 콘텐츠에만 적용</x:v>
          </x:cell>
        </x:row>
        <x:row r="4">
          <x:cell r="G4" t="str">
            <x:v>탕!</x:v>
          </x:cell>
          <x:cell r="H4" t="str">
            <x:v>장착한 총기·원거리 무기의 공격 수치를 포함해 정면 표적 1체를 공격하는 기본 사격.</x:v>
          </x:cell>
          <x:cell r="I4"/>
          <x:cell r="J4" t="str">
            <x:v>액티브</x:v>
          </x:cell>
          <x:cell r="K4" t="str">
            <x:v>차한해</x:v>
          </x:cell>
          <x:cell r="L4" t="str">
            <x:v>경직 0.20초</x:v>
          </x:cell>
          <x:cell r="M4" t="str">
            <x:v>입력</x:v>
          </x:cell>
          <x:cell r="N4" t="str">
            <x:v>공격 입력 1회</x:v>
          </x:cell>
          <x:cell r="O4" t="str">
            <x:v>기본 공격력 비율</x:v>
          </x:cell>
          <x:cell r="P4">
            <x:v>1</x:v>
          </x:cell>
          <x:cell r="Q4">
            <x:v>0</x:v>
          </x:cell>
          <x:cell r="R4" t="str">
            <x:v>기본 공격력 × 100%</x:v>
          </x:cell>
          <x:cell r="S4"/>
          <x:cell r="T4"/>
          <x:cell r="U4" t="str">
            <x:v>개별</x:v>
          </x:cell>
          <x:cell r="V4">
            <x:v>0.45000000000000001</x:v>
          </x:cell>
          <x:cell r="W4">
            <x:v>0.20000000000000001</x:v>
          </x:cell>
          <x:cell r="X4" t="str">
            <x:v>없음</x:v>
          </x:cell>
          <x:cell r="Y4">
            <x:v>0</x:v>
          </x:cell>
          <x:cell r="Z4" t="str">
            <x:v>없음</x:v>
          </x:cell>
          <x:cell r="AA4">
            <x:v>0</x:v>
          </x:cell>
          <x:cell r="AB4" t="str">
            <x:v>시전 종료</x:v>
          </x:cell>
          <x:cell r="AC4" t="str">
            <x:v>SKL-STS-001</x:v>
          </x:cell>
          <x:cell r="AD4" t="str">
            <x:v>관리국 지급 권총을 기준으로 최초 훈련</x:v>
          </x:cell>
        </x:row>
        <x:row r="5">
          <x:cell r="G5" t="str">
            <x:v>앗, 피해!</x:v>
          </x:cell>
          <x:cell r="H5" t="str">
            <x:v>입력 방향으로 짧게 이동하며 공격 판정을 피하는 기본 회피. 성공 시 일부 반격 스킬의 조건을 열어 줌.</x:v>
          </x:cell>
          <x:cell r="I5"/>
          <x:cell r="J5" t="str">
            <x:v>액티브</x:v>
          </x:cell>
          <x:cell r="K5" t="str">
            <x:v>차한해</x:v>
          </x:cell>
          <x:cell r="L5"/>
          <x:cell r="M5" t="str">
            <x:v>입력</x:v>
          </x:cell>
          <x:cell r="N5" t="str">
            <x:v>회피 입력 1회</x:v>
          </x:cell>
          <x:cell r="O5" t="str">
            <x:v>없음</x:v>
          </x:cell>
          <x:cell r="P5">
            <x:v>0</x:v>
          </x:cell>
          <x:cell r="Q5">
            <x:v>0</x:v>
          </x:cell>
          <x:cell r="R5" t="str">
            <x:v>피해 없음</x:v>
          </x:cell>
          <x:cell r="S5"/>
          <x:cell r="T5"/>
          <x:cell r="U5" t="str">
            <x:v>개별</x:v>
          </x:cell>
          <x:cell r="V5">
            <x:v>1.8</x:v>
          </x:cell>
          <x:cell r="W5">
            <x:v>0.10000000000000001</x:v>
          </x:cell>
          <x:cell r="X5" t="str">
            <x:v>이동 속도</x:v>
          </x:cell>
          <x:cell r="Y5">
            <x:v>80</x:v>
          </x:cell>
          <x:cell r="Z5" t="str">
            <x:v>%</x:v>
          </x:cell>
          <x:cell r="AA5">
            <x:v>0.25</x:v>
          </x:cell>
          <x:cell r="AB5" t="str">
            <x:v>이동 종료</x:v>
          </x:cell>
          <x:cell r="AC5" t="str">
            <x:v>없음</x:v>
          </x:cell>
          <x:cell r="AD5" t="str">
            <x:v>훈련 이후 상시 사용</x:v>
          </x:cell>
        </x:row>
        <x:row r="6">
          <x:cell r="G6" t="str">
            <x:v>잠깐만!</x:v>
          </x:cell>
          <x:cell r="H6" t="str">
            <x:v>보스전에서 딱 1번 사용할 수 있는 보조 스킬. 보스의 현재 행동을 1초간 멈춰 위험 패턴을 끊을 틈을 만듦.</x:v>
          </x:cell>
          <x:cell r="I6"/>
          <x:cell r="J6" t="str">
            <x:v>액티브</x:v>
          </x:cell>
          <x:cell r="K6" t="str">
            <x:v>보스</x:v>
          </x:cell>
          <x:cell r="L6" t="str">
            <x:v>경직 1.00초</x:v>
          </x:cell>
          <x:cell r="M6" t="str">
            <x:v>전투당 1회</x:v>
          </x:cell>
          <x:cell r="N6" t="str">
            <x:v>보스전·미사용 상태</x:v>
          </x:cell>
          <x:cell r="O6" t="str">
            <x:v>없음</x:v>
          </x:cell>
          <x:cell r="P6">
            <x:v>0</x:v>
          </x:cell>
          <x:cell r="Q6">
            <x:v>0</x:v>
          </x:cell>
          <x:cell r="R6" t="str">
            <x:v>피해 없음</x:v>
          </x:cell>
          <x:cell r="S6"/>
          <x:cell r="T6"/>
          <x:cell r="U6" t="str">
            <x:v>전투당 1회</x:v>
          </x:cell>
          <x:cell r="V6">
            <x:v>0</x:v>
          </x:cell>
          <x:cell r="W6">
            <x:v>0.14999999999999999</x:v>
          </x:cell>
          <x:cell r="X6" t="str">
            <x:v>없음</x:v>
          </x:cell>
          <x:cell r="Y6">
            <x:v>0</x:v>
          </x:cell>
          <x:cell r="Z6" t="str">
            <x:v>없음</x:v>
          </x:cell>
          <x:cell r="AA6">
            <x:v>1</x:v>
          </x:cell>
          <x:cell r="AB6" t="str">
            <x:v>1초 종료</x:v>
          </x:cell>
          <x:cell r="AC6" t="str">
            <x:v>SKL-STS-001</x:v>
          </x:cell>
          <x:cell r="AD6" t="str">
            <x:v>118번에서 해금·146번 첫 보스부터 실제 사용 가능</x:v>
          </x:cell>
        </x:row>
        <x:row r="7">
          <x:cell r="G7" t="str">
            <x:v>먼저 들었어</x:v>
          </x:cell>
          <x:cell r="H7" t="str">
            <x:v>관리국 무전 이어피스의 공격 예고 신호를 판독해 적의 전조를 기본보다 0.3초 먼저 표시하는 패시브.</x:v>
          </x:cell>
          <x:cell r="I7"/>
          <x:cell r="J7" t="str">
            <x:v>패시브</x:v>
          </x:cell>
          <x:cell r="K7" t="str">
            <x:v>차한해</x:v>
          </x:cell>
          <x:cell r="L7"/>
          <x:cell r="M7" t="str">
            <x:v>장비 착용</x:v>
          </x:cell>
          <x:cell r="N7" t="str">
            <x:v>관리국 무전 이어피스 장착</x:v>
          </x:cell>
          <x:cell r="O7" t="str">
            <x:v>없음</x:v>
          </x:cell>
          <x:cell r="P7">
            <x:v>0</x:v>
          </x:cell>
          <x:cell r="Q7">
            <x:v>0</x:v>
          </x:cell>
          <x:cell r="R7" t="str">
            <x:v>피해 없음</x:v>
          </x:cell>
          <x:cell r="S7"/>
          <x:cell r="T7"/>
          <x:cell r="U7" t="str">
            <x:v>없음</x:v>
          </x:cell>
          <x:cell r="V7">
            <x:v>0</x:v>
          </x:cell>
          <x:cell r="W7">
            <x:v>0</x:v>
          </x:cell>
          <x:cell r="X7" t="str">
            <x:v>전조 표시 시간</x:v>
          </x:cell>
          <x:cell r="Y7">
            <x:v>0.29999999999999999</x:v>
          </x:cell>
          <x:cell r="Z7" t="str">
            <x:v>초</x:v>
          </x:cell>
          <x:cell r="AA7">
            <x:v>0</x:v>
          </x:cell>
          <x:cell r="AB7" t="str">
            <x:v>장비 해제</x:v>
          </x:cell>
          <x:cell r="AC7" t="str">
            <x:v>없음</x:v>
          </x:cell>
          <x:cell r="AD7" t="str">
            <x:v>장비 효과를 스킬 형태로 표현</x:v>
          </x:cell>
        </x:row>
        <x:row r="8">
          <x:cell r="G8" t="str">
            <x:v>피했으면 내 차례</x:v>
          </x:cell>
          <x:cell r="H8" t="str">
            <x:v>직전 공격을 회피한 직후 짧은 반격 창에서 사용하는 대응 사격·타격.</x:v>
          </x:cell>
          <x:cell r="I8"/>
          <x:cell r="J8" t="str">
            <x:v>액티브</x:v>
          </x:cell>
          <x:cell r="K8" t="str">
            <x:v>차한해</x:v>
          </x:cell>
          <x:cell r="L8" t="str">
            <x:v>경직 0.30초</x:v>
          </x:cell>
          <x:cell r="M8" t="str">
            <x:v>조건부 입력</x:v>
          </x:cell>
          <x:cell r="N8" t="str">
            <x:v>회피 성공 후 0.8초 이내</x:v>
          </x:cell>
          <x:cell r="O8" t="str">
            <x:v>기본 공격력 비율</x:v>
          </x:cell>
          <x:cell r="P8">
            <x:v>1.1499999999999999</x:v>
          </x:cell>
          <x:cell r="Q8">
            <x:v>0</x:v>
          </x:cell>
          <x:cell r="R8" t="str">
            <x:v>기본 공격력 × 115%</x:v>
          </x:cell>
          <x:cell r="S8"/>
          <x:cell r="T8"/>
          <x:cell r="U8" t="str">
            <x:v>개별</x:v>
          </x:cell>
          <x:cell r="V8">
            <x:v>2</x:v>
          </x:cell>
          <x:cell r="W8">
            <x:v>0.25</x:v>
          </x:cell>
          <x:cell r="X8" t="str">
            <x:v>없음</x:v>
          </x:cell>
          <x:cell r="Y8">
            <x:v>0</x:v>
          </x:cell>
          <x:cell r="Z8" t="str">
            <x:v>없음</x:v>
          </x:cell>
          <x:cell r="AA8">
            <x:v>0</x:v>
          </x:cell>
          <x:cell r="AB8" t="str">
            <x:v>반격 창 종료</x:v>
          </x:cell>
          <x:cell r="AC8" t="str">
            <x:v>SKL-STS-001</x:v>
          </x:cell>
          <x:cell r="AD8" t="str">
            <x:v>회피 성공을 공격 기회로 전환</x:v>
          </x:cell>
        </x:row>
        <x:row r="9">
          <x:cell r="G9" t="str">
            <x:v>보라색, 여기!</x:v>
          </x:cell>
          <x:cell r="H9" t="str">
            <x:v>차한해에게만 보이는 보랏빛 공명 반응 부위를 노려 타격해 일반 공격보다 큰 약점 피해를 줌.</x:v>
          </x:cell>
          <x:cell r="I9"/>
          <x:cell r="J9" t="str">
            <x:v>액티브</x:v>
          </x:cell>
          <x:cell r="K9" t="str">
            <x:v>차한해</x:v>
          </x:cell>
          <x:cell r="L9"/>
          <x:cell r="M9" t="str">
            <x:v>약점 노출</x:v>
          </x:cell>
          <x:cell r="N9" t="str">
            <x:v>보랏빛 약점 표식 활성</x:v>
          </x:cell>
          <x:cell r="O9" t="str">
            <x:v>기본 공격력 비율</x:v>
          </x:cell>
          <x:cell r="P9">
            <x:v>1.3500000000000001</x:v>
          </x:cell>
          <x:cell r="Q9">
            <x:v>0</x:v>
          </x:cell>
          <x:cell r="R9" t="str">
            <x:v>기본 공격력 × 135%</x:v>
          </x:cell>
          <x:cell r="S9"/>
          <x:cell r="T9"/>
          <x:cell r="U9" t="str">
            <x:v>개별</x:v>
          </x:cell>
          <x:cell r="V9">
            <x:v>2.5</x:v>
          </x:cell>
          <x:cell r="W9">
            <x:v>0.34999999999999998</x:v>
          </x:cell>
          <x:cell r="X9" t="str">
            <x:v>없음</x:v>
          </x:cell>
          <x:cell r="Y9">
            <x:v>0</x:v>
          </x:cell>
          <x:cell r="Z9" t="str">
            <x:v>없음</x:v>
          </x:cell>
          <x:cell r="AA9">
            <x:v>0</x:v>
          </x:cell>
          <x:cell r="AB9" t="str">
            <x:v>약점 타격 종료</x:v>
          </x:cell>
          <x:cell r="AC9" t="str">
            <x:v>없음</x:v>
          </x:cell>
          <x:cell r="AD9" t="str">
            <x:v>공명 약점이 없는 대상에는 사용 불가</x:v>
          </x:cell>
        </x:row>
        <x:row r="10">
          <x:cell r="G10" t="str">
            <x:v>앞은 내가 막아</x:v>
          </x:cell>
          <x:cell r="H10" t="str">
            <x:v>깨진 경찰 방패 등 전방 방어 장비를 들어 정면 피해와 밀려남을 줄이는 유지형 방어.</x:v>
          </x:cell>
          <x:cell r="I10"/>
          <x:cell r="J10" t="str">
            <x:v>액티브</x:v>
          </x:cell>
          <x:cell r="K10" t="str">
            <x:v>차한해</x:v>
          </x:cell>
          <x:cell r="L10"/>
          <x:cell r="M10" t="str">
            <x:v>입력 유지</x:v>
          </x:cell>
          <x:cell r="N10" t="str">
            <x:v>방어 장비 장착·방어 입력 유지</x:v>
          </x:cell>
          <x:cell r="O10" t="str">
            <x:v>없음</x:v>
          </x:cell>
          <x:cell r="P10">
            <x:v>0</x:v>
          </x:cell>
          <x:cell r="Q10">
            <x:v>0</x:v>
          </x:cell>
          <x:cell r="R10" t="str">
            <x:v>피해 없음</x:v>
          </x:cell>
          <x:cell r="S10"/>
          <x:cell r="T10"/>
          <x:cell r="U10" t="str">
            <x:v>유지형</x:v>
          </x:cell>
          <x:cell r="V10">
            <x:v>0</x:v>
          </x:cell>
          <x:cell r="W10">
            <x:v>0.14999999999999999</x:v>
          </x:cell>
          <x:cell r="X10" t="str">
            <x:v>받는 정면 피해</x:v>
          </x:cell>
          <x:cell r="Y10">
            <x:v>-50</x:v>
          </x:cell>
          <x:cell r="Z10" t="str">
            <x:v>%</x:v>
          </x:cell>
          <x:cell r="AA10">
            <x:v>0</x:v>
          </x:cell>
          <x:cell r="AB10" t="str">
            <x:v>입력 해제·방패 파손</x:v>
          </x:cell>
          <x:cell r="AC10" t="str">
            <x:v>없음</x:v>
          </x:cell>
          <x:cell r="AD10" t="str">
            <x:v>보스·강한 공격에는 감소량이 낮아질 수 있음</x:v>
          </x:cell>
        </x:row>
        <x:row r="11">
          <x:cell r="G11" t="str">
            <x:v>저기 봐!</x:v>
          </x:cell>
          <x:cell r="H11" t="str">
            <x:v>휴대용 섬광 신호기 1개를 소비해 일반 변이체의 주의를 설치 지점으로 4초간 돌리는 비전투·전투 겸용 스킬.</x:v>
          </x:cell>
          <x:cell r="I11"/>
          <x:cell r="J11" t="str">
            <x:v>연출용+액티브</x:v>
          </x:cell>
          <x:cell r="K11" t="str">
            <x:v>일반 변이체</x:v>
          </x:cell>
          <x:cell r="L11" t="str">
            <x:v>주의 분산 4초</x:v>
          </x:cell>
          <x:cell r="M11" t="str">
            <x:v>아이템 사용</x:v>
          </x:cell>
          <x:cell r="N11" t="str">
            <x:v>휴대용 섬광 신호기 1회 소모</x:v>
          </x:cell>
          <x:cell r="O11" t="str">
            <x:v>없음</x:v>
          </x:cell>
          <x:cell r="P11">
            <x:v>0</x:v>
          </x:cell>
          <x:cell r="Q11">
            <x:v>0</x:v>
          </x:cell>
          <x:cell r="R11" t="str">
            <x:v>피해 없음</x:v>
          </x:cell>
          <x:cell r="S11"/>
          <x:cell r="T11"/>
          <x:cell r="U11" t="str">
            <x:v>아이템 횟수</x:v>
          </x:cell>
          <x:cell r="V11">
            <x:v>0</x:v>
          </x:cell>
          <x:cell r="W11">
            <x:v>0.40000000000000002</x:v>
          </x:cell>
          <x:cell r="X11" t="str">
            <x:v>표적 인식</x:v>
          </x:cell>
          <x:cell r="Y11">
            <x:v>-1</x:v>
          </x:cell>
          <x:cell r="Z11" t="str">
            <x:v>대상</x:v>
          </x:cell>
          <x:cell r="AA11">
            <x:v>4</x:v>
          </x:cell>
          <x:cell r="AB11" t="str">
            <x:v>지속 종료·보스 면역</x:v>
          </x:cell>
          <x:cell r="AC11" t="str">
            <x:v>SKL-STS-010</x:v>
          </x:cell>
          <x:cell r="AD11" t="str">
            <x:v>PPT의 폭죽형 유틸리티 스킬과 같은 구조</x:v>
          </x:cell>
        </x:row>
        <x:row r="12">
          <x:cell r="G12" t="str">
            <x:v>이쪽이야!</x:v>
          </x:cell>
          <x:cell r="H12" t="str">
            <x:v>차단기 막대나 주변 소음 오브젝트를 이용해 주의가 분산된 적의 이동 목표를 열린 공간으로 유도함.</x:v>
          </x:cell>
          <x:cell r="I12"/>
          <x:cell r="J12" t="str">
            <x:v>액티브</x:v>
          </x:cell>
          <x:cell r="K12" t="str">
            <x:v>차한해</x:v>
          </x:cell>
          <x:cell r="L12"/>
          <x:cell r="M12" t="str">
            <x:v>환경 상호작용</x:v>
          </x:cell>
          <x:cell r="N12" t="str">
            <x:v>유인 가능한 오브젝트 활성</x:v>
          </x:cell>
          <x:cell r="O12" t="str">
            <x:v>없음</x:v>
          </x:cell>
          <x:cell r="P12">
            <x:v>0</x:v>
          </x:cell>
          <x:cell r="Q12">
            <x:v>0</x:v>
          </x:cell>
          <x:cell r="R12" t="str">
            <x:v>피해 없음</x:v>
          </x:cell>
          <x:cell r="S12"/>
          <x:cell r="T12"/>
          <x:cell r="U12" t="str">
            <x:v>개별</x:v>
          </x:cell>
          <x:cell r="V12">
            <x:v>3</x:v>
          </x:cell>
          <x:cell r="W12">
            <x:v>0.29999999999999999</x:v>
          </x:cell>
          <x:cell r="X12" t="str">
            <x:v>이동 목표</x:v>
          </x:cell>
          <x:cell r="Y12">
            <x:v>1</x:v>
          </x:cell>
          <x:cell r="Z12" t="str">
            <x:v>지점</x:v>
          </x:cell>
          <x:cell r="AA12">
            <x:v>3</x:v>
          </x:cell>
          <x:cell r="AB12" t="str">
            <x:v>대상 도달·지속 종료</x:v>
          </x:cell>
          <x:cell r="AC12" t="str">
            <x:v>SKL-STS-007</x:v>
          </x:cell>
          <x:cell r="AD12" t="str">
            <x:v>환경 지형과 함께 사용하는 전술형 스킬</x:v>
          </x:cell>
        </x:row>
        <x:row r="13">
          <x:cell r="G13" t="str">
            <x:v>핵부터!</x:v>
          </x:cell>
          <x:cell r="H13" t="str">
            <x:v>보스의 노출된 핵에 공격을 집중해 외피보다 큰 파괴 효율을 내는 상황형 집중 공격.</x:v>
          </x:cell>
          <x:cell r="I13"/>
          <x:cell r="J13" t="str">
            <x:v>액티브</x:v>
          </x:cell>
          <x:cell r="K13" t="str">
            <x:v>차한해</x:v>
          </x:cell>
          <x:cell r="L13"/>
          <x:cell r="M13" t="str">
            <x:v>약점 노출</x:v>
          </x:cell>
          <x:cell r="N13" t="str">
            <x:v>보스 핵 노출 상태</x:v>
          </x:cell>
          <x:cell r="O13" t="str">
            <x:v>기본 공격력 비율</x:v>
          </x:cell>
          <x:cell r="P13">
            <x:v>1.3999999999999999</x:v>
          </x:cell>
          <x:cell r="Q13">
            <x:v>0</x:v>
          </x:cell>
          <x:cell r="R13" t="str">
            <x:v>기본 공격력 × 140%</x:v>
          </x:cell>
          <x:cell r="S13"/>
          <x:cell r="T13"/>
          <x:cell r="U13" t="str">
            <x:v>개별</x:v>
          </x:cell>
          <x:cell r="V13">
            <x:v>1.5</x:v>
          </x:cell>
          <x:cell r="W13">
            <x:v>0.29999999999999999</x:v>
          </x:cell>
          <x:cell r="X13" t="str">
            <x:v>핵 피해</x:v>
          </x:cell>
          <x:cell r="Y13">
            <x:v>40</x:v>
          </x:cell>
          <x:cell r="Z13" t="str">
            <x:v>%</x:v>
          </x:cell>
          <x:cell r="AA13">
            <x:v>0</x:v>
          </x:cell>
          <x:cell r="AB13" t="str">
            <x:v>핵 은폐</x:v>
          </x:cell>
          <x:cell r="AC13" t="str">
            <x:v>없음</x:v>
          </x:cell>
          <x:cell r="AD13" t="str">
            <x:v>노출 약점 전용</x:v>
          </x:cell>
        </x:row>
        <x:row r="14">
          <x:cell r="G14" t="str">
            <x:v>증폭기, 켠다!</x:v>
          </x:cell>
          <x:cell r="H14" t="str">
            <x:v>고등급자 공명 증폭기를 켜 공명 대상 공격력을 높이는 대신 화면 간섭을 함께 발생시키는 장비 액티브.</x:v>
          </x:cell>
          <x:cell r="I14"/>
          <x:cell r="J14" t="str">
            <x:v>액티브</x:v>
          </x:cell>
          <x:cell r="K14" t="str">
            <x:v>차한해</x:v>
          </x:cell>
          <x:cell r="L14" t="str">
            <x:v>UI 간섭</x:v>
          </x:cell>
          <x:cell r="M14" t="str">
            <x:v>장비 사용</x:v>
          </x:cell>
          <x:cell r="N14" t="str">
            <x:v>고등급자 공명 증폭기 장착</x:v>
          </x:cell>
          <x:cell r="O14" t="str">
            <x:v>없음</x:v>
          </x:cell>
          <x:cell r="P14">
            <x:v>0</x:v>
          </x:cell>
          <x:cell r="Q14">
            <x:v>0</x:v>
          </x:cell>
          <x:cell r="R14" t="str">
            <x:v>피해 없음</x:v>
          </x:cell>
          <x:cell r="S14"/>
          <x:cell r="T14"/>
          <x:cell r="U14" t="str">
            <x:v>개별</x:v>
          </x:cell>
          <x:cell r="V14">
            <x:v>8</x:v>
          </x:cell>
          <x:cell r="W14">
            <x:v>0.34999999999999998</x:v>
          </x:cell>
          <x:cell r="X14" t="str">
            <x:v>공격력</x:v>
          </x:cell>
          <x:cell r="Y14">
            <x:v>15</x:v>
          </x:cell>
          <x:cell r="Z14" t="str">
            <x:v>+</x:v>
          </x:cell>
          <x:cell r="AA14">
            <x:v>8</x:v>
          </x:cell>
          <x:cell r="AB14" t="str">
            <x:v>장비 해제·지속 종료</x:v>
          </x:cell>
          <x:cell r="AC14" t="str">
            <x:v>없음</x:v>
          </x:cell>
          <x:cell r="AD14" t="str">
            <x:v>공명 대상 피해 +8%·UI 간섭 +3%는 아이템 시트 값 적용</x:v>
          </x:cell>
        </x:row>
        <x:row r="15">
          <x:cell r="G15" t="str">
            <x:v>한 줄로 서!</x:v>
          </x:cell>
          <x:cell r="H15" t="str">
            <x:v>전광판 쇠막대의 넓은 궤적으로 일렬에 겹친 여러 적을 한 번에 타격하는 정렬 공격.</x:v>
          </x:cell>
          <x:cell r="I15"/>
          <x:cell r="J15" t="str">
            <x:v>액티브</x:v>
          </x:cell>
          <x:cell r="K15" t="str">
            <x:v>차한해</x:v>
          </x:cell>
          <x:cell r="L15"/>
          <x:cell r="M15" t="str">
            <x:v>입력</x:v>
          </x:cell>
          <x:cell r="N15" t="str">
            <x:v>2체 이상 일렬 정렬</x:v>
          </x:cell>
          <x:cell r="O15" t="str">
            <x:v>기본 공격력 비율</x:v>
          </x:cell>
          <x:cell r="P15">
            <x:v>1.1000000000000001</x:v>
          </x:cell>
          <x:cell r="Q15">
            <x:v>0</x:v>
          </x:cell>
          <x:cell r="R15" t="str">
            <x:v>기본 공격력 × 110%</x:v>
          </x:cell>
          <x:cell r="S15"/>
          <x:cell r="T15"/>
          <x:cell r="U15" t="str">
            <x:v>개별</x:v>
          </x:cell>
          <x:cell r="V15">
            <x:v>3.2000000000000002</x:v>
          </x:cell>
          <x:cell r="W15">
            <x:v>0.5</x:v>
          </x:cell>
          <x:cell r="X15" t="str">
            <x:v>최대 타격 수</x:v>
          </x:cell>
          <x:cell r="Y15">
            <x:v>3</x:v>
          </x:cell>
          <x:cell r="Z15" t="str">
            <x:v>체</x:v>
          </x:cell>
          <x:cell r="AA15">
            <x:v>0</x:v>
          </x:cell>
          <x:cell r="AB15" t="str">
            <x:v>시전 종료</x:v>
          </x:cell>
          <x:cell r="AC15" t="str">
            <x:v>없음</x:v>
          </x:cell>
          <x:cell r="AD15" t="str">
            <x:v>대상별 피해 동일</x:v>
          </x:cell>
        </x:row>
        <x:row r="16">
          <x:cell r="G16" t="str">
            <x:v>둘 중 하나!</x:v>
          </x:cell>
          <x:cell r="H16" t="str">
            <x:v>상반된 공격 전조를 읽고 이번 공격을 받아낼지 피할지 판별하는 판단형 패시브.</x:v>
          </x:cell>
          <x:cell r="I16"/>
          <x:cell r="J16" t="str">
            <x:v>패시브</x:v>
          </x:cell>
          <x:cell r="K16" t="str">
            <x:v>차한해</x:v>
          </x:cell>
          <x:cell r="L16"/>
          <x:cell r="M16" t="str">
            <x:v>패턴 판독</x:v>
          </x:cell>
          <x:cell r="N16" t="str">
            <x:v>상반 전조 발생</x:v>
          </x:cell>
          <x:cell r="O16" t="str">
            <x:v>없음</x:v>
          </x:cell>
          <x:cell r="P16">
            <x:v>0</x:v>
          </x:cell>
          <x:cell r="Q16">
            <x:v>0</x:v>
          </x:cell>
          <x:cell r="R16" t="str">
            <x:v>피해 없음</x:v>
          </x:cell>
          <x:cell r="S16"/>
          <x:cell r="T16"/>
          <x:cell r="U16" t="str">
            <x:v>없음</x:v>
          </x:cell>
          <x:cell r="V16">
            <x:v>0</x:v>
          </x:cell>
          <x:cell r="W16">
            <x:v>0</x:v>
          </x:cell>
          <x:cell r="X16" t="str">
            <x:v>판독 표시</x:v>
          </x:cell>
          <x:cell r="Y16">
            <x:v>1</x:v>
          </x:cell>
          <x:cell r="Z16" t="str">
            <x:v>회</x:v>
          </x:cell>
          <x:cell r="AA16">
            <x:v>0</x:v>
          </x:cell>
          <x:cell r="AB16" t="str">
            <x:v>해당 공격 종료</x:v>
          </x:cell>
          <x:cell r="AC16" t="str">
            <x:v>없음</x:v>
          </x:cell>
          <x:cell r="AD16" t="str">
            <x:v>잘못 판독하면 보스 패턴 페널티 적용</x:v>
          </x:cell>
        </x:row>
        <x:row r="17">
          <x:cell r="G17" t="str">
            <x:v>하나, 둘—지금!</x:v>
          </x:cell>
          <x:cell r="H17" t="str">
            <x:v>동시에 노출된 2개의 연결 핵을 짧은 허용 시간 안에 맞혀 폭력의 순환 연결을 끊는 동시 타격.</x:v>
          </x:cell>
          <x:cell r="I17"/>
          <x:cell r="J17" t="str">
            <x:v>액티브</x:v>
          </x:cell>
          <x:cell r="K17" t="str">
            <x:v>차한해</x:v>
          </x:cell>
          <x:cell r="L17"/>
          <x:cell r="M17" t="str">
            <x:v>동시 조건</x:v>
          </x:cell>
          <x:cell r="N17" t="str">
            <x:v>연결 핵 2개 동시 노출</x:v>
          </x:cell>
          <x:cell r="O17" t="str">
            <x:v>기본 공격력 비율</x:v>
          </x:cell>
          <x:cell r="P17">
            <x:v>1.2</x:v>
          </x:cell>
          <x:cell r="Q17">
            <x:v>0</x:v>
          </x:cell>
          <x:cell r="R17" t="str">
            <x:v>기본 공격력 × 120%</x:v>
          </x:cell>
          <x:cell r="S17"/>
          <x:cell r="T17"/>
          <x:cell r="U17" t="str">
            <x:v>개별</x:v>
          </x:cell>
          <x:cell r="V17">
            <x:v>5</x:v>
          </x:cell>
          <x:cell r="W17">
            <x:v>0.45000000000000001</x:v>
          </x:cell>
          <x:cell r="X17" t="str">
            <x:v>동시 판정 시간</x:v>
          </x:cell>
          <x:cell r="Y17">
            <x:v>0.59999999999999998</x:v>
          </x:cell>
          <x:cell r="Z17" t="str">
            <x:v>초</x:v>
          </x:cell>
          <x:cell r="AA17">
            <x:v>0</x:v>
          </x:cell>
          <x:cell r="AB17" t="str">
            <x:v>핵 파괴·허용 시간 초과</x:v>
          </x:cell>
          <x:cell r="AC17" t="str">
            <x:v>없음</x:v>
          </x:cell>
          <x:cell r="AD17" t="str">
            <x:v>2개 핵 모두 적중해야 성공</x:v>
          </x:cell>
        </x:row>
        <x:row r="18">
          <x:cell r="G18" t="str">
            <x:v>버텨!</x:v>
          </x:cell>
          <x:cell r="H18" t="str">
            <x:v>군용 방탄판 등 중량 방어구를 이용해 강한 단발 공격을 정면에서 받아내고 밀려남을 크게 줄임.</x:v>
          </x:cell>
          <x:cell r="I18"/>
          <x:cell r="J18" t="str">
            <x:v>액티브</x:v>
          </x:cell>
          <x:cell r="K18" t="str">
            <x:v>차한해</x:v>
          </x:cell>
          <x:cell r="L18"/>
          <x:cell r="M18" t="str">
            <x:v>조건부 입력</x:v>
          </x:cell>
          <x:cell r="N18" t="str">
            <x:v>강공격 전조 중 방어 입력</x:v>
          </x:cell>
          <x:cell r="O18" t="str">
            <x:v>없음</x:v>
          </x:cell>
          <x:cell r="P18">
            <x:v>0</x:v>
          </x:cell>
          <x:cell r="Q18">
            <x:v>0</x:v>
          </x:cell>
          <x:cell r="R18" t="str">
            <x:v>피해 없음</x:v>
          </x:cell>
          <x:cell r="S18"/>
          <x:cell r="T18"/>
          <x:cell r="U18" t="str">
            <x:v>개별</x:v>
          </x:cell>
          <x:cell r="V18">
            <x:v>4</x:v>
          </x:cell>
          <x:cell r="W18">
            <x:v>0.20000000000000001</x:v>
          </x:cell>
          <x:cell r="X18" t="str">
            <x:v>받는 피해</x:v>
          </x:cell>
          <x:cell r="Y18">
            <x:v>-35</x:v>
          </x:cell>
          <x:cell r="Z18" t="str">
            <x:v>%</x:v>
          </x:cell>
          <x:cell r="AA18">
            <x:v>1</x:v>
          </x:cell>
          <x:cell r="AB18" t="str">
            <x:v>강공격 종료</x:v>
          </x:cell>
          <x:cell r="AC18" t="str">
            <x:v>SKL-STS-002</x:v>
          </x:cell>
          <x:cell r="AD18" t="str">
            <x:v>방어구 내구도 소모</x:v>
          </x:cell>
        </x:row>
        <x:row r="19">
          <x:cell r="G19" t="str">
            <x:v>안 찍히면 돼</x:v>
          </x:cell>
          <x:cell r="H19" t="str">
            <x:v>카메라 시야와 스포트라이트를 피해 사각지대에서 이동하면 갈채 계열 적의 추적·강화 조건을 끊음.</x:v>
          </x:cell>
          <x:cell r="I19"/>
          <x:cell r="J19" t="str">
            <x:v>패시브</x:v>
          </x:cell>
          <x:cell r="K19" t="str">
            <x:v>차한해</x:v>
          </x:cell>
          <x:cell r="L19"/>
          <x:cell r="M19" t="str">
            <x:v>위치 조건</x:v>
          </x:cell>
          <x:cell r="N19" t="str">
            <x:v>카메라 시야 밖</x:v>
          </x:cell>
          <x:cell r="O19" t="str">
            <x:v>없음</x:v>
          </x:cell>
          <x:cell r="P19">
            <x:v>0</x:v>
          </x:cell>
          <x:cell r="Q19">
            <x:v>0</x:v>
          </x:cell>
          <x:cell r="R19" t="str">
            <x:v>피해 없음</x:v>
          </x:cell>
          <x:cell r="S19"/>
          <x:cell r="T19"/>
          <x:cell r="U19" t="str">
            <x:v>없음</x:v>
          </x:cell>
          <x:cell r="V19">
            <x:v>0</x:v>
          </x:cell>
          <x:cell r="W19">
            <x:v>0</x:v>
          </x:cell>
          <x:cell r="X19" t="str">
            <x:v>갈채 획득</x:v>
          </x:cell>
          <x:cell r="Y19">
            <x:v>0</x:v>
          </x:cell>
          <x:cell r="Z19" t="str">
            <x:v>고정</x:v>
          </x:cell>
          <x:cell r="AA19">
            <x:v>0</x:v>
          </x:cell>
          <x:cell r="AB19" t="str">
            <x:v>카메라 시야 진입</x:v>
          </x:cell>
          <x:cell r="AC19" t="str">
            <x:v>SKL-STS-016</x:v>
          </x:cell>
          <x:cell r="AD19" t="str">
            <x:v>카메라 없는 행동이 보스 기믹을 약화</x:v>
          </x:cell>
        </x:row>
        <x:row r="20">
          <x:cell r="G20" t="str">
            <x:v>아무도 안 봐도</x:v>
          </x:cell>
          <x:cell r="H20" t="str">
            <x:v>카메라가 없는 위치에서 실제 시민을 구조해 갈채와 무관한 선행을 증명하고 보스 보호막을 제거하는 사건형 행동.</x:v>
          </x:cell>
          <x:cell r="I20"/>
          <x:cell r="J20" t="str">
            <x:v>연출용+액티브</x:v>
          </x:cell>
          <x:cell r="K20" t="str">
            <x:v>차한해</x:v>
          </x:cell>
          <x:cell r="L20"/>
          <x:cell r="M20" t="str">
            <x:v>사건 조건</x:v>
          </x:cell>
          <x:cell r="N20" t="str">
            <x:v>실제 시민 판별·카메라 비노출</x:v>
          </x:cell>
          <x:cell r="O20" t="str">
            <x:v>없음</x:v>
          </x:cell>
          <x:cell r="P20">
            <x:v>0</x:v>
          </x:cell>
          <x:cell r="Q20">
            <x:v>0</x:v>
          </x:cell>
          <x:cell r="R20" t="str">
            <x:v>피해 없음</x:v>
          </x:cell>
          <x:cell r="S20"/>
          <x:cell r="T20"/>
          <x:cell r="U20" t="str">
            <x:v>없음</x:v>
          </x:cell>
          <x:cell r="V20">
            <x:v>0</x:v>
          </x:cell>
          <x:cell r="W20">
            <x:v>1</x:v>
          </x:cell>
          <x:cell r="X20" t="str">
            <x:v>보호막</x:v>
          </x:cell>
          <x:cell r="Y20">
            <x:v>0</x:v>
          </x:cell>
          <x:cell r="Z20" t="str">
            <x:v>고정</x:v>
          </x:cell>
          <x:cell r="AA20">
            <x:v>0</x:v>
          </x:cell>
          <x:cell r="AB20" t="str">
            <x:v>구조 완료</x:v>
          </x:cell>
          <x:cell r="AC20" t="str">
            <x:v>SKL-STS-016</x:v>
          </x:cell>
          <x:cell r="AD20" t="str">
            <x:v>서사와 보스 공략을 직접 연결</x:v>
          </x:cell>
        </x:row>
        <x:row r="21">
          <x:cell r="G21" t="str">
            <x:v>도와줘!</x:v>
          </x:cell>
          <x:cell r="H21" t="str">
            <x:v>현재 콘텐츠에 사전 정의된 지원 행동이 있고 해당 NPC의 인연·위치 조건을 만족할 때만 지원을 호출하는 제한형 스킬.</x:v>
          </x:cell>
          <x:cell r="I21"/>
          <x:cell r="J21" t="str">
            <x:v>액티브</x:v>
          </x:cell>
          <x:cell r="K21" t="str">
            <x:v>지원 가능 NPC</x:v>
          </x:cell>
          <x:cell r="L21"/>
          <x:cell r="M21" t="str">
            <x:v>상황 조건</x:v>
          </x:cell>
          <x:cell r="N21" t="str">
            <x:v>지원 가능 NPC·인연·콘텐츠 플래그 충족</x:v>
          </x:cell>
          <x:cell r="O21" t="str">
            <x:v>없음</x:v>
          </x:cell>
          <x:cell r="P21">
            <x:v>0</x:v>
          </x:cell>
          <x:cell r="Q21">
            <x:v>0</x:v>
          </x:cell>
          <x:cell r="R21" t="str">
            <x:v>피해 없음</x:v>
          </x:cell>
          <x:cell r="S21"/>
          <x:cell r="T21"/>
          <x:cell r="U21" t="str">
            <x:v>상황당 1회</x:v>
          </x:cell>
          <x:cell r="V21">
            <x:v>0</x:v>
          </x:cell>
          <x:cell r="W21">
            <x:v>0.29999999999999999</x:v>
          </x:cell>
          <x:cell r="X21" t="str">
            <x:v>없음</x:v>
          </x:cell>
          <x:cell r="Y21">
            <x:v>0</x:v>
          </x:cell>
          <x:cell r="Z21" t="str">
            <x:v>없음</x:v>
          </x:cell>
          <x:cell r="AA21">
            <x:v>0</x:v>
          </x:cell>
          <x:cell r="AB21" t="str">
            <x:v>지원 행동 완료</x:v>
          </x:cell>
          <x:cell r="AC21" t="str">
            <x:v>SKL-NPC-001 / SKL-NPC-002</x:v>
          </x:cell>
          <x:cell r="AD21" t="str">
            <x:v>범용 동료 AI가 아니라 콘텐츠별 고정 지원 행동 호출</x:v>
          </x:cell>
        </x:row>
        <x:row r="22">
          <x:cell r="G22" t="str">
            <x:v>길 하나 만들게!</x:v>
          </x:cell>
          <x:cell r="H22" t="str">
            <x:v>구조용 로프 발사기 1회를 소비해 끊어진 계단·붕괴 통로에 임시 이동 경로를 생성함.</x:v>
          </x:cell>
          <x:cell r="I22"/>
          <x:cell r="J22" t="str">
            <x:v>연출용+액티브</x:v>
          </x:cell>
          <x:cell r="K22" t="str">
            <x:v>차한해</x:v>
          </x:cell>
          <x:cell r="L22"/>
          <x:cell r="M22" t="str">
            <x:v>아이템 사용</x:v>
          </x:cell>
          <x:cell r="N22" t="str">
            <x:v>구조용 로프 발사기 1회 소모</x:v>
          </x:cell>
          <x:cell r="O22" t="str">
            <x:v>없음</x:v>
          </x:cell>
          <x:cell r="P22">
            <x:v>0</x:v>
          </x:cell>
          <x:cell r="Q22">
            <x:v>0</x:v>
          </x:cell>
          <x:cell r="R22" t="str">
            <x:v>피해 없음</x:v>
          </x:cell>
          <x:cell r="S22"/>
          <x:cell r="T22"/>
          <x:cell r="U22" t="str">
            <x:v>아이템 횟수</x:v>
          </x:cell>
          <x:cell r="V22">
            <x:v>0</x:v>
          </x:cell>
          <x:cell r="W22">
            <x:v>0.80000000000000004</x:v>
          </x:cell>
          <x:cell r="X22" t="str">
            <x:v>이동 경로</x:v>
          </x:cell>
          <x:cell r="Y22">
            <x:v>1</x:v>
          </x:cell>
          <x:cell r="Z22" t="str">
            <x:v>개</x:v>
          </x:cell>
          <x:cell r="AA22">
            <x:v>0</x:v>
          </x:cell>
          <x:cell r="AB22" t="str">
            <x:v>경로 생성 완료</x:v>
          </x:cell>
          <x:cell r="AC22" t="str">
            <x:v>없음</x:v>
          </x:cell>
          <x:cell r="AD22" t="str">
            <x:v>186번·188번 총 2회 사용</x:v>
          </x:cell>
        </x:row>
        <x:row r="23">
          <x:cell r="G23" t="str">
            <x:v>괜찮아, 아직.</x:v>
          </x:cell>
          <x:cell r="H23" t="str">
            <x:v>선의 안정 장치가 큰 심리 충격으로 입력 흔들림이 발생할 때 1회 자동 발동해 자아마모 수치는 유지한 채 조작 흔들림만 완화함.</x:v>
          </x:cell>
          <x:cell r="I23"/>
          <x:cell r="J23" t="str">
            <x:v>패시브+자동</x:v>
          </x:cell>
          <x:cell r="K23" t="str">
            <x:v>차한해</x:v>
          </x:cell>
          <x:cell r="L23"/>
          <x:cell r="M23" t="str">
            <x:v>사건 플래그</x:v>
          </x:cell>
          <x:cell r="N23" t="str">
            <x:v>선의 안정 장치 장착·친구 정체 확정</x:v>
          </x:cell>
          <x:cell r="O23" t="str">
            <x:v>없음</x:v>
          </x:cell>
          <x:cell r="P23">
            <x:v>0</x:v>
          </x:cell>
          <x:cell r="Q23">
            <x:v>0</x:v>
          </x:cell>
          <x:cell r="R23" t="str">
            <x:v>피해 없음</x:v>
          </x:cell>
          <x:cell r="S23"/>
          <x:cell r="T23"/>
          <x:cell r="U23" t="str">
            <x:v>1회 자동</x:v>
          </x:cell>
          <x:cell r="V23">
            <x:v>0</x:v>
          </x:cell>
          <x:cell r="W23">
            <x:v>0</x:v>
          </x:cell>
          <x:cell r="X23" t="str">
            <x:v>입력 흔들림</x:v>
          </x:cell>
          <x:cell r="Y23">
            <x:v>-100</x:v>
          </x:cell>
          <x:cell r="Z23" t="str">
            <x:v>%</x:v>
          </x:cell>
          <x:cell r="AA23">
            <x:v>10</x:v>
          </x:cell>
          <x:cell r="AB23" t="str">
            <x:v>10초 종료</x:v>
          </x:cell>
          <x:cell r="AC23" t="str">
            <x:v>SKL-STS-013</x:v>
          </x:cell>
          <x:cell r="AD23" t="str">
            <x:v>196번에서 장치 획득·249번 첫 자동 발동</x:v>
          </x:cell>
        </x:row>
        <x:row r="24">
          <x:cell r="G24" t="str">
            <x:v>쉿.</x:v>
          </x:cell>
          <x:cell r="H24" t="str">
            <x:v>이동을 잠시 멈추고 소리 발생 행동을 제한해 청각 추적형 변이체의 추적 게이지를 끊음.</x:v>
          </x:cell>
          <x:cell r="I24"/>
          <x:cell r="J24" t="str">
            <x:v>액티브</x:v>
          </x:cell>
          <x:cell r="K24" t="str">
            <x:v>차한해</x:v>
          </x:cell>
          <x:cell r="L24"/>
          <x:cell r="M24" t="str">
            <x:v>입력 유지</x:v>
          </x:cell>
          <x:cell r="N24" t="str">
            <x:v>1초간 이동·공격 입력 없음</x:v>
          </x:cell>
          <x:cell r="O24" t="str">
            <x:v>없음</x:v>
          </x:cell>
          <x:cell r="P24">
            <x:v>0</x:v>
          </x:cell>
          <x:cell r="Q24">
            <x:v>0</x:v>
          </x:cell>
          <x:cell r="R24" t="str">
            <x:v>피해 없음</x:v>
          </x:cell>
          <x:cell r="S24"/>
          <x:cell r="T24"/>
          <x:cell r="U24" t="str">
            <x:v>개별</x:v>
          </x:cell>
          <x:cell r="V24">
            <x:v>2.5</x:v>
          </x:cell>
          <x:cell r="W24">
            <x:v>1</x:v>
          </x:cell>
          <x:cell r="X24" t="str">
            <x:v>소음 발생량</x:v>
          </x:cell>
          <x:cell r="Y24">
            <x:v>-100</x:v>
          </x:cell>
          <x:cell r="Z24" t="str">
            <x:v>%</x:v>
          </x:cell>
          <x:cell r="AA24">
            <x:v>1.5</x:v>
          </x:cell>
          <x:cell r="AB24" t="str">
            <x:v>이동·공격 입력</x:v>
          </x:cell>
          <x:cell r="AC24" t="str">
            <x:v>없음</x:v>
          </x:cell>
          <x:cell r="AD24" t="str">
            <x:v>은폐 전용</x:v>
          </x:cell>
        </x:row>
        <x:row r="25">
          <x:cell r="G25" t="str">
            <x:v>껍데기부터</x:v>
          </x:cell>
          <x:cell r="H25" t="str">
            <x:v>사랑의 매로 보랏빛 공명 외피만 골라 때려 외피 방어를 먼저 제거하는 전용 공략 스킬.</x:v>
          </x:cell>
          <x:cell r="I25"/>
          <x:cell r="J25" t="str">
            <x:v>액티브</x:v>
          </x:cell>
          <x:cell r="K25" t="str">
            <x:v>차한해</x:v>
          </x:cell>
          <x:cell r="L25"/>
          <x:cell r="M25" t="str">
            <x:v>약점 노출</x:v>
          </x:cell>
          <x:cell r="N25" t="str">
            <x:v>공명 외피 활성</x:v>
          </x:cell>
          <x:cell r="O25" t="str">
            <x:v>기본 공격력 비율</x:v>
          </x:cell>
          <x:cell r="P25">
            <x:v>1.3</x:v>
          </x:cell>
          <x:cell r="Q25">
            <x:v>0</x:v>
          </x:cell>
          <x:cell r="R25" t="str">
            <x:v>기본 공격력 × 130%</x:v>
          </x:cell>
          <x:cell r="S25"/>
          <x:cell r="T25"/>
          <x:cell r="U25" t="str">
            <x:v>개별</x:v>
          </x:cell>
          <x:cell r="V25">
            <x:v>2.7999999999999998</x:v>
          </x:cell>
          <x:cell r="W25">
            <x:v>0.45000000000000001</x:v>
          </x:cell>
          <x:cell r="X25" t="str">
            <x:v>외피 피해</x:v>
          </x:cell>
          <x:cell r="Y25">
            <x:v>50</x:v>
          </x:cell>
          <x:cell r="Z25" t="str">
            <x:v>%</x:v>
          </x:cell>
          <x:cell r="AA25">
            <x:v>0</x:v>
          </x:cell>
          <x:cell r="AB25" t="str">
            <x:v>외피 파괴</x:v>
          </x:cell>
          <x:cell r="AC25" t="str">
            <x:v>없음</x:v>
          </x:cell>
          <x:cell r="AD25" t="str">
            <x:v>본체 피해보다 외피 제거에 특화</x:v>
          </x:cell>
        </x:row>
        <x:row r="26">
          <x:cell r="G26" t="str">
            <x:v>한 번 튕겨!</x:v>
          </x:cell>
          <x:cell r="H26" t="str">
            <x:v>보랏빛 농구공을 벽·골대에 반사시켜 직선으로 닿지 않는 기억 핵을 타격함.</x:v>
          </x:cell>
          <x:cell r="I26"/>
          <x:cell r="J26" t="str">
            <x:v>액티브</x:v>
          </x:cell>
          <x:cell r="K26" t="str">
            <x:v>차한해</x:v>
          </x:cell>
          <x:cell r="L26"/>
          <x:cell r="M26" t="str">
            <x:v>입력</x:v>
          </x:cell>
          <x:cell r="N26" t="str">
            <x:v>반사 경로 조준 완료</x:v>
          </x:cell>
          <x:cell r="O26" t="str">
            <x:v>기본 공격력 비율</x:v>
          </x:cell>
          <x:cell r="P26">
            <x:v>1.1000000000000001</x:v>
          </x:cell>
          <x:cell r="Q26">
            <x:v>0</x:v>
          </x:cell>
          <x:cell r="R26" t="str">
            <x:v>기본 공격력 × 110%</x:v>
          </x:cell>
          <x:cell r="S26"/>
          <x:cell r="T26"/>
          <x:cell r="U26" t="str">
            <x:v>개별</x:v>
          </x:cell>
          <x:cell r="V26">
            <x:v>2</x:v>
          </x:cell>
          <x:cell r="W26">
            <x:v>0.55000000000000004</x:v>
          </x:cell>
          <x:cell r="X26" t="str">
            <x:v>반사 횟수</x:v>
          </x:cell>
          <x:cell r="Y26">
            <x:v>1</x:v>
          </x:cell>
          <x:cell r="Z26" t="str">
            <x:v>회</x:v>
          </x:cell>
          <x:cell r="AA26">
            <x:v>0</x:v>
          </x:cell>
          <x:cell r="AB26" t="str">
            <x:v>공 회수·화면 밖 이탈</x:v>
          </x:cell>
          <x:cell r="AC26" t="str">
            <x:v>없음</x:v>
          </x:cell>
          <x:cell r="AD26" t="str">
            <x:v>반사 성공 시 기억 핵 판정 가능</x:v>
          </x:cell>
        </x:row>
        <x:row r="27">
          <x:cell r="G27" t="str">
            <x:v>바꿔가며!</x:v>
          </x:cell>
          <x:cell r="H27" t="str">
            <x:v>근거리 사랑의 매와 원거리 보랏빛 농구공을 빠르게 전환해 보스의 거리별 기억 패턴에 대응함.</x:v>
          </x:cell>
          <x:cell r="I27"/>
          <x:cell r="J27" t="str">
            <x:v>액티브</x:v>
          </x:cell>
          <x:cell r="K27" t="str">
            <x:v>차한해</x:v>
          </x:cell>
          <x:cell r="L27"/>
          <x:cell r="M27" t="str">
            <x:v>입력</x:v>
          </x:cell>
          <x:cell r="N27" t="str">
            <x:v>보유 무기 2종</x:v>
          </x:cell>
          <x:cell r="O27" t="str">
            <x:v>없음</x:v>
          </x:cell>
          <x:cell r="P27">
            <x:v>0</x:v>
          </x:cell>
          <x:cell r="Q27">
            <x:v>0</x:v>
          </x:cell>
          <x:cell r="R27" t="str">
            <x:v>피해 없음</x:v>
          </x:cell>
          <x:cell r="S27"/>
          <x:cell r="T27"/>
          <x:cell r="U27" t="str">
            <x:v>개별</x:v>
          </x:cell>
          <x:cell r="V27">
            <x:v>0.80000000000000004</x:v>
          </x:cell>
          <x:cell r="W27">
            <x:v>0.14999999999999999</x:v>
          </x:cell>
          <x:cell r="X27" t="str">
            <x:v>장비 슬롯</x:v>
          </x:cell>
          <x:cell r="Y27">
            <x:v>1</x:v>
          </x:cell>
          <x:cell r="Z27" t="str">
            <x:v>회</x:v>
          </x:cell>
          <x:cell r="AA27">
            <x:v>0</x:v>
          </x:cell>
          <x:cell r="AB27" t="str">
            <x:v>전환 완료</x:v>
          </x:cell>
          <x:cell r="AC27" t="str">
            <x:v>없음</x:v>
          </x:cell>
          <x:cell r="AD27" t="str">
            <x:v>장비 교체 시간 단축은 세트 효과와 별도</x:v>
          </x:cell>
        </x:row>
        <x:row r="28">
          <x:cell r="G28" t="str">
            <x:v>정신 차리자.</x:v>
          </x:cell>
          <x:cell r="H28" t="str">
            <x:v>안정 앰플 1개를 소비해 자아마모도 자체는 낮추지 않고 UI 간섭만 8초간 완화함.</x:v>
          </x:cell>
          <x:cell r="I28"/>
          <x:cell r="J28" t="str">
            <x:v>연출용+액티브</x:v>
          </x:cell>
          <x:cell r="K28" t="str">
            <x:v>차한해</x:v>
          </x:cell>
          <x:cell r="L28"/>
          <x:cell r="M28" t="str">
            <x:v>아이템 사용</x:v>
          </x:cell>
          <x:cell r="N28" t="str">
            <x:v>안정 앰플 1개 소모</x:v>
          </x:cell>
          <x:cell r="O28" t="str">
            <x:v>없음</x:v>
          </x:cell>
          <x:cell r="P28">
            <x:v>0</x:v>
          </x:cell>
          <x:cell r="Q28">
            <x:v>0</x:v>
          </x:cell>
          <x:cell r="R28" t="str">
            <x:v>피해 없음</x:v>
          </x:cell>
          <x:cell r="S28"/>
          <x:cell r="T28"/>
          <x:cell r="U28" t="str">
            <x:v>아이템 횟수</x:v>
          </x:cell>
          <x:cell r="V28">
            <x:v>0</x:v>
          </x:cell>
          <x:cell r="W28">
            <x:v>0.40000000000000002</x:v>
          </x:cell>
          <x:cell r="X28" t="str">
            <x:v>UI 간섭</x:v>
          </x:cell>
          <x:cell r="Y28">
            <x:v>-100</x:v>
          </x:cell>
          <x:cell r="Z28" t="str">
            <x:v>%</x:v>
          </x:cell>
          <x:cell r="AA28">
            <x:v>8</x:v>
          </x:cell>
          <x:cell r="AB28" t="str">
            <x:v>8초 종료</x:v>
          </x:cell>
          <x:cell r="AC28" t="str">
            <x:v>SKL-STS-014</x:v>
          </x:cell>
          <x:cell r="AD28" t="str">
            <x:v>수치 회복이 아니라 조작 가독성 보정</x:v>
          </x:cell>
        </x:row>
        <x:row r="29">
          <x:cell r="G29" t="str">
            <x:v>손 내려.</x:v>
          </x:cell>
          <x:cell r="H29" t="str">
            <x:v>변혜서의 정체를 확인한 뒤 공격을 멈추는 것이 공략이 되는 페이즈 전용 행동. 공격 입력을 잠그고 회피만 허용함.</x:v>
          </x:cell>
          <x:cell r="I29"/>
          <x:cell r="J29" t="str">
            <x:v>연출용+액티브</x:v>
          </x:cell>
          <x:cell r="K29" t="str">
            <x:v>차한해</x:v>
          </x:cell>
          <x:cell r="L29"/>
          <x:cell r="M29" t="str">
            <x:v>1회 강제 발동</x:v>
          </x:cell>
          <x:cell r="N29" t="str">
            <x:v>변혜서 정체 확정·마지막 생존 페이즈</x:v>
          </x:cell>
          <x:cell r="O29" t="str">
            <x:v>없음</x:v>
          </x:cell>
          <x:cell r="P29">
            <x:v>0</x:v>
          </x:cell>
          <x:cell r="Q29">
            <x:v>0</x:v>
          </x:cell>
          <x:cell r="R29" t="str">
            <x:v>피해 없음</x:v>
          </x:cell>
          <x:cell r="S29"/>
          <x:cell r="T29"/>
          <x:cell r="U29" t="str">
            <x:v>없음</x:v>
          </x:cell>
          <x:cell r="V29">
            <x:v>0</x:v>
          </x:cell>
          <x:cell r="W29">
            <x:v>0.29999999999999999</x:v>
          </x:cell>
          <x:cell r="X29" t="str">
            <x:v>공격 입력</x:v>
          </x:cell>
          <x:cell r="Y29">
            <x:v>-100</x:v>
          </x:cell>
          <x:cell r="Z29" t="str">
            <x:v>%</x:v>
          </x:cell>
          <x:cell r="AA29">
            <x:v>0</x:v>
          </x:cell>
          <x:cell r="AB29" t="str">
            <x:v>죄책감 파동 5회 생존</x:v>
          </x:cell>
          <x:cell r="AC29" t="str">
            <x:v>없음</x:v>
          </x:cell>
          <x:cell r="AD29" t="str">
            <x:v>공격하지 않는 선택 자체가 승리 조건</x:v>
          </x:cell>
        </x:row>
        <x:row r="30">
          <x:cell r="G30" t="str">
            <x:v>등급? 됐거든.</x:v>
          </x:cell>
          <x:cell r="H30" t="str">
            <x:v>너만 무한이잖아가 부여한 등급 표식과 실제 행동의 불일치를 찾아 계량 규칙을 무효화하는 판단형 스킬.</x:v>
          </x:cell>
          <x:cell r="I30"/>
          <x:cell r="J30" t="str">
            <x:v>액티브</x:v>
          </x:cell>
          <x:cell r="K30" t="str">
            <x:v>차한해</x:v>
          </x:cell>
          <x:cell r="L30"/>
          <x:cell r="M30" t="str">
            <x:v>패턴 판독</x:v>
          </x:cell>
          <x:cell r="N30" t="str">
            <x:v>잘못 배정된 등급 대상 식별</x:v>
          </x:cell>
          <x:cell r="O30" t="str">
            <x:v>없음</x:v>
          </x:cell>
          <x:cell r="P30">
            <x:v>0</x:v>
          </x:cell>
          <x:cell r="Q30">
            <x:v>0</x:v>
          </x:cell>
          <x:cell r="R30" t="str">
            <x:v>피해 없음</x:v>
          </x:cell>
          <x:cell r="S30"/>
          <x:cell r="T30"/>
          <x:cell r="U30" t="str">
            <x:v>개별</x:v>
          </x:cell>
          <x:cell r="V30">
            <x:v>3</x:v>
          </x:cell>
          <x:cell r="W30">
            <x:v>0.29999999999999999</x:v>
          </x:cell>
          <x:cell r="X30" t="str">
            <x:v>등급 표식</x:v>
          </x:cell>
          <x:cell r="Y30">
            <x:v>-1</x:v>
          </x:cell>
          <x:cell r="Z30" t="str">
            <x:v>개</x:v>
          </x:cell>
          <x:cell r="AA30">
            <x:v>0</x:v>
          </x:cell>
          <x:cell r="AB30" t="str">
            <x:v>장치 파괴</x:v>
          </x:cell>
          <x:cell r="AC30" t="str">
            <x:v>SKL-STS-019</x:v>
          </x:cell>
          <x:cell r="AD30" t="str">
            <x:v>등급 자체가 아닌 행동을 기준으로 판별</x:v>
          </x:cell>
        </x:row>
        <x:row r="31">
          <x:cell r="G31" t="str">
            <x:v>이번엔 같이.</x:v>
          </x:cell>
          <x:cell r="H31" t="str">
            <x:v>차한해 혼자 무한대 부담을 받아내지 않고 전장에 분산된 연결 장치를 동료와 동시 작동시키는 협력형 사건 스킬.</x:v>
          </x:cell>
          <x:cell r="I31"/>
          <x:cell r="J31" t="str">
            <x:v>연출용+액티브</x:v>
          </x:cell>
          <x:cell r="K31" t="str">
            <x:v>차한해·동료</x:v>
          </x:cell>
          <x:cell r="L31"/>
          <x:cell r="M31" t="str">
            <x:v>동시 입력</x:v>
          </x:cell>
          <x:cell r="N31" t="str">
            <x:v>부담 연결 장치 4개 활성</x:v>
          </x:cell>
          <x:cell r="O31" t="str">
            <x:v>없음</x:v>
          </x:cell>
          <x:cell r="P31">
            <x:v>0</x:v>
          </x:cell>
          <x:cell r="Q31">
            <x:v>0</x:v>
          </x:cell>
          <x:cell r="R31" t="str">
            <x:v>피해 없음</x:v>
          </x:cell>
          <x:cell r="S31"/>
          <x:cell r="T31"/>
          <x:cell r="U31" t="str">
            <x:v>페이즈 1회</x:v>
          </x:cell>
          <x:cell r="V31">
            <x:v>0</x:v>
          </x:cell>
          <x:cell r="W31">
            <x:v>0.59999999999999998</x:v>
          </x:cell>
          <x:cell r="X31" t="str">
            <x:v>부담 연결</x:v>
          </x:cell>
          <x:cell r="Y31">
            <x:v>-4</x:v>
          </x:cell>
          <x:cell r="Z31" t="str">
            <x:v>개</x:v>
          </x:cell>
          <x:cell r="AA31">
            <x:v>0</x:v>
          </x:cell>
          <x:cell r="AB31" t="str">
            <x:v>장치 4개 동시 파괴</x:v>
          </x:cell>
          <x:cell r="AC31" t="str">
            <x:v>없음</x:v>
          </x:cell>
          <x:cell r="AD31" t="str">
            <x:v>최종부 주제인 책임 분담을 전투 기믹으로 표현</x:v>
          </x:cell>
        </x:row>
        <x:row r="32">
          <x:cell r="G32" t="str">
            <x:v>눈물</x:v>
          </x:cell>
          <x:cell r="H32" t="str">
            <x:v>차한해가 혼자 균열로 들어가는 희생 경로에서 진입 직전 UI로 반드시 사용하는 마지막 스킬. 눈물 한 방울과 함께 기억·감정이 도시 전체로 공명됨.</x:v>
          </x:cell>
          <x:cell r="I32"/>
          <x:cell r="J32" t="str">
            <x:v>연출용+액티브</x:v>
          </x:cell>
          <x:cell r="K32" t="str">
            <x:v>도시 전체 시민</x:v>
          </x:cell>
          <x:cell r="L32" t="str">
            <x:v>죄책감</x:v>
          </x:cell>
          <x:cell r="M32" t="str">
            <x:v>1회 강제 발동</x:v>
          </x:cell>
          <x:cell r="N32" t="str">
            <x:v>단독 희생 엔딩 확정·균열 진입 직전</x:v>
          </x:cell>
          <x:cell r="O32" t="str">
            <x:v>없음</x:v>
          </x:cell>
          <x:cell r="P32">
            <x:v>0</x:v>
          </x:cell>
          <x:cell r="Q32">
            <x:v>0</x:v>
          </x:cell>
          <x:cell r="R32" t="str">
            <x:v>피해 없음</x:v>
          </x:cell>
          <x:cell r="S32"/>
          <x:cell r="T32"/>
          <x:cell r="U32" t="str">
            <x:v>엔딩 1회</x:v>
          </x:cell>
          <x:cell r="V32">
            <x:v>0</x:v>
          </x:cell>
          <x:cell r="W32">
            <x:v>2</x:v>
          </x:cell>
          <x:cell r="X32" t="str">
            <x:v>없음</x:v>
          </x:cell>
          <x:cell r="Y32">
            <x:v>0</x:v>
          </x:cell>
          <x:cell r="Z32" t="str">
            <x:v>없음</x:v>
          </x:cell>
          <x:cell r="AA32">
            <x:v>0</x:v>
          </x:cell>
          <x:cell r="AB32" t="str">
            <x:v>눈물 연출 종료·균열 진입</x:v>
          </x:cell>
          <x:cell r="AC32" t="str">
            <x:v>SKL-STS-015</x:v>
          </x:cell>
          <x:cell r="AD32" t="str">
            <x:v>공동 진입 엔딩에서는 UI 자체가 나타나지 않음</x:v>
          </x:cell>
        </x:row>
        <x:row r="33">
          <x:cell r="G33" t="str">
            <x:v>무한 선의</x:v>
          </x:cell>
          <x:cell r="H33" t="str">
            <x:v>차한해의 선의 감소 연산을 0으로 고정하고 측정 상한을 반복 초과시키는 태생적 패시브. 전투 행위 자체는 선의 감소 조건이 아님.</x:v>
          </x:cell>
          <x:cell r="I33"/>
          <x:cell r="J33" t="str">
            <x:v>패시브</x:v>
          </x:cell>
          <x:cell r="K33" t="str">
            <x:v>차한해</x:v>
          </x:cell>
          <x:cell r="L33"/>
          <x:cell r="M33" t="str">
            <x:v>상시</x:v>
          </x:cell>
          <x:cell r="N33" t="str">
            <x:v>차한해 활성 상태</x:v>
          </x:cell>
          <x:cell r="O33" t="str">
            <x:v>없음</x:v>
          </x:cell>
          <x:cell r="P33">
            <x:v>0</x:v>
          </x:cell>
          <x:cell r="Q33">
            <x:v>0</x:v>
          </x:cell>
          <x:cell r="R33" t="str">
            <x:v>피해 없음</x:v>
          </x:cell>
          <x:cell r="S33"/>
          <x:cell r="T33"/>
          <x:cell r="U33" t="str">
            <x:v>없음</x:v>
          </x:cell>
          <x:cell r="V33">
            <x:v>0</x:v>
          </x:cell>
          <x:cell r="W33">
            <x:v>0</x:v>
          </x:cell>
          <x:cell r="X33" t="str">
            <x:v>선의 감소량</x:v>
          </x:cell>
          <x:cell r="Y33">
            <x:v>0</x:v>
          </x:cell>
          <x:cell r="Z33" t="str">
            <x:v>고정값</x:v>
          </x:cell>
          <x:cell r="AA33">
            <x:v>0</x:v>
          </x:cell>
          <x:cell r="AB33" t="str">
            <x:v>해제 불가</x:v>
          </x:cell>
          <x:cell r="AC33" t="str">
            <x:v>없음</x:v>
          </x:cell>
          <x:cell r="AD33" t="str">
            <x:v>112번 재측정에서 시스템적으로 확정</x:v>
          </x:cell>
        </x:row>
        <x:row r="34">
          <x:cell r="G34" t="str">
            <x:v>찾았어, 여기야!</x:v>
          </x:cell>
          <x:cell r="H34" t="str">
            <x:v>한도윤 인연 100%에서 [도와줘!]로 호출되는 지원 행동. 마지막 직원의 위치를 무전과 표식으로 즉시 알려 줌.</x:v>
          </x:cell>
          <x:cell r="I34"/>
          <x:cell r="J34" t="str">
            <x:v>지원+이벤트</x:v>
          </x:cell>
          <x:cell r="K34" t="str">
            <x:v>한도윤</x:v>
          </x:cell>
          <x:cell r="L34"/>
          <x:cell r="M34" t="str">
            <x:v>연계 호출</x:v>
          </x:cell>
          <x:cell r="N34" t="str">
            <x:v>SKL-PC-020 사용·한도윤 인연 100%</x:v>
          </x:cell>
          <x:cell r="O34" t="str">
            <x:v>없음</x:v>
          </x:cell>
          <x:cell r="P34">
            <x:v>0</x:v>
          </x:cell>
          <x:cell r="Q34">
            <x:v>0</x:v>
          </x:cell>
          <x:cell r="R34" t="str">
            <x:v>피해 없음</x:v>
          </x:cell>
          <x:cell r="S34"/>
          <x:cell r="T34"/>
          <x:cell r="U34" t="str">
            <x:v>상황당 1회</x:v>
          </x:cell>
          <x:cell r="V34">
            <x:v>0</x:v>
          </x:cell>
          <x:cell r="W34">
            <x:v>0.5</x:v>
          </x:cell>
          <x:cell r="X34" t="str">
            <x:v>탐색 후보</x:v>
          </x:cell>
          <x:cell r="Y34">
            <x:v>-1</x:v>
          </x:cell>
          <x:cell r="Z34" t="str">
            <x:v>구역</x:v>
          </x:cell>
          <x:cell r="AA34">
            <x:v>0</x:v>
          </x:cell>
          <x:cell r="AB34" t="str">
            <x:v>위치 표식 확인</x:v>
          </x:cell>
          <x:cell r="AC34" t="str">
            <x:v>없음</x:v>
          </x:cell>
          <x:cell r="AD34" t="str">
            <x:v>범용 AI 이동이 아니라 정보 지원</x:v>
          </x:cell>
        </x:row>
        <x:row r="35">
          <x:cell r="G35" t="str">
            <x:v>여기서 받쳐줄게</x:v>
          </x:cell>
          <x:cell r="H35" t="str">
            <x:v>나대진 인연 100%에서 [도와줘!]로 호출되는 원격 지원. 치명 피해 1회를 막고 가장 가까운 부담 장치 1개를 안정화함.</x:v>
          </x:cell>
          <x:cell r="I35"/>
          <x:cell r="J35" t="str">
            <x:v>지원+이벤트</x:v>
          </x:cell>
          <x:cell r="K35" t="str">
            <x:v>나대진</x:v>
          </x:cell>
          <x:cell r="L35"/>
          <x:cell r="M35" t="str">
            <x:v>연계 호출</x:v>
          </x:cell>
          <x:cell r="N35" t="str">
            <x:v>SKL-PC-020 사용·나대진 인연 100%</x:v>
          </x:cell>
          <x:cell r="O35" t="str">
            <x:v>없음</x:v>
          </x:cell>
          <x:cell r="P35">
            <x:v>0</x:v>
          </x:cell>
          <x:cell r="Q35">
            <x:v>0</x:v>
          </x:cell>
          <x:cell r="R35" t="str">
            <x:v>피해 없음</x:v>
          </x:cell>
          <x:cell r="S35"/>
          <x:cell r="T35"/>
          <x:cell r="U35" t="str">
            <x:v>전투당 1회</x:v>
          </x:cell>
          <x:cell r="V35">
            <x:v>0</x:v>
          </x:cell>
          <x:cell r="W35">
            <x:v>0.40000000000000002</x:v>
          </x:cell>
          <x:cell r="X35" t="str">
            <x:v>치명 피해</x:v>
          </x:cell>
          <x:cell r="Y35">
            <x:v>-100</x:v>
          </x:cell>
          <x:cell r="Z35" t="str">
            <x:v>%</x:v>
          </x:cell>
          <x:cell r="AA35">
            <x:v>0</x:v>
          </x:cell>
          <x:cell r="AB35" t="str">
            <x:v>지원 1회 소모</x:v>
          </x:cell>
          <x:cell r="AC35" t="str">
            <x:v>없음</x:v>
          </x:cell>
          <x:cell r="AD35" t="str">
            <x:v>270번에서 지원 조건 해금</x:v>
          </x:cell>
        </x:row>
        <x:row r="36">
          <x:cell r="G36" t="str">
            <x:v>경직</x:v>
          </x:cell>
          <x:cell r="H36" t="str">
            <x:v>일정 시간 대상의 이동·공격 입력 또는 AI 행동을 중단시키는 공용 상태.</x:v>
          </x:cell>
          <x:cell r="I36"/>
          <x:cell r="J36" t="str">
            <x:v>상태이상</x:v>
          </x:cell>
          <x:cell r="K36" t="str">
            <x:v>피격 대상</x:v>
          </x:cell>
          <x:cell r="L36" t="str">
            <x:v>행동 불가</x:v>
          </x:cell>
          <x:cell r="M36" t="str">
            <x:v>연계 호출</x:v>
          </x:cell>
          <x:cell r="N36" t="str">
            <x:v>경직을 부여하는 스킬 적중</x:v>
          </x:cell>
          <x:cell r="O36" t="str">
            <x:v>없음</x:v>
          </x:cell>
          <x:cell r="P36">
            <x:v>0</x:v>
          </x:cell>
          <x:cell r="Q36">
            <x:v>0</x:v>
          </x:cell>
          <x:cell r="R36" t="str">
            <x:v>피해 없음</x:v>
          </x:cell>
          <x:cell r="S36"/>
          <x:cell r="T36"/>
          <x:cell r="U36" t="str">
            <x:v>없음</x:v>
          </x:cell>
          <x:cell r="V36">
            <x:v>0</x:v>
          </x:cell>
          <x:cell r="W36">
            <x:v>0</x:v>
          </x:cell>
          <x:cell r="X36" t="str">
            <x:v>행동 가능 여부</x:v>
          </x:cell>
          <x:cell r="Y36">
            <x:v>-1</x:v>
          </x:cell>
          <x:cell r="Z36" t="str">
            <x:v>상태</x:v>
          </x:cell>
          <x:cell r="AA36">
            <x:v>1</x:v>
          </x:cell>
          <x:cell r="AB36" t="str">
            <x:v>지속 종료</x:v>
          </x:cell>
          <x:cell r="AC36" t="str">
            <x:v>없음</x:v>
          </x:cell>
          <x:cell r="AD36" t="str">
            <x:v>호출 스킬이 지속 시간을 덮어씀</x:v>
          </x:cell>
        </x:row>
        <x:row r="37">
          <x:cell r="G37" t="str">
            <x:v>밀려남</x:v>
          </x:cell>
          <x:cell r="H37" t="str">
            <x:v>대상을 공격 방향 반대로 강제 이동시키는 공용 위치 제어 상태.</x:v>
          </x:cell>
          <x:cell r="I37"/>
          <x:cell r="J37" t="str">
            <x:v>상태이상</x:v>
          </x:cell>
          <x:cell r="K37" t="str">
            <x:v>피격 대상</x:v>
          </x:cell>
          <x:cell r="L37" t="str">
            <x:v>강제 이동</x:v>
          </x:cell>
          <x:cell r="M37" t="str">
            <x:v>연계 호출</x:v>
          </x:cell>
          <x:cell r="N37" t="str">
            <x:v>밀치기·돌진·충격파 적중</x:v>
          </x:cell>
          <x:cell r="O37" t="str">
            <x:v>없음</x:v>
          </x:cell>
          <x:cell r="P37">
            <x:v>0</x:v>
          </x:cell>
          <x:cell r="Q37">
            <x:v>0</x:v>
          </x:cell>
          <x:cell r="R37" t="str">
            <x:v>피해 없음</x:v>
          </x:cell>
          <x:cell r="S37"/>
          <x:cell r="T37"/>
          <x:cell r="U37" t="str">
            <x:v>없음</x:v>
          </x:cell>
          <x:cell r="V37">
            <x:v>0</x:v>
          </x:cell>
          <x:cell r="W37">
            <x:v>0</x:v>
          </x:cell>
          <x:cell r="X37" t="str">
            <x:v>위치 이동</x:v>
          </x:cell>
          <x:cell r="Y37">
            <x:v>1.5</x:v>
          </x:cell>
          <x:cell r="Z37" t="str">
            <x:v>칸</x:v>
          </x:cell>
          <x:cell r="AA37">
            <x:v>0</x:v>
          </x:cell>
          <x:cell r="AB37" t="str">
            <x:v>이동 완료</x:v>
          </x:cell>
          <x:cell r="AC37" t="str">
            <x:v>없음</x:v>
          </x:cell>
          <x:cell r="AD37" t="str">
            <x:v>보스·고정형 개체는 거리 감소</x:v>
          </x:cell>
        </x:row>
        <x:row r="38">
          <x:cell r="G38" t="str">
            <x:v>이동 둔화</x:v>
          </x:cell>
          <x:cell r="H38" t="str">
            <x:v>대상의 이동 속도를 일정 시간 낮추는 공용 상태.</x:v>
          </x:cell>
          <x:cell r="I38"/>
          <x:cell r="J38" t="str">
            <x:v>상태이상</x:v>
          </x:cell>
          <x:cell r="K38" t="str">
            <x:v>피격 대상</x:v>
          </x:cell>
          <x:cell r="L38" t="str">
            <x:v>이동 속도 감소</x:v>
          </x:cell>
          <x:cell r="M38" t="str">
            <x:v>연계 호출</x:v>
          </x:cell>
          <x:cell r="N38" t="str">
            <x:v>이동 방해 계열 스킬 적중</x:v>
          </x:cell>
          <x:cell r="O38" t="str">
            <x:v>없음</x:v>
          </x:cell>
          <x:cell r="P38">
            <x:v>0</x:v>
          </x:cell>
          <x:cell r="Q38">
            <x:v>0</x:v>
          </x:cell>
          <x:cell r="R38" t="str">
            <x:v>피해 없음</x:v>
          </x:cell>
          <x:cell r="S38"/>
          <x:cell r="T38"/>
          <x:cell r="U38" t="str">
            <x:v>없음</x:v>
          </x:cell>
          <x:cell r="V38">
            <x:v>0</x:v>
          </x:cell>
          <x:cell r="W38">
            <x:v>0</x:v>
          </x:cell>
          <x:cell r="X38" t="str">
            <x:v>이동 속도</x:v>
          </x:cell>
          <x:cell r="Y38">
            <x:v>-40</x:v>
          </x:cell>
          <x:cell r="Z38" t="str">
            <x:v>%</x:v>
          </x:cell>
          <x:cell r="AA38">
            <x:v>3</x:v>
          </x:cell>
          <x:cell r="AB38" t="str">
            <x:v>지속 종료</x:v>
          </x:cell>
          <x:cell r="AC38" t="str">
            <x:v>없음</x:v>
          </x:cell>
          <x:cell r="AD38" t="str">
            <x:v>중첩 시 높은 값 우선</x:v>
          </x:cell>
        </x:row>
        <x:row r="39">
          <x:cell r="G39" t="str">
            <x:v>공격 강화</x:v>
          </x:cell>
          <x:cell r="H39" t="str">
            <x:v>몬스터 또는 무리의 공격력을 일정 시간 높이는 공용 강화 상태.</x:v>
          </x:cell>
          <x:cell r="I39"/>
          <x:cell r="J39" t="str">
            <x:v>버프</x:v>
          </x:cell>
          <x:cell r="K39" t="str">
            <x:v>시전자·아군</x:v>
          </x:cell>
          <x:cell r="L39"/>
          <x:cell r="M39" t="str">
            <x:v>연계 호출</x:v>
          </x:cell>
          <x:cell r="N39" t="str">
            <x:v>강화·가속·구호 계열 스킬 성공</x:v>
          </x:cell>
          <x:cell r="O39" t="str">
            <x:v>없음</x:v>
          </x:cell>
          <x:cell r="P39">
            <x:v>0</x:v>
          </x:cell>
          <x:cell r="Q39">
            <x:v>0</x:v>
          </x:cell>
          <x:cell r="R39" t="str">
            <x:v>피해 없음</x:v>
          </x:cell>
          <x:cell r="S39"/>
          <x:cell r="T39"/>
          <x:cell r="U39" t="str">
            <x:v>없음</x:v>
          </x:cell>
          <x:cell r="V39">
            <x:v>0</x:v>
          </x:cell>
          <x:cell r="W39">
            <x:v>0</x:v>
          </x:cell>
          <x:cell r="X39" t="str">
            <x:v>공격력</x:v>
          </x:cell>
          <x:cell r="Y39">
            <x:v>20</x:v>
          </x:cell>
          <x:cell r="Z39" t="str">
            <x:v>%</x:v>
          </x:cell>
          <x:cell r="AA39">
            <x:v>6</x:v>
          </x:cell>
          <x:cell r="AB39" t="str">
            <x:v>지속 종료</x:v>
          </x:cell>
          <x:cell r="AC39" t="str">
            <x:v>없음</x:v>
          </x:cell>
          <x:cell r="AD39" t="str">
            <x:v>선도체·갈채 계열 공용</x:v>
          </x:cell>
        </x:row>
        <x:row r="40">
          <x:cell r="G40" t="str">
            <x:v>보호막</x:v>
          </x:cell>
          <x:cell r="H40" t="str">
            <x:v>일정량의 피해를 본체보다 먼저 흡수하는 공용 방어 상태.</x:v>
          </x:cell>
          <x:cell r="I40"/>
          <x:cell r="J40" t="str">
            <x:v>버프</x:v>
          </x:cell>
          <x:cell r="K40" t="str">
            <x:v>시전자·아군</x:v>
          </x:cell>
          <x:cell r="L40"/>
          <x:cell r="M40" t="str">
            <x:v>연계 호출</x:v>
          </x:cell>
          <x:cell r="N40" t="str">
            <x:v>보호막·외피 계열 스킬 성공</x:v>
          </x:cell>
          <x:cell r="O40" t="str">
            <x:v>없음</x:v>
          </x:cell>
          <x:cell r="P40">
            <x:v>0</x:v>
          </x:cell>
          <x:cell r="Q40">
            <x:v>0</x:v>
          </x:cell>
          <x:cell r="R40" t="str">
            <x:v>피해 없음</x:v>
          </x:cell>
          <x:cell r="S40"/>
          <x:cell r="T40"/>
          <x:cell r="U40" t="str">
            <x:v>없음</x:v>
          </x:cell>
          <x:cell r="V40">
            <x:v>0</x:v>
          </x:cell>
          <x:cell r="W40">
            <x:v>0</x:v>
          </x:cell>
          <x:cell r="X40" t="str">
            <x:v>보호막</x:v>
          </x:cell>
          <x:cell r="Y40">
            <x:v>20</x:v>
          </x:cell>
          <x:cell r="Z40" t="str">
            <x:v>%</x:v>
          </x:cell>
          <x:cell r="AA40">
            <x:v>6</x:v>
          </x:cell>
          <x:cell r="AB40" t="str">
            <x:v>보호막 소진·지속 종료</x:v>
          </x:cell>
          <x:cell r="AC40" t="str">
            <x:v>없음</x:v>
          </x:cell>
          <x:cell r="AD40" t="str">
            <x:v>최대 HP 비율 기준</x:v>
          </x:cell>
        </x:row>
        <x:row r="41">
          <x:cell r="G41" t="str">
            <x:v>방향 혼란</x:v>
          </x:cell>
          <x:cell r="H41" t="str">
            <x:v>플레이어의 이동·전조 방향 정보를 짧게 뒤틀어 판단을 방해하는 상태.</x:v>
          </x:cell>
          <x:cell r="I41"/>
          <x:cell r="J41" t="str">
            <x:v>디버프</x:v>
          </x:cell>
          <x:cell r="K41" t="str">
            <x:v>차한해</x:v>
          </x:cell>
          <x:cell r="L41" t="str">
            <x:v>방향 정보 왜곡</x:v>
          </x:cell>
          <x:cell r="M41" t="str">
            <x:v>연계 호출</x:v>
          </x:cell>
          <x:cell r="N41" t="str">
            <x:v>환각·혼란 계열 스킬 적중</x:v>
          </x:cell>
          <x:cell r="O41" t="str">
            <x:v>없음</x:v>
          </x:cell>
          <x:cell r="P41">
            <x:v>0</x:v>
          </x:cell>
          <x:cell r="Q41">
            <x:v>0</x:v>
          </x:cell>
          <x:cell r="R41" t="str">
            <x:v>피해 없음</x:v>
          </x:cell>
          <x:cell r="S41"/>
          <x:cell r="T41"/>
          <x:cell r="U41" t="str">
            <x:v>없음</x:v>
          </x:cell>
          <x:cell r="V41">
            <x:v>0</x:v>
          </x:cell>
          <x:cell r="W41">
            <x:v>0</x:v>
          </x:cell>
          <x:cell r="X41" t="str">
            <x:v>방향 판독</x:v>
          </x:cell>
          <x:cell r="Y41">
            <x:v>-1</x:v>
          </x:cell>
          <x:cell r="Z41" t="str">
            <x:v>단계</x:v>
          </x:cell>
          <x:cell r="AA41">
            <x:v>2.5</x:v>
          </x:cell>
          <x:cell r="AB41" t="str">
            <x:v>지속 종료</x:v>
          </x:cell>
          <x:cell r="AC41" t="str">
            <x:v>없음</x:v>
          </x:cell>
          <x:cell r="AD41" t="str">
            <x:v>접근성 설정에서 시각 왜곡 완화 가능</x:v>
          </x:cell>
        </x:row>
        <x:row r="42">
          <x:cell r="G42" t="str">
            <x:v>표적 지정</x:v>
          </x:cell>
          <x:cell r="H42" t="str">
            <x:v>AI가 특정 대상 또는 위치를 우선 목표로 삼도록 바꾸는 공용 상태.</x:v>
          </x:cell>
          <x:cell r="I42"/>
          <x:cell r="J42" t="str">
            <x:v>상태이상</x:v>
          </x:cell>
          <x:cell r="K42" t="str">
            <x:v>대상·위치</x:v>
          </x:cell>
          <x:cell r="L42" t="str">
            <x:v>우선 표적 변경</x:v>
          </x:cell>
          <x:cell r="M42" t="str">
            <x:v>연계 호출</x:v>
          </x:cell>
          <x:cell r="N42" t="str">
            <x:v>지정·호명·유인 계열 스킬 성공</x:v>
          </x:cell>
          <x:cell r="O42" t="str">
            <x:v>없음</x:v>
          </x:cell>
          <x:cell r="P42">
            <x:v>0</x:v>
          </x:cell>
          <x:cell r="Q42">
            <x:v>0</x:v>
          </x:cell>
          <x:cell r="R42" t="str">
            <x:v>피해 없음</x:v>
          </x:cell>
          <x:cell r="S42"/>
          <x:cell r="T42"/>
          <x:cell r="U42" t="str">
            <x:v>없음</x:v>
          </x:cell>
          <x:cell r="V42">
            <x:v>0</x:v>
          </x:cell>
          <x:cell r="W42">
            <x:v>0</x:v>
          </x:cell>
          <x:cell r="X42" t="str">
            <x:v>AI 우선순위</x:v>
          </x:cell>
          <x:cell r="Y42">
            <x:v>1</x:v>
          </x:cell>
          <x:cell r="Z42" t="str">
            <x:v>단계</x:v>
          </x:cell>
          <x:cell r="AA42">
            <x:v>4</x:v>
          </x:cell>
          <x:cell r="AB42" t="str">
            <x:v>대상 이탈·지속 종료</x:v>
          </x:cell>
          <x:cell r="AC42" t="str">
            <x:v>없음</x:v>
          </x:cell>
          <x:cell r="AD42" t="str">
            <x:v>PC 유인과 몬스터 호명 모두 사용</x:v>
          </x:cell>
        </x:row>
        <x:row r="43">
          <x:cell r="G43" t="str">
            <x:v>피해 전가</x:v>
          </x:cell>
          <x:cell r="H43" t="str">
            <x:v>받을 피해 또는 상태이상을 연결된 다른 대상에게 넘기는 상태.</x:v>
          </x:cell>
          <x:cell r="I43"/>
          <x:cell r="J43" t="str">
            <x:v>상태이상</x:v>
          </x:cell>
          <x:cell r="K43" t="str">
            <x:v>연결 대상</x:v>
          </x:cell>
          <x:cell r="L43" t="str">
            <x:v>피해 이전</x:v>
          </x:cell>
          <x:cell r="M43" t="str">
            <x:v>연계 호출</x:v>
          </x:cell>
          <x:cell r="N43" t="str">
            <x:v>전가 연결 활성</x:v>
          </x:cell>
          <x:cell r="O43" t="str">
            <x:v>없음</x:v>
          </x:cell>
          <x:cell r="P43">
            <x:v>0</x:v>
          </x:cell>
          <x:cell r="Q43">
            <x:v>0</x:v>
          </x:cell>
          <x:cell r="R43" t="str">
            <x:v>피해 없음</x:v>
          </x:cell>
          <x:cell r="S43"/>
          <x:cell r="T43"/>
          <x:cell r="U43" t="str">
            <x:v>없음</x:v>
          </x:cell>
          <x:cell r="V43">
            <x:v>0</x:v>
          </x:cell>
          <x:cell r="W43">
            <x:v>0</x:v>
          </x:cell>
          <x:cell r="X43" t="str">
            <x:v>피해 이전</x:v>
          </x:cell>
          <x:cell r="Y43">
            <x:v>70</x:v>
          </x:cell>
          <x:cell r="Z43" t="str">
            <x:v>%</x:v>
          </x:cell>
          <x:cell r="AA43">
            <x:v>5</x:v>
          </x:cell>
          <x:cell r="AB43" t="str">
            <x:v>연결 해제·대상 소멸</x:v>
          </x:cell>
          <x:cell r="AC43" t="str">
            <x:v>없음</x:v>
          </x:cell>
          <x:cell r="AD43" t="str">
            <x:v>시민 환영 연결은 직접 피해 판정 없음</x:v>
          </x:cell>
        </x:row>
        <x:row r="44">
          <x:cell r="G44" t="str">
            <x:v>속박</x:v>
          </x:cell>
          <x:cell r="H44" t="str">
            <x:v>이동 또는 특정 행동 입력을 잠시 제한하는 공용 제어 상태.</x:v>
          </x:cell>
          <x:cell r="I44"/>
          <x:cell r="J44" t="str">
            <x:v>상태이상</x:v>
          </x:cell>
          <x:cell r="K44" t="str">
            <x:v>피격 대상</x:v>
          </x:cell>
          <x:cell r="L44" t="str">
            <x:v>이동·행동 제한</x:v>
          </x:cell>
          <x:cell r="M44" t="str">
            <x:v>연계 호출</x:v>
          </x:cell>
          <x:cell r="N44" t="str">
            <x:v>속박·행동 봉쇄 적중</x:v>
          </x:cell>
          <x:cell r="O44" t="str">
            <x:v>없음</x:v>
          </x:cell>
          <x:cell r="P44">
            <x:v>0</x:v>
          </x:cell>
          <x:cell r="Q44">
            <x:v>0</x:v>
          </x:cell>
          <x:cell r="R44" t="str">
            <x:v>피해 없음</x:v>
          </x:cell>
          <x:cell r="S44"/>
          <x:cell r="T44"/>
          <x:cell r="U44" t="str">
            <x:v>없음</x:v>
          </x:cell>
          <x:cell r="V44">
            <x:v>0</x:v>
          </x:cell>
          <x:cell r="W44">
            <x:v>0</x:v>
          </x:cell>
          <x:cell r="X44" t="str">
            <x:v>이동 속도</x:v>
          </x:cell>
          <x:cell r="Y44">
            <x:v>-100</x:v>
          </x:cell>
          <x:cell r="Z44" t="str">
            <x:v>%</x:v>
          </x:cell>
          <x:cell r="AA44">
            <x:v>1.5</x:v>
          </x:cell>
          <x:cell r="AB44" t="str">
            <x:v>지속 종료·해제 입력 성공</x:v>
          </x:cell>
          <x:cell r="AC44" t="str">
            <x:v>없음</x:v>
          </x:cell>
          <x:cell r="AD44" t="str">
            <x:v>장비 저항으로 지속시간 감소</x:v>
          </x:cell>
        </x:row>
        <x:row r="45">
          <x:cell r="G45" t="str">
            <x:v>주의 분산</x:v>
          </x:cell>
          <x:cell r="H45" t="str">
            <x:v>일반 변이체의 표적을 실제 대상에서 소리·빛 발생 지점으로 잠시 바꾸는 상태.</x:v>
          </x:cell>
          <x:cell r="I45"/>
          <x:cell r="J45" t="str">
            <x:v>상태이상</x:v>
          </x:cell>
          <x:cell r="K45" t="str">
            <x:v>일반 변이체</x:v>
          </x:cell>
          <x:cell r="L45" t="str">
            <x:v>표적 전환</x:v>
          </x:cell>
          <x:cell r="M45" t="str">
            <x:v>연계 호출</x:v>
          </x:cell>
          <x:cell r="N45" t="str">
            <x:v>[저기 봐!] 발동</x:v>
          </x:cell>
          <x:cell r="O45" t="str">
            <x:v>없음</x:v>
          </x:cell>
          <x:cell r="P45">
            <x:v>0</x:v>
          </x:cell>
          <x:cell r="Q45">
            <x:v>0</x:v>
          </x:cell>
          <x:cell r="R45" t="str">
            <x:v>피해 없음</x:v>
          </x:cell>
          <x:cell r="S45"/>
          <x:cell r="T45"/>
          <x:cell r="U45" t="str">
            <x:v>없음</x:v>
          </x:cell>
          <x:cell r="V45">
            <x:v>0</x:v>
          </x:cell>
          <x:cell r="W45">
            <x:v>0</x:v>
          </x:cell>
          <x:cell r="X45" t="str">
            <x:v>표적 우선순위</x:v>
          </x:cell>
          <x:cell r="Y45">
            <x:v>1</x:v>
          </x:cell>
          <x:cell r="Z45" t="str">
            <x:v>지점</x:v>
          </x:cell>
          <x:cell r="AA45">
            <x:v>4</x:v>
          </x:cell>
          <x:cell r="AB45" t="str">
            <x:v>지속 종료·피격</x:v>
          </x:cell>
          <x:cell r="AC45" t="str">
            <x:v>없음</x:v>
          </x:cell>
          <x:cell r="AD45" t="str">
            <x:v>보스 면역</x:v>
          </x:cell>
        </x:row>
        <x:row r="46">
          <x:cell r="G46" t="str">
            <x:v>무의식적 선의 폭발</x:v>
          </x:cell>
          <x:cell r="H46" t="str">
            <x:v>[펑!]에 의해 호출되어 차한해의 공격력 보정에 +990을 더해 순간 출력 1000을 만드는 일회성 상태.</x:v>
          </x:cell>
          <x:cell r="I46"/>
          <x:cell r="J46" t="str">
            <x:v>버프</x:v>
          </x:cell>
          <x:cell r="K46" t="str">
            <x:v>차한해</x:v>
          </x:cell>
          <x:cell r="L46"/>
          <x:cell r="M46" t="str">
            <x:v>연계 호출</x:v>
          </x:cell>
          <x:cell r="N46" t="str">
            <x:v>SKL-PC-002 발동</x:v>
          </x:cell>
          <x:cell r="O46" t="str">
            <x:v>없음</x:v>
          </x:cell>
          <x:cell r="P46">
            <x:v>0</x:v>
          </x:cell>
          <x:cell r="Q46">
            <x:v>0</x:v>
          </x:cell>
          <x:cell r="R46" t="str">
            <x:v>피해 없음</x:v>
          </x:cell>
          <x:cell r="S46"/>
          <x:cell r="T46"/>
          <x:cell r="U46" t="str">
            <x:v>없음</x:v>
          </x:cell>
          <x:cell r="V46">
            <x:v>0</x:v>
          </x:cell>
          <x:cell r="W46">
            <x:v>0</x:v>
          </x:cell>
          <x:cell r="X46" t="str">
            <x:v>공격력</x:v>
          </x:cell>
          <x:cell r="Y46">
            <x:v>990</x:v>
          </x:cell>
          <x:cell r="Z46" t="str">
            <x:v>+</x:v>
          </x:cell>
          <x:cell r="AA46">
            <x:v>0.80000000000000004</x:v>
          </x:cell>
          <x:cell r="AB46" t="str">
            <x:v>접촉 판정 완료</x:v>
          </x:cell>
          <x:cell r="AC46" t="str">
            <x:v>SKL-STS-012</x:v>
          </x:cell>
          <x:cell r="AD46" t="str">
            <x:v>다음 콘텐츠에서 즉시 0으로 복귀</x:v>
          </x:cell>
        </x:row>
        <x:row r="47">
          <x:cell r="G47" t="str">
            <x:v>접촉 소멸</x:v>
          </x:cell>
          <x:cell r="H47" t="str">
            <x:v>무의식적 선의 폭발 상태에서 초기 변이체가 차한해에게 접촉하면 외피가 먼지처럼 붕괴하는 사건 처리.</x:v>
          </x:cell>
          <x:cell r="I47"/>
          <x:cell r="J47" t="str">
            <x:v>이벤트</x:v>
          </x:cell>
          <x:cell r="K47" t="str">
            <x:v>접촉 초기 변이체</x:v>
          </x:cell>
          <x:cell r="L47"/>
          <x:cell r="M47" t="str">
            <x:v>연계 호출</x:v>
          </x:cell>
          <x:cell r="N47" t="str">
            <x:v>SKL-STS-011 활성·접촉 판정</x:v>
          </x:cell>
          <x:cell r="O47" t="str">
            <x:v>특수 사건</x:v>
          </x:cell>
          <x:cell r="P47">
            <x:v>0</x:v>
          </x:cell>
          <x:cell r="Q47">
            <x:v>0</x:v>
          </x:cell>
          <x:cell r="R47" t="str">
            <x:v>스토리 판정</x:v>
          </x:cell>
          <x:cell r="S47"/>
          <x:cell r="T47"/>
          <x:cell r="U47" t="str">
            <x:v>없음</x:v>
          </x:cell>
          <x:cell r="V47">
            <x:v>0</x:v>
          </x:cell>
          <x:cell r="W47">
            <x:v>0</x:v>
          </x:cell>
          <x:cell r="X47" t="str">
            <x:v>대상 상태</x:v>
          </x:cell>
          <x:cell r="Y47">
            <x:v>-1</x:v>
          </x:cell>
          <x:cell r="Z47" t="str">
            <x:v>개체</x:v>
          </x:cell>
          <x:cell r="AA47">
            <x:v>0</x:v>
          </x:cell>
          <x:cell r="AB47" t="str">
            <x:v>대상 소멸 완료</x:v>
          </x:cell>
          <x:cell r="AC47" t="str">
            <x:v>없음</x:v>
          </x:cell>
          <x:cell r="AD47" t="str">
            <x:v>일반 전투 처치와 다른 사건 판정</x:v>
          </x:cell>
        </x:row>
        <x:row r="48">
          <x:cell r="G48" t="str">
            <x:v>입력 안정</x:v>
          </x:cell>
          <x:cell r="H48" t="str">
            <x:v>자아마모 수치를 되돌리지 않고 입력 흔들림만 일정 시간 제거하는 보조 상태.</x:v>
          </x:cell>
          <x:cell r="I48"/>
          <x:cell r="J48" t="str">
            <x:v>버프</x:v>
          </x:cell>
          <x:cell r="K48" t="str">
            <x:v>차한해</x:v>
          </x:cell>
          <x:cell r="L48"/>
          <x:cell r="M48" t="str">
            <x:v>연계 호출</x:v>
          </x:cell>
          <x:cell r="N48" t="str">
            <x:v>선의 안정 장치 자동 발동</x:v>
          </x:cell>
          <x:cell r="O48" t="str">
            <x:v>없음</x:v>
          </x:cell>
          <x:cell r="P48">
            <x:v>0</x:v>
          </x:cell>
          <x:cell r="Q48">
            <x:v>0</x:v>
          </x:cell>
          <x:cell r="R48" t="str">
            <x:v>피해 없음</x:v>
          </x:cell>
          <x:cell r="S48"/>
          <x:cell r="T48"/>
          <x:cell r="U48" t="str">
            <x:v>없음</x:v>
          </x:cell>
          <x:cell r="V48">
            <x:v>0</x:v>
          </x:cell>
          <x:cell r="W48">
            <x:v>0</x:v>
          </x:cell>
          <x:cell r="X48" t="str">
            <x:v>입력 흔들림</x:v>
          </x:cell>
          <x:cell r="Y48">
            <x:v>-100</x:v>
          </x:cell>
          <x:cell r="Z48" t="str">
            <x:v>%</x:v>
          </x:cell>
          <x:cell r="AA48">
            <x:v>10</x:v>
          </x:cell>
          <x:cell r="AB48" t="str">
            <x:v>지속 종료</x:v>
          </x:cell>
          <x:cell r="AC48" t="str">
            <x:v>없음</x:v>
          </x:cell>
          <x:cell r="AD48" t="str">
            <x:v>자아마모 수치에는 영향 없음</x:v>
          </x:cell>
        </x:row>
        <x:row r="49">
          <x:cell r="G49" t="str">
            <x:v>UI 안정</x:v>
          </x:cell>
          <x:cell r="H49" t="str">
            <x:v>자아마모 수치는 유지한 채 화면 노이즈·간섭 강도만 낮추는 상태.</x:v>
          </x:cell>
          <x:cell r="I49"/>
          <x:cell r="J49" t="str">
            <x:v>버프</x:v>
          </x:cell>
          <x:cell r="K49" t="str">
            <x:v>차한해</x:v>
          </x:cell>
          <x:cell r="L49"/>
          <x:cell r="M49" t="str">
            <x:v>연계 호출</x:v>
          </x:cell>
          <x:cell r="N49" t="str">
            <x:v>안정 앰플 사용</x:v>
          </x:cell>
          <x:cell r="O49" t="str">
            <x:v>없음</x:v>
          </x:cell>
          <x:cell r="P49">
            <x:v>0</x:v>
          </x:cell>
          <x:cell r="Q49">
            <x:v>0</x:v>
          </x:cell>
          <x:cell r="R49" t="str">
            <x:v>피해 없음</x:v>
          </x:cell>
          <x:cell r="S49"/>
          <x:cell r="T49"/>
          <x:cell r="U49" t="str">
            <x:v>없음</x:v>
          </x:cell>
          <x:cell r="V49">
            <x:v>0</x:v>
          </x:cell>
          <x:cell r="W49">
            <x:v>0</x:v>
          </x:cell>
          <x:cell r="X49" t="str">
            <x:v>UI 간섭</x:v>
          </x:cell>
          <x:cell r="Y49">
            <x:v>-100</x:v>
          </x:cell>
          <x:cell r="Z49" t="str">
            <x:v>%</x:v>
          </x:cell>
          <x:cell r="AA49">
            <x:v>8</x:v>
          </x:cell>
          <x:cell r="AB49" t="str">
            <x:v>지속 종료</x:v>
          </x:cell>
          <x:cell r="AC49" t="str">
            <x:v>없음</x:v>
          </x:cell>
          <x:cell r="AD49" t="str">
            <x:v>게임플레이 가독성 보조</x:v>
          </x:cell>
        </x:row>
        <x:row r="50">
          <x:cell r="G50" t="str">
            <x:v>죄책감</x:v>
          </x:cell>
          <x:cell r="H50" t="str">
            <x:v>[눈물]로 전달된 차한해의 기억과 감정을 도시 시민이 체감하며 스스로 자신의 요구와 방관을 되돌아보게 되는 엔딩 상태.</x:v>
          </x:cell>
          <x:cell r="I50"/>
          <x:cell r="J50" t="str">
            <x:v>상태이상+연출</x:v>
          </x:cell>
          <x:cell r="K50" t="str">
            <x:v>도시 전체 시민</x:v>
          </x:cell>
          <x:cell r="L50" t="str">
            <x:v>기억 회상·후회 대사 플래그</x:v>
          </x:cell>
          <x:cell r="M50" t="str">
            <x:v>연계 호출</x:v>
          </x:cell>
          <x:cell r="N50" t="str">
            <x:v>SKL-PC-031 발동</x:v>
          </x:cell>
          <x:cell r="O50" t="str">
            <x:v>없음</x:v>
          </x:cell>
          <x:cell r="P50">
            <x:v>0</x:v>
          </x:cell>
          <x:cell r="Q50">
            <x:v>0</x:v>
          </x:cell>
          <x:cell r="R50" t="str">
            <x:v>피해 없음</x:v>
          </x:cell>
          <x:cell r="S50"/>
          <x:cell r="T50"/>
          <x:cell r="U50" t="str">
            <x:v>없음</x:v>
          </x:cell>
          <x:cell r="V50">
            <x:v>0</x:v>
          </x:cell>
          <x:cell r="W50">
            <x:v>0</x:v>
          </x:cell>
          <x:cell r="X50" t="str">
            <x:v>시민 반응 플래그</x:v>
          </x:cell>
          <x:cell r="Y50">
            <x:v>1</x:v>
          </x:cell>
          <x:cell r="Z50" t="str">
            <x:v>상태</x:v>
          </x:cell>
          <x:cell r="AA50">
            <x:v>0</x:v>
          </x:cell>
          <x:cell r="AB50" t="str">
            <x:v>엔딩 종료·후일담 전환</x:v>
          </x:cell>
          <x:cell r="AC50" t="str">
            <x:v>없음</x:v>
          </x:cell>
          <x:cell r="AD50" t="str">
            <x:v>감정 강제 조종이 아니라 기억 공유 후 자발적 죄책감</x:v>
          </x:cell>
        </x:row>
        <x:row r="51">
          <x:cell r="G51" t="str">
            <x:v>갈채</x:v>
          </x:cell>
          <x:cell r="H51" t="str">
            <x:v>박수·카메라·시선이 축적될수록 갈채 계열 변이체의 공격력·보호막이 강화되는 공용 자원 상태.</x:v>
          </x:cell>
          <x:cell r="I51"/>
          <x:cell r="J51" t="str">
            <x:v>버프</x:v>
          </x:cell>
          <x:cell r="K51" t="str">
            <x:v>갈채 계열 변이체</x:v>
          </x:cell>
          <x:cell r="L51"/>
          <x:cell r="M51" t="str">
            <x:v>연계 호출</x:v>
          </x:cell>
          <x:cell r="N51" t="str">
            <x:v>박수·시선 계열 스킬 성공</x:v>
          </x:cell>
          <x:cell r="O51" t="str">
            <x:v>없음</x:v>
          </x:cell>
          <x:cell r="P51">
            <x:v>0</x:v>
          </x:cell>
          <x:cell r="Q51">
            <x:v>0</x:v>
          </x:cell>
          <x:cell r="R51" t="str">
            <x:v>피해 없음</x:v>
          </x:cell>
          <x:cell r="S51"/>
          <x:cell r="T51"/>
          <x:cell r="U51" t="str">
            <x:v>없음</x:v>
          </x:cell>
          <x:cell r="V51">
            <x:v>0</x:v>
          </x:cell>
          <x:cell r="W51">
            <x:v>0</x:v>
          </x:cell>
          <x:cell r="X51" t="str">
            <x:v>갈채 스택</x:v>
          </x:cell>
          <x:cell r="Y51">
            <x:v>1</x:v>
          </x:cell>
          <x:cell r="Z51" t="str">
            <x:v>스택</x:v>
          </x:cell>
          <x:cell r="AA51">
            <x:v>0</x:v>
          </x:cell>
          <x:cell r="AB51" t="str">
            <x:v>카메라 차단·비공개 구조</x:v>
          </x:cell>
          <x:cell r="AC51" t="str">
            <x:v>SKL-STS-004 / SKL-STS-005</x:v>
          </x:cell>
          <x:cell r="AD51" t="str">
            <x:v>최대 스택은 보스별 별도 설정</x:v>
          </x:cell>
        </x:row>
        <x:row r="52">
          <x:cell r="G52" t="str">
            <x:v>회복 반전</x:v>
          </x:cell>
          <x:cell r="H52" t="str">
            <x:v>회복 효과가 들어오면 같은 수치의 피해 또는 회복 차단으로 변환되는 정예전 상태.</x:v>
          </x:cell>
          <x:cell r="I52"/>
          <x:cell r="J52" t="str">
            <x:v>디버프</x:v>
          </x:cell>
          <x:cell r="K52" t="str">
            <x:v>차한해</x:v>
          </x:cell>
          <x:cell r="L52" t="str">
            <x:v>회복 반전</x:v>
          </x:cell>
          <x:cell r="M52" t="str">
            <x:v>연계 호출</x:v>
          </x:cell>
          <x:cell r="N52" t="str">
            <x:v>선의 압류관 [회복도 압류] 성공</x:v>
          </x:cell>
          <x:cell r="O52" t="str">
            <x:v>없음</x:v>
          </x:cell>
          <x:cell r="P52">
            <x:v>0</x:v>
          </x:cell>
          <x:cell r="Q52">
            <x:v>0</x:v>
          </x:cell>
          <x:cell r="R52" t="str">
            <x:v>피해 없음</x:v>
          </x:cell>
          <x:cell r="S52"/>
          <x:cell r="T52"/>
          <x:cell r="U52" t="str">
            <x:v>없음</x:v>
          </x:cell>
          <x:cell r="V52">
            <x:v>0</x:v>
          </x:cell>
          <x:cell r="W52">
            <x:v>0</x:v>
          </x:cell>
          <x:cell r="X52" t="str">
            <x:v>회복 효율</x:v>
          </x:cell>
          <x:cell r="Y52">
            <x:v>-200</x:v>
          </x:cell>
          <x:cell r="Z52" t="str">
            <x:v>%</x:v>
          </x:cell>
          <x:cell r="AA52">
            <x:v>4</x:v>
          </x:cell>
          <x:cell r="AB52" t="str">
            <x:v>지속 종료·장치 파괴</x:v>
          </x:cell>
          <x:cell r="AC52" t="str">
            <x:v>없음</x:v>
          </x:cell>
          <x:cell r="AD52" t="str">
            <x:v>회복 사용 타이밍을 바꾸는 정예 기믹</x:v>
          </x:cell>
        </x:row>
        <x:row r="53">
          <x:cell r="G53" t="str">
            <x:v>선의 봉쇄</x:v>
          </x:cell>
          <x:cell r="H53" t="str">
            <x:v>차한해의 공명·회복 관련 보조 효과를 일정 시간 봉쇄하는 정예전 상태.</x:v>
          </x:cell>
          <x:cell r="I53"/>
          <x:cell r="J53" t="str">
            <x:v>디버프</x:v>
          </x:cell>
          <x:cell r="K53" t="str">
            <x:v>차한해</x:v>
          </x:cell>
          <x:cell r="L53" t="str">
            <x:v>공명 보조 봉쇄</x:v>
          </x:cell>
          <x:cell r="M53" t="str">
            <x:v>연계 호출</x:v>
          </x:cell>
          <x:cell r="N53" t="str">
            <x:v>선의 압류관 [선의 압류] 성공</x:v>
          </x:cell>
          <x:cell r="O53" t="str">
            <x:v>없음</x:v>
          </x:cell>
          <x:cell r="P53">
            <x:v>0</x:v>
          </x:cell>
          <x:cell r="Q53">
            <x:v>0</x:v>
          </x:cell>
          <x:cell r="R53" t="str">
            <x:v>피해 없음</x:v>
          </x:cell>
          <x:cell r="S53"/>
          <x:cell r="T53"/>
          <x:cell r="U53" t="str">
            <x:v>없음</x:v>
          </x:cell>
          <x:cell r="V53">
            <x:v>0</x:v>
          </x:cell>
          <x:cell r="W53">
            <x:v>0</x:v>
          </x:cell>
          <x:cell r="X53" t="str">
            <x:v>공명 보조 사용</x:v>
          </x:cell>
          <x:cell r="Y53">
            <x:v>-1</x:v>
          </x:cell>
          <x:cell r="Z53" t="str">
            <x:v>상태</x:v>
          </x:cell>
          <x:cell r="AA53">
            <x:v>5</x:v>
          </x:cell>
          <x:cell r="AB53" t="str">
            <x:v>봉쇄 장치 파괴·지속 종료</x:v>
          </x:cell>
          <x:cell r="AC53" t="str">
            <x:v>없음</x:v>
          </x:cell>
          <x:cell r="AD53" t="str">
            <x:v>무한 선의 자체는 감소시키지 않음</x:v>
          </x:cell>
        </x:row>
        <x:row r="54">
          <x:cell r="G54" t="str">
            <x:v>등급 표식</x:v>
          </x:cell>
          <x:cell r="H54" t="str">
            <x:v>너만 무한이잖아가 행동과 무관하게 대상에게 등급을 부여해 공격 우선순위를 강제하는 보스 규칙 상태.</x:v>
          </x:cell>
          <x:cell r="I54"/>
          <x:cell r="J54" t="str">
            <x:v>상태이상</x:v>
          </x:cell>
          <x:cell r="K54" t="str">
            <x:v>전장 대상</x:v>
          </x:cell>
          <x:cell r="L54" t="str">
            <x:v>등급 부여</x:v>
          </x:cell>
          <x:cell r="M54" t="str">
            <x:v>연계 호출</x:v>
          </x:cell>
          <x:cell r="N54" t="str">
            <x:v>[등급부터 매길게.] 성공</x:v>
          </x:cell>
          <x:cell r="O54" t="str">
            <x:v>없음</x:v>
          </x:cell>
          <x:cell r="P54">
            <x:v>0</x:v>
          </x:cell>
          <x:cell r="Q54">
            <x:v>0</x:v>
          </x:cell>
          <x:cell r="R54" t="str">
            <x:v>피해 없음</x:v>
          </x:cell>
          <x:cell r="S54"/>
          <x:cell r="T54"/>
          <x:cell r="U54" t="str">
            <x:v>없음</x:v>
          </x:cell>
          <x:cell r="V54">
            <x:v>0</x:v>
          </x:cell>
          <x:cell r="W54">
            <x:v>0</x:v>
          </x:cell>
          <x:cell r="X54" t="str">
            <x:v>우선순위</x:v>
          </x:cell>
          <x:cell r="Y54">
            <x:v>1</x:v>
          </x:cell>
          <x:cell r="Z54" t="str">
            <x:v>등급</x:v>
          </x:cell>
          <x:cell r="AA54">
            <x:v>0</x:v>
          </x:cell>
          <x:cell r="AB54" t="str">
            <x:v>[등급? 됐거든.] 성공·장치 파괴</x:v>
          </x:cell>
          <x:cell r="AC54" t="str">
            <x:v>없음</x:v>
          </x:cell>
          <x:cell r="AD54" t="str">
            <x:v>등급의 부당함을 시스템 규칙으로 표현</x:v>
          </x:cell>
        </x:row>
        <x:row r="55">
          <x:cell r="G55" t="str">
            <x:v>희생 표식</x:v>
          </x:cell>
          <x:cell r="H55" t="str">
            <x:v>특정 1인을 희생 우선 대상으로 지정해 주변 공격·밀치기 AI가 해당 대상에 집중되도록 만드는 상태.</x:v>
          </x:cell>
          <x:cell r="I55"/>
          <x:cell r="J55" t="str">
            <x:v>상태이상</x:v>
          </x:cell>
          <x:cell r="K55" t="str">
            <x:v>차한해</x:v>
          </x:cell>
          <x:cell r="L55" t="str">
            <x:v>희생 우선순위</x:v>
          </x:cell>
          <x:cell r="M55" t="str">
            <x:v>연계 호출</x:v>
          </x:cell>
          <x:cell r="N55" t="str">
            <x:v>희생·선동 계열 스킬 성공</x:v>
          </x:cell>
          <x:cell r="O55" t="str">
            <x:v>없음</x:v>
          </x:cell>
          <x:cell r="P55">
            <x:v>0</x:v>
          </x:cell>
          <x:cell r="Q55">
            <x:v>0</x:v>
          </x:cell>
          <x:cell r="R55" t="str">
            <x:v>피해 없음</x:v>
          </x:cell>
          <x:cell r="S55"/>
          <x:cell r="T55"/>
          <x:cell r="U55" t="str">
            <x:v>없음</x:v>
          </x:cell>
          <x:cell r="V55">
            <x:v>0</x:v>
          </x:cell>
          <x:cell r="W55">
            <x:v>0</x:v>
          </x:cell>
          <x:cell r="X55" t="str">
            <x:v>AI 우선순위</x:v>
          </x:cell>
          <x:cell r="Y55">
            <x:v>2</x:v>
          </x:cell>
          <x:cell r="Z55" t="str">
            <x:v>단계</x:v>
          </x:cell>
          <x:cell r="AA55">
            <x:v>5</x:v>
          </x:cell>
          <x:cell r="AB55" t="str">
            <x:v>표식 해제·지속 종료</x:v>
          </x:cell>
          <x:cell r="AC55" t="str">
            <x:v>없음</x:v>
          </x:cell>
          <x:cell r="AD55" t="str">
            <x:v>최종부 선도체와 보스가 공유</x:v>
          </x:cell>
        </x:row>
        <x:row r="56">
          <x:cell r="G56" t="str">
            <x:v>슥, 긁기</x:v>
          </x:cell>
          <x:cell r="H56" t="str">
            <x:v>근거리 전방을 긁어 기본 피해를 줌.</x:v>
          </x:cell>
          <x:cell r="I56"/>
          <x:cell r="J56" t="str">
            <x:v>액티브</x:v>
          </x:cell>
          <x:cell r="K56" t="str">
            <x:v>보라멍울</x:v>
          </x:cell>
          <x:cell r="L56"/>
          <x:cell r="M56" t="str">
            <x:v>AI 가중치</x:v>
          </x:cell>
          <x:cell r="N56" t="str">
            <x:v>사거리·페이즈·주변 상황 조건 충족</x:v>
          </x:cell>
          <x:cell r="O56" t="str">
            <x:v>몬스터 최종 공격력 비율</x:v>
          </x:cell>
          <x:cell r="P56">
            <x:v>0.94999999999999996</x:v>
          </x:cell>
          <x:cell r="Q56">
            <x:v>0</x:v>
          </x:cell>
          <x:cell r="R56" t="str">
            <x:v>몬스터 최종 공격력 × 95%</x:v>
          </x:cell>
          <x:cell r="S56">
            <x:v>5.5</x:v>
          </x:cell>
          <x:cell r="T56">
            <x:v>0.69999999999999996</x:v>
          </x:cell>
          <x:cell r="U56" t="str">
            <x:v>개별</x:v>
          </x:cell>
          <x:cell r="V56">
            <x:v>4</x:v>
          </x:cell>
          <x:cell r="W56">
            <x:v>0.55000000000000004</x:v>
          </x:cell>
          <x:cell r="X56" t="str">
            <x:v>없음</x:v>
          </x:cell>
          <x:cell r="Y56">
            <x:v>0</x:v>
          </x:cell>
          <x:cell r="Z56" t="str">
            <x:v>없음</x:v>
          </x:cell>
          <x:cell r="AA56">
            <x:v>0</x:v>
          </x:cell>
          <x:cell r="AB56" t="str">
            <x:v>시전 종료</x:v>
          </x:cell>
          <x:cell r="AC56" t="str">
            <x:v>없음</x:v>
          </x:cell>
          <x:cell r="AD56" t="str">
            <x:v>기능 원형: 느린 할퀴기 · 몬스터 시트 발동률 70%와 동기화</x:v>
          </x:cell>
        </x:row>
        <x:row r="57">
          <x:cell r="G57" t="str">
            <x:v>꿈틀꿈틀</x:v>
          </x:cell>
          <x:cell r="H57" t="str">
            <x:v>'비틀거리며 접근' 행동을 수행해 위치·전투 리듬을 변화시킴.</x:v>
          </x:cell>
          <x:cell r="I57"/>
          <x:cell r="J57" t="str">
            <x:v>액티브</x:v>
          </x:cell>
          <x:cell r="K57" t="str">
            <x:v>보라멍울</x:v>
          </x:cell>
          <x:cell r="L57"/>
          <x:cell r="M57" t="str">
            <x:v>AI 가중치</x:v>
          </x:cell>
          <x:cell r="N57" t="str">
            <x:v>사거리·페이즈·주변 상황 조건 충족</x:v>
          </x:cell>
          <x:cell r="O57" t="str">
            <x:v>없음</x:v>
          </x:cell>
          <x:cell r="P57">
            <x:v>0</x:v>
          </x:cell>
          <x:cell r="Q57">
            <x:v>0</x:v>
          </x:cell>
          <x:cell r="R57" t="str">
            <x:v>피해 없음</x:v>
          </x:cell>
          <x:cell r="S57">
            <x:v>6.2000000000000002</x:v>
          </x:cell>
          <x:cell r="T57">
            <x:v>0.29999999999999999</x:v>
          </x:cell>
          <x:cell r="U57" t="str">
            <x:v>개별</x:v>
          </x:cell>
          <x:cell r="V57">
            <x:v>4.7000000000000002</x:v>
          </x:cell>
          <x:cell r="W57">
            <x:v>0.55000000000000004</x:v>
          </x:cell>
          <x:cell r="X57" t="str">
            <x:v>없음</x:v>
          </x:cell>
          <x:cell r="Y57">
            <x:v>0</x:v>
          </x:cell>
          <x:cell r="Z57" t="str">
            <x:v>없음</x:v>
          </x:cell>
          <x:cell r="AA57">
            <x:v>0</x:v>
          </x:cell>
          <x:cell r="AB57" t="str">
            <x:v>시전 종료</x:v>
          </x:cell>
          <x:cell r="AC57" t="str">
            <x:v>없음</x:v>
          </x:cell>
          <x:cell r="AD57" t="str">
            <x:v>기능 원형: 비틀거리며 접근 · 몬스터 시트 발동률 30%와 동기화</x:v>
          </x:cell>
        </x:row>
        <x:row r="58">
          <x:cell r="G58" t="str">
            <x:v>문 열면 나와!</x:v>
          </x:cell>
          <x:cell r="H58" t="str">
            <x:v>'갑작스러운 덮치기' 행동을 수행해 위치·전투 리듬을 변화시킴.</x:v>
          </x:cell>
          <x:cell r="I58"/>
          <x:cell r="J58" t="str">
            <x:v>액티브</x:v>
          </x:cell>
          <x:cell r="K58" t="str">
            <x:v>문틈젤리</x:v>
          </x:cell>
          <x:cell r="L58"/>
          <x:cell r="M58" t="str">
            <x:v>AI 가중치</x:v>
          </x:cell>
          <x:cell r="N58" t="str">
            <x:v>사거리·페이즈·주변 상황 조건 충족</x:v>
          </x:cell>
          <x:cell r="O58" t="str">
            <x:v>몬스터 최종 공격력 비율</x:v>
          </x:cell>
          <x:cell r="P58">
            <x:v>1</x:v>
          </x:cell>
          <x:cell r="Q58">
            <x:v>0</x:v>
          </x:cell>
          <x:cell r="R58" t="str">
            <x:v>몬스터 최종 공격력 × 100%</x:v>
          </x:cell>
          <x:cell r="S58">
            <x:v>5.5</x:v>
          </x:cell>
          <x:cell r="T58">
            <x:v>0.45000000000000001</x:v>
          </x:cell>
          <x:cell r="U58" t="str">
            <x:v>개별</x:v>
          </x:cell>
          <x:cell r="V58">
            <x:v>4</x:v>
          </x:cell>
          <x:cell r="W58">
            <x:v>0.55000000000000004</x:v>
          </x:cell>
          <x:cell r="X58" t="str">
            <x:v>없음</x:v>
          </x:cell>
          <x:cell r="Y58">
            <x:v>0</x:v>
          </x:cell>
          <x:cell r="Z58" t="str">
            <x:v>없음</x:v>
          </x:cell>
          <x:cell r="AA58">
            <x:v>0</x:v>
          </x:cell>
          <x:cell r="AB58" t="str">
            <x:v>시전 종료</x:v>
          </x:cell>
          <x:cell r="AC58" t="str">
            <x:v>없음</x:v>
          </x:cell>
          <x:cell r="AD58" t="str">
            <x:v>기능 원형: 갑작스러운 덮치기 · 몬스터 시트 발동률 45%와 동기화</x:v>
          </x:cell>
        </x:row>
        <x:row r="59">
          <x:cell r="G59" t="str">
            <x:v>여긴 내 틈</x:v>
          </x:cell>
          <x:cell r="H59" t="str">
            <x:v>'문 앞 버티기' 행동을 수행해 위치·전투 리듬을 변화시킴.</x:v>
          </x:cell>
          <x:cell r="I59"/>
          <x:cell r="J59" t="str">
            <x:v>액티브</x:v>
          </x:cell>
          <x:cell r="K59" t="str">
            <x:v>문틈젤리</x:v>
          </x:cell>
          <x:cell r="L59"/>
          <x:cell r="M59" t="str">
            <x:v>AI 가중치</x:v>
          </x:cell>
          <x:cell r="N59" t="str">
            <x:v>사거리·페이즈·주변 상황 조건 충족</x:v>
          </x:cell>
          <x:cell r="O59" t="str">
            <x:v>없음</x:v>
          </x:cell>
          <x:cell r="P59">
            <x:v>0</x:v>
          </x:cell>
          <x:cell r="Q59">
            <x:v>0</x:v>
          </x:cell>
          <x:cell r="R59" t="str">
            <x:v>피해 없음</x:v>
          </x:cell>
          <x:cell r="S59">
            <x:v>6.2000000000000002</x:v>
          </x:cell>
          <x:cell r="T59">
            <x:v>0.34999999999999998</x:v>
          </x:cell>
          <x:cell r="U59" t="str">
            <x:v>개별</x:v>
          </x:cell>
          <x:cell r="V59">
            <x:v>4.7000000000000002</x:v>
          </x:cell>
          <x:cell r="W59">
            <x:v>0.55000000000000004</x:v>
          </x:cell>
          <x:cell r="X59" t="str">
            <x:v>없음</x:v>
          </x:cell>
          <x:cell r="Y59">
            <x:v>0</x:v>
          </x:cell>
          <x:cell r="Z59" t="str">
            <x:v>없음</x:v>
          </x:cell>
          <x:cell r="AA59">
            <x:v>0</x:v>
          </x:cell>
          <x:cell r="AB59" t="str">
            <x:v>시전 종료</x:v>
          </x:cell>
          <x:cell r="AC59" t="str">
            <x:v>없음</x:v>
          </x:cell>
          <x:cell r="AD59" t="str">
            <x:v>기능 원형: 문 앞 버티기 · 몬스터 시트 발동률 35%와 동기화</x:v>
          </x:cell>
        </x:row>
        <x:row r="60">
          <x:cell r="G60" t="str">
            <x:v>쭈욱!</x:v>
          </x:cell>
          <x:cell r="H60" t="str">
            <x:v>'고개 들기' 행동을 수행해 위치·전투 리듬을 변화시킴.</x:v>
          </x:cell>
          <x:cell r="I60"/>
          <x:cell r="J60" t="str">
            <x:v>액티브</x:v>
          </x:cell>
          <x:cell r="K60" t="str">
            <x:v>문틈젤리</x:v>
          </x:cell>
          <x:cell r="L60"/>
          <x:cell r="M60" t="str">
            <x:v>AI 가중치</x:v>
          </x:cell>
          <x:cell r="N60" t="str">
            <x:v>사거리·페이즈·주변 상황 조건 충족</x:v>
          </x:cell>
          <x:cell r="O60" t="str">
            <x:v>없음</x:v>
          </x:cell>
          <x:cell r="P60">
            <x:v>0</x:v>
          </x:cell>
          <x:cell r="Q60">
            <x:v>0</x:v>
          </x:cell>
          <x:cell r="R60" t="str">
            <x:v>피해 없음</x:v>
          </x:cell>
          <x:cell r="S60">
            <x:v>6.9000000000000004</x:v>
          </x:cell>
          <x:cell r="T60">
            <x:v>0.20000000000000001</x:v>
          </x:cell>
          <x:cell r="U60" t="str">
            <x:v>개별</x:v>
          </x:cell>
          <x:cell r="V60">
            <x:v>5.4000000000000004</x:v>
          </x:cell>
          <x:cell r="W60">
            <x:v>0.55000000000000004</x:v>
          </x:cell>
          <x:cell r="X60" t="str">
            <x:v>없음</x:v>
          </x:cell>
          <x:cell r="Y60">
            <x:v>0</x:v>
          </x:cell>
          <x:cell r="Z60" t="str">
            <x:v>없음</x:v>
          </x:cell>
          <x:cell r="AA60">
            <x:v>0</x:v>
          </x:cell>
          <x:cell r="AB60" t="str">
            <x:v>시전 종료</x:v>
          </x:cell>
          <x:cell r="AC60" t="str">
            <x:v>없음</x:v>
          </x:cell>
          <x:cell r="AD60" t="str">
            <x:v>기능 원형: 고개 들기 · 몬스터 시트 발동률 20%와 동기화</x:v>
          </x:cell>
        </x:row>
        <x:row r="61">
          <x:cell r="G61" t="str">
            <x:v>쿵.</x:v>
          </x:cell>
          <x:cell r="H61" t="str">
            <x:v>전방 바닥을 강하게 내려찍어 충격 피해를 줌.</x:v>
          </x:cell>
          <x:cell r="I61"/>
          <x:cell r="J61" t="str">
            <x:v>액티브</x:v>
          </x:cell>
          <x:cell r="K61" t="str">
            <x:v>질질핵</x:v>
          </x:cell>
          <x:cell r="L61"/>
          <x:cell r="M61" t="str">
            <x:v>AI 가중치</x:v>
          </x:cell>
          <x:cell r="N61" t="str">
            <x:v>사거리·페이즈·주변 상황 조건 충족</x:v>
          </x:cell>
          <x:cell r="O61" t="str">
            <x:v>몬스터 최종 공격력 비율</x:v>
          </x:cell>
          <x:cell r="P61">
            <x:v>1.2</x:v>
          </x:cell>
          <x:cell r="Q61">
            <x:v>0</x:v>
          </x:cell>
          <x:cell r="R61" t="str">
            <x:v>몬스터 최종 공격력 × 120%</x:v>
          </x:cell>
          <x:cell r="S61">
            <x:v>5.5</x:v>
          </x:cell>
          <x:cell r="T61">
            <x:v>0.59999999999999998</x:v>
          </x:cell>
          <x:cell r="U61" t="str">
            <x:v>개별</x:v>
          </x:cell>
          <x:cell r="V61">
            <x:v>4</x:v>
          </x:cell>
          <x:cell r="W61">
            <x:v>0.55000000000000004</x:v>
          </x:cell>
          <x:cell r="X61" t="str">
            <x:v>없음</x:v>
          </x:cell>
          <x:cell r="Y61">
            <x:v>0</x:v>
          </x:cell>
          <x:cell r="Z61" t="str">
            <x:v>없음</x:v>
          </x:cell>
          <x:cell r="AA61">
            <x:v>0</x:v>
          </x:cell>
          <x:cell r="AB61" t="str">
            <x:v>시전 종료</x:v>
          </x:cell>
          <x:cell r="AC61" t="str">
            <x:v>없음</x:v>
          </x:cell>
          <x:cell r="AD61" t="str">
            <x:v>기능 원형: 몸통 내려찍기 · 몬스터 시트 발동률 60%와 동기화</x:v>
          </x:cell>
        </x:row>
        <x:row r="62">
          <x:cell r="G62" t="str">
            <x:v>질질질…</x:v>
          </x:cell>
          <x:cell r="H62" t="str">
            <x:v>'느린 추격' 행동을 수행해 위치·전투 리듬을 변화시킴.</x:v>
          </x:cell>
          <x:cell r="I62"/>
          <x:cell r="J62" t="str">
            <x:v>액티브</x:v>
          </x:cell>
          <x:cell r="K62" t="str">
            <x:v>질질핵</x:v>
          </x:cell>
          <x:cell r="L62"/>
          <x:cell r="M62" t="str">
            <x:v>AI 가중치</x:v>
          </x:cell>
          <x:cell r="N62" t="str">
            <x:v>사거리·페이즈·주변 상황 조건 충족</x:v>
          </x:cell>
          <x:cell r="O62" t="str">
            <x:v>없음</x:v>
          </x:cell>
          <x:cell r="P62">
            <x:v>0</x:v>
          </x:cell>
          <x:cell r="Q62">
            <x:v>0</x:v>
          </x:cell>
          <x:cell r="R62" t="str">
            <x:v>피해 없음</x:v>
          </x:cell>
          <x:cell r="S62">
            <x:v>6.2000000000000002</x:v>
          </x:cell>
          <x:cell r="T62">
            <x:v>0.40000000000000002</x:v>
          </x:cell>
          <x:cell r="U62" t="str">
            <x:v>개별</x:v>
          </x:cell>
          <x:cell r="V62">
            <x:v>4.7000000000000002</x:v>
          </x:cell>
          <x:cell r="W62">
            <x:v>0.55000000000000004</x:v>
          </x:cell>
          <x:cell r="X62" t="str">
            <x:v>없음</x:v>
          </x:cell>
          <x:cell r="Y62">
            <x:v>0</x:v>
          </x:cell>
          <x:cell r="Z62" t="str">
            <x:v>없음</x:v>
          </x:cell>
          <x:cell r="AA62">
            <x:v>0</x:v>
          </x:cell>
          <x:cell r="AB62" t="str">
            <x:v>시전 종료</x:v>
          </x:cell>
          <x:cell r="AC62" t="str">
            <x:v>없음</x:v>
          </x:cell>
          <x:cell r="AD62" t="str">
            <x:v>기능 원형: 느린 추격 · 몬스터 시트 발동률 40%와 동기화</x:v>
          </x:cell>
        </x:row>
        <x:row r="63">
          <x:cell r="G63" t="str">
            <x:v>으아앙—</x:v>
          </x:cell>
          <x:cell r="H63" t="str">
            <x:v>'울음 파동' 행동을 수행해 위치·전투 리듬을 변화시킴.</x:v>
          </x:cell>
          <x:cell r="I63"/>
          <x:cell r="J63" t="str">
            <x:v>액티브</x:v>
          </x:cell>
          <x:cell r="K63" t="str">
            <x:v>울음주머니</x:v>
          </x:cell>
          <x:cell r="L63"/>
          <x:cell r="M63" t="str">
            <x:v>AI 가중치</x:v>
          </x:cell>
          <x:cell r="N63" t="str">
            <x:v>사거리·페이즈·주변 상황 조건 충족</x:v>
          </x:cell>
          <x:cell r="O63" t="str">
            <x:v>몬스터 최종 공격력 비율</x:v>
          </x:cell>
          <x:cell r="P63">
            <x:v>1</x:v>
          </x:cell>
          <x:cell r="Q63">
            <x:v>0</x:v>
          </x:cell>
          <x:cell r="R63" t="str">
            <x:v>몬스터 최종 공격력 × 100%</x:v>
          </x:cell>
          <x:cell r="S63">
            <x:v>5.5</x:v>
          </x:cell>
          <x:cell r="T63">
            <x:v>0.45000000000000001</x:v>
          </x:cell>
          <x:cell r="U63" t="str">
            <x:v>개별</x:v>
          </x:cell>
          <x:cell r="V63">
            <x:v>4</x:v>
          </x:cell>
          <x:cell r="W63">
            <x:v>0.55000000000000004</x:v>
          </x:cell>
          <x:cell r="X63" t="str">
            <x:v>없음</x:v>
          </x:cell>
          <x:cell r="Y63">
            <x:v>0</x:v>
          </x:cell>
          <x:cell r="Z63" t="str">
            <x:v>없음</x:v>
          </x:cell>
          <x:cell r="AA63">
            <x:v>0</x:v>
          </x:cell>
          <x:cell r="AB63" t="str">
            <x:v>시전 종료</x:v>
          </x:cell>
          <x:cell r="AC63" t="str">
            <x:v>없음</x:v>
          </x:cell>
          <x:cell r="AD63" t="str">
            <x:v>기능 원형: 울음 파동 · 몬스터 시트 발동률 45%와 동기화</x:v>
          </x:cell>
        </x:row>
        <x:row r="64">
          <x:cell r="G64" t="str">
            <x:v>가까이 오지 마</x:v>
          </x:cell>
          <x:cell r="H64" t="str">
            <x:v>'뒤로 물러나기' 행동을 수행해 위치·전투 리듬을 변화시킴.</x:v>
          </x:cell>
          <x:cell r="I64"/>
          <x:cell r="J64" t="str">
            <x:v>액티브</x:v>
          </x:cell>
          <x:cell r="K64" t="str">
            <x:v>울음주머니</x:v>
          </x:cell>
          <x:cell r="L64"/>
          <x:cell r="M64" t="str">
            <x:v>AI 가중치</x:v>
          </x:cell>
          <x:cell r="N64" t="str">
            <x:v>사거리·페이즈·주변 상황 조건 충족</x:v>
          </x:cell>
          <x:cell r="O64" t="str">
            <x:v>없음</x:v>
          </x:cell>
          <x:cell r="P64">
            <x:v>0</x:v>
          </x:cell>
          <x:cell r="Q64">
            <x:v>0</x:v>
          </x:cell>
          <x:cell r="R64" t="str">
            <x:v>피해 없음</x:v>
          </x:cell>
          <x:cell r="S64">
            <x:v>6.2000000000000002</x:v>
          </x:cell>
          <x:cell r="T64">
            <x:v>0.34999999999999998</x:v>
          </x:cell>
          <x:cell r="U64" t="str">
            <x:v>개별</x:v>
          </x:cell>
          <x:cell r="V64">
            <x:v>4.7000000000000002</x:v>
          </x:cell>
          <x:cell r="W64">
            <x:v>0.55000000000000004</x:v>
          </x:cell>
          <x:cell r="X64" t="str">
            <x:v>없음</x:v>
          </x:cell>
          <x:cell r="Y64">
            <x:v>0</x:v>
          </x:cell>
          <x:cell r="Z64" t="str">
            <x:v>없음</x:v>
          </x:cell>
          <x:cell r="AA64">
            <x:v>0</x:v>
          </x:cell>
          <x:cell r="AB64" t="str">
            <x:v>시전 종료</x:v>
          </x:cell>
          <x:cell r="AC64" t="str">
            <x:v>없음</x:v>
          </x:cell>
          <x:cell r="AD64" t="str">
            <x:v>기능 원형: 뒤로 물러나기 · 몬스터 시트 발동률 35%와 동기화</x:v>
          </x:cell>
        </x:row>
        <x:row r="65">
          <x:cell r="G65" t="str">
            <x:v>숨 한번</x:v>
          </x:cell>
          <x:cell r="H65" t="str">
            <x:v>정해진 감지 행동으로 주변을 탐색하며 플레이어 발견 여부에 따라 다음 행동을 바꿈.</x:v>
          </x:cell>
          <x:cell r="I65"/>
          <x:cell r="J65" t="str">
            <x:v>AI 행동</x:v>
          </x:cell>
          <x:cell r="K65" t="str">
            <x:v>울음주머니</x:v>
          </x:cell>
          <x:cell r="L65"/>
          <x:cell r="M65" t="str">
            <x:v>AI 가중치</x:v>
          </x:cell>
          <x:cell r="N65" t="str">
            <x:v>사거리·페이즈·주변 상황 조건 충족</x:v>
          </x:cell>
          <x:cell r="O65" t="str">
            <x:v>없음</x:v>
          </x:cell>
          <x:cell r="P65">
            <x:v>0</x:v>
          </x:cell>
          <x:cell r="Q65">
            <x:v>0</x:v>
          </x:cell>
          <x:cell r="R65" t="str">
            <x:v>피해 없음</x:v>
          </x:cell>
          <x:cell r="S65">
            <x:v>6.9000000000000004</x:v>
          </x:cell>
          <x:cell r="T65">
            <x:v>0.20000000000000001</x:v>
          </x:cell>
          <x:cell r="U65" t="str">
            <x:v>개별</x:v>
          </x:cell>
          <x:cell r="V65">
            <x:v>5.4000000000000004</x:v>
          </x:cell>
          <x:cell r="W65">
            <x:v>0.55000000000000004</x:v>
          </x:cell>
          <x:cell r="X65" t="str">
            <x:v>감지 우선순위</x:v>
          </x:cell>
          <x:cell r="Y65">
            <x:v>1</x:v>
          </x:cell>
          <x:cell r="Z65" t="str">
            <x:v>단계</x:v>
          </x:cell>
          <x:cell r="AA65">
            <x:v>0</x:v>
          </x:cell>
          <x:cell r="AB65" t="str">
            <x:v>시전 종료</x:v>
          </x:cell>
          <x:cell r="AC65" t="str">
            <x:v>없음</x:v>
          </x:cell>
          <x:cell r="AD65" t="str">
            <x:v>기능 원형: 멈춰 서기 · 몬스터 시트 발동률 20%와 동기화</x:v>
          </x:cell>
        </x:row>
        <x:row r="66">
          <x:cell r="G66" t="str">
            <x:v>어디였지?</x:v>
          </x:cell>
          <x:cell r="H66" t="str">
            <x:v>정해진 감지 행동으로 주변을 탐색하며 플레이어 발견 여부에 따라 다음 행동을 바꿈.</x:v>
          </x:cell>
          <x:cell r="I66"/>
          <x:cell r="J66" t="str">
            <x:v>AI 행동</x:v>
          </x:cell>
          <x:cell r="K66" t="str">
            <x:v>길치섬모</x:v>
          </x:cell>
          <x:cell r="L66"/>
          <x:cell r="M66" t="str">
            <x:v>AI 가중치</x:v>
          </x:cell>
          <x:cell r="N66" t="str">
            <x:v>사거리·페이즈·주변 상황 조건 충족</x:v>
          </x:cell>
          <x:cell r="O66" t="str">
            <x:v>없음</x:v>
          </x:cell>
          <x:cell r="P66">
            <x:v>0</x:v>
          </x:cell>
          <x:cell r="Q66">
            <x:v>0</x:v>
          </x:cell>
          <x:cell r="R66" t="str">
            <x:v>피해 없음</x:v>
          </x:cell>
          <x:cell r="S66">
            <x:v>5.5</x:v>
          </x:cell>
          <x:cell r="T66">
            <x:v>0.55000000000000004</x:v>
          </x:cell>
          <x:cell r="U66" t="str">
            <x:v>개별</x:v>
          </x:cell>
          <x:cell r="V66">
            <x:v>4</x:v>
          </x:cell>
          <x:cell r="W66">
            <x:v>0.55000000000000004</x:v>
          </x:cell>
          <x:cell r="X66" t="str">
            <x:v>감지 우선순위</x:v>
          </x:cell>
          <x:cell r="Y66">
            <x:v>1</x:v>
          </x:cell>
          <x:cell r="Z66" t="str">
            <x:v>단계</x:v>
          </x:cell>
          <x:cell r="AA66">
            <x:v>0</x:v>
          </x:cell>
          <x:cell r="AB66" t="str">
            <x:v>시전 종료</x:v>
          </x:cell>
          <x:cell r="AC66" t="str">
            <x:v>없음</x:v>
          </x:cell>
          <x:cell r="AD66" t="str">
            <x:v>기능 원형: 배회 · 몬스터 시트 발동률 55%와 동기화</x:v>
          </x:cell>
        </x:row>
        <x:row r="67">
          <x:cell r="G67" t="str">
            <x:v>아, 비켜!</x:v>
          </x:cell>
          <x:cell r="H67" t="str">
            <x:v>몸체·집게·외피로 목표를 밀어 안전 위치에서 벗어나게 함.</x:v>
          </x:cell>
          <x:cell r="I67"/>
          <x:cell r="J67" t="str">
            <x:v>액티브</x:v>
          </x:cell>
          <x:cell r="K67" t="str">
            <x:v>길치섬모</x:v>
          </x:cell>
          <x:cell r="L67" t="str">
            <x:v>밀려남 1.5칸</x:v>
          </x:cell>
          <x:cell r="M67" t="str">
            <x:v>AI 가중치</x:v>
          </x:cell>
          <x:cell r="N67" t="str">
            <x:v>사거리·페이즈·주변 상황 조건 충족</x:v>
          </x:cell>
          <x:cell r="O67" t="str">
            <x:v>몬스터 최종 공격력 비율</x:v>
          </x:cell>
          <x:cell r="P67">
            <x:v>0.75</x:v>
          </x:cell>
          <x:cell r="Q67">
            <x:v>0</x:v>
          </x:cell>
          <x:cell r="R67" t="str">
            <x:v>몬스터 최종 공격력 × 75%</x:v>
          </x:cell>
          <x:cell r="S67">
            <x:v>6.2000000000000002</x:v>
          </x:cell>
          <x:cell r="T67">
            <x:v>0.29999999999999999</x:v>
          </x:cell>
          <x:cell r="U67" t="str">
            <x:v>개별</x:v>
          </x:cell>
          <x:cell r="V67">
            <x:v>4.7000000000000002</x:v>
          </x:cell>
          <x:cell r="W67">
            <x:v>0.55000000000000004</x:v>
          </x:cell>
          <x:cell r="X67" t="str">
            <x:v>없음</x:v>
          </x:cell>
          <x:cell r="Y67">
            <x:v>0</x:v>
          </x:cell>
          <x:cell r="Z67" t="str">
            <x:v>없음</x:v>
          </x:cell>
          <x:cell r="AA67">
            <x:v>0</x:v>
          </x:cell>
          <x:cell r="AB67" t="str">
            <x:v>시전 종료</x:v>
          </x:cell>
          <x:cell r="AC67" t="str">
            <x:v>SKL-STS-002</x:v>
          </x:cell>
          <x:cell r="AD67" t="str">
            <x:v>기능 원형: 짧은 밀치기 · 몬스터 시트 발동률 30%와 동기화</x:v>
          </x:cell>
        </x:row>
        <x:row r="68">
          <x:cell r="G68" t="str">
            <x:v>여기 맞나?</x:v>
          </x:cell>
          <x:cell r="H68" t="str">
            <x:v>정해진 감지 행동으로 주변을 탐색하며 플레이어 발견 여부에 따라 다음 행동을 바꿈.</x:v>
          </x:cell>
          <x:cell r="I68"/>
          <x:cell r="J68" t="str">
            <x:v>AI 행동</x:v>
          </x:cell>
          <x:cell r="K68" t="str">
            <x:v>길치섬모</x:v>
          </x:cell>
          <x:cell r="L68"/>
          <x:cell r="M68" t="str">
            <x:v>AI 가중치</x:v>
          </x:cell>
          <x:cell r="N68" t="str">
            <x:v>사거리·페이즈·주변 상황 조건 충족</x:v>
          </x:cell>
          <x:cell r="O68" t="str">
            <x:v>없음</x:v>
          </x:cell>
          <x:cell r="P68">
            <x:v>0</x:v>
          </x:cell>
          <x:cell r="Q68">
            <x:v>0</x:v>
          </x:cell>
          <x:cell r="R68" t="str">
            <x:v>피해 없음</x:v>
          </x:cell>
          <x:cell r="S68">
            <x:v>6.9000000000000004</x:v>
          </x:cell>
          <x:cell r="T68">
            <x:v>0.14999999999999999</x:v>
          </x:cell>
          <x:cell r="U68" t="str">
            <x:v>개별</x:v>
          </x:cell>
          <x:cell r="V68">
            <x:v>5.4000000000000004</x:v>
          </x:cell>
          <x:cell r="W68">
            <x:v>0.55000000000000004</x:v>
          </x:cell>
          <x:cell r="X68" t="str">
            <x:v>감지 우선순위</x:v>
          </x:cell>
          <x:cell r="Y68">
            <x:v>1</x:v>
          </x:cell>
          <x:cell r="Z68" t="str">
            <x:v>단계</x:v>
          </x:cell>
          <x:cell r="AA68">
            <x:v>0</x:v>
          </x:cell>
          <x:cell r="AB68" t="str">
            <x:v>시전 종료</x:v>
          </x:cell>
          <x:cell r="AC68" t="str">
            <x:v>없음</x:v>
          </x:cell>
          <x:cell r="AD68" t="str">
            <x:v>기능 원형: 주변 살피기 · 몬스터 시트 발동률 15%와 동기화</x:v>
          </x:cell>
        </x:row>
        <x:row r="69">
          <x:cell r="G69" t="str">
            <x:v>잡았다, 또!</x:v>
          </x:cell>
          <x:cell r="H69" t="str">
            <x:v>근거리 전방을 긁어 기본 피해를 줌.</x:v>
          </x:cell>
          <x:cell r="I69"/>
          <x:cell r="J69" t="str">
            <x:v>액티브</x:v>
          </x:cell>
          <x:cell r="K69" t="str">
            <x:v>쫓쫓해삼</x:v>
          </x:cell>
          <x:cell r="L69"/>
          <x:cell r="M69" t="str">
            <x:v>AI 가중치</x:v>
          </x:cell>
          <x:cell r="N69" t="str">
            <x:v>사거리·페이즈·주변 상황 조건 충족</x:v>
          </x:cell>
          <x:cell r="O69" t="str">
            <x:v>몬스터 최종 공격력 비율</x:v>
          </x:cell>
          <x:cell r="P69">
            <x:v>1.1000000000000001</x:v>
          </x:cell>
          <x:cell r="Q69">
            <x:v>0</x:v>
          </x:cell>
          <x:cell r="R69" t="str">
            <x:v>몬스터 최종 공격력 × 110%</x:v>
          </x:cell>
          <x:cell r="S69">
            <x:v>5</x:v>
          </x:cell>
          <x:cell r="T69">
            <x:v>0.45000000000000001</x:v>
          </x:cell>
          <x:cell r="U69" t="str">
            <x:v>개별</x:v>
          </x:cell>
          <x:cell r="V69">
            <x:v>3.5</x:v>
          </x:cell>
          <x:cell r="W69">
            <x:v>0.55000000000000004</x:v>
          </x:cell>
          <x:cell r="X69" t="str">
            <x:v>없음</x:v>
          </x:cell>
          <x:cell r="Y69">
            <x:v>0</x:v>
          </x:cell>
          <x:cell r="Z69" t="str">
            <x:v>없음</x:v>
          </x:cell>
          <x:cell r="AA69">
            <x:v>0</x:v>
          </x:cell>
          <x:cell r="AB69" t="str">
            <x:v>시전 종료</x:v>
          </x:cell>
          <x:cell r="AC69" t="str">
            <x:v>없음</x:v>
          </x:cell>
          <x:cell r="AD69" t="str">
            <x:v>기능 원형: 연속 할퀴기 · 몬스터 시트 발동률 45%와 동기화</x:v>
          </x:cell>
        </x:row>
        <x:row r="70">
          <x:cell r="G70" t="str">
            <x:v>쫓아간다!</x:v>
          </x:cell>
          <x:cell r="H70" t="str">
            <x:v>직선 전조 후 목표 방향으로 빠르게 돌진해 경로상의 대상을 압박함.</x:v>
          </x:cell>
          <x:cell r="I70"/>
          <x:cell r="J70" t="str">
            <x:v>액티브</x:v>
          </x:cell>
          <x:cell r="K70" t="str">
            <x:v>쫓쫓해삼</x:v>
          </x:cell>
          <x:cell r="L70" t="str">
            <x:v>밀려남 1.5칸</x:v>
          </x:cell>
          <x:cell r="M70" t="str">
            <x:v>AI 가중치</x:v>
          </x:cell>
          <x:cell r="N70" t="str">
            <x:v>사거리·페이즈·주변 상황 조건 충족</x:v>
          </x:cell>
          <x:cell r="O70" t="str">
            <x:v>몬스터 최종 공격력 비율</x:v>
          </x:cell>
          <x:cell r="P70">
            <x:v>1.1499999999999999</x:v>
          </x:cell>
          <x:cell r="Q70">
            <x:v>0</x:v>
          </x:cell>
          <x:cell r="R70" t="str">
            <x:v>몬스터 최종 공격력 × 115%</x:v>
          </x:cell>
          <x:cell r="S70">
            <x:v>5.7000000000000002</x:v>
          </x:cell>
          <x:cell r="T70">
            <x:v>0.34999999999999998</x:v>
          </x:cell>
          <x:cell r="U70" t="str">
            <x:v>개별</x:v>
          </x:cell>
          <x:cell r="V70">
            <x:v>4.2000000000000002</x:v>
          </x:cell>
          <x:cell r="W70">
            <x:v>0.55000000000000004</x:v>
          </x:cell>
          <x:cell r="X70" t="str">
            <x:v>없음</x:v>
          </x:cell>
          <x:cell r="Y70">
            <x:v>0</x:v>
          </x:cell>
          <x:cell r="Z70" t="str">
            <x:v>없음</x:v>
          </x:cell>
          <x:cell r="AA70">
            <x:v>0</x:v>
          </x:cell>
          <x:cell r="AB70" t="str">
            <x:v>시전 종료</x:v>
          </x:cell>
          <x:cell r="AC70" t="str">
            <x:v>SKL-STS-002</x:v>
          </x:cell>
          <x:cell r="AD70" t="str">
            <x:v>기능 원형: 추격 돌진 · 몬스터 시트 발동률 35%와 동기화</x:v>
          </x:cell>
        </x:row>
        <x:row r="71">
          <x:cell r="G71" t="str">
            <x:v>너 말고 너!</x:v>
          </x:cell>
          <x:cell r="H71" t="str">
            <x:v>'목표 전환' 행동을 수행해 위치·전투 리듬을 변화시킴.</x:v>
          </x:cell>
          <x:cell r="I71"/>
          <x:cell r="J71" t="str">
            <x:v>액티브</x:v>
          </x:cell>
          <x:cell r="K71" t="str">
            <x:v>쫓쫓해삼</x:v>
          </x:cell>
          <x:cell r="L71"/>
          <x:cell r="M71" t="str">
            <x:v>AI 가중치</x:v>
          </x:cell>
          <x:cell r="N71" t="str">
            <x:v>사거리·페이즈·주변 상황 조건 충족</x:v>
          </x:cell>
          <x:cell r="O71" t="str">
            <x:v>없음</x:v>
          </x:cell>
          <x:cell r="P71">
            <x:v>0</x:v>
          </x:cell>
          <x:cell r="Q71">
            <x:v>0</x:v>
          </x:cell>
          <x:cell r="R71" t="str">
            <x:v>피해 없음</x:v>
          </x:cell>
          <x:cell r="S71">
            <x:v>6.4000000000000004</x:v>
          </x:cell>
          <x:cell r="T71">
            <x:v>0.20000000000000001</x:v>
          </x:cell>
          <x:cell r="U71" t="str">
            <x:v>개별</x:v>
          </x:cell>
          <x:cell r="V71">
            <x:v>4.9000000000000004</x:v>
          </x:cell>
          <x:cell r="W71">
            <x:v>0.55000000000000004</x:v>
          </x:cell>
          <x:cell r="X71" t="str">
            <x:v>없음</x:v>
          </x:cell>
          <x:cell r="Y71">
            <x:v>0</x:v>
          </x:cell>
          <x:cell r="Z71" t="str">
            <x:v>없음</x:v>
          </x:cell>
          <x:cell r="AA71">
            <x:v>0</x:v>
          </x:cell>
          <x:cell r="AB71" t="str">
            <x:v>시전 종료</x:v>
          </x:cell>
          <x:cell r="AC71" t="str">
            <x:v>없음</x:v>
          </x:cell>
          <x:cell r="AD71" t="str">
            <x:v>기능 원형: 목표 전환 · 몬스터 시트 발동률 20%와 동기화</x:v>
          </x:cell>
        </x:row>
        <x:row r="72">
          <x:cell r="G72" t="str">
            <x:v>여기 못 지나가</x:v>
          </x:cell>
          <x:cell r="H72" t="str">
            <x:v>몸체·집게·외피로 목표를 밀어 안전 위치에서 벗어나게 함.</x:v>
          </x:cell>
          <x:cell r="I72"/>
          <x:cell r="J72" t="str">
            <x:v>액티브</x:v>
          </x:cell>
          <x:cell r="K72" t="str">
            <x:v>길막말미잘</x:v>
          </x:cell>
          <x:cell r="L72" t="str">
            <x:v>밀려남 1.5칸</x:v>
          </x:cell>
          <x:cell r="M72" t="str">
            <x:v>AI 가중치</x:v>
          </x:cell>
          <x:cell r="N72" t="str">
            <x:v>사거리·페이즈·주변 상황 조건 충족</x:v>
          </x:cell>
          <x:cell r="O72" t="str">
            <x:v>몬스터 최종 공격력 비율</x:v>
          </x:cell>
          <x:cell r="P72">
            <x:v>0.75</x:v>
          </x:cell>
          <x:cell r="Q72">
            <x:v>0</x:v>
          </x:cell>
          <x:cell r="R72" t="str">
            <x:v>몬스터 최종 공격력 × 75%</x:v>
          </x:cell>
          <x:cell r="S72">
            <x:v>5</x:v>
          </x:cell>
          <x:cell r="T72">
            <x:v>0.5</x:v>
          </x:cell>
          <x:cell r="U72" t="str">
            <x:v>개별</x:v>
          </x:cell>
          <x:cell r="V72">
            <x:v>3.5</x:v>
          </x:cell>
          <x:cell r="W72">
            <x:v>0.55000000000000004</x:v>
          </x:cell>
          <x:cell r="X72" t="str">
            <x:v>없음</x:v>
          </x:cell>
          <x:cell r="Y72">
            <x:v>0</x:v>
          </x:cell>
          <x:cell r="Z72" t="str">
            <x:v>없음</x:v>
          </x:cell>
          <x:cell r="AA72">
            <x:v>0</x:v>
          </x:cell>
          <x:cell r="AB72" t="str">
            <x:v>시전 종료</x:v>
          </x:cell>
          <x:cell r="AC72" t="str">
            <x:v>SKL-STS-002</x:v>
          </x:cell>
          <x:cell r="AD72" t="str">
            <x:v>기능 원형: 통로 밀치기 · 몬스터 시트 발동률 50%와 동기화</x:v>
          </x:cell>
        </x:row>
        <x:row r="73">
          <x:cell r="G73" t="str">
            <x:v>길막 완료</x:v>
          </x:cell>
          <x:cell r="H73" t="str">
            <x:v>통로·출구·안전 위치를 점유하거나 닫아 플레이어의 이동 선택지를 줄임.</x:v>
          </x:cell>
          <x:cell r="I73"/>
          <x:cell r="J73" t="str">
            <x:v>액티브</x:v>
          </x:cell>
          <x:cell r="K73" t="str">
            <x:v>길막말미잘</x:v>
          </x:cell>
          <x:cell r="L73" t="str">
            <x:v>이동 경로 제한</x:v>
          </x:cell>
          <x:cell r="M73" t="str">
            <x:v>AI 가중치</x:v>
          </x:cell>
          <x:cell r="N73" t="str">
            <x:v>사거리·페이즈·주변 상황 조건 충족</x:v>
          </x:cell>
          <x:cell r="O73" t="str">
            <x:v>없음</x:v>
          </x:cell>
          <x:cell r="P73">
            <x:v>0</x:v>
          </x:cell>
          <x:cell r="Q73">
            <x:v>0</x:v>
          </x:cell>
          <x:cell r="R73" t="str">
            <x:v>피해 없음</x:v>
          </x:cell>
          <x:cell r="S73">
            <x:v>5.7000000000000002</x:v>
          </x:cell>
          <x:cell r="T73">
            <x:v>0.29999999999999999</x:v>
          </x:cell>
          <x:cell r="U73" t="str">
            <x:v>개별</x:v>
          </x:cell>
          <x:cell r="V73">
            <x:v>4.2000000000000002</x:v>
          </x:cell>
          <x:cell r="W73">
            <x:v>0.55000000000000004</x:v>
          </x:cell>
          <x:cell r="X73" t="str">
            <x:v>이동 가능 경로</x:v>
          </x:cell>
          <x:cell r="Y73">
            <x:v>-1</x:v>
          </x:cell>
          <x:cell r="Z73" t="str">
            <x:v>개</x:v>
          </x:cell>
          <x:cell r="AA73">
            <x:v>4</x:v>
          </x:cell>
          <x:cell r="AB73" t="str">
            <x:v>지속 종료</x:v>
          </x:cell>
          <x:cell r="AC73" t="str">
            <x:v>없음</x:v>
          </x:cell>
          <x:cell r="AD73" t="str">
            <x:v>기능 원형: 앞길 막기 · 몬스터 시트 발동률 30%와 동기화</x:v>
          </x:cell>
        </x:row>
        <x:row r="74">
          <x:cell r="G74" t="str">
            <x:v>툭!</x:v>
          </x:cell>
          <x:cell r="H74" t="str">
            <x:v>주변 또는 전방으로 충격파를 퍼뜨려 피해와 위치 흔들림을 줌.</x:v>
          </x:cell>
          <x:cell r="I74"/>
          <x:cell r="J74" t="str">
            <x:v>액티브</x:v>
          </x:cell>
          <x:cell r="K74" t="str">
            <x:v>길막말미잘</x:v>
          </x:cell>
          <x:cell r="L74" t="str">
            <x:v>밀려남 1칸</x:v>
          </x:cell>
          <x:cell r="M74" t="str">
            <x:v>AI 가중치</x:v>
          </x:cell>
          <x:cell r="N74" t="str">
            <x:v>사거리·페이즈·주변 상황 조건 충족</x:v>
          </x:cell>
          <x:cell r="O74" t="str">
            <x:v>몬스터 최종 공격력 비율</x:v>
          </x:cell>
          <x:cell r="P74">
            <x:v>0.84999999999999998</x:v>
          </x:cell>
          <x:cell r="Q74">
            <x:v>0</x:v>
          </x:cell>
          <x:cell r="R74" t="str">
            <x:v>몬스터 최종 공격력 × 85%</x:v>
          </x:cell>
          <x:cell r="S74">
            <x:v>6.4000000000000004</x:v>
          </x:cell>
          <x:cell r="T74">
            <x:v>0.20000000000000001</x:v>
          </x:cell>
          <x:cell r="U74" t="str">
            <x:v>개별</x:v>
          </x:cell>
          <x:cell r="V74">
            <x:v>4.9000000000000004</x:v>
          </x:cell>
          <x:cell r="W74">
            <x:v>0.55000000000000004</x:v>
          </x:cell>
          <x:cell r="X74" t="str">
            <x:v>없음</x:v>
          </x:cell>
          <x:cell r="Y74">
            <x:v>0</x:v>
          </x:cell>
          <x:cell r="Z74" t="str">
            <x:v>없음</x:v>
          </x:cell>
          <x:cell r="AA74">
            <x:v>0</x:v>
          </x:cell>
          <x:cell r="AB74" t="str">
            <x:v>시전 종료</x:v>
          </x:cell>
          <x:cell r="AC74" t="str">
            <x:v>SKL-STS-002</x:v>
          </x:cell>
          <x:cell r="AD74" t="str">
            <x:v>기능 원형: 짧은 충격파 · 몬스터 시트 발동률 20%와 동기화</x:v>
          </x:cell>
        </x:row>
        <x:row r="75">
          <x:cell r="G75" t="str">
            <x:v>셋이서 빙글</x:v>
          </x:cell>
          <x:cell r="H75" t="str">
            <x:v>넓은 전방 범위를 한 번에 휩쓸어 여러 대상을 압박함.</x:v>
          </x:cell>
          <x:cell r="I75"/>
          <x:cell r="J75" t="str">
            <x:v>액티브</x:v>
          </x:cell>
          <x:cell r="K75" t="str">
            <x:v>엉킨세포군</x:v>
          </x:cell>
          <x:cell r="L75"/>
          <x:cell r="M75" t="str">
            <x:v>AI 가중치</x:v>
          </x:cell>
          <x:cell r="N75" t="str">
            <x:v>사거리·페이즈·주변 상황 조건 충족</x:v>
          </x:cell>
          <x:cell r="O75" t="str">
            <x:v>몬스터 최종 공격력 비율</x:v>
          </x:cell>
          <x:cell r="P75">
            <x:v>1.1000000000000001</x:v>
          </x:cell>
          <x:cell r="Q75">
            <x:v>0</x:v>
          </x:cell>
          <x:cell r="R75" t="str">
            <x:v>몬스터 최종 공격력 × 110%</x:v>
          </x:cell>
          <x:cell r="S75">
            <x:v>6.5</x:v>
          </x:cell>
          <x:cell r="T75">
            <x:v>0.40000000000000002</x:v>
          </x:cell>
          <x:cell r="U75" t="str">
            <x:v>개별</x:v>
          </x:cell>
          <x:cell r="V75">
            <x:v>5</x:v>
          </x:cell>
          <x:cell r="W75">
            <x:v>0.65000000000000002</x:v>
          </x:cell>
          <x:cell r="X75" t="str">
            <x:v>없음</x:v>
          </x:cell>
          <x:cell r="Y75">
            <x:v>0</x:v>
          </x:cell>
          <x:cell r="Z75" t="str">
            <x:v>없음</x:v>
          </x:cell>
          <x:cell r="AA75">
            <x:v>0</x:v>
          </x:cell>
          <x:cell r="AB75" t="str">
            <x:v>시전 종료</x:v>
          </x:cell>
          <x:cell r="AC75" t="str">
            <x:v>없음</x:v>
          </x:cell>
          <x:cell r="AD75" t="str">
            <x:v>기능 원형: 회전 휩쓸기 · 몬스터 시트 발동률 40%와 동기화</x:v>
          </x:cell>
        </x:row>
        <x:row r="76">
          <x:cell r="G76" t="str">
            <x:v>한꺼번에 쿵</x:v>
          </x:cell>
          <x:cell r="H76" t="str">
            <x:v>전방 바닥을 강하게 내려찍어 충격 피해를 줌.</x:v>
          </x:cell>
          <x:cell r="I76"/>
          <x:cell r="J76" t="str">
            <x:v>액티브</x:v>
          </x:cell>
          <x:cell r="K76" t="str">
            <x:v>엉킨세포군</x:v>
          </x:cell>
          <x:cell r="L76"/>
          <x:cell r="M76" t="str">
            <x:v>AI 가중치</x:v>
          </x:cell>
          <x:cell r="N76" t="str">
            <x:v>사거리·페이즈·주변 상황 조건 충족</x:v>
          </x:cell>
          <x:cell r="O76" t="str">
            <x:v>몬스터 최종 공격력 비율</x:v>
          </x:cell>
          <x:cell r="P76">
            <x:v>1.2</x:v>
          </x:cell>
          <x:cell r="Q76">
            <x:v>0</x:v>
          </x:cell>
          <x:cell r="R76" t="str">
            <x:v>몬스터 최종 공격력 × 120%</x:v>
          </x:cell>
          <x:cell r="S76">
            <x:v>7.2000000000000002</x:v>
          </x:cell>
          <x:cell r="T76">
            <x:v>0.29999999999999999</x:v>
          </x:cell>
          <x:cell r="U76" t="str">
            <x:v>개별</x:v>
          </x:cell>
          <x:cell r="V76">
            <x:v>5.7000000000000002</x:v>
          </x:cell>
          <x:cell r="W76">
            <x:v>0.65000000000000002</x:v>
          </x:cell>
          <x:cell r="X76" t="str">
            <x:v>없음</x:v>
          </x:cell>
          <x:cell r="Y76">
            <x:v>0</x:v>
          </x:cell>
          <x:cell r="Z76" t="str">
            <x:v>없음</x:v>
          </x:cell>
          <x:cell r="AA76">
            <x:v>0</x:v>
          </x:cell>
          <x:cell r="AB76" t="str">
            <x:v>시전 종료</x:v>
          </x:cell>
          <x:cell r="AC76" t="str">
            <x:v>없음</x:v>
          </x:cell>
          <x:cell r="AD76" t="str">
            <x:v>기능 원형: 다중 내려찍기 · 몬스터 시트 발동률 30%와 동기화</x:v>
          </x:cell>
        </x:row>
        <x:row r="77">
          <x:cell r="G77" t="str">
            <x:v>방향은 모르겠고!</x:v>
          </x:cell>
          <x:cell r="H77" t="str">
            <x:v>직선 전조 후 목표 방향으로 빠르게 돌진해 경로상의 대상을 압박함.</x:v>
          </x:cell>
          <x:cell r="I77"/>
          <x:cell r="J77" t="str">
            <x:v>액티브</x:v>
          </x:cell>
          <x:cell r="K77" t="str">
            <x:v>엉킨세포군</x:v>
          </x:cell>
          <x:cell r="L77" t="str">
            <x:v>밀려남 1.5칸</x:v>
          </x:cell>
          <x:cell r="M77" t="str">
            <x:v>AI 가중치</x:v>
          </x:cell>
          <x:cell r="N77" t="str">
            <x:v>사거리·페이즈·주변 상황 조건 충족</x:v>
          </x:cell>
          <x:cell r="O77" t="str">
            <x:v>몬스터 최종 공격력 비율</x:v>
          </x:cell>
          <x:cell r="P77">
            <x:v>1.1499999999999999</x:v>
          </x:cell>
          <x:cell r="Q77">
            <x:v>0</x:v>
          </x:cell>
          <x:cell r="R77" t="str">
            <x:v>몬스터 최종 공격력 × 115%</x:v>
          </x:cell>
          <x:cell r="S77">
            <x:v>7.9000000000000004</x:v>
          </x:cell>
          <x:cell r="T77">
            <x:v>0.20000000000000001</x:v>
          </x:cell>
          <x:cell r="U77" t="str">
            <x:v>개별</x:v>
          </x:cell>
          <x:cell r="V77">
            <x:v>6.4000000000000004</x:v>
          </x:cell>
          <x:cell r="W77">
            <x:v>0.65000000000000002</x:v>
          </x:cell>
          <x:cell r="X77" t="str">
            <x:v>없음</x:v>
          </x:cell>
          <x:cell r="Y77">
            <x:v>0</x:v>
          </x:cell>
          <x:cell r="Z77" t="str">
            <x:v>없음</x:v>
          </x:cell>
          <x:cell r="AA77">
            <x:v>0</x:v>
          </x:cell>
          <x:cell r="AB77" t="str">
            <x:v>시전 종료</x:v>
          </x:cell>
          <x:cell r="AC77" t="str">
            <x:v>SKL-STS-002</x:v>
          </x:cell>
          <x:cell r="AD77" t="str">
            <x:v>기능 원형: 비틀린 돌진 · 몬스터 시트 발동률 20%와 동기화</x:v>
          </x:cell>
        </x:row>
        <x:row r="78">
          <x:cell r="G78" t="str">
            <x:v>엉켜서 딱!</x:v>
          </x:cell>
          <x:cell r="H78" t="str">
            <x:v>'경직' 행동을 수행해 위치·전투 리듬을 변화시킴.</x:v>
          </x:cell>
          <x:cell r="I78"/>
          <x:cell r="J78" t="str">
            <x:v>액티브</x:v>
          </x:cell>
          <x:cell r="K78" t="str">
            <x:v>엉킨세포군</x:v>
          </x:cell>
          <x:cell r="L78"/>
          <x:cell r="M78" t="str">
            <x:v>AI 가중치</x:v>
          </x:cell>
          <x:cell r="N78" t="str">
            <x:v>사거리·페이즈·주변 상황 조건 충족</x:v>
          </x:cell>
          <x:cell r="O78" t="str">
            <x:v>없음</x:v>
          </x:cell>
          <x:cell r="P78">
            <x:v>0</x:v>
          </x:cell>
          <x:cell r="Q78">
            <x:v>0</x:v>
          </x:cell>
          <x:cell r="R78" t="str">
            <x:v>피해 없음</x:v>
          </x:cell>
          <x:cell r="S78">
            <x:v>8.5999999999999996</x:v>
          </x:cell>
          <x:cell r="T78">
            <x:v>0.10000000000000001</x:v>
          </x:cell>
          <x:cell r="U78" t="str">
            <x:v>개별</x:v>
          </x:cell>
          <x:cell r="V78">
            <x:v>7.0999999999999996</x:v>
          </x:cell>
          <x:cell r="W78">
            <x:v>0.65000000000000002</x:v>
          </x:cell>
          <x:cell r="X78" t="str">
            <x:v>없음</x:v>
          </x:cell>
          <x:cell r="Y78">
            <x:v>0</x:v>
          </x:cell>
          <x:cell r="Z78" t="str">
            <x:v>없음</x:v>
          </x:cell>
          <x:cell r="AA78">
            <x:v>0</x:v>
          </x:cell>
          <x:cell r="AB78" t="str">
            <x:v>시전 종료</x:v>
          </x:cell>
          <x:cell r="AC78" t="str">
            <x:v>없음</x:v>
          </x:cell>
          <x:cell r="AD78" t="str">
            <x:v>기능 원형: 경직 · 몬스터 시트 발동률 10%와 동기화</x:v>
          </x:cell>
        </x:row>
        <x:row r="79">
          <x:cell r="G79" t="str">
            <x:v>너부터!</x:v>
          </x:cell>
          <x:cell r="H79" t="str">
            <x:v>특정 대상이나 위치에 표식을 남겨 무리의 공격 우선순위를 집중시킴.</x:v>
          </x:cell>
          <x:cell r="I79"/>
          <x:cell r="J79" t="str">
            <x:v>액티브</x:v>
          </x:cell>
          <x:cell r="K79" t="str">
            <x:v>대장촉수</x:v>
          </x:cell>
          <x:cell r="L79" t="str">
            <x:v>표적 지정</x:v>
          </x:cell>
          <x:cell r="M79" t="str">
            <x:v>AI 가중치</x:v>
          </x:cell>
          <x:cell r="N79" t="str">
            <x:v>사거리·페이즈·주변 상황 조건 충족</x:v>
          </x:cell>
          <x:cell r="O79" t="str">
            <x:v>없음</x:v>
          </x:cell>
          <x:cell r="P79">
            <x:v>0</x:v>
          </x:cell>
          <x:cell r="Q79">
            <x:v>0</x:v>
          </x:cell>
          <x:cell r="R79" t="str">
            <x:v>피해 없음</x:v>
          </x:cell>
          <x:cell r="S79">
            <x:v>7</x:v>
          </x:cell>
          <x:cell r="T79">
            <x:v>0.29999999999999999</x:v>
          </x:cell>
          <x:cell r="U79" t="str">
            <x:v>개별</x:v>
          </x:cell>
          <x:cell r="V79">
            <x:v>5.5</x:v>
          </x:cell>
          <x:cell r="W79">
            <x:v>0.75</x:v>
          </x:cell>
          <x:cell r="X79" t="str">
            <x:v>AI 우선순위</x:v>
          </x:cell>
          <x:cell r="Y79">
            <x:v>1</x:v>
          </x:cell>
          <x:cell r="Z79" t="str">
            <x:v>단계</x:v>
          </x:cell>
          <x:cell r="AA79">
            <x:v>4</x:v>
          </x:cell>
          <x:cell r="AB79" t="str">
            <x:v>지속 종료</x:v>
          </x:cell>
          <x:cell r="AC79" t="str">
            <x:v>SKL-STS-007</x:v>
          </x:cell>
          <x:cell r="AD79" t="str">
            <x:v>기능 원형: 표적 지정 · 몬스터 시트 발동률 30%와 동기화</x:v>
          </x:cell>
        </x:row>
        <x:row r="80">
          <x:cell r="G80" t="str">
            <x:v>다 같이 가!</x:v>
          </x:cell>
          <x:cell r="H80" t="str">
            <x:v>'부하 돌격 명령' 행동을 수행해 위치·전투 리듬을 변화시킴.</x:v>
          </x:cell>
          <x:cell r="I80"/>
          <x:cell r="J80" t="str">
            <x:v>액티브</x:v>
          </x:cell>
          <x:cell r="K80" t="str">
            <x:v>대장촉수</x:v>
          </x:cell>
          <x:cell r="L80"/>
          <x:cell r="M80" t="str">
            <x:v>AI 가중치</x:v>
          </x:cell>
          <x:cell r="N80" t="str">
            <x:v>사거리·페이즈·주변 상황 조건 충족</x:v>
          </x:cell>
          <x:cell r="O80" t="str">
            <x:v>없음</x:v>
          </x:cell>
          <x:cell r="P80">
            <x:v>0</x:v>
          </x:cell>
          <x:cell r="Q80">
            <x:v>0</x:v>
          </x:cell>
          <x:cell r="R80" t="str">
            <x:v>피해 없음</x:v>
          </x:cell>
          <x:cell r="S80">
            <x:v>7.7000000000000002</x:v>
          </x:cell>
          <x:cell r="T80">
            <x:v>0.29999999999999999</x:v>
          </x:cell>
          <x:cell r="U80" t="str">
            <x:v>개별</x:v>
          </x:cell>
          <x:cell r="V80">
            <x:v>6.2000000000000002</x:v>
          </x:cell>
          <x:cell r="W80">
            <x:v>0.75</x:v>
          </x:cell>
          <x:cell r="X80" t="str">
            <x:v>없음</x:v>
          </x:cell>
          <x:cell r="Y80">
            <x:v>0</x:v>
          </x:cell>
          <x:cell r="Z80" t="str">
            <x:v>없음</x:v>
          </x:cell>
          <x:cell r="AA80">
            <x:v>0</x:v>
          </x:cell>
          <x:cell r="AB80" t="str">
            <x:v>시전 종료</x:v>
          </x:cell>
          <x:cell r="AC80" t="str">
            <x:v>없음</x:v>
          </x:cell>
          <x:cell r="AD80" t="str">
            <x:v>기능 원형: 부하 돌격 명령 · 몬스터 시트 발동률 30%와 동기화</x:v>
          </x:cell>
        </x:row>
        <x:row r="81">
          <x:cell r="G81" t="str">
            <x:v>빨리빨리!</x:v>
          </x:cell>
          <x:cell r="H81" t="str">
            <x:v>주변 아군의 전투 리듬을 끌어올려 공격 성능을 일정 시간 강화함.</x:v>
          </x:cell>
          <x:cell r="I81"/>
          <x:cell r="J81" t="str">
            <x:v>액티브</x:v>
          </x:cell>
          <x:cell r="K81" t="str">
            <x:v>대장촉수</x:v>
          </x:cell>
          <x:cell r="L81"/>
          <x:cell r="M81" t="str">
            <x:v>AI 가중치</x:v>
          </x:cell>
          <x:cell r="N81" t="str">
            <x:v>사거리·페이즈·주변 상황 조건 충족</x:v>
          </x:cell>
          <x:cell r="O81" t="str">
            <x:v>없음</x:v>
          </x:cell>
          <x:cell r="P81">
            <x:v>0</x:v>
          </x:cell>
          <x:cell r="Q81">
            <x:v>0</x:v>
          </x:cell>
          <x:cell r="R81" t="str">
            <x:v>피해 없음</x:v>
          </x:cell>
          <x:cell r="S81">
            <x:v>8.4000000000000004</x:v>
          </x:cell>
          <x:cell r="T81">
            <x:v>0.25</x:v>
          </x:cell>
          <x:cell r="U81" t="str">
            <x:v>개별</x:v>
          </x:cell>
          <x:cell r="V81">
            <x:v>6.9000000000000004</x:v>
          </x:cell>
          <x:cell r="W81">
            <x:v>0.75</x:v>
          </x:cell>
          <x:cell r="X81" t="str">
            <x:v>공격력</x:v>
          </x:cell>
          <x:cell r="Y81">
            <x:v>20</x:v>
          </x:cell>
          <x:cell r="Z81" t="str">
            <x:v>%</x:v>
          </x:cell>
          <x:cell r="AA81">
            <x:v>6</x:v>
          </x:cell>
          <x:cell r="AB81" t="str">
            <x:v>지속 종료</x:v>
          </x:cell>
          <x:cell r="AC81" t="str">
            <x:v>SKL-STS-004</x:v>
          </x:cell>
          <x:cell r="AD81" t="str">
            <x:v>기능 원형: 무리 가속 · 몬스터 시트 발동률 25%와 동기화</x:v>
          </x:cell>
        </x:row>
        <x:row r="82">
          <x:cell r="G82" t="str">
            <x:v>내가 간다</x:v>
          </x:cell>
          <x:cell r="H82" t="str">
            <x:v>근거리 목표를 반복 또는 단발로 직접 타격함.</x:v>
          </x:cell>
          <x:cell r="I82"/>
          <x:cell r="J82" t="str">
            <x:v>액티브</x:v>
          </x:cell>
          <x:cell r="K82" t="str">
            <x:v>대장촉수</x:v>
          </x:cell>
          <x:cell r="L82"/>
          <x:cell r="M82" t="str">
            <x:v>AI 가중치</x:v>
          </x:cell>
          <x:cell r="N82" t="str">
            <x:v>사거리·페이즈·주변 상황 조건 충족</x:v>
          </x:cell>
          <x:cell r="O82" t="str">
            <x:v>몬스터 최종 공격력 비율</x:v>
          </x:cell>
          <x:cell r="P82">
            <x:v>1.05</x:v>
          </x:cell>
          <x:cell r="Q82">
            <x:v>0</x:v>
          </x:cell>
          <x:cell r="R82" t="str">
            <x:v>몬스터 최종 공격력 × 105%</x:v>
          </x:cell>
          <x:cell r="S82">
            <x:v>9.0999999999999996</x:v>
          </x:cell>
          <x:cell r="T82">
            <x:v>0.14999999999999999</x:v>
          </x:cell>
          <x:cell r="U82" t="str">
            <x:v>개별</x:v>
          </x:cell>
          <x:cell r="V82">
            <x:v>7.5999999999999996</x:v>
          </x:cell>
          <x:cell r="W82">
            <x:v>0.75</x:v>
          </x:cell>
          <x:cell r="X82" t="str">
            <x:v>없음</x:v>
          </x:cell>
          <x:cell r="Y82">
            <x:v>0</x:v>
          </x:cell>
          <x:cell r="Z82" t="str">
            <x:v>없음</x:v>
          </x:cell>
          <x:cell r="AA82">
            <x:v>0</x:v>
          </x:cell>
          <x:cell r="AB82" t="str">
            <x:v>시전 종료</x:v>
          </x:cell>
          <x:cell r="AC82" t="str">
            <x:v>없음</x:v>
          </x:cell>
          <x:cell r="AD82" t="str">
            <x:v>기능 원형: 직접 타격 · 몬스터 시트 발동률 15%와 동기화</x:v>
          </x:cell>
        </x:row>
        <x:row r="83">
          <x:cell r="G83" t="str">
            <x:v>똑똑똑!</x:v>
          </x:cell>
          <x:cell r="H83" t="str">
            <x:v>'문 두드리기' 행동을 수행해 위치·전투 리듬을 변화시킴.</x:v>
          </x:cell>
          <x:cell r="I83"/>
          <x:cell r="J83" t="str">
            <x:v>액티브</x:v>
          </x:cell>
          <x:cell r="K83" t="str">
            <x:v>똑똑소라</x:v>
          </x:cell>
          <x:cell r="L83"/>
          <x:cell r="M83" t="str">
            <x:v>AI 가중치</x:v>
          </x:cell>
          <x:cell r="N83" t="str">
            <x:v>사거리·페이즈·주변 상황 조건 충족</x:v>
          </x:cell>
          <x:cell r="O83" t="str">
            <x:v>없음</x:v>
          </x:cell>
          <x:cell r="P83">
            <x:v>0</x:v>
          </x:cell>
          <x:cell r="Q83">
            <x:v>0</x:v>
          </x:cell>
          <x:cell r="R83" t="str">
            <x:v>피해 없음</x:v>
          </x:cell>
          <x:cell r="S83">
            <x:v>5</x:v>
          </x:cell>
          <x:cell r="T83">
            <x:v>0.40000000000000002</x:v>
          </x:cell>
          <x:cell r="U83" t="str">
            <x:v>개별</x:v>
          </x:cell>
          <x:cell r="V83">
            <x:v>3.5</x:v>
          </x:cell>
          <x:cell r="W83">
            <x:v>0.55000000000000004</x:v>
          </x:cell>
          <x:cell r="X83" t="str">
            <x:v>없음</x:v>
          </x:cell>
          <x:cell r="Y83">
            <x:v>0</x:v>
          </x:cell>
          <x:cell r="Z83" t="str">
            <x:v>없음</x:v>
          </x:cell>
          <x:cell r="AA83">
            <x:v>0</x:v>
          </x:cell>
          <x:cell r="AB83" t="str">
            <x:v>시전 종료</x:v>
          </x:cell>
          <x:cell r="AC83" t="str">
            <x:v>없음</x:v>
          </x:cell>
          <x:cell r="AD83" t="str">
            <x:v>기능 원형: 문 두드리기 · 몬스터 시트 발동률 40%와 동기화</x:v>
          </x:cell>
        </x:row>
        <x:row r="84">
          <x:cell r="G84" t="str">
            <x:v>문 좀 열어!</x:v>
          </x:cell>
          <x:cell r="H84" t="str">
            <x:v>근거리 목표를 반복 또는 단발로 직접 타격함.</x:v>
          </x:cell>
          <x:cell r="I84"/>
          <x:cell r="J84" t="str">
            <x:v>액티브</x:v>
          </x:cell>
          <x:cell r="K84" t="str">
            <x:v>똑똑소라</x:v>
          </x:cell>
          <x:cell r="L84"/>
          <x:cell r="M84" t="str">
            <x:v>AI 가중치</x:v>
          </x:cell>
          <x:cell r="N84" t="str">
            <x:v>사거리·페이즈·주변 상황 조건 충족</x:v>
          </x:cell>
          <x:cell r="O84" t="str">
            <x:v>몬스터 최종 공격력 비율</x:v>
          </x:cell>
          <x:cell r="P84">
            <x:v>1.2</x:v>
          </x:cell>
          <x:cell r="Q84">
            <x:v>0</x:v>
          </x:cell>
          <x:cell r="R84" t="str">
            <x:v>몬스터 최종 공격력 × 120%</x:v>
          </x:cell>
          <x:cell r="S84">
            <x:v>5.7000000000000002</x:v>
          </x:cell>
          <x:cell r="T84">
            <x:v>0.34999999999999998</x:v>
          </x:cell>
          <x:cell r="U84" t="str">
            <x:v>개별</x:v>
          </x:cell>
          <x:cell r="V84">
            <x:v>4.2000000000000002</x:v>
          </x:cell>
          <x:cell r="W84">
            <x:v>0.55000000000000004</x:v>
          </x:cell>
          <x:cell r="X84" t="str">
            <x:v>없음</x:v>
          </x:cell>
          <x:cell r="Y84">
            <x:v>0</x:v>
          </x:cell>
          <x:cell r="Z84" t="str">
            <x:v>없음</x:v>
          </x:cell>
          <x:cell r="AA84">
            <x:v>0</x:v>
          </x:cell>
          <x:cell r="AB84" t="str">
            <x:v>시전 종료</x:v>
          </x:cell>
          <x:cell r="AC84" t="str">
            <x:v>없음</x:v>
          </x:cell>
          <x:cell r="AD84" t="str">
            <x:v>기능 원형: 연속 주먹질 · 몬스터 시트 발동률 35%와 동기화</x:v>
          </x:cell>
        </x:row>
        <x:row r="85">
          <x:cell r="G85" t="str">
            <x:v>다음 문!</x:v>
          </x:cell>
          <x:cell r="H85" t="str">
            <x:v>'목표 전환' 행동을 수행해 위치·전투 리듬을 변화시킴.</x:v>
          </x:cell>
          <x:cell r="I85"/>
          <x:cell r="J85" t="str">
            <x:v>액티브</x:v>
          </x:cell>
          <x:cell r="K85" t="str">
            <x:v>똑똑소라</x:v>
          </x:cell>
          <x:cell r="L85"/>
          <x:cell r="M85" t="str">
            <x:v>AI 가중치</x:v>
          </x:cell>
          <x:cell r="N85" t="str">
            <x:v>사거리·페이즈·주변 상황 조건 충족</x:v>
          </x:cell>
          <x:cell r="O85" t="str">
            <x:v>없음</x:v>
          </x:cell>
          <x:cell r="P85">
            <x:v>0</x:v>
          </x:cell>
          <x:cell r="Q85">
            <x:v>0</x:v>
          </x:cell>
          <x:cell r="R85" t="str">
            <x:v>피해 없음</x:v>
          </x:cell>
          <x:cell r="S85">
            <x:v>6.4000000000000004</x:v>
          </x:cell>
          <x:cell r="T85">
            <x:v>0.25</x:v>
          </x:cell>
          <x:cell r="U85" t="str">
            <x:v>개별</x:v>
          </x:cell>
          <x:cell r="V85">
            <x:v>4.9000000000000004</x:v>
          </x:cell>
          <x:cell r="W85">
            <x:v>0.55000000000000004</x:v>
          </x:cell>
          <x:cell r="X85" t="str">
            <x:v>없음</x:v>
          </x:cell>
          <x:cell r="Y85">
            <x:v>0</x:v>
          </x:cell>
          <x:cell r="Z85" t="str">
            <x:v>없음</x:v>
          </x:cell>
          <x:cell r="AA85">
            <x:v>0</x:v>
          </x:cell>
          <x:cell r="AB85" t="str">
            <x:v>시전 종료</x:v>
          </x:cell>
          <x:cell r="AC85" t="str">
            <x:v>없음</x:v>
          </x:cell>
          <x:cell r="AD85" t="str">
            <x:v>기능 원형: 목표 전환 · 몬스터 시트 발동률 25%와 동기화</x:v>
          </x:cell>
        </x:row>
        <x:row r="86">
          <x:cell r="G86" t="str">
            <x:v>쏙!</x:v>
          </x:cell>
          <x:cell r="H86" t="str">
            <x:v>'틈새 이동' 행동을 수행해 위치·전투 리듬을 변화시킴.</x:v>
          </x:cell>
          <x:cell r="I86"/>
          <x:cell r="J86" t="str">
            <x:v>액티브</x:v>
          </x:cell>
          <x:cell r="K86" t="str">
            <x:v>문틈새우</x:v>
          </x:cell>
          <x:cell r="L86"/>
          <x:cell r="M86" t="str">
            <x:v>AI 가중치</x:v>
          </x:cell>
          <x:cell r="N86" t="str">
            <x:v>사거리·페이즈·주변 상황 조건 충족</x:v>
          </x:cell>
          <x:cell r="O86" t="str">
            <x:v>없음</x:v>
          </x:cell>
          <x:cell r="P86">
            <x:v>0</x:v>
          </x:cell>
          <x:cell r="Q86">
            <x:v>0</x:v>
          </x:cell>
          <x:cell r="R86" t="str">
            <x:v>피해 없음</x:v>
          </x:cell>
          <x:cell r="S86">
            <x:v>5</x:v>
          </x:cell>
          <x:cell r="T86">
            <x:v>0.34999999999999998</x:v>
          </x:cell>
          <x:cell r="U86" t="str">
            <x:v>개별</x:v>
          </x:cell>
          <x:cell r="V86">
            <x:v>3.5</x:v>
          </x:cell>
          <x:cell r="W86">
            <x:v>0.55000000000000004</x:v>
          </x:cell>
          <x:cell r="X86" t="str">
            <x:v>없음</x:v>
          </x:cell>
          <x:cell r="Y86">
            <x:v>0</x:v>
          </x:cell>
          <x:cell r="Z86" t="str">
            <x:v>없음</x:v>
          </x:cell>
          <x:cell r="AA86">
            <x:v>0</x:v>
          </x:cell>
          <x:cell r="AB86" t="str">
            <x:v>시전 종료</x:v>
          </x:cell>
          <x:cell r="AC86" t="str">
            <x:v>없음</x:v>
          </x:cell>
          <x:cell r="AD86" t="str">
            <x:v>기능 원형: 틈새 이동 · 몬스터 시트 발동률 35%와 동기화</x:v>
          </x:cell>
        </x:row>
        <x:row r="87">
          <x:cell r="G87" t="str">
            <x:v>뒤에 있다!</x:v>
          </x:cell>
          <x:cell r="H87" t="str">
            <x:v>가느다란 공격 기관으로 빈틈을 찔러 높은 단일 피해를 줌.</x:v>
          </x:cell>
          <x:cell r="I87"/>
          <x:cell r="J87" t="str">
            <x:v>액티브</x:v>
          </x:cell>
          <x:cell r="K87" t="str">
            <x:v>문틈새우</x:v>
          </x:cell>
          <x:cell r="L87"/>
          <x:cell r="M87" t="str">
            <x:v>AI 가중치</x:v>
          </x:cell>
          <x:cell r="N87" t="str">
            <x:v>사거리·페이즈·주변 상황 조건 충족</x:v>
          </x:cell>
          <x:cell r="O87" t="str">
            <x:v>몬스터 최종 공격력 비율</x:v>
          </x:cell>
          <x:cell r="P87">
            <x:v>1.25</x:v>
          </x:cell>
          <x:cell r="Q87">
            <x:v>0</x:v>
          </x:cell>
          <x:cell r="R87" t="str">
            <x:v>몬스터 최종 공격력 × 125%</x:v>
          </x:cell>
          <x:cell r="S87">
            <x:v>5.7000000000000002</x:v>
          </x:cell>
          <x:cell r="T87">
            <x:v>0.40000000000000002</x:v>
          </x:cell>
          <x:cell r="U87" t="str">
            <x:v>개별</x:v>
          </x:cell>
          <x:cell r="V87">
            <x:v>4.2000000000000002</x:v>
          </x:cell>
          <x:cell r="W87">
            <x:v>0.55000000000000004</x:v>
          </x:cell>
          <x:cell r="X87" t="str">
            <x:v>없음</x:v>
          </x:cell>
          <x:cell r="Y87">
            <x:v>0</x:v>
          </x:cell>
          <x:cell r="Z87" t="str">
            <x:v>없음</x:v>
          </x:cell>
          <x:cell r="AA87">
            <x:v>0</x:v>
          </x:cell>
          <x:cell r="AB87" t="str">
            <x:v>시전 종료</x:v>
          </x:cell>
          <x:cell r="AC87" t="str">
            <x:v>없음</x:v>
          </x:cell>
          <x:cell r="AD87" t="str">
            <x:v>기능 원형: 후방 찌르기 · 몬스터 시트 발동률 40%와 동기화</x:v>
          </x:cell>
        </x:row>
        <x:row r="88">
          <x:cell r="G88" t="str">
            <x:v>쏙 빠지기</x:v>
          </x:cell>
          <x:cell r="H88" t="str">
            <x:v>공격 후 거리를 벌리거나 사각으로 이동해 다음 공격 위치를 다시 잡음.</x:v>
          </x:cell>
          <x:cell r="I88"/>
          <x:cell r="J88" t="str">
            <x:v>액티브</x:v>
          </x:cell>
          <x:cell r="K88" t="str">
            <x:v>문틈새우</x:v>
          </x:cell>
          <x:cell r="L88"/>
          <x:cell r="M88" t="str">
            <x:v>AI 가중치</x:v>
          </x:cell>
          <x:cell r="N88" t="str">
            <x:v>사거리·페이즈·주변 상황 조건 충족</x:v>
          </x:cell>
          <x:cell r="O88" t="str">
            <x:v>없음</x:v>
          </x:cell>
          <x:cell r="P88">
            <x:v>0</x:v>
          </x:cell>
          <x:cell r="Q88">
            <x:v>0</x:v>
          </x:cell>
          <x:cell r="R88" t="str">
            <x:v>피해 없음</x:v>
          </x:cell>
          <x:cell r="S88">
            <x:v>6.4000000000000004</x:v>
          </x:cell>
          <x:cell r="T88">
            <x:v>0.25</x:v>
          </x:cell>
          <x:cell r="U88" t="str">
            <x:v>개별</x:v>
          </x:cell>
          <x:cell r="V88">
            <x:v>4.9000000000000004</x:v>
          </x:cell>
          <x:cell r="W88">
            <x:v>0.55000000000000004</x:v>
          </x:cell>
          <x:cell r="X88" t="str">
            <x:v>이동 위치</x:v>
          </x:cell>
          <x:cell r="Y88">
            <x:v>1</x:v>
          </x:cell>
          <x:cell r="Z88" t="str">
            <x:v>지점</x:v>
          </x:cell>
          <x:cell r="AA88">
            <x:v>0</x:v>
          </x:cell>
          <x:cell r="AB88" t="str">
            <x:v>시전 종료</x:v>
          </x:cell>
          <x:cell r="AC88" t="str">
            <x:v>없음</x:v>
          </x:cell>
          <x:cell r="AD88" t="str">
            <x:v>기능 원형: 빠른 이탈 · 몬스터 시트 발동률 25%와 동기화</x:v>
          </x:cell>
        </x:row>
        <x:row r="89">
          <x:cell r="G89" t="str">
            <x:v>나가!</x:v>
          </x:cell>
          <x:cell r="H89" t="str">
            <x:v>몸체·집게·외피로 목표를 밀어 안전 위치에서 벗어나게 함.</x:v>
          </x:cell>
          <x:cell r="I89"/>
          <x:cell r="J89" t="str">
            <x:v>액티브</x:v>
          </x:cell>
          <x:cell r="K89" t="str">
            <x:v>밖으로 나가재</x:v>
          </x:cell>
          <x:cell r="L89" t="str">
            <x:v>밀려남 1.5칸</x:v>
          </x:cell>
          <x:cell r="M89" t="str">
            <x:v>AI 가중치</x:v>
          </x:cell>
          <x:cell r="N89" t="str">
            <x:v>사거리·페이즈·주변 상황 조건 충족</x:v>
          </x:cell>
          <x:cell r="O89" t="str">
            <x:v>몬스터 최종 공격력 비율</x:v>
          </x:cell>
          <x:cell r="P89">
            <x:v>0.75</x:v>
          </x:cell>
          <x:cell r="Q89">
            <x:v>0</x:v>
          </x:cell>
          <x:cell r="R89" t="str">
            <x:v>몬스터 최종 공격력 × 75%</x:v>
          </x:cell>
          <x:cell r="S89">
            <x:v>5</x:v>
          </x:cell>
          <x:cell r="T89">
            <x:v>0.5</x:v>
          </x:cell>
          <x:cell r="U89" t="str">
            <x:v>개별</x:v>
          </x:cell>
          <x:cell r="V89">
            <x:v>3.5</x:v>
          </x:cell>
          <x:cell r="W89">
            <x:v>0.55000000000000004</x:v>
          </x:cell>
          <x:cell r="X89" t="str">
            <x:v>없음</x:v>
          </x:cell>
          <x:cell r="Y89">
            <x:v>0</x:v>
          </x:cell>
          <x:cell r="Z89" t="str">
            <x:v>없음</x:v>
          </x:cell>
          <x:cell r="AA89">
            <x:v>0</x:v>
          </x:cell>
          <x:cell r="AB89" t="str">
            <x:v>시전 종료</x:v>
          </x:cell>
          <x:cell r="AC89" t="str">
            <x:v>SKL-STS-002</x:v>
          </x:cell>
          <x:cell r="AD89" t="str">
            <x:v>기능 원형: 강제 밀치기 · 몬스터 시트 발동률 50%와 동기화</x:v>
          </x:cell>
        </x:row>
        <x:row r="90">
          <x:cell r="G90" t="str">
            <x:v>출구는 내 자리</x:v>
          </x:cell>
          <x:cell r="H90" t="str">
            <x:v>통로·출구·안전 위치를 점유하거나 닫아 플레이어의 이동 선택지를 줄임.</x:v>
          </x:cell>
          <x:cell r="I90"/>
          <x:cell r="J90" t="str">
            <x:v>액티브</x:v>
          </x:cell>
          <x:cell r="K90" t="str">
            <x:v>밖으로 나가재</x:v>
          </x:cell>
          <x:cell r="L90" t="str">
            <x:v>이동 경로 제한</x:v>
          </x:cell>
          <x:cell r="M90" t="str">
            <x:v>AI 가중치</x:v>
          </x:cell>
          <x:cell r="N90" t="str">
            <x:v>사거리·페이즈·주변 상황 조건 충족</x:v>
          </x:cell>
          <x:cell r="O90" t="str">
            <x:v>없음</x:v>
          </x:cell>
          <x:cell r="P90">
            <x:v>0</x:v>
          </x:cell>
          <x:cell r="Q90">
            <x:v>0</x:v>
          </x:cell>
          <x:cell r="R90" t="str">
            <x:v>피해 없음</x:v>
          </x:cell>
          <x:cell r="S90">
            <x:v>5.7000000000000002</x:v>
          </x:cell>
          <x:cell r="T90">
            <x:v>0.29999999999999999</x:v>
          </x:cell>
          <x:cell r="U90" t="str">
            <x:v>개별</x:v>
          </x:cell>
          <x:cell r="V90">
            <x:v>4.2000000000000002</x:v>
          </x:cell>
          <x:cell r="W90">
            <x:v>0.55000000000000004</x:v>
          </x:cell>
          <x:cell r="X90" t="str">
            <x:v>이동 가능 경로</x:v>
          </x:cell>
          <x:cell r="Y90">
            <x:v>-1</x:v>
          </x:cell>
          <x:cell r="Z90" t="str">
            <x:v>개</x:v>
          </x:cell>
          <x:cell r="AA90">
            <x:v>4</x:v>
          </x:cell>
          <x:cell r="AB90" t="str">
            <x:v>지속 종료</x:v>
          </x:cell>
          <x:cell r="AC90" t="str">
            <x:v>없음</x:v>
          </x:cell>
          <x:cell r="AD90" t="str">
            <x:v>기능 원형: 출구 점거 · 몬스터 시트 발동률 30%와 동기화</x:v>
          </x:cell>
        </x:row>
        <x:row r="91">
          <x:cell r="G91" t="str">
            <x:v>바닥도 나가!</x:v>
          </x:cell>
          <x:cell r="H91" t="str">
            <x:v>'바닥 충격' 행동을 수행해 위치·전투 리듬을 변화시킴.</x:v>
          </x:cell>
          <x:cell r="I91"/>
          <x:cell r="J91" t="str">
            <x:v>액티브</x:v>
          </x:cell>
          <x:cell r="K91" t="str">
            <x:v>밖으로 나가재</x:v>
          </x:cell>
          <x:cell r="L91"/>
          <x:cell r="M91" t="str">
            <x:v>AI 가중치</x:v>
          </x:cell>
          <x:cell r="N91" t="str">
            <x:v>사거리·페이즈·주변 상황 조건 충족</x:v>
          </x:cell>
          <x:cell r="O91" t="str">
            <x:v>없음</x:v>
          </x:cell>
          <x:cell r="P91">
            <x:v>0</x:v>
          </x:cell>
          <x:cell r="Q91">
            <x:v>0</x:v>
          </x:cell>
          <x:cell r="R91" t="str">
            <x:v>피해 없음</x:v>
          </x:cell>
          <x:cell r="S91">
            <x:v>6.4000000000000004</x:v>
          </x:cell>
          <x:cell r="T91">
            <x:v>0.20000000000000001</x:v>
          </x:cell>
          <x:cell r="U91" t="str">
            <x:v>개별</x:v>
          </x:cell>
          <x:cell r="V91">
            <x:v>4.9000000000000004</x:v>
          </x:cell>
          <x:cell r="W91">
            <x:v>0.55000000000000004</x:v>
          </x:cell>
          <x:cell r="X91" t="str">
            <x:v>없음</x:v>
          </x:cell>
          <x:cell r="Y91">
            <x:v>0</x:v>
          </x:cell>
          <x:cell r="Z91" t="str">
            <x:v>없음</x:v>
          </x:cell>
          <x:cell r="AA91">
            <x:v>0</x:v>
          </x:cell>
          <x:cell r="AB91" t="str">
            <x:v>시전 종료</x:v>
          </x:cell>
          <x:cell r="AC91" t="str">
            <x:v>없음</x:v>
          </x:cell>
          <x:cell r="AD91" t="str">
            <x:v>기능 원형: 바닥 충격 · 몬스터 시트 발동률 20%와 동기화</x:v>
          </x:cell>
        </x:row>
        <x:row r="92">
          <x:cell r="G92" t="str">
            <x:v>여긴 내 자리!</x:v>
          </x:cell>
          <x:cell r="H92" t="str">
            <x:v>주변 또는 전방으로 충격파를 퍼뜨려 피해와 위치 흔들림을 줌.</x:v>
          </x:cell>
          <x:cell r="I92"/>
          <x:cell r="J92" t="str">
            <x:v>액티브</x:v>
          </x:cell>
          <x:cell r="K92" t="str">
            <x:v>내자리산호</x:v>
          </x:cell>
          <x:cell r="L92" t="str">
            <x:v>밀려남 1칸</x:v>
          </x:cell>
          <x:cell r="M92" t="str">
            <x:v>AI 가중치</x:v>
          </x:cell>
          <x:cell r="N92" t="str">
            <x:v>사거리·페이즈·주변 상황 조건 충족</x:v>
          </x:cell>
          <x:cell r="O92" t="str">
            <x:v>몬스터 최종 공격력 비율</x:v>
          </x:cell>
          <x:cell r="P92">
            <x:v>0.84999999999999998</x:v>
          </x:cell>
          <x:cell r="Q92">
            <x:v>0</x:v>
          </x:cell>
          <x:cell r="R92" t="str">
            <x:v>몬스터 최종 공격력 × 85%</x:v>
          </x:cell>
          <x:cell r="S92">
            <x:v>6.5</x:v>
          </x:cell>
          <x:cell r="T92">
            <x:v>0.34999999999999998</x:v>
          </x:cell>
          <x:cell r="U92" t="str">
            <x:v>개별</x:v>
          </x:cell>
          <x:cell r="V92">
            <x:v>5</x:v>
          </x:cell>
          <x:cell r="W92">
            <x:v>0.65000000000000002</x:v>
          </x:cell>
          <x:cell r="X92" t="str">
            <x:v>없음</x:v>
          </x:cell>
          <x:cell r="Y92">
            <x:v>0</x:v>
          </x:cell>
          <x:cell r="Z92" t="str">
            <x:v>없음</x:v>
          </x:cell>
          <x:cell r="AA92">
            <x:v>0</x:v>
          </x:cell>
          <x:cell r="AB92" t="str">
            <x:v>시전 종료</x:v>
          </x:cell>
          <x:cell r="AC92" t="str">
            <x:v>SKL-STS-002</x:v>
          </x:cell>
          <x:cell r="AD92" t="str">
            <x:v>기능 원형: 영역 충격파 · 몬스터 시트 발동률 35%와 동기화</x:v>
          </x:cell>
        </x:row>
        <x:row r="93">
          <x:cell r="G93" t="str">
            <x:v>자리 찍기</x:v>
          </x:cell>
          <x:cell r="H93" t="str">
            <x:v>전방 바닥을 강하게 내려찍어 충격 피해를 줌.</x:v>
          </x:cell>
          <x:cell r="I93"/>
          <x:cell r="J93" t="str">
            <x:v>액티브</x:v>
          </x:cell>
          <x:cell r="K93" t="str">
            <x:v>내자리산호</x:v>
          </x:cell>
          <x:cell r="L93"/>
          <x:cell r="M93" t="str">
            <x:v>AI 가중치</x:v>
          </x:cell>
          <x:cell r="N93" t="str">
            <x:v>사거리·페이즈·주변 상황 조건 충족</x:v>
          </x:cell>
          <x:cell r="O93" t="str">
            <x:v>몬스터 최종 공격력 비율</x:v>
          </x:cell>
          <x:cell r="P93">
            <x:v>1.2</x:v>
          </x:cell>
          <x:cell r="Q93">
            <x:v>0</x:v>
          </x:cell>
          <x:cell r="R93" t="str">
            <x:v>몬스터 최종 공격력 × 120%</x:v>
          </x:cell>
          <x:cell r="S93">
            <x:v>7.2000000000000002</x:v>
          </x:cell>
          <x:cell r="T93">
            <x:v>0.29999999999999999</x:v>
          </x:cell>
          <x:cell r="U93" t="str">
            <x:v>개별</x:v>
          </x:cell>
          <x:cell r="V93">
            <x:v>5.7000000000000002</x:v>
          </x:cell>
          <x:cell r="W93">
            <x:v>0.65000000000000002</x:v>
          </x:cell>
          <x:cell r="X93" t="str">
            <x:v>없음</x:v>
          </x:cell>
          <x:cell r="Y93">
            <x:v>0</x:v>
          </x:cell>
          <x:cell r="Z93" t="str">
            <x:v>없음</x:v>
          </x:cell>
          <x:cell r="AA93">
            <x:v>0</x:v>
          </x:cell>
          <x:cell r="AB93" t="str">
            <x:v>시전 종료</x:v>
          </x:cell>
          <x:cell r="AC93" t="str">
            <x:v>없음</x:v>
          </x:cell>
          <x:cell r="AD93" t="str">
            <x:v>기능 원형: 전면 내려찍기 · 몬스터 시트 발동률 30%와 동기화</x:v>
          </x:cell>
        </x:row>
        <x:row r="94">
          <x:cell r="G94" t="str">
            <x:v>절대 안 비켜</x:v>
          </x:cell>
          <x:cell r="H94" t="str">
            <x:v>통로·출구·안전 위치를 점유하거나 닫아 플레이어의 이동 선택지를 줄임.</x:v>
          </x:cell>
          <x:cell r="I94"/>
          <x:cell r="J94" t="str">
            <x:v>AI 행동</x:v>
          </x:cell>
          <x:cell r="K94" t="str">
            <x:v>내자리산호</x:v>
          </x:cell>
          <x:cell r="L94" t="str">
            <x:v>이동 경로 제한</x:v>
          </x:cell>
          <x:cell r="M94" t="str">
            <x:v>AI 가중치</x:v>
          </x:cell>
          <x:cell r="N94" t="str">
            <x:v>사거리·페이즈·주변 상황 조건 충족</x:v>
          </x:cell>
          <x:cell r="O94" t="str">
            <x:v>없음</x:v>
          </x:cell>
          <x:cell r="P94">
            <x:v>0</x:v>
          </x:cell>
          <x:cell r="Q94">
            <x:v>0</x:v>
          </x:cell>
          <x:cell r="R94" t="str">
            <x:v>피해 없음</x:v>
          </x:cell>
          <x:cell r="S94">
            <x:v>7.9000000000000004</x:v>
          </x:cell>
          <x:cell r="T94">
            <x:v>0.20000000000000001</x:v>
          </x:cell>
          <x:cell r="U94" t="str">
            <x:v>개별</x:v>
          </x:cell>
          <x:cell r="V94">
            <x:v>6.4000000000000004</x:v>
          </x:cell>
          <x:cell r="W94">
            <x:v>0.65000000000000002</x:v>
          </x:cell>
          <x:cell r="X94" t="str">
            <x:v>이동 가능 경로</x:v>
          </x:cell>
          <x:cell r="Y94">
            <x:v>-1</x:v>
          </x:cell>
          <x:cell r="Z94" t="str">
            <x:v>개</x:v>
          </x:cell>
          <x:cell r="AA94">
            <x:v>4</x:v>
          </x:cell>
          <x:cell r="AB94" t="str">
            <x:v>지속 종료</x:v>
          </x:cell>
          <x:cell r="AC94" t="str">
            <x:v>없음</x:v>
          </x:cell>
          <x:cell r="AD94" t="str">
            <x:v>기능 원형: 자리 고정 · 몬스터 시트 발동률 20%와 동기화</x:v>
          </x:cell>
        </x:row>
        <x:row r="95">
          <x:cell r="G95" t="str">
            <x:v>조금만 밀어</x:v>
          </x:cell>
          <x:cell r="H95" t="str">
            <x:v>'밀어내기' 행동을 수행해 위치·전투 리듬을 변화시킴.</x:v>
          </x:cell>
          <x:cell r="I95"/>
          <x:cell r="J95" t="str">
            <x:v>액티브</x:v>
          </x:cell>
          <x:cell r="K95" t="str">
            <x:v>내자리산호</x:v>
          </x:cell>
          <x:cell r="L95"/>
          <x:cell r="M95" t="str">
            <x:v>AI 가중치</x:v>
          </x:cell>
          <x:cell r="N95" t="str">
            <x:v>사거리·페이즈·주변 상황 조건 충족</x:v>
          </x:cell>
          <x:cell r="O95" t="str">
            <x:v>없음</x:v>
          </x:cell>
          <x:cell r="P95">
            <x:v>0</x:v>
          </x:cell>
          <x:cell r="Q95">
            <x:v>0</x:v>
          </x:cell>
          <x:cell r="R95" t="str">
            <x:v>피해 없음</x:v>
          </x:cell>
          <x:cell r="S95">
            <x:v>8.5999999999999996</x:v>
          </x:cell>
          <x:cell r="T95">
            <x:v>0.14999999999999999</x:v>
          </x:cell>
          <x:cell r="U95" t="str">
            <x:v>개별</x:v>
          </x:cell>
          <x:cell r="V95">
            <x:v>7.0999999999999996</x:v>
          </x:cell>
          <x:cell r="W95">
            <x:v>0.65000000000000002</x:v>
          </x:cell>
          <x:cell r="X95" t="str">
            <x:v>없음</x:v>
          </x:cell>
          <x:cell r="Y95">
            <x:v>0</x:v>
          </x:cell>
          <x:cell r="Z95" t="str">
            <x:v>없음</x:v>
          </x:cell>
          <x:cell r="AA95">
            <x:v>0</x:v>
          </x:cell>
          <x:cell r="AB95" t="str">
            <x:v>시전 종료</x:v>
          </x:cell>
          <x:cell r="AC95" t="str">
            <x:v>없음</x:v>
          </x:cell>
          <x:cell r="AD95" t="str">
            <x:v>기능 원형: 밀어내기 · 몬스터 시트 발동률 15%와 동기화</x:v>
          </x:cell>
        </x:row>
        <x:row r="96">
          <x:cell r="G96" t="str">
            <x:v>비상구 폐쇄!</x:v>
          </x:cell>
          <x:cell r="H96" t="str">
            <x:v>통로·출구·안전 위치를 점유하거나 닫아 플레이어의 이동 선택지를 줄임.</x:v>
          </x:cell>
          <x:cell r="I96"/>
          <x:cell r="J96" t="str">
            <x:v>액티브</x:v>
          </x:cell>
          <x:cell r="K96" t="str">
            <x:v>비상구대게</x:v>
          </x:cell>
          <x:cell r="L96" t="str">
            <x:v>이동 경로 제한</x:v>
          </x:cell>
          <x:cell r="M96" t="str">
            <x:v>AI 가중치</x:v>
          </x:cell>
          <x:cell r="N96" t="str">
            <x:v>사거리·페이즈·주변 상황 조건 충족</x:v>
          </x:cell>
          <x:cell r="O96" t="str">
            <x:v>없음</x:v>
          </x:cell>
          <x:cell r="P96">
            <x:v>0</x:v>
          </x:cell>
          <x:cell r="Q96">
            <x:v>0</x:v>
          </x:cell>
          <x:cell r="R96" t="str">
            <x:v>피해 없음</x:v>
          </x:cell>
          <x:cell r="S96">
            <x:v>7</x:v>
          </x:cell>
          <x:cell r="T96">
            <x:v>0.29999999999999999</x:v>
          </x:cell>
          <x:cell r="U96" t="str">
            <x:v>개별</x:v>
          </x:cell>
          <x:cell r="V96">
            <x:v>5.5</x:v>
          </x:cell>
          <x:cell r="W96">
            <x:v>0.75</x:v>
          </x:cell>
          <x:cell r="X96" t="str">
            <x:v>이동 가능 경로</x:v>
          </x:cell>
          <x:cell r="Y96">
            <x:v>-1</x:v>
          </x:cell>
          <x:cell r="Z96" t="str">
            <x:v>개</x:v>
          </x:cell>
          <x:cell r="AA96">
            <x:v>4</x:v>
          </x:cell>
          <x:cell r="AB96" t="str">
            <x:v>지속 종료</x:v>
          </x:cell>
          <x:cell r="AC96" t="str">
            <x:v>없음</x:v>
          </x:cell>
          <x:cell r="AD96" t="str">
            <x:v>기능 원형: 출구 봉쇄 · 몬스터 시트 발동률 30%와 동기화</x:v>
          </x:cell>
        </x:row>
        <x:row r="97">
          <x:cell r="G97" t="str">
            <x:v>자리 바꿔!</x:v>
          </x:cell>
          <x:cell r="H97" t="str">
            <x:v>주변 부하의 위치를 다시 배치해 봉쇄·보호 진형을 재구성함.</x:v>
          </x:cell>
          <x:cell r="I97"/>
          <x:cell r="J97" t="str">
            <x:v>액티브</x:v>
          </x:cell>
          <x:cell r="K97" t="str">
            <x:v>비상구대게</x:v>
          </x:cell>
          <x:cell r="L97"/>
          <x:cell r="M97" t="str">
            <x:v>AI 가중치</x:v>
          </x:cell>
          <x:cell r="N97" t="str">
            <x:v>사거리·페이즈·주변 상황 조건 충족</x:v>
          </x:cell>
          <x:cell r="O97" t="str">
            <x:v>없음</x:v>
          </x:cell>
          <x:cell r="P97">
            <x:v>0</x:v>
          </x:cell>
          <x:cell r="Q97">
            <x:v>0</x:v>
          </x:cell>
          <x:cell r="R97" t="str">
            <x:v>피해 없음</x:v>
          </x:cell>
          <x:cell r="S97">
            <x:v>7.7000000000000002</x:v>
          </x:cell>
          <x:cell r="T97">
            <x:v>0.25</x:v>
          </x:cell>
          <x:cell r="U97" t="str">
            <x:v>개별</x:v>
          </x:cell>
          <x:cell r="V97">
            <x:v>6.2000000000000002</x:v>
          </x:cell>
          <x:cell r="W97">
            <x:v>0.75</x:v>
          </x:cell>
          <x:cell r="X97" t="str">
            <x:v>AI 위치</x:v>
          </x:cell>
          <x:cell r="Y97">
            <x:v>1</x:v>
          </x:cell>
          <x:cell r="Z97" t="str">
            <x:v>단계</x:v>
          </x:cell>
          <x:cell r="AA97">
            <x:v>0</x:v>
          </x:cell>
          <x:cell r="AB97" t="str">
            <x:v>시전 종료</x:v>
          </x:cell>
          <x:cell r="AC97" t="str">
            <x:v>없음</x:v>
          </x:cell>
          <x:cell r="AD97" t="str">
            <x:v>기능 원형: 부하 재배치 · 몬스터 시트 발동률 25%와 동기화</x:v>
          </x:cell>
        </x:row>
        <x:row r="98">
          <x:cell r="G98" t="str">
            <x:v>다 같이 밀어!</x:v>
          </x:cell>
          <x:cell r="H98" t="str">
            <x:v>몸체·집게·외피로 목표를 밀어 안전 위치에서 벗어나게 함.</x:v>
          </x:cell>
          <x:cell r="I98"/>
          <x:cell r="J98" t="str">
            <x:v>액티브</x:v>
          </x:cell>
          <x:cell r="K98" t="str">
            <x:v>비상구대게</x:v>
          </x:cell>
          <x:cell r="L98" t="str">
            <x:v>밀려남 1.5칸</x:v>
          </x:cell>
          <x:cell r="M98" t="str">
            <x:v>AI 가중치</x:v>
          </x:cell>
          <x:cell r="N98" t="str">
            <x:v>사거리·페이즈·주변 상황 조건 충족</x:v>
          </x:cell>
          <x:cell r="O98" t="str">
            <x:v>몬스터 최종 공격력 비율</x:v>
          </x:cell>
          <x:cell r="P98">
            <x:v>0.79000000000000004</x:v>
          </x:cell>
          <x:cell r="Q98">
            <x:v>0</x:v>
          </x:cell>
          <x:cell r="R98" t="str">
            <x:v>몬스터 최종 공격력 × 79%</x:v>
          </x:cell>
          <x:cell r="S98">
            <x:v>8.4000000000000004</x:v>
          </x:cell>
          <x:cell r="T98">
            <x:v>0.29999999999999999</x:v>
          </x:cell>
          <x:cell r="U98" t="str">
            <x:v>개별</x:v>
          </x:cell>
          <x:cell r="V98">
            <x:v>6.9000000000000004</x:v>
          </x:cell>
          <x:cell r="W98">
            <x:v>0.75</x:v>
          </x:cell>
          <x:cell r="X98" t="str">
            <x:v>없음</x:v>
          </x:cell>
          <x:cell r="Y98">
            <x:v>0</x:v>
          </x:cell>
          <x:cell r="Z98" t="str">
            <x:v>없음</x:v>
          </x:cell>
          <x:cell r="AA98">
            <x:v>0</x:v>
          </x:cell>
          <x:cell r="AB98" t="str">
            <x:v>시전 종료</x:v>
          </x:cell>
          <x:cell r="AC98" t="str">
            <x:v>SKL-STS-002</x:v>
          </x:cell>
          <x:cell r="AD98" t="str">
            <x:v>기능 원형: 집단 밀치기 · 몬스터 시트 발동률 30%와 동기화</x:v>
          </x:cell>
        </x:row>
        <x:row r="99">
          <x:cell r="G99" t="str">
            <x:v>집게 한 번</x:v>
          </x:cell>
          <x:cell r="H99" t="str">
            <x:v>근거리 목표를 반복 또는 단발로 직접 타격함.</x:v>
          </x:cell>
          <x:cell r="I99"/>
          <x:cell r="J99" t="str">
            <x:v>액티브</x:v>
          </x:cell>
          <x:cell r="K99" t="str">
            <x:v>비상구대게</x:v>
          </x:cell>
          <x:cell r="L99"/>
          <x:cell r="M99" t="str">
            <x:v>AI 가중치</x:v>
          </x:cell>
          <x:cell r="N99" t="str">
            <x:v>사거리·페이즈·주변 상황 조건 충족</x:v>
          </x:cell>
          <x:cell r="O99" t="str">
            <x:v>몬스터 최종 공격력 비율</x:v>
          </x:cell>
          <x:cell r="P99">
            <x:v>1.05</x:v>
          </x:cell>
          <x:cell r="Q99">
            <x:v>0</x:v>
          </x:cell>
          <x:cell r="R99" t="str">
            <x:v>몬스터 최종 공격력 × 105%</x:v>
          </x:cell>
          <x:cell r="S99">
            <x:v>9.0999999999999996</x:v>
          </x:cell>
          <x:cell r="T99">
            <x:v>0.14999999999999999</x:v>
          </x:cell>
          <x:cell r="U99" t="str">
            <x:v>개별</x:v>
          </x:cell>
          <x:cell r="V99">
            <x:v>7.5999999999999996</x:v>
          </x:cell>
          <x:cell r="W99">
            <x:v>0.75</x:v>
          </x:cell>
          <x:cell r="X99" t="str">
            <x:v>없음</x:v>
          </x:cell>
          <x:cell r="Y99">
            <x:v>0</x:v>
          </x:cell>
          <x:cell r="Z99" t="str">
            <x:v>없음</x:v>
          </x:cell>
          <x:cell r="AA99">
            <x:v>0</x:v>
          </x:cell>
          <x:cell r="AB99" t="str">
            <x:v>시전 종료</x:v>
          </x:cell>
          <x:cell r="AC99" t="str">
            <x:v>없음</x:v>
          </x:cell>
          <x:cell r="AD99" t="str">
            <x:v>기능 원형: 직접 타격 · 몬스터 시트 발동률 15%와 동기화</x:v>
          </x:cell>
        </x:row>
        <x:row r="100">
          <x:cell r="G100" t="str">
            <x:v>문 닫습니다!</x:v>
          </x:cell>
          <x:cell r="H100" t="str">
            <x:v>직선 전조 후 목표 방향으로 빠르게 돌진해 경로상의 대상을 압박함.</x:v>
          </x:cell>
          <x:cell r="I100"/>
          <x:cell r="J100" t="str">
            <x:v>액티브</x:v>
          </x:cell>
          <x:cell r="K100" t="str">
            <x:v>나만 살아서 다행</x:v>
          </x:cell>
          <x:cell r="L100" t="str">
            <x:v>밀려남 1.5칸</x:v>
          </x:cell>
          <x:cell r="M100" t="str">
            <x:v>페이즈+AI</x:v>
          </x:cell>
          <x:cell r="N100" t="str">
            <x:v>현재 페이즈에서 사용 가능·가중치 판정</x:v>
          </x:cell>
          <x:cell r="O100" t="str">
            <x:v>몬스터 최종 공격력 비율</x:v>
          </x:cell>
          <x:cell r="P100">
            <x:v>1.3200000000000001</x:v>
          </x:cell>
          <x:cell r="Q100">
            <x:v>0</x:v>
          </x:cell>
          <x:cell r="R100" t="str">
            <x:v>몬스터 최종 공격력 × 132%</x:v>
          </x:cell>
          <x:cell r="S100">
            <x:v>8</x:v>
          </x:cell>
          <x:cell r="T100">
            <x:v>0.29999999999999999</x:v>
          </x:cell>
          <x:cell r="U100" t="str">
            <x:v>개별</x:v>
          </x:cell>
          <x:cell r="V100">
            <x:v>6.5</x:v>
          </x:cell>
          <x:cell r="W100">
            <x:v>0.90000000000000002</x:v>
          </x:cell>
          <x:cell r="X100" t="str">
            <x:v>없음</x:v>
          </x:cell>
          <x:cell r="Y100">
            <x:v>0</x:v>
          </x:cell>
          <x:cell r="Z100" t="str">
            <x:v>없음</x:v>
          </x:cell>
          <x:cell r="AA100">
            <x:v>0</x:v>
          </x:cell>
          <x:cell r="AB100" t="str">
            <x:v>시전 종료</x:v>
          </x:cell>
          <x:cell r="AC100" t="str">
            <x:v>SKL-STS-002</x:v>
          </x:cell>
          <x:cell r="AD100" t="str">
            <x:v>기능 원형: 철문 돌진 · 몬스터 시트 발동률 30%와 동기화</x:v>
          </x:cell>
        </x:row>
        <x:row r="101">
          <x:cell r="G101" t="str">
            <x:v>밖에 있어.</x:v>
          </x:cell>
          <x:cell r="H101" t="str">
            <x:v>주변 또는 전방으로 충격파를 퍼뜨려 피해와 위치 흔들림을 줌.</x:v>
          </x:cell>
          <x:cell r="I101"/>
          <x:cell r="J101" t="str">
            <x:v>액티브</x:v>
          </x:cell>
          <x:cell r="K101" t="str">
            <x:v>나만 살아서 다행</x:v>
          </x:cell>
          <x:cell r="L101" t="str">
            <x:v>밀려남 1칸</x:v>
          </x:cell>
          <x:cell r="M101" t="str">
            <x:v>페이즈+AI</x:v>
          </x:cell>
          <x:cell r="N101" t="str">
            <x:v>현재 페이즈에서 사용 가능·가중치 판정</x:v>
          </x:cell>
          <x:cell r="O101" t="str">
            <x:v>몬스터 최종 공격력 비율</x:v>
          </x:cell>
          <x:cell r="P101">
            <x:v>0.97999999999999998</x:v>
          </x:cell>
          <x:cell r="Q101">
            <x:v>0</x:v>
          </x:cell>
          <x:cell r="R101" t="str">
            <x:v>몬스터 최종 공격력 × 98%</x:v>
          </x:cell>
          <x:cell r="S101">
            <x:v>8.6999999999999993</x:v>
          </x:cell>
          <x:cell r="T101">
            <x:v>0.25</x:v>
          </x:cell>
          <x:cell r="U101" t="str">
            <x:v>개별</x:v>
          </x:cell>
          <x:cell r="V101">
            <x:v>7.2000000000000002</x:v>
          </x:cell>
          <x:cell r="W101">
            <x:v>0.90000000000000002</x:v>
          </x:cell>
          <x:cell r="X101" t="str">
            <x:v>없음</x:v>
          </x:cell>
          <x:cell r="Y101">
            <x:v>0</x:v>
          </x:cell>
          <x:cell r="Z101" t="str">
            <x:v>없음</x:v>
          </x:cell>
          <x:cell r="AA101">
            <x:v>0</x:v>
          </x:cell>
          <x:cell r="AB101" t="str">
            <x:v>시전 종료</x:v>
          </x:cell>
          <x:cell r="AC101" t="str">
            <x:v>SKL-STS-002</x:v>
          </x:cell>
          <x:cell r="AD101" t="str">
            <x:v>기능 원형: 봉쇄 충격파 · 몬스터 시트 발동률 25%와 동기화</x:v>
          </x:cell>
        </x:row>
        <x:row r="102">
          <x:cell r="G102" t="str">
            <x:v>너도 밖으로.</x:v>
          </x:cell>
          <x:cell r="H102" t="str">
            <x:v>'시민 밀어내기' 행동을 수행해 위치·전투 리듬을 변화시킴.</x:v>
          </x:cell>
          <x:cell r="I102"/>
          <x:cell r="J102" t="str">
            <x:v>액티브</x:v>
          </x:cell>
          <x:cell r="K102" t="str">
            <x:v>나만 살아서 다행</x:v>
          </x:cell>
          <x:cell r="L102"/>
          <x:cell r="M102" t="str">
            <x:v>페이즈+AI</x:v>
          </x:cell>
          <x:cell r="N102" t="str">
            <x:v>현재 페이즈에서 사용 가능·가중치 판정</x:v>
          </x:cell>
          <x:cell r="O102" t="str">
            <x:v>없음</x:v>
          </x:cell>
          <x:cell r="P102">
            <x:v>0</x:v>
          </x:cell>
          <x:cell r="Q102">
            <x:v>0</x:v>
          </x:cell>
          <x:cell r="R102" t="str">
            <x:v>피해 없음</x:v>
          </x:cell>
          <x:cell r="S102">
            <x:v>9.4000000000000004</x:v>
          </x:cell>
          <x:cell r="T102">
            <x:v>0.20000000000000001</x:v>
          </x:cell>
          <x:cell r="U102" t="str">
            <x:v>개별</x:v>
          </x:cell>
          <x:cell r="V102">
            <x:v>7.9000000000000004</x:v>
          </x:cell>
          <x:cell r="W102">
            <x:v>0.90000000000000002</x:v>
          </x:cell>
          <x:cell r="X102" t="str">
            <x:v>없음</x:v>
          </x:cell>
          <x:cell r="Y102">
            <x:v>0</x:v>
          </x:cell>
          <x:cell r="Z102" t="str">
            <x:v>없음</x:v>
          </x:cell>
          <x:cell r="AA102">
            <x:v>0</x:v>
          </x:cell>
          <x:cell r="AB102" t="str">
            <x:v>시전 종료</x:v>
          </x:cell>
          <x:cell r="AC102" t="str">
            <x:v>없음</x:v>
          </x:cell>
          <x:cell r="AD102" t="str">
            <x:v>기능 원형: 시민 밀어내기 · 몬스터 시트 발동률 20%와 동기화</x:v>
          </x:cell>
        </x:row>
        <x:row r="103">
          <x:cell r="G103" t="str">
            <x:v>잠금 해제? 잠깐.</x:v>
          </x:cell>
          <x:cell r="H103" t="str">
            <x:v>자신의 핵심 부위를 짧게 노출해 공격 기회를 만들지만 이후 패턴 전환을 준비함.</x:v>
          </x:cell>
          <x:cell r="I103"/>
          <x:cell r="J103" t="str">
            <x:v>액티브</x:v>
          </x:cell>
          <x:cell r="K103" t="str">
            <x:v>나만 살아서 다행</x:v>
          </x:cell>
          <x:cell r="L103"/>
          <x:cell r="M103" t="str">
            <x:v>페이즈+AI</x:v>
          </x:cell>
          <x:cell r="N103" t="str">
            <x:v>현재 페이즈에서 사용 가능·가중치 판정</x:v>
          </x:cell>
          <x:cell r="O103" t="str">
            <x:v>없음</x:v>
          </x:cell>
          <x:cell r="P103">
            <x:v>0</x:v>
          </x:cell>
          <x:cell r="Q103">
            <x:v>0</x:v>
          </x:cell>
          <x:cell r="R103" t="str">
            <x:v>피해 없음</x:v>
          </x:cell>
          <x:cell r="S103">
            <x:v>10.1</x:v>
          </x:cell>
          <x:cell r="T103">
            <x:v>0.25</x:v>
          </x:cell>
          <x:cell r="U103" t="str">
            <x:v>개별</x:v>
          </x:cell>
          <x:cell r="V103">
            <x:v>8.5999999999999996</x:v>
          </x:cell>
          <x:cell r="W103">
            <x:v>0.90000000000000002</x:v>
          </x:cell>
          <x:cell r="X103" t="str">
            <x:v>방어력</x:v>
          </x:cell>
          <x:cell r="Y103">
            <x:v>-40</x:v>
          </x:cell>
          <x:cell r="Z103" t="str">
            <x:v>%</x:v>
          </x:cell>
          <x:cell r="AA103">
            <x:v>2</x:v>
          </x:cell>
          <x:cell r="AB103" t="str">
            <x:v>지속 종료</x:v>
          </x:cell>
          <x:cell r="AC103" t="str">
            <x:v>없음</x:v>
          </x:cell>
          <x:cell r="AD103" t="str">
            <x:v>기능 원형: 방어 핵 노출 · 몬스터 시트 발동률 25%와 동기화</x:v>
          </x:cell>
        </x:row>
        <x:row r="104">
          <x:cell r="G104" t="str">
            <x:v>찰싹!</x:v>
          </x:cell>
          <x:cell r="H104" t="str">
            <x:v>'달라붙기' 행동을 수행해 위치·전투 리듬을 변화시킴.</x:v>
          </x:cell>
          <x:cell r="I104"/>
          <x:cell r="J104" t="str">
            <x:v>액티브</x:v>
          </x:cell>
          <x:cell r="K104" t="str">
            <x:v>찰싹진드기</x:v>
          </x:cell>
          <x:cell r="L104"/>
          <x:cell r="M104" t="str">
            <x:v>AI 가중치</x:v>
          </x:cell>
          <x:cell r="N104" t="str">
            <x:v>사거리·페이즈·주변 상황 조건 충족</x:v>
          </x:cell>
          <x:cell r="O104" t="str">
            <x:v>없음</x:v>
          </x:cell>
          <x:cell r="P104">
            <x:v>0</x:v>
          </x:cell>
          <x:cell r="Q104">
            <x:v>0</x:v>
          </x:cell>
          <x:cell r="R104" t="str">
            <x:v>피해 없음</x:v>
          </x:cell>
          <x:cell r="S104">
            <x:v>5</x:v>
          </x:cell>
          <x:cell r="T104">
            <x:v>0.40000000000000002</x:v>
          </x:cell>
          <x:cell r="U104" t="str">
            <x:v>개별</x:v>
          </x:cell>
          <x:cell r="V104">
            <x:v>3.5</x:v>
          </x:cell>
          <x:cell r="W104">
            <x:v>0.55000000000000004</x:v>
          </x:cell>
          <x:cell r="X104" t="str">
            <x:v>없음</x:v>
          </x:cell>
          <x:cell r="Y104">
            <x:v>0</x:v>
          </x:cell>
          <x:cell r="Z104" t="str">
            <x:v>없음</x:v>
          </x:cell>
          <x:cell r="AA104">
            <x:v>0</x:v>
          </x:cell>
          <x:cell r="AB104" t="str">
            <x:v>시전 종료</x:v>
          </x:cell>
          <x:cell r="AC104" t="str">
            <x:v>없음</x:v>
          </x:cell>
          <x:cell r="AD104" t="str">
            <x:v>기능 원형: 달라붙기 · 몬스터 시트 발동률 40%와 동기화</x:v>
          </x:cell>
        </x:row>
        <x:row r="105">
          <x:cell r="G105" t="str">
            <x:v>거기 붙어 있어</x:v>
          </x:cell>
          <x:cell r="H105" t="str">
            <x:v>'이동 방해' 행동을 수행해 위치·전투 리듬을 변화시킴.</x:v>
          </x:cell>
          <x:cell r="I105"/>
          <x:cell r="J105" t="str">
            <x:v>액티브</x:v>
          </x:cell>
          <x:cell r="K105" t="str">
            <x:v>찰싹진드기</x:v>
          </x:cell>
          <x:cell r="L105"/>
          <x:cell r="M105" t="str">
            <x:v>AI 가중치</x:v>
          </x:cell>
          <x:cell r="N105" t="str">
            <x:v>사거리·페이즈·주변 상황 조건 충족</x:v>
          </x:cell>
          <x:cell r="O105" t="str">
            <x:v>없음</x:v>
          </x:cell>
          <x:cell r="P105">
            <x:v>0</x:v>
          </x:cell>
          <x:cell r="Q105">
            <x:v>0</x:v>
          </x:cell>
          <x:cell r="R105" t="str">
            <x:v>피해 없음</x:v>
          </x:cell>
          <x:cell r="S105">
            <x:v>5.7000000000000002</x:v>
          </x:cell>
          <x:cell r="T105">
            <x:v>0.29999999999999999</x:v>
          </x:cell>
          <x:cell r="U105" t="str">
            <x:v>개별</x:v>
          </x:cell>
          <x:cell r="V105">
            <x:v>4.2000000000000002</x:v>
          </x:cell>
          <x:cell r="W105">
            <x:v>0.55000000000000004</x:v>
          </x:cell>
          <x:cell r="X105" t="str">
            <x:v>없음</x:v>
          </x:cell>
          <x:cell r="Y105">
            <x:v>0</x:v>
          </x:cell>
          <x:cell r="Z105" t="str">
            <x:v>없음</x:v>
          </x:cell>
          <x:cell r="AA105">
            <x:v>0</x:v>
          </x:cell>
          <x:cell r="AB105" t="str">
            <x:v>시전 종료</x:v>
          </x:cell>
          <x:cell r="AC105" t="str">
            <x:v>없음</x:v>
          </x:cell>
          <x:cell r="AD105" t="str">
            <x:v>기능 원형: 이동 방해 · 몬스터 시트 발동률 30%와 동기화</x:v>
          </x:cell>
        </x:row>
        <x:row r="106">
          <x:cell r="G106" t="str">
            <x:v>앙!</x:v>
          </x:cell>
          <x:cell r="H106" t="str">
            <x:v>달라붙은 거리에서 대상을 물어뜯어 근접 피해를 줌.</x:v>
          </x:cell>
          <x:cell r="I106"/>
          <x:cell r="J106" t="str">
            <x:v>액티브</x:v>
          </x:cell>
          <x:cell r="K106" t="str">
            <x:v>찰싹진드기</x:v>
          </x:cell>
          <x:cell r="L106"/>
          <x:cell r="M106" t="str">
            <x:v>AI 가중치</x:v>
          </x:cell>
          <x:cell r="N106" t="str">
            <x:v>사거리·페이즈·주변 상황 조건 충족</x:v>
          </x:cell>
          <x:cell r="O106" t="str">
            <x:v>몬스터 최종 공격력 비율</x:v>
          </x:cell>
          <x:cell r="P106">
            <x:v>1.05</x:v>
          </x:cell>
          <x:cell r="Q106">
            <x:v>0</x:v>
          </x:cell>
          <x:cell r="R106" t="str">
            <x:v>몬스터 최종 공격력 × 105%</x:v>
          </x:cell>
          <x:cell r="S106">
            <x:v>6.4000000000000004</x:v>
          </x:cell>
          <x:cell r="T106">
            <x:v>0.29999999999999999</x:v>
          </x:cell>
          <x:cell r="U106" t="str">
            <x:v>개별</x:v>
          </x:cell>
          <x:cell r="V106">
            <x:v>4.9000000000000004</x:v>
          </x:cell>
          <x:cell r="W106">
            <x:v>0.55000000000000004</x:v>
          </x:cell>
          <x:cell r="X106" t="str">
            <x:v>없음</x:v>
          </x:cell>
          <x:cell r="Y106">
            <x:v>0</x:v>
          </x:cell>
          <x:cell r="Z106" t="str">
            <x:v>없음</x:v>
          </x:cell>
          <x:cell r="AA106">
            <x:v>0</x:v>
          </x:cell>
          <x:cell r="AB106" t="str">
            <x:v>시전 종료</x:v>
          </x:cell>
          <x:cell r="AC106" t="str">
            <x:v>없음</x:v>
          </x:cell>
          <x:cell r="AD106" t="str">
            <x:v>기능 원형: 물어뜯기 · 몬스터 시트 발동률 30%와 동기화</x:v>
          </x:cell>
        </x:row>
        <x:row r="107">
          <x:cell r="G107" t="str">
            <x:v>박자 안 맞아!</x:v>
          </x:cell>
          <x:cell r="H107" t="str">
            <x:v>근거리 목표를 반복 또는 단발로 직접 타격함.</x:v>
          </x:cell>
          <x:cell r="I107"/>
          <x:cell r="J107" t="str">
            <x:v>액티브</x:v>
          </x:cell>
          <x:cell r="K107" t="str">
            <x:v>합체는 했는데</x:v>
          </x:cell>
          <x:cell r="L107"/>
          <x:cell r="M107" t="str">
            <x:v>AI 가중치</x:v>
          </x:cell>
          <x:cell r="N107" t="str">
            <x:v>사거리·페이즈·주변 상황 조건 충족</x:v>
          </x:cell>
          <x:cell r="O107" t="str">
            <x:v>몬스터 최종 공격력 비율</x:v>
          </x:cell>
          <x:cell r="P107">
            <x:v>1</x:v>
          </x:cell>
          <x:cell r="Q107">
            <x:v>0</x:v>
          </x:cell>
          <x:cell r="R107" t="str">
            <x:v>몬스터 최종 공격력 × 100%</x:v>
          </x:cell>
          <x:cell r="S107">
            <x:v>5</x:v>
          </x:cell>
          <x:cell r="T107">
            <x:v>0.40000000000000002</x:v>
          </x:cell>
          <x:cell r="U107" t="str">
            <x:v>개별</x:v>
          </x:cell>
          <x:cell r="V107">
            <x:v>3.5</x:v>
          </x:cell>
          <x:cell r="W107">
            <x:v>0.55000000000000004</x:v>
          </x:cell>
          <x:cell r="X107" t="str">
            <x:v>없음</x:v>
          </x:cell>
          <x:cell r="Y107">
            <x:v>0</x:v>
          </x:cell>
          <x:cell r="Z107" t="str">
            <x:v>없음</x:v>
          </x:cell>
          <x:cell r="AA107">
            <x:v>0</x:v>
          </x:cell>
          <x:cell r="AB107" t="str">
            <x:v>시전 종료</x:v>
          </x:cell>
          <x:cell r="AC107" t="str">
            <x:v>없음</x:v>
          </x:cell>
          <x:cell r="AD107" t="str">
            <x:v>기능 원형: 엇박자 타격 · 몬스터 시트 발동률 40%와 동기화</x:v>
          </x:cell>
        </x:row>
        <x:row r="108">
          <x:cell r="G108" t="str">
            <x:v>사방으로 휙</x:v>
          </x:cell>
          <x:cell r="H108" t="str">
            <x:v>넓은 전방 범위를 한 번에 휩쓸어 여러 대상을 압박함.</x:v>
          </x:cell>
          <x:cell r="I108"/>
          <x:cell r="J108" t="str">
            <x:v>액티브</x:v>
          </x:cell>
          <x:cell r="K108" t="str">
            <x:v>합체는 했는데</x:v>
          </x:cell>
          <x:cell r="L108"/>
          <x:cell r="M108" t="str">
            <x:v>AI 가중치</x:v>
          </x:cell>
          <x:cell r="N108" t="str">
            <x:v>사거리·페이즈·주변 상황 조건 충족</x:v>
          </x:cell>
          <x:cell r="O108" t="str">
            <x:v>몬스터 최종 공격력 비율</x:v>
          </x:cell>
          <x:cell r="P108">
            <x:v>1.1000000000000001</x:v>
          </x:cell>
          <x:cell r="Q108">
            <x:v>0</x:v>
          </x:cell>
          <x:cell r="R108" t="str">
            <x:v>몬스터 최종 공격력 × 110%</x:v>
          </x:cell>
          <x:cell r="S108">
            <x:v>5.7000000000000002</x:v>
          </x:cell>
          <x:cell r="T108">
            <x:v>0.34999999999999998</x:v>
          </x:cell>
          <x:cell r="U108" t="str">
            <x:v>개별</x:v>
          </x:cell>
          <x:cell r="V108">
            <x:v>4.2000000000000002</x:v>
          </x:cell>
          <x:cell r="W108">
            <x:v>0.55000000000000004</x:v>
          </x:cell>
          <x:cell r="X108" t="str">
            <x:v>없음</x:v>
          </x:cell>
          <x:cell r="Y108">
            <x:v>0</x:v>
          </x:cell>
          <x:cell r="Z108" t="str">
            <x:v>없음</x:v>
          </x:cell>
          <x:cell r="AA108">
            <x:v>0</x:v>
          </x:cell>
          <x:cell r="AB108" t="str">
            <x:v>시전 종료</x:v>
          </x:cell>
          <x:cell r="AC108" t="str">
            <x:v>없음</x:v>
          </x:cell>
          <x:cell r="AD108" t="str">
            <x:v>기능 원형: 다방향 휩쓸기 · 몬스터 시트 발동률 35%와 동기화</x:v>
          </x:cell>
        </x:row>
        <x:row r="109">
          <x:cell r="G109" t="str">
            <x:v>어, 넘어진다!</x:v>
          </x:cell>
          <x:cell r="H109" t="str">
            <x:v>'넘어지며 충돌' 행동을 수행해 위치·전투 리듬을 변화시킴.</x:v>
          </x:cell>
          <x:cell r="I109"/>
          <x:cell r="J109" t="str">
            <x:v>액티브</x:v>
          </x:cell>
          <x:cell r="K109" t="str">
            <x:v>합체는 했는데</x:v>
          </x:cell>
          <x:cell r="L109"/>
          <x:cell r="M109" t="str">
            <x:v>AI 가중치</x:v>
          </x:cell>
          <x:cell r="N109" t="str">
            <x:v>사거리·페이즈·주변 상황 조건 충족</x:v>
          </x:cell>
          <x:cell r="O109" t="str">
            <x:v>몬스터 최종 공격력 비율</x:v>
          </x:cell>
          <x:cell r="P109">
            <x:v>1</x:v>
          </x:cell>
          <x:cell r="Q109">
            <x:v>0</x:v>
          </x:cell>
          <x:cell r="R109" t="str">
            <x:v>몬스터 최종 공격력 × 100%</x:v>
          </x:cell>
          <x:cell r="S109">
            <x:v>6.4000000000000004</x:v>
          </x:cell>
          <x:cell r="T109">
            <x:v>0.25</x:v>
          </x:cell>
          <x:cell r="U109" t="str">
            <x:v>개별</x:v>
          </x:cell>
          <x:cell r="V109">
            <x:v>4.9000000000000004</x:v>
          </x:cell>
          <x:cell r="W109">
            <x:v>0.55000000000000004</x:v>
          </x:cell>
          <x:cell r="X109" t="str">
            <x:v>없음</x:v>
          </x:cell>
          <x:cell r="Y109">
            <x:v>0</x:v>
          </x:cell>
          <x:cell r="Z109" t="str">
            <x:v>없음</x:v>
          </x:cell>
          <x:cell r="AA109">
            <x:v>0</x:v>
          </x:cell>
          <x:cell r="AB109" t="str">
            <x:v>시전 종료</x:v>
          </x:cell>
          <x:cell r="AC109" t="str">
            <x:v>없음</x:v>
          </x:cell>
          <x:cell r="AD109" t="str">
            <x:v>기능 원형: 넘어지며 충돌 · 몬스터 시트 발동률 25%와 동기화</x:v>
          </x:cell>
        </x:row>
        <x:row r="110">
          <x:cell r="G110" t="str">
            <x:v>한꺼번에 쾅!</x:v>
          </x:cell>
          <x:cell r="H110" t="str">
            <x:v>전방 바닥을 강하게 내려찍어 충격 피해를 줌.</x:v>
          </x:cell>
          <x:cell r="I110"/>
          <x:cell r="J110" t="str">
            <x:v>액티브</x:v>
          </x:cell>
          <x:cell r="K110" t="str">
            <x:v>합치면 강해진댔잖아</x:v>
          </x:cell>
          <x:cell r="L110"/>
          <x:cell r="M110" t="str">
            <x:v>페이즈+AI</x:v>
          </x:cell>
          <x:cell r="N110" t="str">
            <x:v>현재 페이즈에서 사용 가능·가중치 판정</x:v>
          </x:cell>
          <x:cell r="O110" t="str">
            <x:v>몬스터 최종 공격력 비율</x:v>
          </x:cell>
          <x:cell r="P110">
            <x:v>1.3799999999999999</x:v>
          </x:cell>
          <x:cell r="Q110">
            <x:v>0</x:v>
          </x:cell>
          <x:cell r="R110" t="str">
            <x:v>몬스터 최종 공격력 × 138%</x:v>
          </x:cell>
          <x:cell r="S110">
            <x:v>8</x:v>
          </x:cell>
          <x:cell r="T110">
            <x:v>0.25</x:v>
          </x:cell>
          <x:cell r="U110" t="str">
            <x:v>개별</x:v>
          </x:cell>
          <x:cell r="V110">
            <x:v>6.5</x:v>
          </x:cell>
          <x:cell r="W110">
            <x:v>0.90000000000000002</x:v>
          </x:cell>
          <x:cell r="X110" t="str">
            <x:v>없음</x:v>
          </x:cell>
          <x:cell r="Y110">
            <x:v>0</x:v>
          </x:cell>
          <x:cell r="Z110" t="str">
            <x:v>없음</x:v>
          </x:cell>
          <x:cell r="AA110">
            <x:v>0</x:v>
          </x:cell>
          <x:cell r="AB110" t="str">
            <x:v>시전 종료</x:v>
          </x:cell>
          <x:cell r="AC110" t="str">
            <x:v>없음</x:v>
          </x:cell>
          <x:cell r="AD110" t="str">
            <x:v>기능 원형: 다중 팔 내려찍기 · 몬스터 시트 발동률 25%와 동기화</x:v>
          </x:cell>
        </x:row>
        <x:row r="111">
          <x:cell r="G111" t="str">
            <x:v>너도 붙어!</x:v>
          </x:cell>
          <x:cell r="H111" t="str">
            <x:v>주변의 부하·잔류 에너지·갈채를 흡수해 체력 또는 방어 자원을 회복함.</x:v>
          </x:cell>
          <x:cell r="I111"/>
          <x:cell r="J111" t="str">
            <x:v>액티브</x:v>
          </x:cell>
          <x:cell r="K111" t="str">
            <x:v>합치면 강해진댔잖아</x:v>
          </x:cell>
          <x:cell r="L111"/>
          <x:cell r="M111" t="str">
            <x:v>페이즈+AI</x:v>
          </x:cell>
          <x:cell r="N111" t="str">
            <x:v>현재 페이즈에서 사용 가능·가중치 판정</x:v>
          </x:cell>
          <x:cell r="O111" t="str">
            <x:v>몬스터 최종 공격력 비율</x:v>
          </x:cell>
          <x:cell r="P111">
            <x:v>1.1499999999999999</x:v>
          </x:cell>
          <x:cell r="Q111">
            <x:v>0</x:v>
          </x:cell>
          <x:cell r="R111" t="str">
            <x:v>몬스터 최종 공격력 × 115%</x:v>
          </x:cell>
          <x:cell r="S111">
            <x:v>8.6999999999999993</x:v>
          </x:cell>
          <x:cell r="T111">
            <x:v>0.25</x:v>
          </x:cell>
          <x:cell r="U111" t="str">
            <x:v>개별</x:v>
          </x:cell>
          <x:cell r="V111">
            <x:v>7.2000000000000002</x:v>
          </x:cell>
          <x:cell r="W111">
            <x:v>0.90000000000000002</x:v>
          </x:cell>
          <x:cell r="X111" t="str">
            <x:v>HP</x:v>
          </x:cell>
          <x:cell r="Y111">
            <x:v>10</x:v>
          </x:cell>
          <x:cell r="Z111" t="str">
            <x:v>%</x:v>
          </x:cell>
          <x:cell r="AA111">
            <x:v>0</x:v>
          </x:cell>
          <x:cell r="AB111" t="str">
            <x:v>시전 종료</x:v>
          </x:cell>
          <x:cell r="AC111" t="str">
            <x:v>없음</x:v>
          </x:cell>
          <x:cell r="AD111" t="str">
            <x:v>기능 원형: 흡수 파동 · 몬스터 시트 발동률 25%와 동기화</x:v>
          </x:cell>
        </x:row>
        <x:row r="112">
          <x:cell r="G112" t="str">
            <x:v>하나 더 붙이면 돼</x:v>
          </x:cell>
          <x:cell r="H112" t="str">
            <x:v>손상된 외피·부위를 다시 결합해 체력을 회복함.</x:v>
          </x:cell>
          <x:cell r="I112"/>
          <x:cell r="J112" t="str">
            <x:v>액티브</x:v>
          </x:cell>
          <x:cell r="K112" t="str">
            <x:v>합치면 강해진댔잖아</x:v>
          </x:cell>
          <x:cell r="L112"/>
          <x:cell r="M112" t="str">
            <x:v>페이즈+AI</x:v>
          </x:cell>
          <x:cell r="N112" t="str">
            <x:v>현재 페이즈에서 사용 가능·가중치 판정</x:v>
          </x:cell>
          <x:cell r="O112" t="str">
            <x:v>없음</x:v>
          </x:cell>
          <x:cell r="P112">
            <x:v>0</x:v>
          </x:cell>
          <x:cell r="Q112">
            <x:v>0</x:v>
          </x:cell>
          <x:cell r="R112" t="str">
            <x:v>피해 없음</x:v>
          </x:cell>
          <x:cell r="S112">
            <x:v>9.4000000000000004</x:v>
          </x:cell>
          <x:cell r="T112">
            <x:v>0.20000000000000001</x:v>
          </x:cell>
          <x:cell r="U112" t="str">
            <x:v>개별</x:v>
          </x:cell>
          <x:cell r="V112">
            <x:v>7.9000000000000004</x:v>
          </x:cell>
          <x:cell r="W112">
            <x:v>0.90000000000000002</x:v>
          </x:cell>
          <x:cell r="X112" t="str">
            <x:v>HP</x:v>
          </x:cell>
          <x:cell r="Y112">
            <x:v>12</x:v>
          </x:cell>
          <x:cell r="Z112" t="str">
            <x:v>%</x:v>
          </x:cell>
          <x:cell r="AA112">
            <x:v>0</x:v>
          </x:cell>
          <x:cell r="AB112" t="str">
            <x:v>시전 종료</x:v>
          </x:cell>
          <x:cell r="AC112" t="str">
            <x:v>없음</x:v>
          </x:cell>
          <x:cell r="AD112" t="str">
            <x:v>기능 원형: 부위 재생 · 몬스터 시트 발동률 20%와 동기화</x:v>
          </x:cell>
        </x:row>
        <x:row r="113">
          <x:cell r="G113" t="str">
            <x:v>왜 더 약해져?!</x:v>
          </x:cell>
          <x:cell r="H113" t="str">
            <x:v>'융합 폭주' 행동을 수행해 위치·전투 리듬을 변화시킴.</x:v>
          </x:cell>
          <x:cell r="I113"/>
          <x:cell r="J113" t="str">
            <x:v>액티브</x:v>
          </x:cell>
          <x:cell r="K113" t="str">
            <x:v>합치면 강해진댔잖아</x:v>
          </x:cell>
          <x:cell r="L113"/>
          <x:cell r="M113" t="str">
            <x:v>페이즈+AI</x:v>
          </x:cell>
          <x:cell r="N113" t="str">
            <x:v>현재 페이즈에서 사용 가능·가중치 판정</x:v>
          </x:cell>
          <x:cell r="O113" t="str">
            <x:v>없음</x:v>
          </x:cell>
          <x:cell r="P113">
            <x:v>0</x:v>
          </x:cell>
          <x:cell r="Q113">
            <x:v>0</x:v>
          </x:cell>
          <x:cell r="R113" t="str">
            <x:v>피해 없음</x:v>
          </x:cell>
          <x:cell r="S113">
            <x:v>10.1</x:v>
          </x:cell>
          <x:cell r="T113">
            <x:v>0.29999999999999999</x:v>
          </x:cell>
          <x:cell r="U113" t="str">
            <x:v>개별</x:v>
          </x:cell>
          <x:cell r="V113">
            <x:v>8.5999999999999996</x:v>
          </x:cell>
          <x:cell r="W113">
            <x:v>0.90000000000000002</x:v>
          </x:cell>
          <x:cell r="X113" t="str">
            <x:v>없음</x:v>
          </x:cell>
          <x:cell r="Y113">
            <x:v>0</x:v>
          </x:cell>
          <x:cell r="Z113" t="str">
            <x:v>없음</x:v>
          </x:cell>
          <x:cell r="AA113">
            <x:v>0</x:v>
          </x:cell>
          <x:cell r="AB113" t="str">
            <x:v>시전 종료</x:v>
          </x:cell>
          <x:cell r="AC113" t="str">
            <x:v>없음</x:v>
          </x:cell>
          <x:cell r="AD113" t="str">
            <x:v>기능 원형: 융합 폭주 · 몬스터 시트 발동률 30%와 동기화</x:v>
          </x:cell>
        </x:row>
        <x:row r="114">
          <x:cell r="G114" t="str">
            <x:v>팔 바꿔 쓸게</x:v>
          </x:cell>
          <x:cell r="H114" t="str">
            <x:v>'팔 교체 연타' 행동을 수행해 위치·전투 리듬을 변화시킴.</x:v>
          </x:cell>
          <x:cell r="I114"/>
          <x:cell r="J114" t="str">
            <x:v>액티브</x:v>
          </x:cell>
          <x:cell r="K114" t="str">
            <x:v>몸통 대여중</x:v>
          </x:cell>
          <x:cell r="L114"/>
          <x:cell r="M114" t="str">
            <x:v>AI 가중치</x:v>
          </x:cell>
          <x:cell r="N114" t="str">
            <x:v>사거리·페이즈·주변 상황 조건 충족</x:v>
          </x:cell>
          <x:cell r="O114" t="str">
            <x:v>몬스터 최종 공격력 비율</x:v>
          </x:cell>
          <x:cell r="P114">
            <x:v>1</x:v>
          </x:cell>
          <x:cell r="Q114">
            <x:v>0</x:v>
          </x:cell>
          <x:cell r="R114" t="str">
            <x:v>몬스터 최종 공격력 × 100%</x:v>
          </x:cell>
          <x:cell r="S114">
            <x:v>6.5</x:v>
          </x:cell>
          <x:cell r="T114">
            <x:v>0.29999999999999999</x:v>
          </x:cell>
          <x:cell r="U114" t="str">
            <x:v>개별</x:v>
          </x:cell>
          <x:cell r="V114">
            <x:v>5</x:v>
          </x:cell>
          <x:cell r="W114">
            <x:v>0.65000000000000002</x:v>
          </x:cell>
          <x:cell r="X114" t="str">
            <x:v>없음</x:v>
          </x:cell>
          <x:cell r="Y114">
            <x:v>0</x:v>
          </x:cell>
          <x:cell r="Z114" t="str">
            <x:v>없음</x:v>
          </x:cell>
          <x:cell r="AA114">
            <x:v>0</x:v>
          </x:cell>
          <x:cell r="AB114" t="str">
            <x:v>시전 종료</x:v>
          </x:cell>
          <x:cell r="AC114" t="str">
            <x:v>없음</x:v>
          </x:cell>
          <x:cell r="AD114" t="str">
            <x:v>기능 원형: 팔 교체 연타 · 몬스터 시트 발동률 30%와 동기화</x:v>
          </x:cell>
        </x:row>
        <x:row r="115">
          <x:cell r="G115" t="str">
            <x:v>이건 던질게</x:v>
          </x:cell>
          <x:cell r="H115" t="str">
            <x:v>'원거리 파편' 행동을 수행해 위치·전투 리듬을 변화시킴.</x:v>
          </x:cell>
          <x:cell r="I115"/>
          <x:cell r="J115" t="str">
            <x:v>액티브</x:v>
          </x:cell>
          <x:cell r="K115" t="str">
            <x:v>몸통 대여중</x:v>
          </x:cell>
          <x:cell r="L115"/>
          <x:cell r="M115" t="str">
            <x:v>AI 가중치</x:v>
          </x:cell>
          <x:cell r="N115" t="str">
            <x:v>사거리·페이즈·주변 상황 조건 충족</x:v>
          </x:cell>
          <x:cell r="O115" t="str">
            <x:v>없음</x:v>
          </x:cell>
          <x:cell r="P115">
            <x:v>0</x:v>
          </x:cell>
          <x:cell r="Q115">
            <x:v>0</x:v>
          </x:cell>
          <x:cell r="R115" t="str">
            <x:v>피해 없음</x:v>
          </x:cell>
          <x:cell r="S115">
            <x:v>7.2000000000000002</x:v>
          </x:cell>
          <x:cell r="T115">
            <x:v>0.25</x:v>
          </x:cell>
          <x:cell r="U115" t="str">
            <x:v>개별</x:v>
          </x:cell>
          <x:cell r="V115">
            <x:v>5.7000000000000002</x:v>
          </x:cell>
          <x:cell r="W115">
            <x:v>0.65000000000000002</x:v>
          </x:cell>
          <x:cell r="X115" t="str">
            <x:v>없음</x:v>
          </x:cell>
          <x:cell r="Y115">
            <x:v>0</x:v>
          </x:cell>
          <x:cell r="Z115" t="str">
            <x:v>없음</x:v>
          </x:cell>
          <x:cell r="AA115">
            <x:v>0</x:v>
          </x:cell>
          <x:cell r="AB115" t="str">
            <x:v>시전 종료</x:v>
          </x:cell>
          <x:cell r="AC115" t="str">
            <x:v>없음</x:v>
          </x:cell>
          <x:cell r="AD115" t="str">
            <x:v>기능 원형: 원거리 파편 · 몬스터 시트 발동률 25%와 동기화</x:v>
          </x:cell>
        </x:row>
        <x:row r="116">
          <x:cell r="G116" t="str">
            <x:v>몸통 잠깐!</x:v>
          </x:cell>
          <x:cell r="H116" t="str">
            <x:v>'몸통 방패' 행동을 수행해 위치·전투 리듬을 변화시킴.</x:v>
          </x:cell>
          <x:cell r="I116"/>
          <x:cell r="J116" t="str">
            <x:v>액티브</x:v>
          </x:cell>
          <x:cell r="K116" t="str">
            <x:v>몸통 대여중</x:v>
          </x:cell>
          <x:cell r="L116"/>
          <x:cell r="M116" t="str">
            <x:v>AI 가중치</x:v>
          </x:cell>
          <x:cell r="N116" t="str">
            <x:v>사거리·페이즈·주변 상황 조건 충족</x:v>
          </x:cell>
          <x:cell r="O116" t="str">
            <x:v>없음</x:v>
          </x:cell>
          <x:cell r="P116">
            <x:v>0</x:v>
          </x:cell>
          <x:cell r="Q116">
            <x:v>0</x:v>
          </x:cell>
          <x:cell r="R116" t="str">
            <x:v>피해 없음</x:v>
          </x:cell>
          <x:cell r="S116">
            <x:v>7.9000000000000004</x:v>
          </x:cell>
          <x:cell r="T116">
            <x:v>0.25</x:v>
          </x:cell>
          <x:cell r="U116" t="str">
            <x:v>개별</x:v>
          </x:cell>
          <x:cell r="V116">
            <x:v>6.4000000000000004</x:v>
          </x:cell>
          <x:cell r="W116">
            <x:v>0.65000000000000002</x:v>
          </x:cell>
          <x:cell r="X116" t="str">
            <x:v>없음</x:v>
          </x:cell>
          <x:cell r="Y116">
            <x:v>0</x:v>
          </x:cell>
          <x:cell r="Z116" t="str">
            <x:v>없음</x:v>
          </x:cell>
          <x:cell r="AA116">
            <x:v>0</x:v>
          </x:cell>
          <x:cell r="AB116" t="str">
            <x:v>시전 종료</x:v>
          </x:cell>
          <x:cell r="AC116" t="str">
            <x:v>없음</x:v>
          </x:cell>
          <x:cell r="AD116" t="str">
            <x:v>기능 원형: 몸통 방패 · 몬스터 시트 발동률 25%와 동기화</x:v>
          </x:cell>
        </x:row>
        <x:row r="117">
          <x:cell r="G117" t="str">
            <x:v>이건 반납</x:v>
          </x:cell>
          <x:cell r="H117" t="str">
            <x:v>'신체 떼어내기' 행동을 수행해 위치·전투 리듬을 변화시킴.</x:v>
          </x:cell>
          <x:cell r="I117"/>
          <x:cell r="J117" t="str">
            <x:v>액티브</x:v>
          </x:cell>
          <x:cell r="K117" t="str">
            <x:v>몸통 대여중</x:v>
          </x:cell>
          <x:cell r="L117"/>
          <x:cell r="M117" t="str">
            <x:v>AI 가중치</x:v>
          </x:cell>
          <x:cell r="N117" t="str">
            <x:v>사거리·페이즈·주변 상황 조건 충족</x:v>
          </x:cell>
          <x:cell r="O117" t="str">
            <x:v>없음</x:v>
          </x:cell>
          <x:cell r="P117">
            <x:v>0</x:v>
          </x:cell>
          <x:cell r="Q117">
            <x:v>0</x:v>
          </x:cell>
          <x:cell r="R117" t="str">
            <x:v>피해 없음</x:v>
          </x:cell>
          <x:cell r="S117">
            <x:v>8.5999999999999996</x:v>
          </x:cell>
          <x:cell r="T117">
            <x:v>0.20000000000000001</x:v>
          </x:cell>
          <x:cell r="U117" t="str">
            <x:v>개별</x:v>
          </x:cell>
          <x:cell r="V117">
            <x:v>7.0999999999999996</x:v>
          </x:cell>
          <x:cell r="W117">
            <x:v>0.65000000000000002</x:v>
          </x:cell>
          <x:cell r="X117" t="str">
            <x:v>없음</x:v>
          </x:cell>
          <x:cell r="Y117">
            <x:v>0</x:v>
          </x:cell>
          <x:cell r="Z117" t="str">
            <x:v>없음</x:v>
          </x:cell>
          <x:cell r="AA117">
            <x:v>0</x:v>
          </x:cell>
          <x:cell r="AB117" t="str">
            <x:v>시전 종료</x:v>
          </x:cell>
          <x:cell r="AC117" t="str">
            <x:v>없음</x:v>
          </x:cell>
          <x:cell r="AD117" t="str">
            <x:v>기능 원형: 신체 떼어내기 · 몬스터 시트 발동률 20%와 동기화</x:v>
          </x:cell>
        </x:row>
        <x:row r="118">
          <x:cell r="G118" t="str">
            <x:v>자리 남았어요!</x:v>
          </x:cell>
          <x:cell r="H118" t="str">
            <x:v>주변 구역의 부하 또는 증원 개체를 불러 전장의 수적 압박을 늘림.</x:v>
          </x:cell>
          <x:cell r="I118"/>
          <x:cell r="J118" t="str">
            <x:v>액티브</x:v>
          </x:cell>
          <x:cell r="K118" t="str">
            <x:v>한입 단체석</x:v>
          </x:cell>
          <x:cell r="L118"/>
          <x:cell r="M118" t="str">
            <x:v>AI 가중치</x:v>
          </x:cell>
          <x:cell r="N118" t="str">
            <x:v>사거리·페이즈·주변 상황 조건 충족</x:v>
          </x:cell>
          <x:cell r="O118" t="str">
            <x:v>없음</x:v>
          </x:cell>
          <x:cell r="P118">
            <x:v>0</x:v>
          </x:cell>
          <x:cell r="Q118">
            <x:v>0</x:v>
          </x:cell>
          <x:cell r="R118" t="str">
            <x:v>피해 없음</x:v>
          </x:cell>
          <x:cell r="S118">
            <x:v>7</x:v>
          </x:cell>
          <x:cell r="T118">
            <x:v>0.25</x:v>
          </x:cell>
          <x:cell r="U118" t="str">
            <x:v>개별</x:v>
          </x:cell>
          <x:cell r="V118">
            <x:v>5.5</x:v>
          </x:cell>
          <x:cell r="W118">
            <x:v>0.75</x:v>
          </x:cell>
          <x:cell r="X118" t="str">
            <x:v>소환 개체</x:v>
          </x:cell>
          <x:cell r="Y118">
            <x:v>1</x:v>
          </x:cell>
          <x:cell r="Z118" t="str">
            <x:v>체</x:v>
          </x:cell>
          <x:cell r="AA118">
            <x:v>0</x:v>
          </x:cell>
          <x:cell r="AB118" t="str">
            <x:v>시전 종료</x:v>
          </x:cell>
          <x:cell r="AC118" t="str">
            <x:v>없음</x:v>
          </x:cell>
          <x:cell r="AD118" t="str">
            <x:v>기능 원형: 부하 호출 · 몬스터 시트 발동률 25%와 동기화</x:v>
          </x:cell>
        </x:row>
        <x:row r="119">
          <x:cell r="G119" t="str">
            <x:v>한 자리 먹기</x:v>
          </x:cell>
          <x:cell r="H119" t="str">
            <x:v>주변의 부하·잔류 에너지·갈채를 흡수해 체력 또는 방어 자원을 회복함.</x:v>
          </x:cell>
          <x:cell r="I119"/>
          <x:cell r="J119" t="str">
            <x:v>액티브</x:v>
          </x:cell>
          <x:cell r="K119" t="str">
            <x:v>한입 단체석</x:v>
          </x:cell>
          <x:cell r="L119"/>
          <x:cell r="M119" t="str">
            <x:v>AI 가중치</x:v>
          </x:cell>
          <x:cell r="N119" t="str">
            <x:v>사거리·페이즈·주변 상황 조건 충족</x:v>
          </x:cell>
          <x:cell r="O119" t="str">
            <x:v>없음</x:v>
          </x:cell>
          <x:cell r="P119">
            <x:v>0</x:v>
          </x:cell>
          <x:cell r="Q119">
            <x:v>0</x:v>
          </x:cell>
          <x:cell r="R119" t="str">
            <x:v>피해 없음</x:v>
          </x:cell>
          <x:cell r="S119">
            <x:v>7.7000000000000002</x:v>
          </x:cell>
          <x:cell r="T119">
            <x:v>0.25</x:v>
          </x:cell>
          <x:cell r="U119" t="str">
            <x:v>개별</x:v>
          </x:cell>
          <x:cell r="V119">
            <x:v>6.2000000000000002</x:v>
          </x:cell>
          <x:cell r="W119">
            <x:v>0.75</x:v>
          </x:cell>
          <x:cell r="X119" t="str">
            <x:v>HP</x:v>
          </x:cell>
          <x:cell r="Y119">
            <x:v>10</x:v>
          </x:cell>
          <x:cell r="Z119" t="str">
            <x:v>%</x:v>
          </x:cell>
          <x:cell r="AA119">
            <x:v>0</x:v>
          </x:cell>
          <x:cell r="AB119" t="str">
            <x:v>시전 종료</x:v>
          </x:cell>
          <x:cell r="AC119" t="str">
            <x:v>없음</x:v>
          </x:cell>
          <x:cell r="AD119" t="str">
            <x:v>기능 원형: 부하 흡수 · 몬스터 시트 발동률 25%와 동기화</x:v>
          </x:cell>
        </x:row>
        <x:row r="120">
          <x:cell r="G120" t="str">
            <x:v>단체석 확장!</x:v>
          </x:cell>
          <x:cell r="H120" t="str">
            <x:v>넓은 전방 범위를 한 번에 휩쓸어 여러 대상을 압박함.</x:v>
          </x:cell>
          <x:cell r="I120"/>
          <x:cell r="J120" t="str">
            <x:v>액티브</x:v>
          </x:cell>
          <x:cell r="K120" t="str">
            <x:v>한입 단체석</x:v>
          </x:cell>
          <x:cell r="L120"/>
          <x:cell r="M120" t="str">
            <x:v>AI 가중치</x:v>
          </x:cell>
          <x:cell r="N120" t="str">
            <x:v>사거리·페이즈·주변 상황 조건 충족</x:v>
          </x:cell>
          <x:cell r="O120" t="str">
            <x:v>몬스터 최종 공격력 비율</x:v>
          </x:cell>
          <x:cell r="P120">
            <x:v>1.1599999999999999</x:v>
          </x:cell>
          <x:cell r="Q120">
            <x:v>0</x:v>
          </x:cell>
          <x:cell r="R120" t="str">
            <x:v>몬스터 최종 공격력 × 116%</x:v>
          </x:cell>
          <x:cell r="S120">
            <x:v>8.4000000000000004</x:v>
          </x:cell>
          <x:cell r="T120">
            <x:v>0.29999999999999999</x:v>
          </x:cell>
          <x:cell r="U120" t="str">
            <x:v>개별</x:v>
          </x:cell>
          <x:cell r="V120">
            <x:v>6.9000000000000004</x:v>
          </x:cell>
          <x:cell r="W120">
            <x:v>0.75</x:v>
          </x:cell>
          <x:cell r="X120" t="str">
            <x:v>없음</x:v>
          </x:cell>
          <x:cell r="Y120">
            <x:v>0</x:v>
          </x:cell>
          <x:cell r="Z120" t="str">
            <x:v>없음</x:v>
          </x:cell>
          <x:cell r="AA120">
            <x:v>0</x:v>
          </x:cell>
          <x:cell r="AB120" t="str">
            <x:v>시전 종료</x:v>
          </x:cell>
          <x:cell r="AC120" t="str">
            <x:v>없음</x:v>
          </x:cell>
          <x:cell r="AD120" t="str">
            <x:v>기능 원형: 확장 휩쓸기 · 몬스터 시트 발동률 30%와 동기화</x:v>
          </x:cell>
        </x:row>
        <x:row r="121">
          <x:cell r="G121" t="str">
            <x:v>통째로 간다!</x:v>
          </x:cell>
          <x:cell r="H121" t="str">
            <x:v>직선 전조 후 목표 방향으로 빠르게 돌진해 경로상의 대상을 압박함.</x:v>
          </x:cell>
          <x:cell r="I121"/>
          <x:cell r="J121" t="str">
            <x:v>액티브</x:v>
          </x:cell>
          <x:cell r="K121" t="str">
            <x:v>한입 단체석</x:v>
          </x:cell>
          <x:cell r="L121" t="str">
            <x:v>밀려남 1.5칸</x:v>
          </x:cell>
          <x:cell r="M121" t="str">
            <x:v>AI 가중치</x:v>
          </x:cell>
          <x:cell r="N121" t="str">
            <x:v>사거리·페이즈·주변 상황 조건 충족</x:v>
          </x:cell>
          <x:cell r="O121" t="str">
            <x:v>몬스터 최종 공격력 비율</x:v>
          </x:cell>
          <x:cell r="P121">
            <x:v>1.21</x:v>
          </x:cell>
          <x:cell r="Q121">
            <x:v>0</x:v>
          </x:cell>
          <x:cell r="R121" t="str">
            <x:v>몬스터 최종 공격력 × 121%</x:v>
          </x:cell>
          <x:cell r="S121">
            <x:v>9.0999999999999996</x:v>
          </x:cell>
          <x:cell r="T121">
            <x:v>0.20000000000000001</x:v>
          </x:cell>
          <x:cell r="U121" t="str">
            <x:v>개별</x:v>
          </x:cell>
          <x:cell r="V121">
            <x:v>7.5999999999999996</x:v>
          </x:cell>
          <x:cell r="W121">
            <x:v>0.75</x:v>
          </x:cell>
          <x:cell r="X121" t="str">
            <x:v>없음</x:v>
          </x:cell>
          <x:cell r="Y121">
            <x:v>0</x:v>
          </x:cell>
          <x:cell r="Z121" t="str">
            <x:v>없음</x:v>
          </x:cell>
          <x:cell r="AA121">
            <x:v>0</x:v>
          </x:cell>
          <x:cell r="AB121" t="str">
            <x:v>시전 종료</x:v>
          </x:cell>
          <x:cell r="AC121" t="str">
            <x:v>SKL-STS-002</x:v>
          </x:cell>
          <x:cell r="AD121" t="str">
            <x:v>기능 원형: 직접 돌진 · 몬스터 시트 발동률 20%와 동기화</x:v>
          </x:cell>
        </x:row>
        <x:row r="122">
          <x:cell r="G122" t="str">
            <x:v>짝짝짝!</x:v>
          </x:cell>
          <x:cell r="H122" t="str">
            <x:v>주변 아군의 전투 리듬을 끌어올려 공격 성능을 일정 시간 강화함.</x:v>
          </x:cell>
          <x:cell r="I122"/>
          <x:cell r="J122" t="str">
            <x:v>액티브</x:v>
          </x:cell>
          <x:cell r="K122" t="str">
            <x:v>기립박수벌레</x:v>
          </x:cell>
          <x:cell r="L122"/>
          <x:cell r="M122" t="str">
            <x:v>AI 가중치</x:v>
          </x:cell>
          <x:cell r="N122" t="str">
            <x:v>사거리·페이즈·주변 상황 조건 충족</x:v>
          </x:cell>
          <x:cell r="O122" t="str">
            <x:v>없음</x:v>
          </x:cell>
          <x:cell r="P122">
            <x:v>0</x:v>
          </x:cell>
          <x:cell r="Q122">
            <x:v>0</x:v>
          </x:cell>
          <x:cell r="R122" t="str">
            <x:v>피해 없음</x:v>
          </x:cell>
          <x:cell r="S122">
            <x:v>5</x:v>
          </x:cell>
          <x:cell r="T122">
            <x:v>0.45000000000000001</x:v>
          </x:cell>
          <x:cell r="U122" t="str">
            <x:v>개별</x:v>
          </x:cell>
          <x:cell r="V122">
            <x:v>3.5</x:v>
          </x:cell>
          <x:cell r="W122">
            <x:v>0.55000000000000004</x:v>
          </x:cell>
          <x:cell r="X122" t="str">
            <x:v>공격력</x:v>
          </x:cell>
          <x:cell r="Y122">
            <x:v>20</x:v>
          </x:cell>
          <x:cell r="Z122" t="str">
            <x:v>%</x:v>
          </x:cell>
          <x:cell r="AA122">
            <x:v>6</x:v>
          </x:cell>
          <x:cell r="AB122" t="str">
            <x:v>지속 종료</x:v>
          </x:cell>
          <x:cell r="AC122" t="str">
            <x:v>SKL-STS-004</x:v>
          </x:cell>
          <x:cell r="AD122" t="str">
            <x:v>기능 원형: 박수 강화 · 몬스터 시트 발동률 45%와 동기화</x:v>
          </x:cell>
        </x:row>
        <x:row r="123">
          <x:cell r="G123" t="str">
            <x:v>박수 소리!</x:v>
          </x:cell>
          <x:cell r="H123" t="str">
            <x:v>확성·울음 기관에서 음파를 방출해 범위 피해와 짧은 경직을 줌.</x:v>
          </x:cell>
          <x:cell r="I123"/>
          <x:cell r="J123" t="str">
            <x:v>액티브</x:v>
          </x:cell>
          <x:cell r="K123" t="str">
            <x:v>기립박수벌레</x:v>
          </x:cell>
          <x:cell r="L123" t="str">
            <x:v>경직 0.3초</x:v>
          </x:cell>
          <x:cell r="M123" t="str">
            <x:v>AI 가중치</x:v>
          </x:cell>
          <x:cell r="N123" t="str">
            <x:v>사거리·페이즈·주변 상황 조건 충족</x:v>
          </x:cell>
          <x:cell r="O123" t="str">
            <x:v>몬스터 최종 공격력 비율</x:v>
          </x:cell>
          <x:cell r="P123">
            <x:v>0.80000000000000004</x:v>
          </x:cell>
          <x:cell r="Q123">
            <x:v>0</x:v>
          </x:cell>
          <x:cell r="R123" t="str">
            <x:v>몬스터 최종 공격력 × 80%</x:v>
          </x:cell>
          <x:cell r="S123">
            <x:v>5.7000000000000002</x:v>
          </x:cell>
          <x:cell r="T123">
            <x:v>0.29999999999999999</x:v>
          </x:cell>
          <x:cell r="U123" t="str">
            <x:v>개별</x:v>
          </x:cell>
          <x:cell r="V123">
            <x:v>4.2000000000000002</x:v>
          </x:cell>
          <x:cell r="W123">
            <x:v>0.55000000000000004</x:v>
          </x:cell>
          <x:cell r="X123" t="str">
            <x:v>없음</x:v>
          </x:cell>
          <x:cell r="Y123">
            <x:v>0</x:v>
          </x:cell>
          <x:cell r="Z123" t="str">
            <x:v>없음</x:v>
          </x:cell>
          <x:cell r="AA123">
            <x:v>0</x:v>
          </x:cell>
          <x:cell r="AB123" t="str">
            <x:v>시전 종료</x:v>
          </x:cell>
          <x:cell r="AC123" t="str">
            <x:v>SKL-STS-001</x:v>
          </x:cell>
          <x:cell r="AD123" t="str">
            <x:v>기능 원형: 짧은 음파 · 몬스터 시트 발동률 30%와 동기화</x:v>
          </x:cell>
        </x:row>
        <x:row r="124">
          <x:cell r="G124" t="str">
            <x:v>거리 두고 박수</x:v>
          </x:cell>
          <x:cell r="H124" t="str">
            <x:v>'거리 유지' 행동을 수행해 위치·전투 리듬을 변화시킴.</x:v>
          </x:cell>
          <x:cell r="I124"/>
          <x:cell r="J124" t="str">
            <x:v>액티브</x:v>
          </x:cell>
          <x:cell r="K124" t="str">
            <x:v>기립박수벌레</x:v>
          </x:cell>
          <x:cell r="L124"/>
          <x:cell r="M124" t="str">
            <x:v>AI 가중치</x:v>
          </x:cell>
          <x:cell r="N124" t="str">
            <x:v>사거리·페이즈·주변 상황 조건 충족</x:v>
          </x:cell>
          <x:cell r="O124" t="str">
            <x:v>없음</x:v>
          </x:cell>
          <x:cell r="P124">
            <x:v>0</x:v>
          </x:cell>
          <x:cell r="Q124">
            <x:v>0</x:v>
          </x:cell>
          <x:cell r="R124" t="str">
            <x:v>피해 없음</x:v>
          </x:cell>
          <x:cell r="S124">
            <x:v>6.4000000000000004</x:v>
          </x:cell>
          <x:cell r="T124">
            <x:v>0.25</x:v>
          </x:cell>
          <x:cell r="U124" t="str">
            <x:v>개별</x:v>
          </x:cell>
          <x:cell r="V124">
            <x:v>4.9000000000000004</x:v>
          </x:cell>
          <x:cell r="W124">
            <x:v>0.55000000000000004</x:v>
          </x:cell>
          <x:cell r="X124" t="str">
            <x:v>없음</x:v>
          </x:cell>
          <x:cell r="Y124">
            <x:v>0</x:v>
          </x:cell>
          <x:cell r="Z124" t="str">
            <x:v>없음</x:v>
          </x:cell>
          <x:cell r="AA124">
            <x:v>0</x:v>
          </x:cell>
          <x:cell r="AB124" t="str">
            <x:v>시전 종료</x:v>
          </x:cell>
          <x:cell r="AC124" t="str">
            <x:v>없음</x:v>
          </x:cell>
          <x:cell r="AD124" t="str">
            <x:v>기능 원형: 거리 유지 · 몬스터 시트 발동률 25%와 동기화</x:v>
          </x:cell>
        </x:row>
        <x:row r="125">
          <x:cell r="G125" t="str">
            <x:v>너, 거기!</x:v>
          </x:cell>
          <x:cell r="H125" t="str">
            <x:v>특정 대상이나 위치에 표식을 남겨 무리의 공격 우선순위를 집중시킴.</x:v>
          </x:cell>
          <x:cell r="I125"/>
          <x:cell r="J125" t="str">
            <x:v>액티브</x:v>
          </x:cell>
          <x:cell r="K125" t="str">
            <x:v>호명나방</x:v>
          </x:cell>
          <x:cell r="L125" t="str">
            <x:v>표적 지정</x:v>
          </x:cell>
          <x:cell r="M125" t="str">
            <x:v>AI 가중치</x:v>
          </x:cell>
          <x:cell r="N125" t="str">
            <x:v>사거리·페이즈·주변 상황 조건 충족</x:v>
          </x:cell>
          <x:cell r="O125" t="str">
            <x:v>없음</x:v>
          </x:cell>
          <x:cell r="P125">
            <x:v>0</x:v>
          </x:cell>
          <x:cell r="Q125">
            <x:v>0</x:v>
          </x:cell>
          <x:cell r="R125" t="str">
            <x:v>피해 없음</x:v>
          </x:cell>
          <x:cell r="S125">
            <x:v>5</x:v>
          </x:cell>
          <x:cell r="T125">
            <x:v>0.34999999999999998</x:v>
          </x:cell>
          <x:cell r="U125" t="str">
            <x:v>개별</x:v>
          </x:cell>
          <x:cell r="V125">
            <x:v>3.5</x:v>
          </x:cell>
          <x:cell r="W125">
            <x:v>0.55000000000000004</x:v>
          </x:cell>
          <x:cell r="X125" t="str">
            <x:v>AI 우선순위</x:v>
          </x:cell>
          <x:cell r="Y125">
            <x:v>1</x:v>
          </x:cell>
          <x:cell r="Z125" t="str">
            <x:v>단계</x:v>
          </x:cell>
          <x:cell r="AA125">
            <x:v>4</x:v>
          </x:cell>
          <x:cell r="AB125" t="str">
            <x:v>지속 종료</x:v>
          </x:cell>
          <x:cell r="AC125" t="str">
            <x:v>SKL-STS-007</x:v>
          </x:cell>
          <x:cell r="AD125" t="str">
            <x:v>기능 원형: 이름 외치기 · 몬스터 시트 발동률 35%와 동기화</x:v>
          </x:cell>
        </x:row>
        <x:row r="126">
          <x:cell r="G126" t="str">
            <x:v>다들 와!</x:v>
          </x:cell>
          <x:cell r="H126" t="str">
            <x:v>주변 구역의 부하 또는 증원 개체를 불러 전장의 수적 압박을 늘림.</x:v>
          </x:cell>
          <x:cell r="I126"/>
          <x:cell r="J126" t="str">
            <x:v>액티브</x:v>
          </x:cell>
          <x:cell r="K126" t="str">
            <x:v>호명나방</x:v>
          </x:cell>
          <x:cell r="L126"/>
          <x:cell r="M126" t="str">
            <x:v>AI 가중치</x:v>
          </x:cell>
          <x:cell r="N126" t="str">
            <x:v>사거리·페이즈·주변 상황 조건 충족</x:v>
          </x:cell>
          <x:cell r="O126" t="str">
            <x:v>없음</x:v>
          </x:cell>
          <x:cell r="P126">
            <x:v>0</x:v>
          </x:cell>
          <x:cell r="Q126">
            <x:v>0</x:v>
          </x:cell>
          <x:cell r="R126" t="str">
            <x:v>피해 없음</x:v>
          </x:cell>
          <x:cell r="S126">
            <x:v>5.7000000000000002</x:v>
          </x:cell>
          <x:cell r="T126">
            <x:v>0.25</x:v>
          </x:cell>
          <x:cell r="U126" t="str">
            <x:v>개별</x:v>
          </x:cell>
          <x:cell r="V126">
            <x:v>4.2000000000000002</x:v>
          </x:cell>
          <x:cell r="W126">
            <x:v>0.55000000000000004</x:v>
          </x:cell>
          <x:cell r="X126" t="str">
            <x:v>소환 개체</x:v>
          </x:cell>
          <x:cell r="Y126">
            <x:v>1</x:v>
          </x:cell>
          <x:cell r="Z126" t="str">
            <x:v>체</x:v>
          </x:cell>
          <x:cell r="AA126">
            <x:v>0</x:v>
          </x:cell>
          <x:cell r="AB126" t="str">
            <x:v>시전 종료</x:v>
          </x:cell>
          <x:cell r="AC126" t="str">
            <x:v>없음</x:v>
          </x:cell>
          <x:cell r="AD126" t="str">
            <x:v>기능 원형: 증원 호출 · 몬스터 시트 발동률 25%와 동기화</x:v>
          </x:cell>
        </x:row>
        <x:row r="127">
          <x:cell r="G127" t="str">
            <x:v>확성기 한 번!</x:v>
          </x:cell>
          <x:cell r="H127" t="str">
            <x:v>근거리 목표를 반복 또는 단발로 직접 타격함.</x:v>
          </x:cell>
          <x:cell r="I127"/>
          <x:cell r="J127" t="str">
            <x:v>액티브</x:v>
          </x:cell>
          <x:cell r="K127" t="str">
            <x:v>호명나방</x:v>
          </x:cell>
          <x:cell r="L127"/>
          <x:cell r="M127" t="str">
            <x:v>AI 가중치</x:v>
          </x:cell>
          <x:cell r="N127" t="str">
            <x:v>사거리·페이즈·주변 상황 조건 충족</x:v>
          </x:cell>
          <x:cell r="O127" t="str">
            <x:v>몬스터 최종 공격력 비율</x:v>
          </x:cell>
          <x:cell r="P127">
            <x:v>1</x:v>
          </x:cell>
          <x:cell r="Q127">
            <x:v>0</x:v>
          </x:cell>
          <x:cell r="R127" t="str">
            <x:v>몬스터 최종 공격력 × 100%</x:v>
          </x:cell>
          <x:cell r="S127">
            <x:v>6.4000000000000004</x:v>
          </x:cell>
          <x:cell r="T127">
            <x:v>0.25</x:v>
          </x:cell>
          <x:cell r="U127" t="str">
            <x:v>개별</x:v>
          </x:cell>
          <x:cell r="V127">
            <x:v>4.9000000000000004</x:v>
          </x:cell>
          <x:cell r="W127">
            <x:v>0.55000000000000004</x:v>
          </x:cell>
          <x:cell r="X127" t="str">
            <x:v>없음</x:v>
          </x:cell>
          <x:cell r="Y127">
            <x:v>0</x:v>
          </x:cell>
          <x:cell r="Z127" t="str">
            <x:v>없음</x:v>
          </x:cell>
          <x:cell r="AA127">
            <x:v>0</x:v>
          </x:cell>
          <x:cell r="AB127" t="str">
            <x:v>시전 종료</x:v>
          </x:cell>
          <x:cell r="AC127" t="str">
            <x:v>없음</x:v>
          </x:cell>
          <x:cell r="AD127" t="str">
            <x:v>기능 원형: 음파 타격 · 몬스터 시트 발동률 25%와 동기화</x:v>
          </x:cell>
        </x:row>
        <x:row r="128">
          <x:cell r="G128" t="str">
            <x:v>불렀으면 간다</x:v>
          </x:cell>
          <x:cell r="H128" t="str">
            <x:v>공격 후 거리를 벌리거나 사각으로 이동해 다음 공격 위치를 다시 잡음.</x:v>
          </x:cell>
          <x:cell r="I128"/>
          <x:cell r="J128" t="str">
            <x:v>액티브</x:v>
          </x:cell>
          <x:cell r="K128" t="str">
            <x:v>호명나방</x:v>
          </x:cell>
          <x:cell r="L128"/>
          <x:cell r="M128" t="str">
            <x:v>AI 가중치</x:v>
          </x:cell>
          <x:cell r="N128" t="str">
            <x:v>사거리·페이즈·주변 상황 조건 충족</x:v>
          </x:cell>
          <x:cell r="O128" t="str">
            <x:v>없음</x:v>
          </x:cell>
          <x:cell r="P128">
            <x:v>0</x:v>
          </x:cell>
          <x:cell r="Q128">
            <x:v>0</x:v>
          </x:cell>
          <x:cell r="R128" t="str">
            <x:v>피해 없음</x:v>
          </x:cell>
          <x:cell r="S128">
            <x:v>7.0999999999999996</x:v>
          </x:cell>
          <x:cell r="T128">
            <x:v>0.14999999999999999</x:v>
          </x:cell>
          <x:cell r="U128" t="str">
            <x:v>개별</x:v>
          </x:cell>
          <x:cell r="V128">
            <x:v>5.5999999999999996</x:v>
          </x:cell>
          <x:cell r="W128">
            <x:v>0.55000000000000004</x:v>
          </x:cell>
          <x:cell r="X128" t="str">
            <x:v>이동 위치</x:v>
          </x:cell>
          <x:cell r="Y128">
            <x:v>1</x:v>
          </x:cell>
          <x:cell r="Z128" t="str">
            <x:v>지점</x:v>
          </x:cell>
          <x:cell r="AA128">
            <x:v>0</x:v>
          </x:cell>
          <x:cell r="AB128" t="str">
            <x:v>시전 종료</x:v>
          </x:cell>
          <x:cell r="AC128" t="str">
            <x:v>없음</x:v>
          </x:cell>
          <x:cell r="AD128" t="str">
            <x:v>기능 원형: 후퇴 · 몬스터 시트 발동률 15%와 동기화</x:v>
          </x:cell>
        </x:row>
        <x:row r="129">
          <x:cell r="G129" t="str">
            <x:v>발자국 저장</x:v>
          </x:cell>
          <x:cell r="H129" t="str">
            <x:v>'발자국 추적' 행동을 수행해 위치·전투 리듬을 변화시킴.</x:v>
          </x:cell>
          <x:cell r="I129"/>
          <x:cell r="J129" t="str">
            <x:v>액티브</x:v>
          </x:cell>
          <x:cell r="K129" t="str">
            <x:v>그림자 팬클럽</x:v>
          </x:cell>
          <x:cell r="L129"/>
          <x:cell r="M129" t="str">
            <x:v>AI 가중치</x:v>
          </x:cell>
          <x:cell r="N129" t="str">
            <x:v>사거리·페이즈·주변 상황 조건 충족</x:v>
          </x:cell>
          <x:cell r="O129" t="str">
            <x:v>없음</x:v>
          </x:cell>
          <x:cell r="P129">
            <x:v>0</x:v>
          </x:cell>
          <x:cell r="Q129">
            <x:v>0</x:v>
          </x:cell>
          <x:cell r="R129" t="str">
            <x:v>피해 없음</x:v>
          </x:cell>
          <x:cell r="S129">
            <x:v>6.5</x:v>
          </x:cell>
          <x:cell r="T129">
            <x:v>0.25</x:v>
          </x:cell>
          <x:cell r="U129" t="str">
            <x:v>개별</x:v>
          </x:cell>
          <x:cell r="V129">
            <x:v>5</x:v>
          </x:cell>
          <x:cell r="W129">
            <x:v>0.65000000000000002</x:v>
          </x:cell>
          <x:cell r="X129" t="str">
            <x:v>없음</x:v>
          </x:cell>
          <x:cell r="Y129">
            <x:v>0</x:v>
          </x:cell>
          <x:cell r="Z129" t="str">
            <x:v>없음</x:v>
          </x:cell>
          <x:cell r="AA129">
            <x:v>0</x:v>
          </x:cell>
          <x:cell r="AB129" t="str">
            <x:v>시전 종료</x:v>
          </x:cell>
          <x:cell r="AC129" t="str">
            <x:v>없음</x:v>
          </x:cell>
          <x:cell r="AD129" t="str">
            <x:v>기능 원형: 발자국 추적 · 몬스터 시트 발동률 25%와 동기화</x:v>
          </x:cell>
        </x:row>
        <x:row r="130">
          <x:cell r="G130" t="str">
            <x:v>사인 받으러 간다!</x:v>
          </x:cell>
          <x:cell r="H130" t="str">
            <x:v>직선 전조 후 목표 방향으로 빠르게 돌진해 경로상의 대상을 압박함.</x:v>
          </x:cell>
          <x:cell r="I130"/>
          <x:cell r="J130" t="str">
            <x:v>액티브</x:v>
          </x:cell>
          <x:cell r="K130" t="str">
            <x:v>그림자 팬클럽</x:v>
          </x:cell>
          <x:cell r="L130" t="str">
            <x:v>밀려남 1.5칸</x:v>
          </x:cell>
          <x:cell r="M130" t="str">
            <x:v>AI 가중치</x:v>
          </x:cell>
          <x:cell r="N130" t="str">
            <x:v>사거리·페이즈·주변 상황 조건 충족</x:v>
          </x:cell>
          <x:cell r="O130" t="str">
            <x:v>몬스터 최종 공격력 비율</x:v>
          </x:cell>
          <x:cell r="P130">
            <x:v>1.1499999999999999</x:v>
          </x:cell>
          <x:cell r="Q130">
            <x:v>0</x:v>
          </x:cell>
          <x:cell r="R130" t="str">
            <x:v>몬스터 최종 공격력 × 115%</x:v>
          </x:cell>
          <x:cell r="S130">
            <x:v>7.2000000000000002</x:v>
          </x:cell>
          <x:cell r="T130">
            <x:v>0.34999999999999998</x:v>
          </x:cell>
          <x:cell r="U130" t="str">
            <x:v>개별</x:v>
          </x:cell>
          <x:cell r="V130">
            <x:v>5.7000000000000002</x:v>
          </x:cell>
          <x:cell r="W130">
            <x:v>0.65000000000000002</x:v>
          </x:cell>
          <x:cell r="X130" t="str">
            <x:v>없음</x:v>
          </x:cell>
          <x:cell r="Y130">
            <x:v>0</x:v>
          </x:cell>
          <x:cell r="Z130" t="str">
            <x:v>없음</x:v>
          </x:cell>
          <x:cell r="AA130">
            <x:v>0</x:v>
          </x:cell>
          <x:cell r="AB130" t="str">
            <x:v>시전 종료</x:v>
          </x:cell>
          <x:cell r="AC130" t="str">
            <x:v>SKL-STS-002</x:v>
          </x:cell>
          <x:cell r="AD130" t="str">
            <x:v>기능 원형: 고속 돌진 · 몬스터 시트 발동률 35%와 동기화</x:v>
          </x:cell>
        </x:row>
        <x:row r="131">
          <x:cell r="G131" t="str">
            <x:v>딱 붙어!</x:v>
          </x:cell>
          <x:cell r="H131" t="str">
            <x:v>공격 후 거리를 벌리거나 사각으로 이동해 다음 공격 위치를 다시 잡음.</x:v>
          </x:cell>
          <x:cell r="I131"/>
          <x:cell r="J131" t="str">
            <x:v>액티브</x:v>
          </x:cell>
          <x:cell r="K131" t="str">
            <x:v>그림자 팬클럽</x:v>
          </x:cell>
          <x:cell r="L131"/>
          <x:cell r="M131" t="str">
            <x:v>AI 가중치</x:v>
          </x:cell>
          <x:cell r="N131" t="str">
            <x:v>사거리·페이즈·주변 상황 조건 충족</x:v>
          </x:cell>
          <x:cell r="O131" t="str">
            <x:v>없음</x:v>
          </x:cell>
          <x:cell r="P131">
            <x:v>0</x:v>
          </x:cell>
          <x:cell r="Q131">
            <x:v>0</x:v>
          </x:cell>
          <x:cell r="R131" t="str">
            <x:v>피해 없음</x:v>
          </x:cell>
          <x:cell r="S131">
            <x:v>7.9000000000000004</x:v>
          </x:cell>
          <x:cell r="T131">
            <x:v>0.20000000000000001</x:v>
          </x:cell>
          <x:cell r="U131" t="str">
            <x:v>개별</x:v>
          </x:cell>
          <x:cell r="V131">
            <x:v>6.4000000000000004</x:v>
          </x:cell>
          <x:cell r="W131">
            <x:v>0.65000000000000002</x:v>
          </x:cell>
          <x:cell r="X131" t="str">
            <x:v>이동 위치</x:v>
          </x:cell>
          <x:cell r="Y131">
            <x:v>1</x:v>
          </x:cell>
          <x:cell r="Z131" t="str">
            <x:v>지점</x:v>
          </x:cell>
          <x:cell r="AA131">
            <x:v>0</x:v>
          </x:cell>
          <x:cell r="AB131" t="str">
            <x:v>시전 종료</x:v>
          </x:cell>
          <x:cell r="AC131" t="str">
            <x:v>없음</x:v>
          </x:cell>
          <x:cell r="AD131" t="str">
            <x:v>기능 원형: 뒤따르기 · 몬스터 시트 발동률 20%와 동기화</x:v>
          </x:cell>
        </x:row>
        <x:row r="132">
          <x:cell r="G132" t="str">
            <x:v>팬서비스 연타</x:v>
          </x:cell>
          <x:cell r="H132" t="str">
            <x:v>근거리 목표를 반복 또는 단발로 직접 타격함.</x:v>
          </x:cell>
          <x:cell r="I132"/>
          <x:cell r="J132" t="str">
            <x:v>액티브</x:v>
          </x:cell>
          <x:cell r="K132" t="str">
            <x:v>그림자 팬클럽</x:v>
          </x:cell>
          <x:cell r="L132"/>
          <x:cell r="M132" t="str">
            <x:v>AI 가중치</x:v>
          </x:cell>
          <x:cell r="N132" t="str">
            <x:v>사거리·페이즈·주변 상황 조건 충족</x:v>
          </x:cell>
          <x:cell r="O132" t="str">
            <x:v>몬스터 최종 공격력 비율</x:v>
          </x:cell>
          <x:cell r="P132">
            <x:v>1.2</x:v>
          </x:cell>
          <x:cell r="Q132">
            <x:v>0</x:v>
          </x:cell>
          <x:cell r="R132" t="str">
            <x:v>몬스터 최종 공격력 × 120%</x:v>
          </x:cell>
          <x:cell r="S132">
            <x:v>8.5999999999999996</x:v>
          </x:cell>
          <x:cell r="T132">
            <x:v>0.20000000000000001</x:v>
          </x:cell>
          <x:cell r="U132" t="str">
            <x:v>개별</x:v>
          </x:cell>
          <x:cell r="V132">
            <x:v>7.0999999999999996</x:v>
          </x:cell>
          <x:cell r="W132">
            <x:v>0.65000000000000002</x:v>
          </x:cell>
          <x:cell r="X132" t="str">
            <x:v>없음</x:v>
          </x:cell>
          <x:cell r="Y132">
            <x:v>0</x:v>
          </x:cell>
          <x:cell r="Z132" t="str">
            <x:v>없음</x:v>
          </x:cell>
          <x:cell r="AA132">
            <x:v>0</x:v>
          </x:cell>
          <x:cell r="AB132" t="str">
            <x:v>시전 종료</x:v>
          </x:cell>
          <x:cell r="AC132" t="str">
            <x:v>없음</x:v>
          </x:cell>
          <x:cell r="AD132" t="str">
            <x:v>기능 원형: 연속 타격 · 몬스터 시트 발동률 20%와 동기화</x:v>
          </x:cell>
        </x:row>
        <x:row r="133">
          <x:cell r="G133" t="str">
            <x:v>오늘의 영웅!</x:v>
          </x:cell>
          <x:cell r="H133" t="str">
            <x:v>특정 대상이나 위치에 표식을 남겨 무리의 공격 우선순위를 집중시킴.</x:v>
          </x:cell>
          <x:cell r="I133"/>
          <x:cell r="J133" t="str">
            <x:v>액티브</x:v>
          </x:cell>
          <x:cell r="K133" t="str">
            <x:v>추앙풍뎅이</x:v>
          </x:cell>
          <x:cell r="L133" t="str">
            <x:v>표적 지정</x:v>
          </x:cell>
          <x:cell r="M133" t="str">
            <x:v>AI 가중치</x:v>
          </x:cell>
          <x:cell r="N133" t="str">
            <x:v>사거리·페이즈·주변 상황 조건 충족</x:v>
          </x:cell>
          <x:cell r="O133" t="str">
            <x:v>없음</x:v>
          </x:cell>
          <x:cell r="P133">
            <x:v>0</x:v>
          </x:cell>
          <x:cell r="Q133">
            <x:v>0</x:v>
          </x:cell>
          <x:cell r="R133" t="str">
            <x:v>피해 없음</x:v>
          </x:cell>
          <x:cell r="S133">
            <x:v>6.5</x:v>
          </x:cell>
          <x:cell r="T133">
            <x:v>0.25</x:v>
          </x:cell>
          <x:cell r="U133" t="str">
            <x:v>개별</x:v>
          </x:cell>
          <x:cell r="V133">
            <x:v>5</x:v>
          </x:cell>
          <x:cell r="W133">
            <x:v>0.65000000000000002</x:v>
          </x:cell>
          <x:cell r="X133" t="str">
            <x:v>AI 우선순위</x:v>
          </x:cell>
          <x:cell r="Y133">
            <x:v>1</x:v>
          </x:cell>
          <x:cell r="Z133" t="str">
            <x:v>단계</x:v>
          </x:cell>
          <x:cell r="AA133">
            <x:v>4</x:v>
          </x:cell>
          <x:cell r="AB133" t="str">
            <x:v>지속 종료</x:v>
          </x:cell>
          <x:cell r="AC133" t="str">
            <x:v>SKL-STS-007</x:v>
          </x:cell>
          <x:cell r="AD133" t="str">
            <x:v>기능 원형: 영웅 지정 · 몬스터 시트 발동률 25%와 동기화</x:v>
          </x:cell>
        </x:row>
        <x:row r="134">
          <x:cell r="G134" t="str">
            <x:v>영웅 보호!</x:v>
          </x:cell>
          <x:cell r="H134" t="str">
            <x:v>자신 또는 지정한 아군에게 피해를 먼저 흡수하는 보호막을 부여함.</x:v>
          </x:cell>
          <x:cell r="I134"/>
          <x:cell r="J134" t="str">
            <x:v>액티브</x:v>
          </x:cell>
          <x:cell r="K134" t="str">
            <x:v>추앙풍뎅이</x:v>
          </x:cell>
          <x:cell r="L134"/>
          <x:cell r="M134" t="str">
            <x:v>AI 가중치</x:v>
          </x:cell>
          <x:cell r="N134" t="str">
            <x:v>사거리·페이즈·주변 상황 조건 충족</x:v>
          </x:cell>
          <x:cell r="O134" t="str">
            <x:v>없음</x:v>
          </x:cell>
          <x:cell r="P134">
            <x:v>0</x:v>
          </x:cell>
          <x:cell r="Q134">
            <x:v>0</x:v>
          </x:cell>
          <x:cell r="R134" t="str">
            <x:v>피해 없음</x:v>
          </x:cell>
          <x:cell r="S134">
            <x:v>7.2000000000000002</x:v>
          </x:cell>
          <x:cell r="T134">
            <x:v>0.29999999999999999</x:v>
          </x:cell>
          <x:cell r="U134" t="str">
            <x:v>개별</x:v>
          </x:cell>
          <x:cell r="V134">
            <x:v>5.7000000000000002</x:v>
          </x:cell>
          <x:cell r="W134">
            <x:v>0.65000000000000002</x:v>
          </x:cell>
          <x:cell r="X134" t="str">
            <x:v>보호막</x:v>
          </x:cell>
          <x:cell r="Y134">
            <x:v>20</x:v>
          </x:cell>
          <x:cell r="Z134" t="str">
            <x:v>%</x:v>
          </x:cell>
          <x:cell r="AA134">
            <x:v>6</x:v>
          </x:cell>
          <x:cell r="AB134" t="str">
            <x:v>지속 종료</x:v>
          </x:cell>
          <x:cell r="AC134" t="str">
            <x:v>SKL-STS-005</x:v>
          </x:cell>
          <x:cell r="AD134" t="str">
            <x:v>기능 원형: 보호막 부여 · 몬스터 시트 발동률 30%와 동기화</x:v>
          </x:cell>
        </x:row>
        <x:row r="135">
          <x:cell r="G135" t="str">
            <x:v>박수 더!</x:v>
          </x:cell>
          <x:cell r="H135" t="str">
            <x:v>주변 아군의 전투 리듬을 끌어올려 공격 성능을 일정 시간 강화함.</x:v>
          </x:cell>
          <x:cell r="I135"/>
          <x:cell r="J135" t="str">
            <x:v>액티브</x:v>
          </x:cell>
          <x:cell r="K135" t="str">
            <x:v>추앙풍뎅이</x:v>
          </x:cell>
          <x:cell r="L135"/>
          <x:cell r="M135" t="str">
            <x:v>AI 가중치</x:v>
          </x:cell>
          <x:cell r="N135" t="str">
            <x:v>사거리·페이즈·주변 상황 조건 충족</x:v>
          </x:cell>
          <x:cell r="O135" t="str">
            <x:v>없음</x:v>
          </x:cell>
          <x:cell r="P135">
            <x:v>0</x:v>
          </x:cell>
          <x:cell r="Q135">
            <x:v>0</x:v>
          </x:cell>
          <x:cell r="R135" t="str">
            <x:v>피해 없음</x:v>
          </x:cell>
          <x:cell r="S135">
            <x:v>7.9000000000000004</x:v>
          </x:cell>
          <x:cell r="T135">
            <x:v>0.25</x:v>
          </x:cell>
          <x:cell r="U135" t="str">
            <x:v>개별</x:v>
          </x:cell>
          <x:cell r="V135">
            <x:v>6.4000000000000004</x:v>
          </x:cell>
          <x:cell r="W135">
            <x:v>0.65000000000000002</x:v>
          </x:cell>
          <x:cell r="X135" t="str">
            <x:v>공격력</x:v>
          </x:cell>
          <x:cell r="Y135">
            <x:v>20</x:v>
          </x:cell>
          <x:cell r="Z135" t="str">
            <x:v>%</x:v>
          </x:cell>
          <x:cell r="AA135">
            <x:v>6</x:v>
          </x:cell>
          <x:cell r="AB135" t="str">
            <x:v>지속 종료</x:v>
          </x:cell>
          <x:cell r="AC135" t="str">
            <x:v>SKL-STS-004</x:v>
          </x:cell>
          <x:cell r="AD135" t="str">
            <x:v>기능 원형: 갈채 강화 · 몬스터 시트 발동률 25%와 동기화</x:v>
          </x:cell>
        </x:row>
        <x:row r="136">
          <x:cell r="G136" t="str">
            <x:v>팬은 비켜!</x:v>
          </x:cell>
          <x:cell r="H136" t="str">
            <x:v>'밀쳐내기' 행동을 수행해 위치·전투 리듬을 변화시킴.</x:v>
          </x:cell>
          <x:cell r="I136"/>
          <x:cell r="J136" t="str">
            <x:v>액티브</x:v>
          </x:cell>
          <x:cell r="K136" t="str">
            <x:v>추앙풍뎅이</x:v>
          </x:cell>
          <x:cell r="L136"/>
          <x:cell r="M136" t="str">
            <x:v>AI 가중치</x:v>
          </x:cell>
          <x:cell r="N136" t="str">
            <x:v>사거리·페이즈·주변 상황 조건 충족</x:v>
          </x:cell>
          <x:cell r="O136" t="str">
            <x:v>없음</x:v>
          </x:cell>
          <x:cell r="P136">
            <x:v>0</x:v>
          </x:cell>
          <x:cell r="Q136">
            <x:v>0</x:v>
          </x:cell>
          <x:cell r="R136" t="str">
            <x:v>피해 없음</x:v>
          </x:cell>
          <x:cell r="S136">
            <x:v>8.5999999999999996</x:v>
          </x:cell>
          <x:cell r="T136">
            <x:v>0.20000000000000001</x:v>
          </x:cell>
          <x:cell r="U136" t="str">
            <x:v>개별</x:v>
          </x:cell>
          <x:cell r="V136">
            <x:v>7.0999999999999996</x:v>
          </x:cell>
          <x:cell r="W136">
            <x:v>0.65000000000000002</x:v>
          </x:cell>
          <x:cell r="X136" t="str">
            <x:v>없음</x:v>
          </x:cell>
          <x:cell r="Y136">
            <x:v>0</x:v>
          </x:cell>
          <x:cell r="Z136" t="str">
            <x:v>없음</x:v>
          </x:cell>
          <x:cell r="AA136">
            <x:v>0</x:v>
          </x:cell>
          <x:cell r="AB136" t="str">
            <x:v>시전 종료</x:v>
          </x:cell>
          <x:cell r="AC136" t="str">
            <x:v>없음</x:v>
          </x:cell>
          <x:cell r="AD136" t="str">
            <x:v>기능 원형: 밀쳐내기 · 몬스터 시트 발동률 20%와 동기화</x:v>
          </x:cell>
        </x:row>
        <x:row r="137">
          <x:cell r="G137" t="str">
            <x:v>시선 모아!</x:v>
          </x:cell>
          <x:cell r="H137" t="str">
            <x:v>박수·시선·카메라 반응을 갈채 자원으로 축적하거나 소비해 전투 성능을 바꿈.</x:v>
          </x:cell>
          <x:cell r="I137"/>
          <x:cell r="J137" t="str">
            <x:v>액티브</x:v>
          </x:cell>
          <x:cell r="K137" t="str">
            <x:v>박수 저금통</x:v>
          </x:cell>
          <x:cell r="L137"/>
          <x:cell r="M137" t="str">
            <x:v>AI 가중치</x:v>
          </x:cell>
          <x:cell r="N137" t="str">
            <x:v>사거리·페이즈·주변 상황 조건 충족</x:v>
          </x:cell>
          <x:cell r="O137" t="str">
            <x:v>없음</x:v>
          </x:cell>
          <x:cell r="P137">
            <x:v>0</x:v>
          </x:cell>
          <x:cell r="Q137">
            <x:v>0</x:v>
          </x:cell>
          <x:cell r="R137" t="str">
            <x:v>피해 없음</x:v>
          </x:cell>
          <x:cell r="S137">
            <x:v>7</x:v>
          </x:cell>
          <x:cell r="T137">
            <x:v>0.25</x:v>
          </x:cell>
          <x:cell r="U137" t="str">
            <x:v>개별</x:v>
          </x:cell>
          <x:cell r="V137">
            <x:v>5.5</x:v>
          </x:cell>
          <x:cell r="W137">
            <x:v>0.75</x:v>
          </x:cell>
          <x:cell r="X137" t="str">
            <x:v>갈채 스택</x:v>
          </x:cell>
          <x:cell r="Y137">
            <x:v>1</x:v>
          </x:cell>
          <x:cell r="Z137" t="str">
            <x:v>스택</x:v>
          </x:cell>
          <x:cell r="AA137">
            <x:v>0</x:v>
          </x:cell>
          <x:cell r="AB137" t="str">
            <x:v>시전 종료</x:v>
          </x:cell>
          <x:cell r="AC137" t="str">
            <x:v>SKL-STS-016</x:v>
          </x:cell>
          <x:cell r="AD137" t="str">
            <x:v>기능 원형: 시선 집중 · 몬스터 시트 발동률 25%와 동기화</x:v>
          </x:cell>
        </x:row>
        <x:row r="138">
          <x:cell r="G138" t="str">
            <x:v>박수 적금</x:v>
          </x:cell>
          <x:cell r="H138" t="str">
            <x:v>주변 아군의 전투 리듬을 끌어올려 공격 성능을 일정 시간 강화함.</x:v>
          </x:cell>
          <x:cell r="I138"/>
          <x:cell r="J138" t="str">
            <x:v>액티브</x:v>
          </x:cell>
          <x:cell r="K138" t="str">
            <x:v>박수 저금통</x:v>
          </x:cell>
          <x:cell r="L138"/>
          <x:cell r="M138" t="str">
            <x:v>AI 가중치</x:v>
          </x:cell>
          <x:cell r="N138" t="str">
            <x:v>사거리·페이즈·주변 상황 조건 충족</x:v>
          </x:cell>
          <x:cell r="O138" t="str">
            <x:v>없음</x:v>
          </x:cell>
          <x:cell r="P138">
            <x:v>0</x:v>
          </x:cell>
          <x:cell r="Q138">
            <x:v>0</x:v>
          </x:cell>
          <x:cell r="R138" t="str">
            <x:v>피해 없음</x:v>
          </x:cell>
          <x:cell r="S138">
            <x:v>7.7000000000000002</x:v>
          </x:cell>
          <x:cell r="T138">
            <x:v>0.29999999999999999</x:v>
          </x:cell>
          <x:cell r="U138" t="str">
            <x:v>개별</x:v>
          </x:cell>
          <x:cell r="V138">
            <x:v>6.2000000000000002</x:v>
          </x:cell>
          <x:cell r="W138">
            <x:v>0.75</x:v>
          </x:cell>
          <x:cell r="X138" t="str">
            <x:v>공격력</x:v>
          </x:cell>
          <x:cell r="Y138">
            <x:v>20</x:v>
          </x:cell>
          <x:cell r="Z138" t="str">
            <x:v>%</x:v>
          </x:cell>
          <x:cell r="AA138">
            <x:v>6</x:v>
          </x:cell>
          <x:cell r="AB138" t="str">
            <x:v>지속 종료</x:v>
          </x:cell>
          <x:cell r="AC138" t="str">
            <x:v>SKL-STS-004</x:v>
          </x:cell>
          <x:cell r="AD138" t="str">
            <x:v>기능 원형: 집단 강화 · 몬스터 시트 발동률 30%와 동기화</x:v>
          </x:cell>
        </x:row>
        <x:row r="139">
          <x:cell r="G139" t="str">
            <x:v>줄 다시 서!</x:v>
          </x:cell>
          <x:cell r="H139" t="str">
            <x:v>주변 부하의 위치를 다시 배치해 봉쇄·보호 진형을 재구성함.</x:v>
          </x:cell>
          <x:cell r="I139"/>
          <x:cell r="J139" t="str">
            <x:v>액티브</x:v>
          </x:cell>
          <x:cell r="K139" t="str">
            <x:v>박수 저금통</x:v>
          </x:cell>
          <x:cell r="L139"/>
          <x:cell r="M139" t="str">
            <x:v>AI 가중치</x:v>
          </x:cell>
          <x:cell r="N139" t="str">
            <x:v>사거리·페이즈·주변 상황 조건 충족</x:v>
          </x:cell>
          <x:cell r="O139" t="str">
            <x:v>없음</x:v>
          </x:cell>
          <x:cell r="P139">
            <x:v>0</x:v>
          </x:cell>
          <x:cell r="Q139">
            <x:v>0</x:v>
          </x:cell>
          <x:cell r="R139" t="str">
            <x:v>피해 없음</x:v>
          </x:cell>
          <x:cell r="S139">
            <x:v>8.4000000000000004</x:v>
          </x:cell>
          <x:cell r="T139">
            <x:v>0.20000000000000001</x:v>
          </x:cell>
          <x:cell r="U139" t="str">
            <x:v>개별</x:v>
          </x:cell>
          <x:cell r="V139">
            <x:v>6.9000000000000004</x:v>
          </x:cell>
          <x:cell r="W139">
            <x:v>0.75</x:v>
          </x:cell>
          <x:cell r="X139" t="str">
            <x:v>AI 위치</x:v>
          </x:cell>
          <x:cell r="Y139">
            <x:v>1</x:v>
          </x:cell>
          <x:cell r="Z139" t="str">
            <x:v>단계</x:v>
          </x:cell>
          <x:cell r="AA139">
            <x:v>0</x:v>
          </x:cell>
          <x:cell r="AB139" t="str">
            <x:v>시전 종료</x:v>
          </x:cell>
          <x:cell r="AC139" t="str">
            <x:v>없음</x:v>
          </x:cell>
          <x:cell r="AD139" t="str">
            <x:v>기능 원형: 부하 재배치 · 몬스터 시트 발동률 20%와 동기화</x:v>
          </x:cell>
        </x:row>
        <x:row r="140">
          <x:cell r="G140" t="str">
            <x:v>만기 폭발!</x:v>
          </x:cell>
          <x:cell r="H140" t="str">
            <x:v>박수·시선·카메라 반응을 갈채 자원으로 축적하거나 소비해 전투 성능을 바꿈.</x:v>
          </x:cell>
          <x:cell r="I140"/>
          <x:cell r="J140" t="str">
            <x:v>액티브</x:v>
          </x:cell>
          <x:cell r="K140" t="str">
            <x:v>박수 저금통</x:v>
          </x:cell>
          <x:cell r="L140"/>
          <x:cell r="M140" t="str">
            <x:v>AI 가중치</x:v>
          </x:cell>
          <x:cell r="N140" t="str">
            <x:v>사거리·페이즈·주변 상황 조건 충족</x:v>
          </x:cell>
          <x:cell r="O140" t="str">
            <x:v>몬스터 최종 공격력 비율</x:v>
          </x:cell>
          <x:cell r="P140">
            <x:v>0.79000000000000004</x:v>
          </x:cell>
          <x:cell r="Q140">
            <x:v>0</x:v>
          </x:cell>
          <x:cell r="R140" t="str">
            <x:v>몬스터 최종 공격력 × 79%</x:v>
          </x:cell>
          <x:cell r="S140">
            <x:v>9.0999999999999996</x:v>
          </x:cell>
          <x:cell r="T140">
            <x:v>0.25</x:v>
          </x:cell>
          <x:cell r="U140" t="str">
            <x:v>개별</x:v>
          </x:cell>
          <x:cell r="V140">
            <x:v>7.5999999999999996</x:v>
          </x:cell>
          <x:cell r="W140">
            <x:v>0.75</x:v>
          </x:cell>
          <x:cell r="X140" t="str">
            <x:v>갈채 스택</x:v>
          </x:cell>
          <x:cell r="Y140">
            <x:v>1</x:v>
          </x:cell>
          <x:cell r="Z140" t="str">
            <x:v>스택</x:v>
          </x:cell>
          <x:cell r="AA140">
            <x:v>0</x:v>
          </x:cell>
          <x:cell r="AB140" t="str">
            <x:v>시전 종료</x:v>
          </x:cell>
          <x:cell r="AC140" t="str">
            <x:v>SKL-STS-016</x:v>
          </x:cell>
          <x:cell r="AD140" t="str">
            <x:v>기능 원형: 갈채 폭발 · 몬스터 시트 발동률 25%와 동기화</x:v>
          </x:cell>
        </x:row>
        <x:row r="141">
          <x:cell r="G141" t="str">
            <x:v>나 찍고 있지?</x:v>
          </x:cell>
          <x:cell r="H141" t="str">
            <x:v>'스포트라이트 추적' 행동을 수행해 위치·전투 리듬을 변화시킴.</x:v>
          </x:cell>
          <x:cell r="I141"/>
          <x:cell r="J141" t="str">
            <x:v>액티브</x:v>
          </x:cell>
          <x:cell r="K141" t="str">
            <x:v>박수 없인 못 살아</x:v>
          </x:cell>
          <x:cell r="L141"/>
          <x:cell r="M141" t="str">
            <x:v>페이즈+AI</x:v>
          </x:cell>
          <x:cell r="N141" t="str">
            <x:v>현재 페이즈에서 사용 가능·가중치 판정</x:v>
          </x:cell>
          <x:cell r="O141" t="str">
            <x:v>없음</x:v>
          </x:cell>
          <x:cell r="P141">
            <x:v>0</x:v>
          </x:cell>
          <x:cell r="Q141">
            <x:v>0</x:v>
          </x:cell>
          <x:cell r="R141" t="str">
            <x:v>피해 없음</x:v>
          </x:cell>
          <x:cell r="S141">
            <x:v>8</x:v>
          </x:cell>
          <x:cell r="T141">
            <x:v>0.20000000000000001</x:v>
          </x:cell>
          <x:cell r="U141" t="str">
            <x:v>개별</x:v>
          </x:cell>
          <x:cell r="V141">
            <x:v>6.5</x:v>
          </x:cell>
          <x:cell r="W141">
            <x:v>0.90000000000000002</x:v>
          </x:cell>
          <x:cell r="X141" t="str">
            <x:v>없음</x:v>
          </x:cell>
          <x:cell r="Y141">
            <x:v>0</x:v>
          </x:cell>
          <x:cell r="Z141" t="str">
            <x:v>없음</x:v>
          </x:cell>
          <x:cell r="AA141">
            <x:v>0</x:v>
          </x:cell>
          <x:cell r="AB141" t="str">
            <x:v>시전 종료</x:v>
          </x:cell>
          <x:cell r="AC141" t="str">
            <x:v>없음</x:v>
          </x:cell>
          <x:cell r="AD141" t="str">
            <x:v>기능 원형: 스포트라이트 추적 · 몬스터 시트 발동률 20%와 동기화</x:v>
          </x:cell>
        </x:row>
        <x:row r="142">
          <x:cell r="G142" t="str">
            <x:v>박수 더!</x:v>
          </x:cell>
          <x:cell r="H142" t="str">
            <x:v>박수·시선·카메라 반응을 갈채 자원으로 축적하거나 소비해 전투 성능을 바꿈.</x:v>
          </x:cell>
          <x:cell r="I142"/>
          <x:cell r="J142" t="str">
            <x:v>액티브</x:v>
          </x:cell>
          <x:cell r="K142" t="str">
            <x:v>박수 없인 못 살아</x:v>
          </x:cell>
          <x:cell r="L142"/>
          <x:cell r="M142" t="str">
            <x:v>페이즈+AI</x:v>
          </x:cell>
          <x:cell r="N142" t="str">
            <x:v>현재 페이즈에서 사용 가능·가중치 판정</x:v>
          </x:cell>
          <x:cell r="O142" t="str">
            <x:v>몬스터 최종 공격력 비율</x:v>
          </x:cell>
          <x:cell r="P142">
            <x:v>0.85999999999999999</x:v>
          </x:cell>
          <x:cell r="Q142">
            <x:v>0</x:v>
          </x:cell>
          <x:cell r="R142" t="str">
            <x:v>몬스터 최종 공격력 × 86%</x:v>
          </x:cell>
          <x:cell r="S142">
            <x:v>8.6999999999999993</x:v>
          </x:cell>
          <x:cell r="T142">
            <x:v>0.29999999999999999</x:v>
          </x:cell>
          <x:cell r="U142" t="str">
            <x:v>개별</x:v>
          </x:cell>
          <x:cell r="V142">
            <x:v>7.2000000000000002</x:v>
          </x:cell>
          <x:cell r="W142">
            <x:v>0.90000000000000002</x:v>
          </x:cell>
          <x:cell r="X142" t="str">
            <x:v>갈채 스택</x:v>
          </x:cell>
          <x:cell r="Y142">
            <x:v>1</x:v>
          </x:cell>
          <x:cell r="Z142" t="str">
            <x:v>스택</x:v>
          </x:cell>
          <x:cell r="AA142">
            <x:v>0</x:v>
          </x:cell>
          <x:cell r="AB142" t="str">
            <x:v>시전 종료</x:v>
          </x:cell>
          <x:cell r="AC142" t="str">
            <x:v>SKL-STS-016</x:v>
          </x:cell>
          <x:cell r="AD142" t="str">
            <x:v>기능 원형: 원거리 갈채 파동 · 몬스터 시트 발동률 30%와 동기화</x:v>
          </x:cell>
        </x:row>
        <x:row r="143">
          <x:cell r="G143" t="str">
            <x:v>진짜 시민 맞아?</x:v>
          </x:cell>
          <x:cell r="H143" t="str">
            <x:v>기억·환영·가짜 오브젝트를 만들어 플레이어의 판단과 방향 인식을 흐림.</x:v>
          </x:cell>
          <x:cell r="I143"/>
          <x:cell r="J143" t="str">
            <x:v>액티브</x:v>
          </x:cell>
          <x:cell r="K143" t="str">
            <x:v>박수 없인 못 살아</x:v>
          </x:cell>
          <x:cell r="L143" t="str">
            <x:v>방향 혼란</x:v>
          </x:cell>
          <x:cell r="M143" t="str">
            <x:v>페이즈+AI</x:v>
          </x:cell>
          <x:cell r="N143" t="str">
            <x:v>현재 페이즈에서 사용 가능·가중치 판정</x:v>
          </x:cell>
          <x:cell r="O143" t="str">
            <x:v>없음</x:v>
          </x:cell>
          <x:cell r="P143">
            <x:v>0</x:v>
          </x:cell>
          <x:cell r="Q143">
            <x:v>0</x:v>
          </x:cell>
          <x:cell r="R143" t="str">
            <x:v>피해 없음</x:v>
          </x:cell>
          <x:cell r="S143">
            <x:v>9.4000000000000004</x:v>
          </x:cell>
          <x:cell r="T143">
            <x:v>0.25</x:v>
          </x:cell>
          <x:cell r="U143" t="str">
            <x:v>개별</x:v>
          </x:cell>
          <x:cell r="V143">
            <x:v>7.9000000000000004</x:v>
          </x:cell>
          <x:cell r="W143">
            <x:v>0.90000000000000002</x:v>
          </x:cell>
          <x:cell r="X143" t="str">
            <x:v>판독 단계</x:v>
          </x:cell>
          <x:cell r="Y143">
            <x:v>-1</x:v>
          </x:cell>
          <x:cell r="Z143" t="str">
            <x:v>단계</x:v>
          </x:cell>
          <x:cell r="AA143">
            <x:v>3</x:v>
          </x:cell>
          <x:cell r="AB143" t="str">
            <x:v>지속 종료</x:v>
          </x:cell>
          <x:cell r="AC143" t="str">
            <x:v>SKL-STS-006</x:v>
          </x:cell>
          <x:cell r="AD143" t="str">
            <x:v>기능 원형: 가짜 구조 대상 · 몬스터 시트 발동률 25%와 동기화</x:v>
          </x:cell>
        </x:row>
        <x:row r="144">
          <x:cell r="G144" t="str">
            <x:v>박수 먹기</x:v>
          </x:cell>
          <x:cell r="H144" t="str">
            <x:v>자신 또는 지정한 아군에게 피해를 먼저 흡수하는 보호막을 부여함.</x:v>
          </x:cell>
          <x:cell r="I144"/>
          <x:cell r="J144" t="str">
            <x:v>액티브</x:v>
          </x:cell>
          <x:cell r="K144" t="str">
            <x:v>박수 없인 못 살아</x:v>
          </x:cell>
          <x:cell r="L144"/>
          <x:cell r="M144" t="str">
            <x:v>페이즈+AI</x:v>
          </x:cell>
          <x:cell r="N144" t="str">
            <x:v>현재 페이즈에서 사용 가능·가중치 판정</x:v>
          </x:cell>
          <x:cell r="O144" t="str">
            <x:v>없음</x:v>
          </x:cell>
          <x:cell r="P144">
            <x:v>0</x:v>
          </x:cell>
          <x:cell r="Q144">
            <x:v>0</x:v>
          </x:cell>
          <x:cell r="R144" t="str">
            <x:v>피해 없음</x:v>
          </x:cell>
          <x:cell r="S144">
            <x:v>10.1</x:v>
          </x:cell>
          <x:cell r="T144">
            <x:v>0.25</x:v>
          </x:cell>
          <x:cell r="U144" t="str">
            <x:v>개별</x:v>
          </x:cell>
          <x:cell r="V144">
            <x:v>8.5999999999999996</x:v>
          </x:cell>
          <x:cell r="W144">
            <x:v>0.90000000000000002</x:v>
          </x:cell>
          <x:cell r="X144" t="str">
            <x:v>보호막</x:v>
          </x:cell>
          <x:cell r="Y144">
            <x:v>20</x:v>
          </x:cell>
          <x:cell r="Z144" t="str">
            <x:v>%</x:v>
          </x:cell>
          <x:cell r="AA144">
            <x:v>6</x:v>
          </x:cell>
          <x:cell r="AB144" t="str">
            <x:v>지속 종료</x:v>
          </x:cell>
          <x:cell r="AC144" t="str">
            <x:v>SKL-STS-005</x:v>
          </x:cell>
          <x:cell r="AD144" t="str">
            <x:v>기능 원형: 보호막 흡수 · 몬스터 시트 발동률 25%와 동기화</x:v>
          </x:cell>
        </x:row>
        <x:row r="145">
          <x:cell r="G145" t="str">
            <x:v>복도 한 바퀴만…</x:v>
          </x:cell>
          <x:cell r="H145" t="str">
            <x:v>정해진 감지 행동으로 주변을 탐색하며 플레이어 발견 여부에 따라 다음 행동을 바꿈.</x:v>
          </x:cell>
          <x:cell r="I145"/>
          <x:cell r="J145" t="str">
            <x:v>AI 행동</x:v>
          </x:cell>
          <x:cell r="K145" t="str">
            <x:v>퇴근하고 싶다</x:v>
          </x:cell>
          <x:cell r="L145"/>
          <x:cell r="M145" t="str">
            <x:v>AI 가중치</x:v>
          </x:cell>
          <x:cell r="N145" t="str">
            <x:v>사거리·페이즈·주변 상황 조건 충족</x:v>
          </x:cell>
          <x:cell r="O145" t="str">
            <x:v>없음</x:v>
          </x:cell>
          <x:cell r="P145">
            <x:v>0</x:v>
          </x:cell>
          <x:cell r="Q145">
            <x:v>0</x:v>
          </x:cell>
          <x:cell r="R145" t="str">
            <x:v>피해 없음</x:v>
          </x:cell>
          <x:cell r="S145">
            <x:v>5</x:v>
          </x:cell>
          <x:cell r="T145">
            <x:v>0.29999999999999999</x:v>
          </x:cell>
          <x:cell r="U145" t="str">
            <x:v>개별</x:v>
          </x:cell>
          <x:cell r="V145">
            <x:v>3.5</x:v>
          </x:cell>
          <x:cell r="W145">
            <x:v>0.55000000000000004</x:v>
          </x:cell>
          <x:cell r="X145" t="str">
            <x:v>감지 우선순위</x:v>
          </x:cell>
          <x:cell r="Y145">
            <x:v>1</x:v>
          </x:cell>
          <x:cell r="Z145" t="str">
            <x:v>단계</x:v>
          </x:cell>
          <x:cell r="AA145">
            <x:v>0</x:v>
          </x:cell>
          <x:cell r="AB145" t="str">
            <x:v>시전 종료</x:v>
          </x:cell>
          <x:cell r="AC145" t="str">
            <x:v>없음</x:v>
          </x:cell>
          <x:cell r="AD145" t="str">
            <x:v>기능 원형: 복도 순찰 · 몬스터 시트 발동률 30%와 동기화</x:v>
          </x:cell>
        </x:row>
        <x:row r="146">
          <x:cell r="G146" t="str">
            <x:v>퇴근 전에 잡는다</x:v>
          </x:cell>
          <x:cell r="H146" t="str">
            <x:v>'갑작스러운 추격' 행동을 수행해 위치·전투 리듬을 변화시킴.</x:v>
          </x:cell>
          <x:cell r="I146"/>
          <x:cell r="J146" t="str">
            <x:v>액티브</x:v>
          </x:cell>
          <x:cell r="K146" t="str">
            <x:v>퇴근하고 싶다</x:v>
          </x:cell>
          <x:cell r="L146"/>
          <x:cell r="M146" t="str">
            <x:v>AI 가중치</x:v>
          </x:cell>
          <x:cell r="N146" t="str">
            <x:v>사거리·페이즈·주변 상황 조건 충족</x:v>
          </x:cell>
          <x:cell r="O146" t="str">
            <x:v>없음</x:v>
          </x:cell>
          <x:cell r="P146">
            <x:v>0</x:v>
          </x:cell>
          <x:cell r="Q146">
            <x:v>0</x:v>
          </x:cell>
          <x:cell r="R146" t="str">
            <x:v>피해 없음</x:v>
          </x:cell>
          <x:cell r="S146">
            <x:v>5.7000000000000002</x:v>
          </x:cell>
          <x:cell r="T146">
            <x:v>0.29999999999999999</x:v>
          </x:cell>
          <x:cell r="U146" t="str">
            <x:v>개별</x:v>
          </x:cell>
          <x:cell r="V146">
            <x:v>4.2000000000000002</x:v>
          </x:cell>
          <x:cell r="W146">
            <x:v>0.55000000000000004</x:v>
          </x:cell>
          <x:cell r="X146" t="str">
            <x:v>없음</x:v>
          </x:cell>
          <x:cell r="Y146">
            <x:v>0</x:v>
          </x:cell>
          <x:cell r="Z146" t="str">
            <x:v>없음</x:v>
          </x:cell>
          <x:cell r="AA146">
            <x:v>0</x:v>
          </x:cell>
          <x:cell r="AB146" t="str">
            <x:v>시전 종료</x:v>
          </x:cell>
          <x:cell r="AC146" t="str">
            <x:v>없음</x:v>
          </x:cell>
          <x:cell r="AD146" t="str">
            <x:v>기능 원형: 갑작스러운 추격 · 몬스터 시트 발동률 30%와 동기화</x:v>
          </x:cell>
        </x:row>
        <x:row r="147">
          <x:cell r="G147" t="str">
            <x:v>문턱 조심!</x:v>
          </x:cell>
          <x:cell r="H147" t="str">
            <x:v>몸체·집게·외피로 목표를 밀어 안전 위치에서 벗어나게 함.</x:v>
          </x:cell>
          <x:cell r="I147"/>
          <x:cell r="J147" t="str">
            <x:v>액티브</x:v>
          </x:cell>
          <x:cell r="K147" t="str">
            <x:v>퇴근하고 싶다</x:v>
          </x:cell>
          <x:cell r="L147" t="str">
            <x:v>밀려남 1.5칸</x:v>
          </x:cell>
          <x:cell r="M147" t="str">
            <x:v>AI 가중치</x:v>
          </x:cell>
          <x:cell r="N147" t="str">
            <x:v>사거리·페이즈·주변 상황 조건 충족</x:v>
          </x:cell>
          <x:cell r="O147" t="str">
            <x:v>몬스터 최종 공격력 비율</x:v>
          </x:cell>
          <x:cell r="P147">
            <x:v>0.75</x:v>
          </x:cell>
          <x:cell r="Q147">
            <x:v>0</x:v>
          </x:cell>
          <x:cell r="R147" t="str">
            <x:v>몬스터 최종 공격력 × 75%</x:v>
          </x:cell>
          <x:cell r="S147">
            <x:v>6.4000000000000004</x:v>
          </x:cell>
          <x:cell r="T147">
            <x:v>0.25</x:v>
          </x:cell>
          <x:cell r="U147" t="str">
            <x:v>개별</x:v>
          </x:cell>
          <x:cell r="V147">
            <x:v>4.9000000000000004</x:v>
          </x:cell>
          <x:cell r="W147">
            <x:v>0.55000000000000004</x:v>
          </x:cell>
          <x:cell r="X147" t="str">
            <x:v>없음</x:v>
          </x:cell>
          <x:cell r="Y147">
            <x:v>0</x:v>
          </x:cell>
          <x:cell r="Z147" t="str">
            <x:v>없음</x:v>
          </x:cell>
          <x:cell r="AA147">
            <x:v>0</x:v>
          </x:cell>
          <x:cell r="AB147" t="str">
            <x:v>시전 종료</x:v>
          </x:cell>
          <x:cell r="AC147" t="str">
            <x:v>SKL-STS-002</x:v>
          </x:cell>
          <x:cell r="AD147" t="str">
            <x:v>기능 원형: 문틀 밀치기 · 몬스터 시트 발동률 25%와 동기화</x:v>
          </x:cell>
        </x:row>
        <x:row r="148">
          <x:cell r="G148" t="str">
            <x:v>무슨 소리지?</x:v>
          </x:cell>
          <x:cell r="H148" t="str">
            <x:v>정해진 감지 행동으로 주변을 탐색하며 플레이어 발견 여부에 따라 다음 행동을 바꿈.</x:v>
          </x:cell>
          <x:cell r="I148"/>
          <x:cell r="J148" t="str">
            <x:v>AI 행동</x:v>
          </x:cell>
          <x:cell r="K148" t="str">
            <x:v>퇴근하고 싶다</x:v>
          </x:cell>
          <x:cell r="L148"/>
          <x:cell r="M148" t="str">
            <x:v>AI 가중치</x:v>
          </x:cell>
          <x:cell r="N148" t="str">
            <x:v>사거리·페이즈·주변 상황 조건 충족</x:v>
          </x:cell>
          <x:cell r="O148" t="str">
            <x:v>없음</x:v>
          </x:cell>
          <x:cell r="P148">
            <x:v>0</x:v>
          </x:cell>
          <x:cell r="Q148">
            <x:v>0</x:v>
          </x:cell>
          <x:cell r="R148" t="str">
            <x:v>피해 없음</x:v>
          </x:cell>
          <x:cell r="S148">
            <x:v>7.0999999999999996</x:v>
          </x:cell>
          <x:cell r="T148">
            <x:v>0.14999999999999999</x:v>
          </x:cell>
          <x:cell r="U148" t="str">
            <x:v>개별</x:v>
          </x:cell>
          <x:cell r="V148">
            <x:v>5.5999999999999996</x:v>
          </x:cell>
          <x:cell r="W148">
            <x:v>0.55000000000000004</x:v>
          </x:cell>
          <x:cell r="X148" t="str">
            <x:v>감지 우선순위</x:v>
          </x:cell>
          <x:cell r="Y148">
            <x:v>1</x:v>
          </x:cell>
          <x:cell r="Z148" t="str">
            <x:v>단계</x:v>
          </x:cell>
          <x:cell r="AA148">
            <x:v>0</x:v>
          </x:cell>
          <x:cell r="AB148" t="str">
            <x:v>시전 종료</x:v>
          </x:cell>
          <x:cell r="AC148" t="str">
            <x:v>없음</x:v>
          </x:cell>
          <x:cell r="AD148" t="str">
            <x:v>기능 원형: 멈춰 듣기 · 몬스터 시트 발동률 15%와 동기화</x:v>
          </x:cell>
        </x:row>
        <x:row r="149">
          <x:cell r="G149" t="str">
            <x:v>뒤에 있어.</x:v>
          </x:cell>
          <x:cell r="H149" t="str">
            <x:v>'문 뒤 기습' 행동을 수행해 위치·전투 리듬을 변화시킴.</x:v>
          </x:cell>
          <x:cell r="I149"/>
          <x:cell r="J149" t="str">
            <x:v>액티브</x:v>
          </x:cell>
          <x:cell r="K149" t="str">
            <x:v>등 뒤 한 칸</x:v>
          </x:cell>
          <x:cell r="L149"/>
          <x:cell r="M149" t="str">
            <x:v>AI 가중치</x:v>
          </x:cell>
          <x:cell r="N149" t="str">
            <x:v>사거리·페이즈·주변 상황 조건 충족</x:v>
          </x:cell>
          <x:cell r="O149" t="str">
            <x:v>없음</x:v>
          </x:cell>
          <x:cell r="P149">
            <x:v>0</x:v>
          </x:cell>
          <x:cell r="Q149">
            <x:v>0</x:v>
          </x:cell>
          <x:cell r="R149" t="str">
            <x:v>피해 없음</x:v>
          </x:cell>
          <x:cell r="S149">
            <x:v>6.5</x:v>
          </x:cell>
          <x:cell r="T149">
            <x:v>0.29999999999999999</x:v>
          </x:cell>
          <x:cell r="U149" t="str">
            <x:v>개별</x:v>
          </x:cell>
          <x:cell r="V149">
            <x:v>5</x:v>
          </x:cell>
          <x:cell r="W149">
            <x:v>0.65000000000000002</x:v>
          </x:cell>
          <x:cell r="X149" t="str">
            <x:v>없음</x:v>
          </x:cell>
          <x:cell r="Y149">
            <x:v>0</x:v>
          </x:cell>
          <x:cell r="Z149" t="str">
            <x:v>없음</x:v>
          </x:cell>
          <x:cell r="AA149">
            <x:v>0</x:v>
          </x:cell>
          <x:cell r="AB149" t="str">
            <x:v>시전 종료</x:v>
          </x:cell>
          <x:cell r="AC149" t="str">
            <x:v>없음</x:v>
          </x:cell>
          <x:cell r="AD149" t="str">
            <x:v>기능 원형: 문 뒤 기습 · 몬스터 시트 발동률 30%와 동기화</x:v>
          </x:cell>
        </x:row>
        <x:row r="150">
          <x:cell r="G150" t="str">
            <x:v>한 칸만 밀게</x:v>
          </x:cell>
          <x:cell r="H150" t="str">
            <x:v>몸체·집게·외피로 목표를 밀어 안전 위치에서 벗어나게 함.</x:v>
          </x:cell>
          <x:cell r="I150"/>
          <x:cell r="J150" t="str">
            <x:v>액티브</x:v>
          </x:cell>
          <x:cell r="K150" t="str">
            <x:v>등 뒤 한 칸</x:v>
          </x:cell>
          <x:cell r="L150" t="str">
            <x:v>밀려남 1.5칸</x:v>
          </x:cell>
          <x:cell r="M150" t="str">
            <x:v>AI 가중치</x:v>
          </x:cell>
          <x:cell r="N150" t="str">
            <x:v>사거리·페이즈·주변 상황 조건 충족</x:v>
          </x:cell>
          <x:cell r="O150" t="str">
            <x:v>몬스터 최종 공격력 비율</x:v>
          </x:cell>
          <x:cell r="P150">
            <x:v>0.75</x:v>
          </x:cell>
          <x:cell r="Q150">
            <x:v>0</x:v>
          </x:cell>
          <x:cell r="R150" t="str">
            <x:v>몬스터 최종 공격력 × 75%</x:v>
          </x:cell>
          <x:cell r="S150">
            <x:v>7.2000000000000002</x:v>
          </x:cell>
          <x:cell r="T150">
            <x:v>0.34999999999999998</x:v>
          </x:cell>
          <x:cell r="U150" t="str">
            <x:v>개별</x:v>
          </x:cell>
          <x:cell r="V150">
            <x:v>5.7000000000000002</x:v>
          </x:cell>
          <x:cell r="W150">
            <x:v>0.65000000000000002</x:v>
          </x:cell>
          <x:cell r="X150" t="str">
            <x:v>없음</x:v>
          </x:cell>
          <x:cell r="Y150">
            <x:v>0</x:v>
          </x:cell>
          <x:cell r="Z150" t="str">
            <x:v>없음</x:v>
          </x:cell>
          <x:cell r="AA150">
            <x:v>0</x:v>
          </x:cell>
          <x:cell r="AB150" t="str">
            <x:v>시전 종료</x:v>
          </x:cell>
          <x:cell r="AC150" t="str">
            <x:v>SKL-STS-002</x:v>
          </x:cell>
          <x:cell r="AD150" t="str">
            <x:v>기능 원형: 강제 밀치기 · 몬스터 시트 발동률 35%와 동기화</x:v>
          </x:cell>
        </x:row>
        <x:row r="151">
          <x:cell r="G151" t="str">
            <x:v>넘어져.</x:v>
          </x:cell>
          <x:cell r="H151" t="str">
            <x:v>'넘어뜨리기' 행동을 수행해 위치·전투 리듬을 변화시킴.</x:v>
          </x:cell>
          <x:cell r="I151"/>
          <x:cell r="J151" t="str">
            <x:v>액티브</x:v>
          </x:cell>
          <x:cell r="K151" t="str">
            <x:v>등 뒤 한 칸</x:v>
          </x:cell>
          <x:cell r="L151"/>
          <x:cell r="M151" t="str">
            <x:v>AI 가중치</x:v>
          </x:cell>
          <x:cell r="N151" t="str">
            <x:v>사거리·페이즈·주변 상황 조건 충족</x:v>
          </x:cell>
          <x:cell r="O151" t="str">
            <x:v>없음</x:v>
          </x:cell>
          <x:cell r="P151">
            <x:v>0</x:v>
          </x:cell>
          <x:cell r="Q151">
            <x:v>0</x:v>
          </x:cell>
          <x:cell r="R151" t="str">
            <x:v>피해 없음</x:v>
          </x:cell>
          <x:cell r="S151">
            <x:v>7.9000000000000004</x:v>
          </x:cell>
          <x:cell r="T151">
            <x:v>0.20000000000000001</x:v>
          </x:cell>
          <x:cell r="U151" t="str">
            <x:v>개별</x:v>
          </x:cell>
          <x:cell r="V151">
            <x:v>6.4000000000000004</x:v>
          </x:cell>
          <x:cell r="W151">
            <x:v>0.65000000000000002</x:v>
          </x:cell>
          <x:cell r="X151" t="str">
            <x:v>없음</x:v>
          </x:cell>
          <x:cell r="Y151">
            <x:v>0</x:v>
          </x:cell>
          <x:cell r="Z151" t="str">
            <x:v>없음</x:v>
          </x:cell>
          <x:cell r="AA151">
            <x:v>0</x:v>
          </x:cell>
          <x:cell r="AB151" t="str">
            <x:v>시전 종료</x:v>
          </x:cell>
          <x:cell r="AC151" t="str">
            <x:v>없음</x:v>
          </x:cell>
          <x:cell r="AD151" t="str">
            <x:v>기능 원형: 넘어뜨리기 · 몬스터 시트 발동률 20%와 동기화</x:v>
          </x:cell>
        </x:row>
        <x:row r="152">
          <x:cell r="G152" t="str">
            <x:v>다시 뒤로</x:v>
          </x:cell>
          <x:cell r="H152" t="str">
            <x:v>공격 후 거리를 벌리거나 사각으로 이동해 다음 공격 위치를 다시 잡음.</x:v>
          </x:cell>
          <x:cell r="I152"/>
          <x:cell r="J152" t="str">
            <x:v>액티브</x:v>
          </x:cell>
          <x:cell r="K152" t="str">
            <x:v>등 뒤 한 칸</x:v>
          </x:cell>
          <x:cell r="L152"/>
          <x:cell r="M152" t="str">
            <x:v>AI 가중치</x:v>
          </x:cell>
          <x:cell r="N152" t="str">
            <x:v>사거리·페이즈·주변 상황 조건 충족</x:v>
          </x:cell>
          <x:cell r="O152" t="str">
            <x:v>없음</x:v>
          </x:cell>
          <x:cell r="P152">
            <x:v>0</x:v>
          </x:cell>
          <x:cell r="Q152">
            <x:v>0</x:v>
          </x:cell>
          <x:cell r="R152" t="str">
            <x:v>피해 없음</x:v>
          </x:cell>
          <x:cell r="S152">
            <x:v>8.5999999999999996</x:v>
          </x:cell>
          <x:cell r="T152">
            <x:v>0.14999999999999999</x:v>
          </x:cell>
          <x:cell r="U152" t="str">
            <x:v>개별</x:v>
          </x:cell>
          <x:cell r="V152">
            <x:v>7.0999999999999996</x:v>
          </x:cell>
          <x:cell r="W152">
            <x:v>0.65000000000000002</x:v>
          </x:cell>
          <x:cell r="X152" t="str">
            <x:v>이동 위치</x:v>
          </x:cell>
          <x:cell r="Y152">
            <x:v>1</x:v>
          </x:cell>
          <x:cell r="Z152" t="str">
            <x:v>지점</x:v>
          </x:cell>
          <x:cell r="AA152">
            <x:v>0</x:v>
          </x:cell>
          <x:cell r="AB152" t="str">
            <x:v>시전 종료</x:v>
          </x:cell>
          <x:cell r="AC152" t="str">
            <x:v>없음</x:v>
          </x:cell>
          <x:cell r="AD152" t="str">
            <x:v>기능 원형: 재은폐 · 몬스터 시트 발동률 15%와 동기화</x:v>
          </x:cell>
        </x:row>
        <x:row r="153">
          <x:cell r="G153" t="str">
            <x:v>낄낄낄</x:v>
          </x:cell>
          <x:cell r="H153" t="str">
            <x:v>기억·환영·가짜 오브젝트를 만들어 플레이어의 판단과 방향 인식을 흐림.</x:v>
          </x:cell>
          <x:cell r="I153"/>
          <x:cell r="J153" t="str">
            <x:v>액티브</x:v>
          </x:cell>
          <x:cell r="K153" t="str">
            <x:v>칠판 낄낄이</x:v>
          </x:cell>
          <x:cell r="L153" t="str">
            <x:v>방향 혼란</x:v>
          </x:cell>
          <x:cell r="M153" t="str">
            <x:v>AI 가중치</x:v>
          </x:cell>
          <x:cell r="N153" t="str">
            <x:v>사거리·페이즈·주변 상황 조건 충족</x:v>
          </x:cell>
          <x:cell r="O153" t="str">
            <x:v>없음</x:v>
          </x:cell>
          <x:cell r="P153">
            <x:v>0</x:v>
          </x:cell>
          <x:cell r="Q153">
            <x:v>0</x:v>
          </x:cell>
          <x:cell r="R153" t="str">
            <x:v>피해 없음</x:v>
          </x:cell>
          <x:cell r="S153">
            <x:v>6.5</x:v>
          </x:cell>
          <x:cell r="T153">
            <x:v>0.29999999999999999</x:v>
          </x:cell>
          <x:cell r="U153" t="str">
            <x:v>개별</x:v>
          </x:cell>
          <x:cell r="V153">
            <x:v>5</x:v>
          </x:cell>
          <x:cell r="W153">
            <x:v>0.65000000000000002</x:v>
          </x:cell>
          <x:cell r="X153" t="str">
            <x:v>판독 단계</x:v>
          </x:cell>
          <x:cell r="Y153">
            <x:v>-1</x:v>
          </x:cell>
          <x:cell r="Z153" t="str">
            <x:v>단계</x:v>
          </x:cell>
          <x:cell r="AA153">
            <x:v>3</x:v>
          </x:cell>
          <x:cell r="AB153" t="str">
            <x:v>지속 종료</x:v>
          </x:cell>
          <x:cell r="AC153" t="str">
            <x:v>SKL-STS-006</x:v>
          </x:cell>
          <x:cell r="AD153" t="str">
            <x:v>기능 원형: 비웃음 환각 · 몬스터 시트 발동률 30%와 동기화</x:v>
          </x:cell>
        </x:row>
        <x:row r="154">
          <x:cell r="G154" t="str">
            <x:v>왼쪽? 오른쪽?</x:v>
          </x:cell>
          <x:cell r="H154" t="str">
            <x:v>기억·환영·가짜 오브젝트를 만들어 플레이어의 판단과 방향 인식을 흐림.</x:v>
          </x:cell>
          <x:cell r="I154"/>
          <x:cell r="J154" t="str">
            <x:v>액티브</x:v>
          </x:cell>
          <x:cell r="K154" t="str">
            <x:v>칠판 낄낄이</x:v>
          </x:cell>
          <x:cell r="L154" t="str">
            <x:v>방향 혼란</x:v>
          </x:cell>
          <x:cell r="M154" t="str">
            <x:v>AI 가중치</x:v>
          </x:cell>
          <x:cell r="N154" t="str">
            <x:v>사거리·페이즈·주변 상황 조건 충족</x:v>
          </x:cell>
          <x:cell r="O154" t="str">
            <x:v>없음</x:v>
          </x:cell>
          <x:cell r="P154">
            <x:v>0</x:v>
          </x:cell>
          <x:cell r="Q154">
            <x:v>0</x:v>
          </x:cell>
          <x:cell r="R154" t="str">
            <x:v>피해 없음</x:v>
          </x:cell>
          <x:cell r="S154">
            <x:v>7.2000000000000002</x:v>
          </x:cell>
          <x:cell r="T154">
            <x:v>0.25</x:v>
          </x:cell>
          <x:cell r="U154" t="str">
            <x:v>개별</x:v>
          </x:cell>
          <x:cell r="V154">
            <x:v>5.7000000000000002</x:v>
          </x:cell>
          <x:cell r="W154">
            <x:v>0.65000000000000002</x:v>
          </x:cell>
          <x:cell r="X154" t="str">
            <x:v>판독 단계</x:v>
          </x:cell>
          <x:cell r="Y154">
            <x:v>-1</x:v>
          </x:cell>
          <x:cell r="Z154" t="str">
            <x:v>단계</x:v>
          </x:cell>
          <x:cell r="AA154">
            <x:v>3</x:v>
          </x:cell>
          <x:cell r="AB154" t="str">
            <x:v>지속 종료</x:v>
          </x:cell>
          <x:cell r="AC154" t="str">
            <x:v>SKL-STS-006</x:v>
          </x:cell>
          <x:cell r="AD154" t="str">
            <x:v>기능 원형: 방향 혼란 · 몬스터 시트 발동률 25%와 동기화</x:v>
          </x:cell>
        </x:row>
        <x:row r="155">
          <x:cell r="G155" t="str">
            <x:v>웃는 얼굴 날리기</x:v>
          </x:cell>
          <x:cell r="H155" t="str">
            <x:v>'얼굴 투사체' 행동을 수행해 위치·전투 리듬을 변화시킴.</x:v>
          </x:cell>
          <x:cell r="I155"/>
          <x:cell r="J155" t="str">
            <x:v>액티브</x:v>
          </x:cell>
          <x:cell r="K155" t="str">
            <x:v>칠판 낄낄이</x:v>
          </x:cell>
          <x:cell r="L155"/>
          <x:cell r="M155" t="str">
            <x:v>AI 가중치</x:v>
          </x:cell>
          <x:cell r="N155" t="str">
            <x:v>사거리·페이즈·주변 상황 조건 충족</x:v>
          </x:cell>
          <x:cell r="O155" t="str">
            <x:v>몬스터 최종 공격력 비율</x:v>
          </x:cell>
          <x:cell r="P155">
            <x:v>1</x:v>
          </x:cell>
          <x:cell r="Q155">
            <x:v>0</x:v>
          </x:cell>
          <x:cell r="R155" t="str">
            <x:v>몬스터 최종 공격력 × 100%</x:v>
          </x:cell>
          <x:cell r="S155">
            <x:v>7.9000000000000004</x:v>
          </x:cell>
          <x:cell r="T155">
            <x:v>0.29999999999999999</x:v>
          </x:cell>
          <x:cell r="U155" t="str">
            <x:v>개별</x:v>
          </x:cell>
          <x:cell r="V155">
            <x:v>6.4000000000000004</x:v>
          </x:cell>
          <x:cell r="W155">
            <x:v>0.65000000000000002</x:v>
          </x:cell>
          <x:cell r="X155" t="str">
            <x:v>없음</x:v>
          </x:cell>
          <x:cell r="Y155">
            <x:v>0</x:v>
          </x:cell>
          <x:cell r="Z155" t="str">
            <x:v>없음</x:v>
          </x:cell>
          <x:cell r="AA155">
            <x:v>0</x:v>
          </x:cell>
          <x:cell r="AB155" t="str">
            <x:v>시전 종료</x:v>
          </x:cell>
          <x:cell r="AC155" t="str">
            <x:v>없음</x:v>
          </x:cell>
          <x:cell r="AD155" t="str">
            <x:v>기능 원형: 얼굴 투사체 · 몬스터 시트 발동률 30%와 동기화</x:v>
          </x:cell>
        </x:row>
        <x:row r="156">
          <x:cell r="G156" t="str">
            <x:v>하나 더 웃자</x:v>
          </x:cell>
          <x:cell r="H156" t="str">
            <x:v>기억·환영·가짜 오브젝트를 만들어 플레이어의 판단과 방향 인식을 흐림.</x:v>
          </x:cell>
          <x:cell r="I156"/>
          <x:cell r="J156" t="str">
            <x:v>액티브</x:v>
          </x:cell>
          <x:cell r="K156" t="str">
            <x:v>칠판 낄낄이</x:v>
          </x:cell>
          <x:cell r="L156" t="str">
            <x:v>방향 혼란</x:v>
          </x:cell>
          <x:cell r="M156" t="str">
            <x:v>AI 가중치</x:v>
          </x:cell>
          <x:cell r="N156" t="str">
            <x:v>사거리·페이즈·주변 상황 조건 충족</x:v>
          </x:cell>
          <x:cell r="O156" t="str">
            <x:v>없음</x:v>
          </x:cell>
          <x:cell r="P156">
            <x:v>0</x:v>
          </x:cell>
          <x:cell r="Q156">
            <x:v>0</x:v>
          </x:cell>
          <x:cell r="R156" t="str">
            <x:v>피해 없음</x:v>
          </x:cell>
          <x:cell r="S156">
            <x:v>8.5999999999999996</x:v>
          </x:cell>
          <x:cell r="T156">
            <x:v>0.14999999999999999</x:v>
          </x:cell>
          <x:cell r="U156" t="str">
            <x:v>개별</x:v>
          </x:cell>
          <x:cell r="V156">
            <x:v>7.0999999999999996</x:v>
          </x:cell>
          <x:cell r="W156">
            <x:v>0.65000000000000002</x:v>
          </x:cell>
          <x:cell r="X156" t="str">
            <x:v>판독 단계</x:v>
          </x:cell>
          <x:cell r="Y156">
            <x:v>-1</x:v>
          </x:cell>
          <x:cell r="Z156" t="str">
            <x:v>단계</x:v>
          </x:cell>
          <x:cell r="AA156">
            <x:v>3</x:v>
          </x:cell>
          <x:cell r="AB156" t="str">
            <x:v>지속 종료</x:v>
          </x:cell>
          <x:cell r="AC156" t="str">
            <x:v>SKL-STS-006</x:v>
          </x:cell>
          <x:cell r="AD156" t="str">
            <x:v>기능 원형: 환영 분열 · 몬스터 시트 발동률 15%와 동기화</x:v>
          </x:cell>
        </x:row>
        <x:row r="157">
          <x:cell r="G157" t="str">
            <x:v>난 못 봤어</x:v>
          </x:cell>
          <x:cell r="H157" t="str">
            <x:v>'시선 회피' 행동을 수행해 위치·전투 리듬을 변화시킴.</x:v>
          </x:cell>
          <x:cell r="I157"/>
          <x:cell r="J157" t="str">
            <x:v>액티브</x:v>
          </x:cell>
          <x:cell r="K157" t="str">
            <x:v>못 본 척 동아리</x:v>
          </x:cell>
          <x:cell r="L157"/>
          <x:cell r="M157" t="str">
            <x:v>AI 가중치</x:v>
          </x:cell>
          <x:cell r="N157" t="str">
            <x:v>사거리·페이즈·주변 상황 조건 충족</x:v>
          </x:cell>
          <x:cell r="O157" t="str">
            <x:v>없음</x:v>
          </x:cell>
          <x:cell r="P157">
            <x:v>0</x:v>
          </x:cell>
          <x:cell r="Q157">
            <x:v>0</x:v>
          </x:cell>
          <x:cell r="R157" t="str">
            <x:v>피해 없음</x:v>
          </x:cell>
          <x:cell r="S157">
            <x:v>6.5</x:v>
          </x:cell>
          <x:cell r="T157">
            <x:v>0.20000000000000001</x:v>
          </x:cell>
          <x:cell r="U157" t="str">
            <x:v>개별</x:v>
          </x:cell>
          <x:cell r="V157">
            <x:v>5</x:v>
          </x:cell>
          <x:cell r="W157">
            <x:v>0.65000000000000002</x:v>
          </x:cell>
          <x:cell r="X157" t="str">
            <x:v>없음</x:v>
          </x:cell>
          <x:cell r="Y157">
            <x:v>0</x:v>
          </x:cell>
          <x:cell r="Z157" t="str">
            <x:v>없음</x:v>
          </x:cell>
          <x:cell r="AA157">
            <x:v>0</x:v>
          </x:cell>
          <x:cell r="AB157" t="str">
            <x:v>시전 종료</x:v>
          </x:cell>
          <x:cell r="AC157" t="str">
            <x:v>없음</x:v>
          </x:cell>
          <x:cell r="AD157" t="str">
            <x:v>기능 원형: 시선 회피 · 몬스터 시트 발동률 20%와 동기화</x:v>
          </x:cell>
        </x:row>
        <x:row r="158">
          <x:cell r="G158" t="str">
            <x:v>길은 못 줘</x:v>
          </x:cell>
          <x:cell r="H158" t="str">
            <x:v>통로·출구·안전 위치를 점유하거나 닫아 플레이어의 이동 선택지를 줄임.</x:v>
          </x:cell>
          <x:cell r="I158"/>
          <x:cell r="J158" t="str">
            <x:v>액티브</x:v>
          </x:cell>
          <x:cell r="K158" t="str">
            <x:v>못 본 척 동아리</x:v>
          </x:cell>
          <x:cell r="L158" t="str">
            <x:v>이동 경로 제한</x:v>
          </x:cell>
          <x:cell r="M158" t="str">
            <x:v>AI 가중치</x:v>
          </x:cell>
          <x:cell r="N158" t="str">
            <x:v>사거리·페이즈·주변 상황 조건 충족</x:v>
          </x:cell>
          <x:cell r="O158" t="str">
            <x:v>없음</x:v>
          </x:cell>
          <x:cell r="P158">
            <x:v>0</x:v>
          </x:cell>
          <x:cell r="Q158">
            <x:v>0</x:v>
          </x:cell>
          <x:cell r="R158" t="str">
            <x:v>피해 없음</x:v>
          </x:cell>
          <x:cell r="S158">
            <x:v>7.2000000000000002</x:v>
          </x:cell>
          <x:cell r="T158">
            <x:v>0.29999999999999999</x:v>
          </x:cell>
          <x:cell r="U158" t="str">
            <x:v>개별</x:v>
          </x:cell>
          <x:cell r="V158">
            <x:v>5.7000000000000002</x:v>
          </x:cell>
          <x:cell r="W158">
            <x:v>0.65000000000000002</x:v>
          </x:cell>
          <x:cell r="X158" t="str">
            <x:v>이동 가능 경로</x:v>
          </x:cell>
          <x:cell r="Y158">
            <x:v>-1</x:v>
          </x:cell>
          <x:cell r="Z158" t="str">
            <x:v>개</x:v>
          </x:cell>
          <x:cell r="AA158">
            <x:v>4</x:v>
          </x:cell>
          <x:cell r="AB158" t="str">
            <x:v>지속 종료</x:v>
          </x:cell>
          <x:cell r="AC158" t="str">
            <x:v>없음</x:v>
          </x:cell>
          <x:cell r="AD158" t="str">
            <x:v>기능 원형: 집단 가로막기 · 몬스터 시트 발동률 30%와 동기화</x:v>
          </x:cell>
        </x:row>
        <x:row r="159">
          <x:cell r="G159" t="str">
            <x:v>다 같이 모른 척</x:v>
          </x:cell>
          <x:cell r="H159" t="str">
            <x:v>몸체·집게·외피로 목표를 밀어 안전 위치에서 벗어나게 함.</x:v>
          </x:cell>
          <x:cell r="I159"/>
          <x:cell r="J159" t="str">
            <x:v>액티브</x:v>
          </x:cell>
          <x:cell r="K159" t="str">
            <x:v>못 본 척 동아리</x:v>
          </x:cell>
          <x:cell r="L159" t="str">
            <x:v>밀려남 1.5칸</x:v>
          </x:cell>
          <x:cell r="M159" t="str">
            <x:v>AI 가중치</x:v>
          </x:cell>
          <x:cell r="N159" t="str">
            <x:v>사거리·페이즈·주변 상황 조건 충족</x:v>
          </x:cell>
          <x:cell r="O159" t="str">
            <x:v>몬스터 최종 공격력 비율</x:v>
          </x:cell>
          <x:cell r="P159">
            <x:v>0.75</x:v>
          </x:cell>
          <x:cell r="Q159">
            <x:v>0</x:v>
          </x:cell>
          <x:cell r="R159" t="str">
            <x:v>몬스터 최종 공격력 × 75%</x:v>
          </x:cell>
          <x:cell r="S159">
            <x:v>7.9000000000000004</x:v>
          </x:cell>
          <x:cell r="T159">
            <x:v>0.29999999999999999</x:v>
          </x:cell>
          <x:cell r="U159" t="str">
            <x:v>개별</x:v>
          </x:cell>
          <x:cell r="V159">
            <x:v>6.4000000000000004</x:v>
          </x:cell>
          <x:cell r="W159">
            <x:v>0.65000000000000002</x:v>
          </x:cell>
          <x:cell r="X159" t="str">
            <x:v>없음</x:v>
          </x:cell>
          <x:cell r="Y159">
            <x:v>0</x:v>
          </x:cell>
          <x:cell r="Z159" t="str">
            <x:v>없음</x:v>
          </x:cell>
          <x:cell r="AA159">
            <x:v>0</x:v>
          </x:cell>
          <x:cell r="AB159" t="str">
            <x:v>시전 종료</x:v>
          </x:cell>
          <x:cell r="AC159" t="str">
            <x:v>SKL-STS-002</x:v>
          </x:cell>
          <x:cell r="AD159" t="str">
            <x:v>기능 원형: 동시 밀치기 · 몬스터 시트 발동률 30%와 동기화</x:v>
          </x:cell>
        </x:row>
        <x:row r="160">
          <x:cell r="G160" t="str">
            <x:v>걔는 건드리지 마</x:v>
          </x:cell>
          <x:cell r="H160" t="str">
            <x:v>'가해자 보호' 행동을 수행해 위치·전투 리듬을 변화시킴.</x:v>
          </x:cell>
          <x:cell r="I160"/>
          <x:cell r="J160" t="str">
            <x:v>액티브</x:v>
          </x:cell>
          <x:cell r="K160" t="str">
            <x:v>못 본 척 동아리</x:v>
          </x:cell>
          <x:cell r="L160"/>
          <x:cell r="M160" t="str">
            <x:v>AI 가중치</x:v>
          </x:cell>
          <x:cell r="N160" t="str">
            <x:v>사거리·페이즈·주변 상황 조건 충족</x:v>
          </x:cell>
          <x:cell r="O160" t="str">
            <x:v>없음</x:v>
          </x:cell>
          <x:cell r="P160">
            <x:v>0</x:v>
          </x:cell>
          <x:cell r="Q160">
            <x:v>0</x:v>
          </x:cell>
          <x:cell r="R160" t="str">
            <x:v>피해 없음</x:v>
          </x:cell>
          <x:cell r="S160">
            <x:v>8.5999999999999996</x:v>
          </x:cell>
          <x:cell r="T160">
            <x:v>0.20000000000000001</x:v>
          </x:cell>
          <x:cell r="U160" t="str">
            <x:v>개별</x:v>
          </x:cell>
          <x:cell r="V160">
            <x:v>7.0999999999999996</x:v>
          </x:cell>
          <x:cell r="W160">
            <x:v>0.65000000000000002</x:v>
          </x:cell>
          <x:cell r="X160" t="str">
            <x:v>없음</x:v>
          </x:cell>
          <x:cell r="Y160">
            <x:v>0</x:v>
          </x:cell>
          <x:cell r="Z160" t="str">
            <x:v>없음</x:v>
          </x:cell>
          <x:cell r="AA160">
            <x:v>0</x:v>
          </x:cell>
          <x:cell r="AB160" t="str">
            <x:v>시전 종료</x:v>
          </x:cell>
          <x:cell r="AC160" t="str">
            <x:v>없음</x:v>
          </x:cell>
          <x:cell r="AD160" t="str">
            <x:v>기능 원형: 가해자 보호 · 몬스터 시트 발동률 20%와 동기화</x:v>
          </x:cell>
        </x:row>
        <x:row r="161">
          <x:cell r="G161" t="str">
            <x:v>3반에도 말할게</x:v>
          </x:cell>
          <x:cell r="H161" t="str">
            <x:v>특정 대상이나 위치에 표식을 남겨 무리의 공격 우선순위를 집중시킴.</x:v>
          </x:cell>
          <x:cell r="I161"/>
          <x:cell r="J161" t="str">
            <x:v>액티브</x:v>
          </x:cell>
          <x:cell r="K161" t="str">
            <x:v>3반에서 들었대</x:v>
          </x:cell>
          <x:cell r="L161" t="str">
            <x:v>표적 지정</x:v>
          </x:cell>
          <x:cell r="M161" t="str">
            <x:v>AI 가중치</x:v>
          </x:cell>
          <x:cell r="N161" t="str">
            <x:v>사거리·페이즈·주변 상황 조건 충족</x:v>
          </x:cell>
          <x:cell r="O161" t="str">
            <x:v>없음</x:v>
          </x:cell>
          <x:cell r="P161">
            <x:v>0</x:v>
          </x:cell>
          <x:cell r="Q161">
            <x:v>0</x:v>
          </x:cell>
          <x:cell r="R161" t="str">
            <x:v>피해 없음</x:v>
          </x:cell>
          <x:cell r="S161">
            <x:v>7</x:v>
          </x:cell>
          <x:cell r="T161">
            <x:v>0.25</x:v>
          </x:cell>
          <x:cell r="U161" t="str">
            <x:v>개별</x:v>
          </x:cell>
          <x:cell r="V161">
            <x:v>5.5</x:v>
          </x:cell>
          <x:cell r="W161">
            <x:v>0.75</x:v>
          </x:cell>
          <x:cell r="X161" t="str">
            <x:v>AI 우선순위</x:v>
          </x:cell>
          <x:cell r="Y161">
            <x:v>1</x:v>
          </x:cell>
          <x:cell r="Z161" t="str">
            <x:v>단계</x:v>
          </x:cell>
          <x:cell r="AA161">
            <x:v>4</x:v>
          </x:cell>
          <x:cell r="AB161" t="str">
            <x:v>지속 종료</x:v>
          </x:cell>
          <x:cell r="AC161" t="str">
            <x:v>SKL-STS-007</x:v>
          </x:cell>
          <x:cell r="AD161" t="str">
            <x:v>기능 원형: 위치 전파 · 몬스터 시트 발동률 25%와 동기화</x:v>
          </x:cell>
        </x:row>
        <x:row r="162">
          <x:cell r="G162" t="str">
            <x:v>다 들었대!</x:v>
          </x:cell>
          <x:cell r="H162" t="str">
            <x:v>주변 구역의 부하 또는 증원 개체를 불러 전장의 수적 압박을 늘림.</x:v>
          </x:cell>
          <x:cell r="I162"/>
          <x:cell r="J162" t="str">
            <x:v>액티브</x:v>
          </x:cell>
          <x:cell r="K162" t="str">
            <x:v>3반에서 들었대</x:v>
          </x:cell>
          <x:cell r="L162"/>
          <x:cell r="M162" t="str">
            <x:v>AI 가중치</x:v>
          </x:cell>
          <x:cell r="N162" t="str">
            <x:v>사거리·페이즈·주변 상황 조건 충족</x:v>
          </x:cell>
          <x:cell r="O162" t="str">
            <x:v>없음</x:v>
          </x:cell>
          <x:cell r="P162">
            <x:v>0</x:v>
          </x:cell>
          <x:cell r="Q162">
            <x:v>0</x:v>
          </x:cell>
          <x:cell r="R162" t="str">
            <x:v>피해 없음</x:v>
          </x:cell>
          <x:cell r="S162">
            <x:v>7.7000000000000002</x:v>
          </x:cell>
          <x:cell r="T162">
            <x:v>0.25</x:v>
          </x:cell>
          <x:cell r="U162" t="str">
            <x:v>개별</x:v>
          </x:cell>
          <x:cell r="V162">
            <x:v>6.2000000000000002</x:v>
          </x:cell>
          <x:cell r="W162">
            <x:v>0.75</x:v>
          </x:cell>
          <x:cell r="X162" t="str">
            <x:v>소환 개체</x:v>
          </x:cell>
          <x:cell r="Y162">
            <x:v>1</x:v>
          </x:cell>
          <x:cell r="Z162" t="str">
            <x:v>체</x:v>
          </x:cell>
          <x:cell r="AA162">
            <x:v>0</x:v>
          </x:cell>
          <x:cell r="AB162" t="str">
            <x:v>시전 종료</x:v>
          </x:cell>
          <x:cell r="AC162" t="str">
            <x:v>없음</x:v>
          </x:cell>
          <x:cell r="AD162" t="str">
            <x:v>기능 원형: 교실 증원 · 몬스터 시트 발동률 25%와 동기화</x:v>
          </x:cell>
        </x:row>
        <x:row r="163">
          <x:cell r="G163" t="str">
            <x:v>소문 쫙!</x:v>
          </x:cell>
          <x:cell r="H163" t="str">
            <x:v>서사적 압박 신호를 파동으로 방출해 직접 피해보다 판단·UI·행동을 흔듦.</x:v>
          </x:cell>
          <x:cell r="I163"/>
          <x:cell r="J163" t="str">
            <x:v>액티브</x:v>
          </x:cell>
          <x:cell r="K163" t="str">
            <x:v>3반에서 들었대</x:v>
          </x:cell>
          <x:cell r="L163" t="str">
            <x:v>위치 노출</x:v>
          </x:cell>
          <x:cell r="M163" t="str">
            <x:v>AI 가중치</x:v>
          </x:cell>
          <x:cell r="N163" t="str">
            <x:v>사거리·페이즈·주변 상황 조건 충족</x:v>
          </x:cell>
          <x:cell r="O163" t="str">
            <x:v>몬스터 최종 공격력 비율</x:v>
          </x:cell>
          <x:cell r="P163">
            <x:v>0.46999999999999997</x:v>
          </x:cell>
          <x:cell r="Q163">
            <x:v>0</x:v>
          </x:cell>
          <x:cell r="R163" t="str">
            <x:v>몬스터 최종 공격력 × 47%</x:v>
          </x:cell>
          <x:cell r="S163">
            <x:v>8.4000000000000004</x:v>
          </x:cell>
          <x:cell r="T163">
            <x:v>0.29999999999999999</x:v>
          </x:cell>
          <x:cell r="U163" t="str">
            <x:v>개별</x:v>
          </x:cell>
          <x:cell r="V163">
            <x:v>6.9000000000000004</x:v>
          </x:cell>
          <x:cell r="W163">
            <x:v>0.75</x:v>
          </x:cell>
          <x:cell r="X163" t="str">
            <x:v>없음</x:v>
          </x:cell>
          <x:cell r="Y163">
            <x:v>0</x:v>
          </x:cell>
          <x:cell r="Z163" t="str">
            <x:v>없음</x:v>
          </x:cell>
          <x:cell r="AA163">
            <x:v>0</x:v>
          </x:cell>
          <x:cell r="AB163" t="str">
            <x:v>시전 종료</x:v>
          </x:cell>
          <x:cell r="AC163" t="str">
            <x:v>SKL-STS-007</x:v>
          </x:cell>
          <x:cell r="AD163" t="str">
            <x:v>기능 원형: 소문 파동 · 몬스터 시트 발동률 30%와 동기화</x:v>
          </x:cell>
        </x:row>
        <x:row r="164">
          <x:cell r="G164" t="str">
            <x:v>난 뒤로 갈게</x:v>
          </x:cell>
          <x:cell r="H164" t="str">
            <x:v>공격 후 거리를 벌리거나 사각으로 이동해 다음 공격 위치를 다시 잡음.</x:v>
          </x:cell>
          <x:cell r="I164"/>
          <x:cell r="J164" t="str">
            <x:v>액티브</x:v>
          </x:cell>
          <x:cell r="K164" t="str">
            <x:v>3반에서 들었대</x:v>
          </x:cell>
          <x:cell r="L164"/>
          <x:cell r="M164" t="str">
            <x:v>AI 가중치</x:v>
          </x:cell>
          <x:cell r="N164" t="str">
            <x:v>사거리·페이즈·주변 상황 조건 충족</x:v>
          </x:cell>
          <x:cell r="O164" t="str">
            <x:v>없음</x:v>
          </x:cell>
          <x:cell r="P164">
            <x:v>0</x:v>
          </x:cell>
          <x:cell r="Q164">
            <x:v>0</x:v>
          </x:cell>
          <x:cell r="R164" t="str">
            <x:v>피해 없음</x:v>
          </x:cell>
          <x:cell r="S164">
            <x:v>9.0999999999999996</x:v>
          </x:cell>
          <x:cell r="T164">
            <x:v>0.20000000000000001</x:v>
          </x:cell>
          <x:cell r="U164" t="str">
            <x:v>개별</x:v>
          </x:cell>
          <x:cell r="V164">
            <x:v>7.5999999999999996</x:v>
          </x:cell>
          <x:cell r="W164">
            <x:v>0.75</x:v>
          </x:cell>
          <x:cell r="X164" t="str">
            <x:v>이동 위치</x:v>
          </x:cell>
          <x:cell r="Y164">
            <x:v>1</x:v>
          </x:cell>
          <x:cell r="Z164" t="str">
            <x:v>지점</x:v>
          </x:cell>
          <x:cell r="AA164">
            <x:v>0</x:v>
          </x:cell>
          <x:cell r="AB164" t="str">
            <x:v>시전 종료</x:v>
          </x:cell>
          <x:cell r="AC164" t="str">
            <x:v>없음</x:v>
          </x:cell>
          <x:cell r="AD164" t="str">
            <x:v>기능 원형: 후방 이동 · 몬스터 시트 발동률 20%와 동기화</x:v>
          </x:cell>
        </x:row>
        <x:row r="165">
          <x:cell r="G165" t="str">
            <x:v>한 명만 가운데</x:v>
          </x:cell>
          <x:cell r="H165" t="str">
            <x:v>'포위 명령' 행동을 수행해 위치·전투 리듬을 변화시킴.</x:v>
          </x:cell>
          <x:cell r="I165"/>
          <x:cell r="J165" t="str">
            <x:v>액티브</x:v>
          </x:cell>
          <x:cell r="K165" t="str">
            <x:v>한 명 빼고 전부</x:v>
          </x:cell>
          <x:cell r="L165"/>
          <x:cell r="M165" t="str">
            <x:v>AI 가중치</x:v>
          </x:cell>
          <x:cell r="N165" t="str">
            <x:v>사거리·페이즈·주변 상황 조건 충족</x:v>
          </x:cell>
          <x:cell r="O165" t="str">
            <x:v>없음</x:v>
          </x:cell>
          <x:cell r="P165">
            <x:v>0</x:v>
          </x:cell>
          <x:cell r="Q165">
            <x:v>0</x:v>
          </x:cell>
          <x:cell r="R165" t="str">
            <x:v>피해 없음</x:v>
          </x:cell>
          <x:cell r="S165">
            <x:v>7</x:v>
          </x:cell>
          <x:cell r="T165">
            <x:v>0.29999999999999999</x:v>
          </x:cell>
          <x:cell r="U165" t="str">
            <x:v>개별</x:v>
          </x:cell>
          <x:cell r="V165">
            <x:v>5.5</x:v>
          </x:cell>
          <x:cell r="W165">
            <x:v>0.75</x:v>
          </x:cell>
          <x:cell r="X165" t="str">
            <x:v>없음</x:v>
          </x:cell>
          <x:cell r="Y165">
            <x:v>0</x:v>
          </x:cell>
          <x:cell r="Z165" t="str">
            <x:v>없음</x:v>
          </x:cell>
          <x:cell r="AA165">
            <x:v>0</x:v>
          </x:cell>
          <x:cell r="AB165" t="str">
            <x:v>시전 종료</x:v>
          </x:cell>
          <x:cell r="AC165" t="str">
            <x:v>없음</x:v>
          </x:cell>
          <x:cell r="AD165" t="str">
            <x:v>기능 원형: 포위 명령 · 몬스터 시트 발동률 30%와 동기화</x:v>
          </x:cell>
        </x:row>
        <x:row r="166">
          <x:cell r="G166" t="str">
            <x:v>나갈 곳 없어</x:v>
          </x:cell>
          <x:cell r="H166" t="str">
            <x:v>통로·출구·안전 위치를 점유하거나 닫아 플레이어의 이동 선택지를 줄임.</x:v>
          </x:cell>
          <x:cell r="I166"/>
          <x:cell r="J166" t="str">
            <x:v>액티브</x:v>
          </x:cell>
          <x:cell r="K166" t="str">
            <x:v>한 명 빼고 전부</x:v>
          </x:cell>
          <x:cell r="L166" t="str">
            <x:v>이동 경로 제한</x:v>
          </x:cell>
          <x:cell r="M166" t="str">
            <x:v>AI 가중치</x:v>
          </x:cell>
          <x:cell r="N166" t="str">
            <x:v>사거리·페이즈·주변 상황 조건 충족</x:v>
          </x:cell>
          <x:cell r="O166" t="str">
            <x:v>없음</x:v>
          </x:cell>
          <x:cell r="P166">
            <x:v>0</x:v>
          </x:cell>
          <x:cell r="Q166">
            <x:v>0</x:v>
          </x:cell>
          <x:cell r="R166" t="str">
            <x:v>피해 없음</x:v>
          </x:cell>
          <x:cell r="S166">
            <x:v>7.7000000000000002</x:v>
          </x:cell>
          <x:cell r="T166">
            <x:v>0.25</x:v>
          </x:cell>
          <x:cell r="U166" t="str">
            <x:v>개별</x:v>
          </x:cell>
          <x:cell r="V166">
            <x:v>6.2000000000000002</x:v>
          </x:cell>
          <x:cell r="W166">
            <x:v>0.75</x:v>
          </x:cell>
          <x:cell r="X166" t="str">
            <x:v>이동 가능 경로</x:v>
          </x:cell>
          <x:cell r="Y166">
            <x:v>-1</x:v>
          </x:cell>
          <x:cell r="Z166" t="str">
            <x:v>개</x:v>
          </x:cell>
          <x:cell r="AA166">
            <x:v>4</x:v>
          </x:cell>
          <x:cell r="AB166" t="str">
            <x:v>지속 종료</x:v>
          </x:cell>
          <x:cell r="AC166" t="str">
            <x:v>없음</x:v>
          </x:cell>
          <x:cell r="AD166" t="str">
            <x:v>기능 원형: 퇴로 봉쇄 · 몬스터 시트 발동률 25%와 동기화</x:v>
          </x:cell>
        </x:row>
        <x:row r="167">
          <x:cell r="G167" t="str">
            <x:v>차례대로.</x:v>
          </x:cell>
          <x:cell r="H167" t="str">
            <x:v>'순차 공격' 행동을 수행해 위치·전투 리듬을 변화시킴.</x:v>
          </x:cell>
          <x:cell r="I167"/>
          <x:cell r="J167" t="str">
            <x:v>액티브</x:v>
          </x:cell>
          <x:cell r="K167" t="str">
            <x:v>한 명 빼고 전부</x:v>
          </x:cell>
          <x:cell r="L167"/>
          <x:cell r="M167" t="str">
            <x:v>AI 가중치</x:v>
          </x:cell>
          <x:cell r="N167" t="str">
            <x:v>사거리·페이즈·주변 상황 조건 충족</x:v>
          </x:cell>
          <x:cell r="O167" t="str">
            <x:v>없음</x:v>
          </x:cell>
          <x:cell r="P167">
            <x:v>0</x:v>
          </x:cell>
          <x:cell r="Q167">
            <x:v>0</x:v>
          </x:cell>
          <x:cell r="R167" t="str">
            <x:v>피해 없음</x:v>
          </x:cell>
          <x:cell r="S167">
            <x:v>8.4000000000000004</x:v>
          </x:cell>
          <x:cell r="T167">
            <x:v>0.25</x:v>
          </x:cell>
          <x:cell r="U167" t="str">
            <x:v>개별</x:v>
          </x:cell>
          <x:cell r="V167">
            <x:v>6.9000000000000004</x:v>
          </x:cell>
          <x:cell r="W167">
            <x:v>0.75</x:v>
          </x:cell>
          <x:cell r="X167" t="str">
            <x:v>없음</x:v>
          </x:cell>
          <x:cell r="Y167">
            <x:v>0</x:v>
          </x:cell>
          <x:cell r="Z167" t="str">
            <x:v>없음</x:v>
          </x:cell>
          <x:cell r="AA167">
            <x:v>0</x:v>
          </x:cell>
          <x:cell r="AB167" t="str">
            <x:v>시전 종료</x:v>
          </x:cell>
          <x:cell r="AC167" t="str">
            <x:v>없음</x:v>
          </x:cell>
          <x:cell r="AD167" t="str">
            <x:v>기능 원형: 순차 공격 · 몬스터 시트 발동률 25%와 동기화</x:v>
          </x:cell>
        </x:row>
        <x:row r="168">
          <x:cell r="G168" t="str">
            <x:v>전부 같이!</x:v>
          </x:cell>
          <x:cell r="H168" t="str">
            <x:v>직선 전조 후 목표 방향으로 빠르게 돌진해 경로상의 대상을 압박함.</x:v>
          </x:cell>
          <x:cell r="I168"/>
          <x:cell r="J168" t="str">
            <x:v>액티브</x:v>
          </x:cell>
          <x:cell r="K168" t="str">
            <x:v>한 명 빼고 전부</x:v>
          </x:cell>
          <x:cell r="L168" t="str">
            <x:v>밀려남 1.5칸</x:v>
          </x:cell>
          <x:cell r="M168" t="str">
            <x:v>AI 가중치</x:v>
          </x:cell>
          <x:cell r="N168" t="str">
            <x:v>사거리·페이즈·주변 상황 조건 충족</x:v>
          </x:cell>
          <x:cell r="O168" t="str">
            <x:v>몬스터 최종 공격력 비율</x:v>
          </x:cell>
          <x:cell r="P168">
            <x:v>1.21</x:v>
          </x:cell>
          <x:cell r="Q168">
            <x:v>0</x:v>
          </x:cell>
          <x:cell r="R168" t="str">
            <x:v>몬스터 최종 공격력 × 121%</x:v>
          </x:cell>
          <x:cell r="S168">
            <x:v>9.0999999999999996</x:v>
          </x:cell>
          <x:cell r="T168">
            <x:v>0.20000000000000001</x:v>
          </x:cell>
          <x:cell r="U168" t="str">
            <x:v>개별</x:v>
          </x:cell>
          <x:cell r="V168">
            <x:v>7.5999999999999996</x:v>
          </x:cell>
          <x:cell r="W168">
            <x:v>0.75</x:v>
          </x:cell>
          <x:cell r="X168" t="str">
            <x:v>없음</x:v>
          </x:cell>
          <x:cell r="Y168">
            <x:v>0</x:v>
          </x:cell>
          <x:cell r="Z168" t="str">
            <x:v>없음</x:v>
          </x:cell>
          <x:cell r="AA168">
            <x:v>0</x:v>
          </x:cell>
          <x:cell r="AB168" t="str">
            <x:v>시전 종료</x:v>
          </x:cell>
          <x:cell r="AC168" t="str">
            <x:v>SKL-STS-002</x:v>
          </x:cell>
          <x:cell r="AD168" t="str">
            <x:v>기능 원형: 집단 돌진 · 몬스터 시트 발동률 20%와 동기화</x:v>
          </x:cell>
        </x:row>
        <x:row r="169">
          <x:cell r="G169" t="str">
            <x:v>그날은 이랬어.</x:v>
          </x:cell>
          <x:cell r="H169" t="str">
            <x:v>손상된 외피·부위를 다시 결합해 체력을 회복함.</x:v>
          </x:cell>
          <x:cell r="I169"/>
          <x:cell r="J169" t="str">
            <x:v>액티브</x:v>
          </x:cell>
          <x:cell r="K169" t="str">
            <x:v>그날의 오답노트</x:v>
          </x:cell>
          <x:cell r="L169"/>
          <x:cell r="M169" t="str">
            <x:v>페이즈+AI</x:v>
          </x:cell>
          <x:cell r="N169" t="str">
            <x:v>현재 페이즈에서 사용 가능·가중치 판정</x:v>
          </x:cell>
          <x:cell r="O169" t="str">
            <x:v>없음</x:v>
          </x:cell>
          <x:cell r="P169">
            <x:v>0</x:v>
          </x:cell>
          <x:cell r="Q169">
            <x:v>0</x:v>
          </x:cell>
          <x:cell r="R169" t="str">
            <x:v>피해 없음</x:v>
          </x:cell>
          <x:cell r="S169">
            <x:v>8</x:v>
          </x:cell>
          <x:cell r="T169">
            <x:v>0.25</x:v>
          </x:cell>
          <x:cell r="U169" t="str">
            <x:v>개별</x:v>
          </x:cell>
          <x:cell r="V169">
            <x:v>6.5</x:v>
          </x:cell>
          <x:cell r="W169">
            <x:v>0.90000000000000002</x:v>
          </x:cell>
          <x:cell r="X169" t="str">
            <x:v>HP</x:v>
          </x:cell>
          <x:cell r="Y169">
            <x:v>12</x:v>
          </x:cell>
          <x:cell r="Z169" t="str">
            <x:v>%</x:v>
          </x:cell>
          <x:cell r="AA169">
            <x:v>0</x:v>
          </x:cell>
          <x:cell r="AB169" t="str">
            <x:v>시전 종료</x:v>
          </x:cell>
          <x:cell r="AC169" t="str">
            <x:v>없음</x:v>
          </x:cell>
          <x:cell r="AD169" t="str">
            <x:v>기능 원형: 기억 재생 · 몬스터 시트 발동률 25%와 동기화</x:v>
          </x:cell>
        </x:row>
        <x:row r="170">
          <x:cell r="G170" t="str">
            <x:v>교실 다시 쓰기</x:v>
          </x:cell>
          <x:cell r="H170" t="str">
            <x:v>기억·환영·가짜 오브젝트를 만들어 플레이어의 판단과 방향 인식을 흐림.</x:v>
          </x:cell>
          <x:cell r="I170"/>
          <x:cell r="J170" t="str">
            <x:v>액티브</x:v>
          </x:cell>
          <x:cell r="K170" t="str">
            <x:v>그날의 오답노트</x:v>
          </x:cell>
          <x:cell r="L170" t="str">
            <x:v>방향 혼란</x:v>
          </x:cell>
          <x:cell r="M170" t="str">
            <x:v>페이즈+AI</x:v>
          </x:cell>
          <x:cell r="N170" t="str">
            <x:v>현재 페이즈에서 사용 가능·가중치 판정</x:v>
          </x:cell>
          <x:cell r="O170" t="str">
            <x:v>없음</x:v>
          </x:cell>
          <x:cell r="P170">
            <x:v>0</x:v>
          </x:cell>
          <x:cell r="Q170">
            <x:v>0</x:v>
          </x:cell>
          <x:cell r="R170" t="str">
            <x:v>피해 없음</x:v>
          </x:cell>
          <x:cell r="S170">
            <x:v>8.6999999999999993</x:v>
          </x:cell>
          <x:cell r="T170">
            <x:v>0.25</x:v>
          </x:cell>
          <x:cell r="U170" t="str">
            <x:v>개별</x:v>
          </x:cell>
          <x:cell r="V170">
            <x:v>7.2000000000000002</x:v>
          </x:cell>
          <x:cell r="W170">
            <x:v>0.90000000000000002</x:v>
          </x:cell>
          <x:cell r="X170" t="str">
            <x:v>판독 단계</x:v>
          </x:cell>
          <x:cell r="Y170">
            <x:v>-1</x:v>
          </x:cell>
          <x:cell r="Z170" t="str">
            <x:v>단계</x:v>
          </x:cell>
          <x:cell r="AA170">
            <x:v>3</x:v>
          </x:cell>
          <x:cell r="AB170" t="str">
            <x:v>지속 종료</x:v>
          </x:cell>
          <x:cell r="AC170" t="str">
            <x:v>SKL-STS-006</x:v>
          </x:cell>
          <x:cell r="AD170" t="str">
            <x:v>기능 원형: 가짜 교실 생성 · 몬스터 시트 발동률 25%와 동기화</x:v>
          </x:cell>
        </x:row>
        <x:row r="171">
          <x:cell r="G171" t="str">
            <x:v>네가 틀렸잖아.</x:v>
          </x:cell>
          <x:cell r="H171" t="str">
            <x:v>서사적 압박 신호를 파동으로 방출해 직접 피해보다 판단·UI·행동을 흔듦.</x:v>
          </x:cell>
          <x:cell r="I171"/>
          <x:cell r="J171" t="str">
            <x:v>액티브</x:v>
          </x:cell>
          <x:cell r="K171" t="str">
            <x:v>그날의 오답노트</x:v>
          </x:cell>
          <x:cell r="L171" t="str">
            <x:v>UI 간섭 2초</x:v>
          </x:cell>
          <x:cell r="M171" t="str">
            <x:v>페이즈+AI</x:v>
          </x:cell>
          <x:cell r="N171" t="str">
            <x:v>현재 페이즈에서 사용 가능·가중치 판정</x:v>
          </x:cell>
          <x:cell r="O171" t="str">
            <x:v>몬스터 최종 공격력 비율</x:v>
          </x:cell>
          <x:cell r="P171">
            <x:v>0.52000000000000002</x:v>
          </x:cell>
          <x:cell r="Q171">
            <x:v>0</x:v>
          </x:cell>
          <x:cell r="R171" t="str">
            <x:v>몬스터 최종 공격력 × 52%</x:v>
          </x:cell>
          <x:cell r="S171">
            <x:v>9.4000000000000004</x:v>
          </x:cell>
          <x:cell r="T171">
            <x:v>0.25</x:v>
          </x:cell>
          <x:cell r="U171" t="str">
            <x:v>개별</x:v>
          </x:cell>
          <x:cell r="V171">
            <x:v>7.9000000000000004</x:v>
          </x:cell>
          <x:cell r="W171">
            <x:v>0.90000000000000002</x:v>
          </x:cell>
          <x:cell r="X171" t="str">
            <x:v>없음</x:v>
          </x:cell>
          <x:cell r="Y171">
            <x:v>0</x:v>
          </x:cell>
          <x:cell r="Z171" t="str">
            <x:v>없음</x:v>
          </x:cell>
          <x:cell r="AA171">
            <x:v>0</x:v>
          </x:cell>
          <x:cell r="AB171" t="str">
            <x:v>시전 종료</x:v>
          </x:cell>
          <x:cell r="AC171" t="str">
            <x:v>없음</x:v>
          </x:cell>
          <x:cell r="AD171" t="str">
            <x:v>기능 원형: 죄책감 파동 · 몬스터 시트 발동률 25%와 동기화</x:v>
          </x:cell>
        </x:row>
        <x:row r="172">
          <x:cell r="G172" t="str">
            <x:v>정답 바꾸기</x:v>
          </x:cell>
          <x:cell r="H172" t="str">
            <x:v>기억·환영·가짜 오브젝트를 만들어 플레이어의 판단과 방향 인식을 흐림.</x:v>
          </x:cell>
          <x:cell r="I172"/>
          <x:cell r="J172" t="str">
            <x:v>액티브</x:v>
          </x:cell>
          <x:cell r="K172" t="str">
            <x:v>그날의 오답노트</x:v>
          </x:cell>
          <x:cell r="L172" t="str">
            <x:v>방향 혼란</x:v>
          </x:cell>
          <x:cell r="M172" t="str">
            <x:v>페이즈+AI</x:v>
          </x:cell>
          <x:cell r="N172" t="str">
            <x:v>현재 페이즈에서 사용 가능·가중치 판정</x:v>
          </x:cell>
          <x:cell r="O172" t="str">
            <x:v>없음</x:v>
          </x:cell>
          <x:cell r="P172">
            <x:v>0</x:v>
          </x:cell>
          <x:cell r="Q172">
            <x:v>0</x:v>
          </x:cell>
          <x:cell r="R172" t="str">
            <x:v>피해 없음</x:v>
          </x:cell>
          <x:cell r="S172">
            <x:v>10.1</x:v>
          </x:cell>
          <x:cell r="T172">
            <x:v>0.25</x:v>
          </x:cell>
          <x:cell r="U172" t="str">
            <x:v>개별</x:v>
          </x:cell>
          <x:cell r="V172">
            <x:v>8.5999999999999996</x:v>
          </x:cell>
          <x:cell r="W172">
            <x:v>0.90000000000000002</x:v>
          </x:cell>
          <x:cell r="X172" t="str">
            <x:v>판독 단계</x:v>
          </x:cell>
          <x:cell r="Y172">
            <x:v>-1</x:v>
          </x:cell>
          <x:cell r="Z172" t="str">
            <x:v>단계</x:v>
          </x:cell>
          <x:cell r="AA172">
            <x:v>3</x:v>
          </x:cell>
          <x:cell r="AB172" t="str">
            <x:v>지속 종료</x:v>
          </x:cell>
          <x:cell r="AC172" t="str">
            <x:v>SKL-STS-006</x:v>
          </x:cell>
          <x:cell r="AD172" t="str">
            <x:v>기능 원형: 실체 교체 · 몬스터 시트 발동률 25%와 동기화</x:v>
          </x:cell>
        </x:row>
        <x:row r="173">
          <x:cell r="G173" t="str">
            <x:v>아직 안 끝났어</x:v>
          </x:cell>
          <x:cell r="H173" t="str">
            <x:v>'외피 연속 공격' 행동을 수행해 위치·전투 리듬을 변화시킴.</x:v>
          </x:cell>
          <x:cell r="I173"/>
          <x:cell r="J173" t="str">
            <x:v>액티브</x:v>
          </x:cell>
          <x:cell r="K173" t="str">
            <x:v>별을 삼킨 강당</x:v>
          </x:cell>
          <x:cell r="L173"/>
          <x:cell r="M173" t="str">
            <x:v>페이즈+AI</x:v>
          </x:cell>
          <x:cell r="N173" t="str">
            <x:v>현재 페이즈에서 사용 가능·가중치 판정</x:v>
          </x:cell>
          <x:cell r="O173" t="str">
            <x:v>없음</x:v>
          </x:cell>
          <x:cell r="P173">
            <x:v>0</x:v>
          </x:cell>
          <x:cell r="Q173">
            <x:v>0</x:v>
          </x:cell>
          <x:cell r="R173" t="str">
            <x:v>피해 없음</x:v>
          </x:cell>
          <x:cell r="S173">
            <x:v>8</x:v>
          </x:cell>
          <x:cell r="T173">
            <x:v>0.25</x:v>
          </x:cell>
          <x:cell r="U173" t="str">
            <x:v>개별</x:v>
          </x:cell>
          <x:cell r="V173">
            <x:v>6.5</x:v>
          </x:cell>
          <x:cell r="W173">
            <x:v>0.90000000000000002</x:v>
          </x:cell>
          <x:cell r="X173" t="str">
            <x:v>없음</x:v>
          </x:cell>
          <x:cell r="Y173">
            <x:v>0</x:v>
          </x:cell>
          <x:cell r="Z173" t="str">
            <x:v>없음</x:v>
          </x:cell>
          <x:cell r="AA173">
            <x:v>0</x:v>
          </x:cell>
          <x:cell r="AB173" t="str">
            <x:v>시전 종료</x:v>
          </x:cell>
          <x:cell r="AC173" t="str">
            <x:v>없음</x:v>
          </x:cell>
          <x:cell r="AD173" t="str">
            <x:v>기능 원형: 외피 연속 공격 · 몬스터 시트 발동률 25%와 동기화</x:v>
          </x:cell>
        </x:row>
        <x:row r="174">
          <x:cell r="G174" t="str">
            <x:v>공은 돌아온다</x:v>
          </x:cell>
          <x:cell r="H174" t="str">
            <x:v>'농구공 기억 핵' 행동을 수행해 위치·전투 리듬을 변화시킴.</x:v>
          </x:cell>
          <x:cell r="I174"/>
          <x:cell r="J174" t="str">
            <x:v>액티브</x:v>
          </x:cell>
          <x:cell r="K174" t="str">
            <x:v>별을 삼킨 강당</x:v>
          </x:cell>
          <x:cell r="L174"/>
          <x:cell r="M174" t="str">
            <x:v>페이즈+AI</x:v>
          </x:cell>
          <x:cell r="N174" t="str">
            <x:v>현재 페이즈에서 사용 가능·가중치 판정</x:v>
          </x:cell>
          <x:cell r="O174" t="str">
            <x:v>없음</x:v>
          </x:cell>
          <x:cell r="P174">
            <x:v>0</x:v>
          </x:cell>
          <x:cell r="Q174">
            <x:v>0</x:v>
          </x:cell>
          <x:cell r="R174" t="str">
            <x:v>피해 없음</x:v>
          </x:cell>
          <x:cell r="S174">
            <x:v>8.6999999999999993</x:v>
          </x:cell>
          <x:cell r="T174">
            <x:v>0.20000000000000001</x:v>
          </x:cell>
          <x:cell r="U174" t="str">
            <x:v>개별</x:v>
          </x:cell>
          <x:cell r="V174">
            <x:v>7.2000000000000002</x:v>
          </x:cell>
          <x:cell r="W174">
            <x:v>0.90000000000000002</x:v>
          </x:cell>
          <x:cell r="X174" t="str">
            <x:v>없음</x:v>
          </x:cell>
          <x:cell r="Y174">
            <x:v>0</x:v>
          </x:cell>
          <x:cell r="Z174" t="str">
            <x:v>없음</x:v>
          </x:cell>
          <x:cell r="AA174">
            <x:v>0</x:v>
          </x:cell>
          <x:cell r="AB174" t="str">
            <x:v>시전 종료</x:v>
          </x:cell>
          <x:cell r="AC174" t="str">
            <x:v>없음</x:v>
          </x:cell>
          <x:cell r="AD174" t="str">
            <x:v>기능 원형: 농구공 기억 핵 · 몬스터 시트 발동률 20%와 동기화</x:v>
          </x:cell>
        </x:row>
        <x:row r="175">
          <x:cell r="G175" t="str">
            <x:v>왜 이제 왔어?</x:v>
          </x:cell>
          <x:cell r="H175" t="str">
            <x:v>서사적 압박 신호를 파동으로 방출해 직접 피해보다 판단·UI·행동을 흔듦.</x:v>
          </x:cell>
          <x:cell r="I175"/>
          <x:cell r="J175" t="str">
            <x:v>액티브</x:v>
          </x:cell>
          <x:cell r="K175" t="str">
            <x:v>별을 삼킨 강당</x:v>
          </x:cell>
          <x:cell r="L175" t="str">
            <x:v>UI 간섭 2초</x:v>
          </x:cell>
          <x:cell r="M175" t="str">
            <x:v>페이즈+AI</x:v>
          </x:cell>
          <x:cell r="N175" t="str">
            <x:v>현재 페이즈에서 사용 가능·가중치 판정</x:v>
          </x:cell>
          <x:cell r="O175" t="str">
            <x:v>몬스터 최종 공격력 비율</x:v>
          </x:cell>
          <x:cell r="P175">
            <x:v>0.52000000000000002</x:v>
          </x:cell>
          <x:cell r="Q175">
            <x:v>0</x:v>
          </x:cell>
          <x:cell r="R175" t="str">
            <x:v>몬스터 최종 공격력 × 52%</x:v>
          </x:cell>
          <x:cell r="S175">
            <x:v>9.4000000000000004</x:v>
          </x:cell>
          <x:cell r="T175">
            <x:v>0.25</x:v>
          </x:cell>
          <x:cell r="U175" t="str">
            <x:v>개별</x:v>
          </x:cell>
          <x:cell r="V175">
            <x:v>7.9000000000000004</x:v>
          </x:cell>
          <x:cell r="W175">
            <x:v>0.90000000000000002</x:v>
          </x:cell>
          <x:cell r="X175" t="str">
            <x:v>없음</x:v>
          </x:cell>
          <x:cell r="Y175">
            <x:v>0</x:v>
          </x:cell>
          <x:cell r="Z175" t="str">
            <x:v>없음</x:v>
          </x:cell>
          <x:cell r="AA175">
            <x:v>0</x:v>
          </x:cell>
          <x:cell r="AB175" t="str">
            <x:v>시전 종료</x:v>
          </x:cell>
          <x:cell r="AC175" t="str">
            <x:v>없음</x:v>
          </x:cell>
          <x:cell r="AD175" t="str">
            <x:v>기능 원형: 죄책감 파동 · 몬스터 시트 발동률 25%와 동기화</x:v>
          </x:cell>
        </x:row>
        <x:row r="176">
          <x:cell r="G176" t="str">
            <x:v>때리지 마.</x:v>
          </x:cell>
          <x:cell r="H176" t="str">
            <x:v>'공격 중지·접근' 행동을 수행해 위치·전투 리듬을 변화시킴.</x:v>
          </x:cell>
          <x:cell r="I176"/>
          <x:cell r="J176" t="str">
            <x:v>액티브</x:v>
          </x:cell>
          <x:cell r="K176" t="str">
            <x:v>별을 삼킨 강당</x:v>
          </x:cell>
          <x:cell r="L176"/>
          <x:cell r="M176" t="str">
            <x:v>페이즈+AI</x:v>
          </x:cell>
          <x:cell r="N176" t="str">
            <x:v>현재 페이즈에서 사용 가능·가중치 판정</x:v>
          </x:cell>
          <x:cell r="O176" t="str">
            <x:v>없음</x:v>
          </x:cell>
          <x:cell r="P176">
            <x:v>0</x:v>
          </x:cell>
          <x:cell r="Q176">
            <x:v>0</x:v>
          </x:cell>
          <x:cell r="R176" t="str">
            <x:v>피해 없음</x:v>
          </x:cell>
          <x:cell r="S176">
            <x:v>10.1</x:v>
          </x:cell>
          <x:cell r="T176">
            <x:v>0.29999999999999999</x:v>
          </x:cell>
          <x:cell r="U176" t="str">
            <x:v>개별</x:v>
          </x:cell>
          <x:cell r="V176">
            <x:v>8.5999999999999996</x:v>
          </x:cell>
          <x:cell r="W176">
            <x:v>0.90000000000000002</x:v>
          </x:cell>
          <x:cell r="X176" t="str">
            <x:v>없음</x:v>
          </x:cell>
          <x:cell r="Y176">
            <x:v>0</x:v>
          </x:cell>
          <x:cell r="Z176" t="str">
            <x:v>없음</x:v>
          </x:cell>
          <x:cell r="AA176">
            <x:v>0</x:v>
          </x:cell>
          <x:cell r="AB176" t="str">
            <x:v>시전 종료</x:v>
          </x:cell>
          <x:cell r="AC176" t="str">
            <x:v>없음</x:v>
          </x:cell>
          <x:cell r="AD176" t="str">
            <x:v>기능 원형: 공격 중지·접근 · 몬스터 시트 발동률 30%와 동기화</x:v>
          </x:cell>
        </x:row>
        <x:row r="177">
          <x:cell r="G177" t="str">
            <x:v>인증 실패</x:v>
          </x:cell>
          <x:cell r="H177" t="str">
            <x:v>특정 대상이나 위치에 표식을 남겨 무리의 공격 우선순위를 집중시킴.</x:v>
          </x:cell>
          <x:cell r="I177"/>
          <x:cell r="J177" t="str">
            <x:v>액티브</x:v>
          </x:cell>
          <x:cell r="K177" t="str">
            <x:v>권한이 없습니다</x:v>
          </x:cell>
          <x:cell r="L177" t="str">
            <x:v>표적 지정</x:v>
          </x:cell>
          <x:cell r="M177" t="str">
            <x:v>AI 가중치</x:v>
          </x:cell>
          <x:cell r="N177" t="str">
            <x:v>사거리·페이즈·주변 상황 조건 충족</x:v>
          </x:cell>
          <x:cell r="O177" t="str">
            <x:v>없음</x:v>
          </x:cell>
          <x:cell r="P177">
            <x:v>0</x:v>
          </x:cell>
          <x:cell r="Q177">
            <x:v>0</x:v>
          </x:cell>
          <x:cell r="R177" t="str">
            <x:v>피해 없음</x:v>
          </x:cell>
          <x:cell r="S177">
            <x:v>6.5</x:v>
          </x:cell>
          <x:cell r="T177">
            <x:v>0.29999999999999999</x:v>
          </x:cell>
          <x:cell r="U177" t="str">
            <x:v>개별</x:v>
          </x:cell>
          <x:cell r="V177">
            <x:v>5</x:v>
          </x:cell>
          <x:cell r="W177">
            <x:v>0.65000000000000002</x:v>
          </x:cell>
          <x:cell r="X177" t="str">
            <x:v>AI 우선순위</x:v>
          </x:cell>
          <x:cell r="Y177">
            <x:v>1</x:v>
          </x:cell>
          <x:cell r="Z177" t="str">
            <x:v>단계</x:v>
          </x:cell>
          <x:cell r="AA177">
            <x:v>4</x:v>
          </x:cell>
          <x:cell r="AB177" t="str">
            <x:v>지속 종료</x:v>
          </x:cell>
          <x:cell r="AC177" t="str">
            <x:v>SKL-STS-007</x:v>
          </x:cell>
          <x:cell r="AD177" t="str">
            <x:v>기능 원형: 인증 표식 · 몬스터 시트 발동률 30%와 동기화</x:v>
          </x:cell>
        </x:row>
        <x:row r="178">
          <x:cell r="G178" t="str">
            <x:v>권한이 없습니다</x:v>
          </x:cell>
          <x:cell r="H178" t="str">
            <x:v>통로·출구·안전 위치를 점유하거나 닫아 플레이어의 이동 선택지를 줄임.</x:v>
          </x:cell>
          <x:cell r="I178"/>
          <x:cell r="J178" t="str">
            <x:v>액티브</x:v>
          </x:cell>
          <x:cell r="K178" t="str">
            <x:v>권한이 없습니다</x:v>
          </x:cell>
          <x:cell r="L178" t="str">
            <x:v>이동 경로 제한</x:v>
          </x:cell>
          <x:cell r="M178" t="str">
            <x:v>AI 가중치</x:v>
          </x:cell>
          <x:cell r="N178" t="str">
            <x:v>사거리·페이즈·주변 상황 조건 충족</x:v>
          </x:cell>
          <x:cell r="O178" t="str">
            <x:v>없음</x:v>
          </x:cell>
          <x:cell r="P178">
            <x:v>0</x:v>
          </x:cell>
          <x:cell r="Q178">
            <x:v>0</x:v>
          </x:cell>
          <x:cell r="R178" t="str">
            <x:v>피해 없음</x:v>
          </x:cell>
          <x:cell r="S178">
            <x:v>7.2000000000000002</x:v>
          </x:cell>
          <x:cell r="T178">
            <x:v>0.25</x:v>
          </x:cell>
          <x:cell r="U178" t="str">
            <x:v>개별</x:v>
          </x:cell>
          <x:cell r="V178">
            <x:v>5.7000000000000002</x:v>
          </x:cell>
          <x:cell r="W178">
            <x:v>0.65000000000000002</x:v>
          </x:cell>
          <x:cell r="X178" t="str">
            <x:v>이동 가능 경로</x:v>
          </x:cell>
          <x:cell r="Y178">
            <x:v>-1</x:v>
          </x:cell>
          <x:cell r="Z178" t="str">
            <x:v>개</x:v>
          </x:cell>
          <x:cell r="AA178">
            <x:v>4</x:v>
          </x:cell>
          <x:cell r="AB178" t="str">
            <x:v>지속 종료</x:v>
          </x:cell>
          <x:cell r="AC178" t="str">
            <x:v>없음</x:v>
          </x:cell>
          <x:cell r="AD178" t="str">
            <x:v>기능 원형: 차단 셔터 · 몬스터 시트 발동률 25%와 동기화</x:v>
          </x:cell>
        </x:row>
        <x:row r="179">
          <x:cell r="G179" t="str">
            <x:v>스캔합니다</x:v>
          </x:cell>
          <x:cell r="H179" t="str">
            <x:v>직선 조준선으로 목표를 스캔·타격해 원거리 압박을 줌.</x:v>
          </x:cell>
          <x:cell r="I179"/>
          <x:cell r="J179" t="str">
            <x:v>액티브</x:v>
          </x:cell>
          <x:cell r="K179" t="str">
            <x:v>권한이 없습니다</x:v>
          </x:cell>
          <x:cell r="L179"/>
          <x:cell r="M179" t="str">
            <x:v>AI 가중치</x:v>
          </x:cell>
          <x:cell r="N179" t="str">
            <x:v>사거리·페이즈·주변 상황 조건 충족</x:v>
          </x:cell>
          <x:cell r="O179" t="str">
            <x:v>몬스터 최종 공격력 비율</x:v>
          </x:cell>
          <x:cell r="P179">
            <x:v>0.94999999999999996</x:v>
          </x:cell>
          <x:cell r="Q179">
            <x:v>0</x:v>
          </x:cell>
          <x:cell r="R179" t="str">
            <x:v>몬스터 최종 공격력 × 95%</x:v>
          </x:cell>
          <x:cell r="S179">
            <x:v>7.9000000000000004</x:v>
          </x:cell>
          <x:cell r="T179">
            <x:v>0.25</x:v>
          </x:cell>
          <x:cell r="U179" t="str">
            <x:v>개별</x:v>
          </x:cell>
          <x:cell r="V179">
            <x:v>6.4000000000000004</x:v>
          </x:cell>
          <x:cell r="W179">
            <x:v>0.65000000000000002</x:v>
          </x:cell>
          <x:cell r="X179" t="str">
            <x:v>없음</x:v>
          </x:cell>
          <x:cell r="Y179">
            <x:v>0</x:v>
          </x:cell>
          <x:cell r="Z179" t="str">
            <x:v>없음</x:v>
          </x:cell>
          <x:cell r="AA179">
            <x:v>0</x:v>
          </x:cell>
          <x:cell r="AB179" t="str">
            <x:v>시전 종료</x:v>
          </x:cell>
          <x:cell r="AC179" t="str">
            <x:v>없음</x:v>
          </x:cell>
          <x:cell r="AD179" t="str">
            <x:v>기능 원형: 감시 광선 · 몬스터 시트 발동률 25%와 동기화</x:v>
          </x:cell>
        </x:row>
        <x:row r="180">
          <x:cell r="G180" t="str">
            <x:v>임시 승인</x:v>
          </x:cell>
          <x:cell r="H180" t="str">
            <x:v>자신의 핵심 부위를 짧게 노출해 공격 기회를 만들지만 이후 패턴 전환을 준비함.</x:v>
          </x:cell>
          <x:cell r="I180"/>
          <x:cell r="J180" t="str">
            <x:v>액티브</x:v>
          </x:cell>
          <x:cell r="K180" t="str">
            <x:v>권한이 없습니다</x:v>
          </x:cell>
          <x:cell r="L180"/>
          <x:cell r="M180" t="str">
            <x:v>AI 가중치</x:v>
          </x:cell>
          <x:cell r="N180" t="str">
            <x:v>사거리·페이즈·주변 상황 조건 충족</x:v>
          </x:cell>
          <x:cell r="O180" t="str">
            <x:v>없음</x:v>
          </x:cell>
          <x:cell r="P180">
            <x:v>0</x:v>
          </x:cell>
          <x:cell r="Q180">
            <x:v>0</x:v>
          </x:cell>
          <x:cell r="R180" t="str">
            <x:v>피해 없음</x:v>
          </x:cell>
          <x:cell r="S180">
            <x:v>8.5999999999999996</x:v>
          </x:cell>
          <x:cell r="T180">
            <x:v>0.20000000000000001</x:v>
          </x:cell>
          <x:cell r="U180" t="str">
            <x:v>개별</x:v>
          </x:cell>
          <x:cell r="V180">
            <x:v>7.0999999999999996</x:v>
          </x:cell>
          <x:cell r="W180">
            <x:v>0.65000000000000002</x:v>
          </x:cell>
          <x:cell r="X180" t="str">
            <x:v>방어력</x:v>
          </x:cell>
          <x:cell r="Y180">
            <x:v>-40</x:v>
          </x:cell>
          <x:cell r="Z180" t="str">
            <x:v>%</x:v>
          </x:cell>
          <x:cell r="AA180">
            <x:v>2</x:v>
          </x:cell>
          <x:cell r="AB180" t="str">
            <x:v>지속 종료</x:v>
          </x:cell>
          <x:cell r="AC180" t="str">
            <x:v>없음</x:v>
          </x:cell>
          <x:cell r="AD180" t="str">
            <x:v>기능 원형: 생체 모듈 노출 · 몬스터 시트 발동률 20%와 동기화</x:v>
          </x:cell>
        </x:row>
        <x:row r="181">
          <x:cell r="G181" t="str">
            <x:v>오늘의 희생양</x:v>
          </x:cell>
          <x:cell r="H181" t="str">
            <x:v>특정 대상이나 위치에 표식을 남겨 무리의 공격 우선순위를 집중시킴.</x:v>
          </x:cell>
          <x:cell r="I181"/>
          <x:cell r="J181" t="str">
            <x:v>액티브</x:v>
          </x:cell>
          <x:cell r="K181" t="str">
            <x:v>조회수는 못 참지</x:v>
          </x:cell>
          <x:cell r="L181" t="str">
            <x:v>희생 표식</x:v>
          </x:cell>
          <x:cell r="M181" t="str">
            <x:v>AI 가중치</x:v>
          </x:cell>
          <x:cell r="N181" t="str">
            <x:v>사거리·페이즈·주변 상황 조건 충족</x:v>
          </x:cell>
          <x:cell r="O181" t="str">
            <x:v>없음</x:v>
          </x:cell>
          <x:cell r="P181">
            <x:v>0</x:v>
          </x:cell>
          <x:cell r="Q181">
            <x:v>0</x:v>
          </x:cell>
          <x:cell r="R181" t="str">
            <x:v>피해 없음</x:v>
          </x:cell>
          <x:cell r="S181">
            <x:v>6.5</x:v>
          </x:cell>
          <x:cell r="T181">
            <x:v>0.29999999999999999</x:v>
          </x:cell>
          <x:cell r="U181" t="str">
            <x:v>개별</x:v>
          </x:cell>
          <x:cell r="V181">
            <x:v>5</x:v>
          </x:cell>
          <x:cell r="W181">
            <x:v>0.65000000000000002</x:v>
          </x:cell>
          <x:cell r="X181" t="str">
            <x:v>AI 우선순위</x:v>
          </x:cell>
          <x:cell r="Y181">
            <x:v>1</x:v>
          </x:cell>
          <x:cell r="Z181" t="str">
            <x:v>단계</x:v>
          </x:cell>
          <x:cell r="AA181">
            <x:v>4</x:v>
          </x:cell>
          <x:cell r="AB181" t="str">
            <x:v>지속 종료</x:v>
          </x:cell>
          <x:cell r="AC181" t="str">
            <x:v>SKL-STS-020</x:v>
          </x:cell>
          <x:cell r="AD181" t="str">
            <x:v>기능 원형: 희생 표식 · 몬스터 시트 발동률 30%와 동기화</x:v>
          </x:cell>
        </x:row>
        <x:row r="182">
          <x:cell r="G182" t="str">
            <x:v>다 같이 저기!</x:v>
          </x:cell>
          <x:cell r="H182" t="str">
            <x:v>'집중 공격 유도' 행동을 수행해 위치·전투 리듬을 변화시킴.</x:v>
          </x:cell>
          <x:cell r="I182"/>
          <x:cell r="J182" t="str">
            <x:v>액티브</x:v>
          </x:cell>
          <x:cell r="K182" t="str">
            <x:v>조회수는 못 참지</x:v>
          </x:cell>
          <x:cell r="L182"/>
          <x:cell r="M182" t="str">
            <x:v>AI 가중치</x:v>
          </x:cell>
          <x:cell r="N182" t="str">
            <x:v>사거리·페이즈·주변 상황 조건 충족</x:v>
          </x:cell>
          <x:cell r="O182" t="str">
            <x:v>없음</x:v>
          </x:cell>
          <x:cell r="P182">
            <x:v>0</x:v>
          </x:cell>
          <x:cell r="Q182">
            <x:v>0</x:v>
          </x:cell>
          <x:cell r="R182" t="str">
            <x:v>피해 없음</x:v>
          </x:cell>
          <x:cell r="S182">
            <x:v>7.2000000000000002</x:v>
          </x:cell>
          <x:cell r="T182">
            <x:v>0.29999999999999999</x:v>
          </x:cell>
          <x:cell r="U182" t="str">
            <x:v>개별</x:v>
          </x:cell>
          <x:cell r="V182">
            <x:v>5.7000000000000002</x:v>
          </x:cell>
          <x:cell r="W182">
            <x:v>0.65000000000000002</x:v>
          </x:cell>
          <x:cell r="X182" t="str">
            <x:v>없음</x:v>
          </x:cell>
          <x:cell r="Y182">
            <x:v>0</x:v>
          </x:cell>
          <x:cell r="Z182" t="str">
            <x:v>없음</x:v>
          </x:cell>
          <x:cell r="AA182">
            <x:v>0</x:v>
          </x:cell>
          <x:cell r="AB182" t="str">
            <x:v>시전 종료</x:v>
          </x:cell>
          <x:cell r="AC182" t="str">
            <x:v>없음</x:v>
          </x:cell>
          <x:cell r="AD182" t="str">
            <x:v>기능 원형: 집중 공격 유도 · 몬스터 시트 발동률 30%와 동기화</x:v>
          </x:cell>
        </x:row>
        <x:row r="183">
          <x:cell r="G183" t="str">
            <x:v>댓글 폭주</x:v>
          </x:cell>
          <x:cell r="H183" t="str">
            <x:v>서사적 압박 신호를 파동으로 방출해 직접 피해보다 판단·UI·행동을 흔듦.</x:v>
          </x:cell>
          <x:cell r="I183"/>
          <x:cell r="J183" t="str">
            <x:v>액티브</x:v>
          </x:cell>
          <x:cell r="K183" t="str">
            <x:v>조회수는 못 참지</x:v>
          </x:cell>
          <x:cell r="L183" t="str">
            <x:v>UI 간섭 2초</x:v>
          </x:cell>
          <x:cell r="M183" t="str">
            <x:v>AI 가중치</x:v>
          </x:cell>
          <x:cell r="N183" t="str">
            <x:v>사거리·페이즈·주변 상황 조건 충족</x:v>
          </x:cell>
          <x:cell r="O183" t="str">
            <x:v>몬스터 최종 공격력 비율</x:v>
          </x:cell>
          <x:cell r="P183">
            <x:v>0.45000000000000001</x:v>
          </x:cell>
          <x:cell r="Q183">
            <x:v>0</x:v>
          </x:cell>
          <x:cell r="R183" t="str">
            <x:v>몬스터 최종 공격력 × 45%</x:v>
          </x:cell>
          <x:cell r="S183">
            <x:v>7.9000000000000004</x:v>
          </x:cell>
          <x:cell r="T183">
            <x:v>0.25</x:v>
          </x:cell>
          <x:cell r="U183" t="str">
            <x:v>개별</x:v>
          </x:cell>
          <x:cell r="V183">
            <x:v>6.4000000000000004</x:v>
          </x:cell>
          <x:cell r="W183">
            <x:v>0.65000000000000002</x:v>
          </x:cell>
          <x:cell r="X183" t="str">
            <x:v>없음</x:v>
          </x:cell>
          <x:cell r="Y183">
            <x:v>0</x:v>
          </x:cell>
          <x:cell r="Z183" t="str">
            <x:v>없음</x:v>
          </x:cell>
          <x:cell r="AA183">
            <x:v>0</x:v>
          </x:cell>
          <x:cell r="AB183" t="str">
            <x:v>시전 종료</x:v>
          </x:cell>
          <x:cell r="AC183" t="str">
            <x:v>없음</x:v>
          </x:cell>
          <x:cell r="AD183" t="str">
            <x:v>기능 원형: 비난 파동 · 몬스터 시트 발동률 25%와 동기화</x:v>
          </x:cell>
        </x:row>
        <x:row r="184">
          <x:cell r="G184" t="str">
            <x:v>각도 다시 잡기</x:v>
          </x:cell>
          <x:cell r="H184" t="str">
            <x:v>공격 후 거리를 벌리거나 사각으로 이동해 다음 공격 위치를 다시 잡음.</x:v>
          </x:cell>
          <x:cell r="I184"/>
          <x:cell r="J184" t="str">
            <x:v>액티브</x:v>
          </x:cell>
          <x:cell r="K184" t="str">
            <x:v>조회수는 못 참지</x:v>
          </x:cell>
          <x:cell r="L184"/>
          <x:cell r="M184" t="str">
            <x:v>AI 가중치</x:v>
          </x:cell>
          <x:cell r="N184" t="str">
            <x:v>사거리·페이즈·주변 상황 조건 충족</x:v>
          </x:cell>
          <x:cell r="O184" t="str">
            <x:v>없음</x:v>
          </x:cell>
          <x:cell r="P184">
            <x:v>0</x:v>
          </x:cell>
          <x:cell r="Q184">
            <x:v>0</x:v>
          </x:cell>
          <x:cell r="R184" t="str">
            <x:v>피해 없음</x:v>
          </x:cell>
          <x:cell r="S184">
            <x:v>8.5999999999999996</x:v>
          </x:cell>
          <x:cell r="T184">
            <x:v>0.14999999999999999</x:v>
          </x:cell>
          <x:cell r="U184" t="str">
            <x:v>개별</x:v>
          </x:cell>
          <x:cell r="V184">
            <x:v>7.0999999999999996</x:v>
          </x:cell>
          <x:cell r="W184">
            <x:v>0.65000000000000002</x:v>
          </x:cell>
          <x:cell r="X184" t="str">
            <x:v>이동 위치</x:v>
          </x:cell>
          <x:cell r="Y184">
            <x:v>1</x:v>
          </x:cell>
          <x:cell r="Z184" t="str">
            <x:v>지점</x:v>
          </x:cell>
          <x:cell r="AA184">
            <x:v>0</x:v>
          </x:cell>
          <x:cell r="AB184" t="str">
            <x:v>시전 종료</x:v>
          </x:cell>
          <x:cell r="AC184" t="str">
            <x:v>없음</x:v>
          </x:cell>
          <x:cell r="AD184" t="str">
            <x:v>기능 원형: 후퇴 · 몬스터 시트 발동률 15%와 동기화</x:v>
          </x:cell>
        </x:row>
        <x:row r="185">
          <x:cell r="G185" t="str">
            <x:v>이거 네 거야.</x:v>
          </x:cell>
          <x:cell r="H185" t="str">
            <x:v>자신에게 들어올 피해 또는 상태를 연결된 다른 대상으로 넘김.</x:v>
          </x:cell>
          <x:cell r="I185"/>
          <x:cell r="J185" t="str">
            <x:v>액티브</x:v>
          </x:cell>
          <x:cell r="K185" t="str">
            <x:v>네 탓 택배</x:v>
          </x:cell>
          <x:cell r="L185" t="str">
            <x:v>피해 전가</x:v>
          </x:cell>
          <x:cell r="M185" t="str">
            <x:v>AI 가중치</x:v>
          </x:cell>
          <x:cell r="N185" t="str">
            <x:v>사거리·페이즈·주변 상황 조건 충족</x:v>
          </x:cell>
          <x:cell r="O185" t="str">
            <x:v>없음</x:v>
          </x:cell>
          <x:cell r="P185">
            <x:v>0</x:v>
          </x:cell>
          <x:cell r="Q185">
            <x:v>0</x:v>
          </x:cell>
          <x:cell r="R185" t="str">
            <x:v>피해 없음</x:v>
          </x:cell>
          <x:cell r="S185">
            <x:v>6.5</x:v>
          </x:cell>
          <x:cell r="T185">
            <x:v>0.29999999999999999</x:v>
          </x:cell>
          <x:cell r="U185" t="str">
            <x:v>개별</x:v>
          </x:cell>
          <x:cell r="V185">
            <x:v>5</x:v>
          </x:cell>
          <x:cell r="W185">
            <x:v>0.65000000000000002</x:v>
          </x:cell>
          <x:cell r="X185" t="str">
            <x:v>피해 이전</x:v>
          </x:cell>
          <x:cell r="Y185">
            <x:v>70</x:v>
          </x:cell>
          <x:cell r="Z185" t="str">
            <x:v>%</x:v>
          </x:cell>
          <x:cell r="AA185">
            <x:v>5</x:v>
          </x:cell>
          <x:cell r="AB185" t="str">
            <x:v>지속 종료</x:v>
          </x:cell>
          <x:cell r="AC185" t="str">
            <x:v>SKL-STS-008</x:v>
          </x:cell>
          <x:cell r="AD185" t="str">
            <x:v>기능 원형: 피해 전가 · 몬스터 시트 발동률 30%와 동기화</x:v>
          </x:cell>
        </x:row>
        <x:row r="186">
          <x:cell r="G186" t="str">
            <x:v>이것도 네 거야.</x:v>
          </x:cell>
          <x:cell r="H186" t="str">
            <x:v>자신에게 들어올 피해 또는 상태를 연결된 다른 대상으로 넘김.</x:v>
          </x:cell>
          <x:cell r="I186"/>
          <x:cell r="J186" t="str">
            <x:v>액티브</x:v>
          </x:cell>
          <x:cell r="K186" t="str">
            <x:v>네 탓 택배</x:v>
          </x:cell>
          <x:cell r="L186" t="str">
            <x:v>피해 전가</x:v>
          </x:cell>
          <x:cell r="M186" t="str">
            <x:v>AI 가중치</x:v>
          </x:cell>
          <x:cell r="N186" t="str">
            <x:v>사거리·페이즈·주변 상황 조건 충족</x:v>
          </x:cell>
          <x:cell r="O186" t="str">
            <x:v>없음</x:v>
          </x:cell>
          <x:cell r="P186">
            <x:v>0</x:v>
          </x:cell>
          <x:cell r="Q186">
            <x:v>0</x:v>
          </x:cell>
          <x:cell r="R186" t="str">
            <x:v>피해 없음</x:v>
          </x:cell>
          <x:cell r="S186">
            <x:v>7.2000000000000002</x:v>
          </x:cell>
          <x:cell r="T186">
            <x:v>0.25</x:v>
          </x:cell>
          <x:cell r="U186" t="str">
            <x:v>개별</x:v>
          </x:cell>
          <x:cell r="V186">
            <x:v>5.7000000000000002</x:v>
          </x:cell>
          <x:cell r="W186">
            <x:v>0.65000000000000002</x:v>
          </x:cell>
          <x:cell r="X186" t="str">
            <x:v>피해 이전</x:v>
          </x:cell>
          <x:cell r="Y186">
            <x:v>70</x:v>
          </x:cell>
          <x:cell r="Z186" t="str">
            <x:v>%</x:v>
          </x:cell>
          <x:cell r="AA186">
            <x:v>5</x:v>
          </x:cell>
          <x:cell r="AB186" t="str">
            <x:v>지속 종료</x:v>
          </x:cell>
          <x:cell r="AC186" t="str">
            <x:v>SKL-STS-008</x:v>
          </x:cell>
          <x:cell r="AD186" t="str">
            <x:v>기능 원형: 상태 이상 이전 · 몬스터 시트 발동률 25%와 동기화</x:v>
          </x:cell>
        </x:row>
        <x:row r="187">
          <x:cell r="G187" t="str">
            <x:v>책임 배송</x:v>
          </x:cell>
          <x:cell r="H187" t="str">
            <x:v>서사적 압박 신호를 파동으로 방출해 직접 피해보다 판단·UI·행동을 흔듦.</x:v>
          </x:cell>
          <x:cell r="I187"/>
          <x:cell r="J187" t="str">
            <x:v>액티브</x:v>
          </x:cell>
          <x:cell r="K187" t="str">
            <x:v>네 탓 택배</x:v>
          </x:cell>
          <x:cell r="L187" t="str">
            <x:v>표적 우선순위 상승</x:v>
          </x:cell>
          <x:cell r="M187" t="str">
            <x:v>AI 가중치</x:v>
          </x:cell>
          <x:cell r="N187" t="str">
            <x:v>사거리·페이즈·주변 상황 조건 충족</x:v>
          </x:cell>
          <x:cell r="O187" t="str">
            <x:v>몬스터 최종 공격력 비율</x:v>
          </x:cell>
          <x:cell r="P187">
            <x:v>0.45000000000000001</x:v>
          </x:cell>
          <x:cell r="Q187">
            <x:v>0</x:v>
          </x:cell>
          <x:cell r="R187" t="str">
            <x:v>몬스터 최종 공격력 × 45%</x:v>
          </x:cell>
          <x:cell r="S187">
            <x:v>7.9000000000000004</x:v>
          </x:cell>
          <x:cell r="T187">
            <x:v>0.25</x:v>
          </x:cell>
          <x:cell r="U187" t="str">
            <x:v>개별</x:v>
          </x:cell>
          <x:cell r="V187">
            <x:v>6.4000000000000004</x:v>
          </x:cell>
          <x:cell r="W187">
            <x:v>0.65000000000000002</x:v>
          </x:cell>
          <x:cell r="X187" t="str">
            <x:v>없음</x:v>
          </x:cell>
          <x:cell r="Y187">
            <x:v>0</x:v>
          </x:cell>
          <x:cell r="Z187" t="str">
            <x:v>없음</x:v>
          </x:cell>
          <x:cell r="AA187">
            <x:v>0</x:v>
          </x:cell>
          <x:cell r="AB187" t="str">
            <x:v>시전 종료</x:v>
          </x:cell>
          <x:cell r="AC187" t="str">
            <x:v>SKL-STS-007</x:v>
          </x:cell>
          <x:cell r="AD187" t="str">
            <x:v>기능 원형: 책임 파동 · 몬스터 시트 발동률 25%와 동기화</x:v>
          </x:cell>
        </x:row>
        <x:row r="188">
          <x:cell r="G188" t="str">
            <x:v>수취인 변경</x:v>
          </x:cell>
          <x:cell r="H188" t="str">
            <x:v>'대상 교체' 행동을 수행해 위치·전투 리듬을 변화시킴.</x:v>
          </x:cell>
          <x:cell r="I188"/>
          <x:cell r="J188" t="str">
            <x:v>액티브</x:v>
          </x:cell>
          <x:cell r="K188" t="str">
            <x:v>네 탓 택배</x:v>
          </x:cell>
          <x:cell r="L188"/>
          <x:cell r="M188" t="str">
            <x:v>AI 가중치</x:v>
          </x:cell>
          <x:cell r="N188" t="str">
            <x:v>사거리·페이즈·주변 상황 조건 충족</x:v>
          </x:cell>
          <x:cell r="O188" t="str">
            <x:v>없음</x:v>
          </x:cell>
          <x:cell r="P188">
            <x:v>0</x:v>
          </x:cell>
          <x:cell r="Q188">
            <x:v>0</x:v>
          </x:cell>
          <x:cell r="R188" t="str">
            <x:v>피해 없음</x:v>
          </x:cell>
          <x:cell r="S188">
            <x:v>8.5999999999999996</x:v>
          </x:cell>
          <x:cell r="T188">
            <x:v>0.20000000000000001</x:v>
          </x:cell>
          <x:cell r="U188" t="str">
            <x:v>개별</x:v>
          </x:cell>
          <x:cell r="V188">
            <x:v>7.0999999999999996</x:v>
          </x:cell>
          <x:cell r="W188">
            <x:v>0.65000000000000002</x:v>
          </x:cell>
          <x:cell r="X188" t="str">
            <x:v>없음</x:v>
          </x:cell>
          <x:cell r="Y188">
            <x:v>0</x:v>
          </x:cell>
          <x:cell r="Z188" t="str">
            <x:v>없음</x:v>
          </x:cell>
          <x:cell r="AA188">
            <x:v>0</x:v>
          </x:cell>
          <x:cell r="AB188" t="str">
            <x:v>시전 종료</x:v>
          </x:cell>
          <x:cell r="AC188" t="str">
            <x:v>없음</x:v>
          </x:cell>
          <x:cell r="AD188" t="str">
            <x:v>기능 원형: 대상 교체 · 몬스터 시트 발동률 20%와 동기화</x:v>
          </x:cell>
        </x:row>
        <x:row r="189">
          <x:cell r="G189" t="str">
            <x:v>엎드려.</x:v>
          </x:cell>
          <x:cell r="H189" t="str">
            <x:v>압착·구속 기관으로 플레이어의 이동 또는 행동 입력을 잠시 막음.</x:v>
          </x:cell>
          <x:cell r="I189"/>
          <x:cell r="J189" t="str">
            <x:v>액티브</x:v>
          </x:cell>
          <x:cell r="K189" t="str">
            <x:v>납작 엎드려</x:v>
          </x:cell>
          <x:cell r="L189" t="str">
            <x:v>속박</x:v>
          </x:cell>
          <x:cell r="M189" t="str">
            <x:v>AI 가중치</x:v>
          </x:cell>
          <x:cell r="N189" t="str">
            <x:v>사거리·페이즈·주변 상황 조건 충족</x:v>
          </x:cell>
          <x:cell r="O189" t="str">
            <x:v>없음</x:v>
          </x:cell>
          <x:cell r="P189">
            <x:v>0</x:v>
          </x:cell>
          <x:cell r="Q189">
            <x:v>0</x:v>
          </x:cell>
          <x:cell r="R189" t="str">
            <x:v>피해 없음</x:v>
          </x:cell>
          <x:cell r="S189">
            <x:v>6.5</x:v>
          </x:cell>
          <x:cell r="T189">
            <x:v>0.29999999999999999</x:v>
          </x:cell>
          <x:cell r="U189" t="str">
            <x:v>개별</x:v>
          </x:cell>
          <x:cell r="V189">
            <x:v>5</x:v>
          </x:cell>
          <x:cell r="W189">
            <x:v>0.65000000000000002</x:v>
          </x:cell>
          <x:cell r="X189" t="str">
            <x:v>이동 속도</x:v>
          </x:cell>
          <x:cell r="Y189">
            <x:v>-100</x:v>
          </x:cell>
          <x:cell r="Z189" t="str">
            <x:v>%</x:v>
          </x:cell>
          <x:cell r="AA189">
            <x:v>1.5</x:v>
          </x:cell>
          <x:cell r="AB189" t="str">
            <x:v>지속 종료</x:v>
          </x:cell>
          <x:cell r="AC189" t="str">
            <x:v>SKL-STS-009</x:v>
          </x:cell>
          <x:cell r="AD189" t="str">
            <x:v>기능 원형: 강제 속박 · 몬스터 시트 발동률 30%와 동기화</x:v>
          </x:cell>
        </x:row>
        <x:row r="190">
          <x:cell r="G190" t="str">
            <x:v>더 낮게.</x:v>
          </x:cell>
          <x:cell r="H190" t="str">
            <x:v>'복종 압박파' 행동을 수행해 위치·전투 리듬을 변화시킴.</x:v>
          </x:cell>
          <x:cell r="I190"/>
          <x:cell r="J190" t="str">
            <x:v>액티브</x:v>
          </x:cell>
          <x:cell r="K190" t="str">
            <x:v>납작 엎드려</x:v>
          </x:cell>
          <x:cell r="L190"/>
          <x:cell r="M190" t="str">
            <x:v>AI 가중치</x:v>
          </x:cell>
          <x:cell r="N190" t="str">
            <x:v>사거리·페이즈·주변 상황 조건 충족</x:v>
          </x:cell>
          <x:cell r="O190" t="str">
            <x:v>없음</x:v>
          </x:cell>
          <x:cell r="P190">
            <x:v>0</x:v>
          </x:cell>
          <x:cell r="Q190">
            <x:v>0</x:v>
          </x:cell>
          <x:cell r="R190" t="str">
            <x:v>피해 없음</x:v>
          </x:cell>
          <x:cell r="S190">
            <x:v>7.2000000000000002</x:v>
          </x:cell>
          <x:cell r="T190">
            <x:v>0.29999999999999999</x:v>
          </x:cell>
          <x:cell r="U190" t="str">
            <x:v>개별</x:v>
          </x:cell>
          <x:cell r="V190">
            <x:v>5.7000000000000002</x:v>
          </x:cell>
          <x:cell r="W190">
            <x:v>0.65000000000000002</x:v>
          </x:cell>
          <x:cell r="X190" t="str">
            <x:v>없음</x:v>
          </x:cell>
          <x:cell r="Y190">
            <x:v>0</x:v>
          </x:cell>
          <x:cell r="Z190" t="str">
            <x:v>없음</x:v>
          </x:cell>
          <x:cell r="AA190">
            <x:v>0</x:v>
          </x:cell>
          <x:cell r="AB190" t="str">
            <x:v>시전 종료</x:v>
          </x:cell>
          <x:cell r="AC190" t="str">
            <x:v>없음</x:v>
          </x:cell>
          <x:cell r="AD190" t="str">
            <x:v>기능 원형: 복종 압박파 · 몬스터 시트 발동률 30%와 동기화</x:v>
          </x:cell>
        </x:row>
        <x:row r="191">
          <x:cell r="G191" t="str">
            <x:v>움직이지 마.</x:v>
          </x:cell>
          <x:cell r="H191" t="str">
            <x:v>통로·출구·안전 위치를 점유하거나 닫아 플레이어의 이동 선택지를 줄임.</x:v>
          </x:cell>
          <x:cell r="I191"/>
          <x:cell r="J191" t="str">
            <x:v>액티브</x:v>
          </x:cell>
          <x:cell r="K191" t="str">
            <x:v>납작 엎드려</x:v>
          </x:cell>
          <x:cell r="L191" t="str">
            <x:v>이동 경로 제한</x:v>
          </x:cell>
          <x:cell r="M191" t="str">
            <x:v>AI 가중치</x:v>
          </x:cell>
          <x:cell r="N191" t="str">
            <x:v>사거리·페이즈·주변 상황 조건 충족</x:v>
          </x:cell>
          <x:cell r="O191" t="str">
            <x:v>없음</x:v>
          </x:cell>
          <x:cell r="P191">
            <x:v>0</x:v>
          </x:cell>
          <x:cell r="Q191">
            <x:v>0</x:v>
          </x:cell>
          <x:cell r="R191" t="str">
            <x:v>피해 없음</x:v>
          </x:cell>
          <x:cell r="S191">
            <x:v>7.9000000000000004</x:v>
          </x:cell>
          <x:cell r="T191">
            <x:v>0.20000000000000001</x:v>
          </x:cell>
          <x:cell r="U191" t="str">
            <x:v>개별</x:v>
          </x:cell>
          <x:cell r="V191">
            <x:v>6.4000000000000004</x:v>
          </x:cell>
          <x:cell r="W191">
            <x:v>0.65000000000000002</x:v>
          </x:cell>
          <x:cell r="X191" t="str">
            <x:v>이동 가능 경로</x:v>
          </x:cell>
          <x:cell r="Y191">
            <x:v>-1</x:v>
          </x:cell>
          <x:cell r="Z191" t="str">
            <x:v>개</x:v>
          </x:cell>
          <x:cell r="AA191">
            <x:v>4</x:v>
          </x:cell>
          <x:cell r="AB191" t="str">
            <x:v>지속 종료</x:v>
          </x:cell>
          <x:cell r="AC191" t="str">
            <x:v>없음</x:v>
          </x:cell>
          <x:cell r="AD191" t="str">
            <x:v>기능 원형: 행동 봉쇄 · 몬스터 시트 발동률 20%와 동기화</x:v>
          </x:cell>
        </x:row>
        <x:row r="192">
          <x:cell r="G192" t="str">
            <x:v>찍어 누르기</x:v>
          </x:cell>
          <x:cell r="H192" t="str">
            <x:v>근거리 목표를 반복 또는 단발로 직접 타격함.</x:v>
          </x:cell>
          <x:cell r="I192"/>
          <x:cell r="J192" t="str">
            <x:v>액티브</x:v>
          </x:cell>
          <x:cell r="K192" t="str">
            <x:v>납작 엎드려</x:v>
          </x:cell>
          <x:cell r="L192"/>
          <x:cell r="M192" t="str">
            <x:v>AI 가중치</x:v>
          </x:cell>
          <x:cell r="N192" t="str">
            <x:v>사거리·페이즈·주변 상황 조건 충족</x:v>
          </x:cell>
          <x:cell r="O192" t="str">
            <x:v>몬스터 최종 공격력 비율</x:v>
          </x:cell>
          <x:cell r="P192">
            <x:v>1</x:v>
          </x:cell>
          <x:cell r="Q192">
            <x:v>0</x:v>
          </x:cell>
          <x:cell r="R192" t="str">
            <x:v>몬스터 최종 공격력 × 100%</x:v>
          </x:cell>
          <x:cell r="S192">
            <x:v>8.5999999999999996</x:v>
          </x:cell>
          <x:cell r="T192">
            <x:v>0.20000000000000001</x:v>
          </x:cell>
          <x:cell r="U192" t="str">
            <x:v>개별</x:v>
          </x:cell>
          <x:cell r="V192">
            <x:v>7.0999999999999996</x:v>
          </x:cell>
          <x:cell r="W192">
            <x:v>0.65000000000000002</x:v>
          </x:cell>
          <x:cell r="X192" t="str">
            <x:v>없음</x:v>
          </x:cell>
          <x:cell r="Y192">
            <x:v>0</x:v>
          </x:cell>
          <x:cell r="Z192" t="str">
            <x:v>없음</x:v>
          </x:cell>
          <x:cell r="AA192">
            <x:v>0</x:v>
          </x:cell>
          <x:cell r="AB192" t="str">
            <x:v>시전 종료</x:v>
          </x:cell>
          <x:cell r="AC192" t="str">
            <x:v>없음</x:v>
          </x:cell>
          <x:cell r="AD192" t="str">
            <x:v>기능 원형: 전방 타격 · 몬스터 시트 발동률 20%와 동기화</x:v>
          </x:cell>
        </x:row>
        <x:row r="193">
          <x:cell r="G193" t="str">
            <x:v>빨리!</x:v>
          </x:cell>
          <x:cell r="H193" t="str">
            <x:v>직선 전조 후 목표 방향으로 빠르게 돌진해 경로상의 대상을 압박함.</x:v>
          </x:cell>
          <x:cell r="I193"/>
          <x:cell r="J193" t="str">
            <x:v>액티브</x:v>
          </x:cell>
          <x:cell r="K193" t="str">
            <x:v>아직도 안 구했어?</x:v>
          </x:cell>
          <x:cell r="L193" t="str">
            <x:v>밀려남 1.5칸</x:v>
          </x:cell>
          <x:cell r="M193" t="str">
            <x:v>AI 가중치</x:v>
          </x:cell>
          <x:cell r="N193" t="str">
            <x:v>사거리·페이즈·주변 상황 조건 충족</x:v>
          </x:cell>
          <x:cell r="O193" t="str">
            <x:v>몬스터 최종 공격력 비율</x:v>
          </x:cell>
          <x:cell r="P193">
            <x:v>1.1499999999999999</x:v>
          </x:cell>
          <x:cell r="Q193">
            <x:v>0</x:v>
          </x:cell>
          <x:cell r="R193" t="str">
            <x:v>몬스터 최종 공격력 × 115%</x:v>
          </x:cell>
          <x:cell r="S193">
            <x:v>6.5</x:v>
          </x:cell>
          <x:cell r="T193">
            <x:v>0.34999999999999998</x:v>
          </x:cell>
          <x:cell r="U193" t="str">
            <x:v>개별</x:v>
          </x:cell>
          <x:cell r="V193">
            <x:v>5</x:v>
          </x:cell>
          <x:cell r="W193">
            <x:v>0.65000000000000002</x:v>
          </x:cell>
          <x:cell r="X193" t="str">
            <x:v>없음</x:v>
          </x:cell>
          <x:cell r="Y193">
            <x:v>0</x:v>
          </x:cell>
          <x:cell r="Z193" t="str">
            <x:v>없음</x:v>
          </x:cell>
          <x:cell r="AA193">
            <x:v>0</x:v>
          </x:cell>
          <x:cell r="AB193" t="str">
            <x:v>시전 종료</x:v>
          </x:cell>
          <x:cell r="AC193" t="str">
            <x:v>SKL-STS-002</x:v>
          </x:cell>
          <x:cell r="AD193" t="str">
            <x:v>기능 원형: 연속 돌진 · 몬스터 시트 발동률 35%와 동기화</x:v>
          </x:cell>
        </x:row>
        <x:row r="194">
          <x:cell r="G194" t="str">
            <x:v>그거 말고 나부터!</x:v>
          </x:cell>
          <x:cell r="H194" t="str">
            <x:v>'구조 방해' 행동을 수행해 위치·전투 리듬을 변화시킴.</x:v>
          </x:cell>
          <x:cell r="I194"/>
          <x:cell r="J194" t="str">
            <x:v>액티브</x:v>
          </x:cell>
          <x:cell r="K194" t="str">
            <x:v>아직도 안 구했어?</x:v>
          </x:cell>
          <x:cell r="L194"/>
          <x:cell r="M194" t="str">
            <x:v>AI 가중치</x:v>
          </x:cell>
          <x:cell r="N194" t="str">
            <x:v>사거리·페이즈·주변 상황 조건 충족</x:v>
          </x:cell>
          <x:cell r="O194" t="str">
            <x:v>없음</x:v>
          </x:cell>
          <x:cell r="P194">
            <x:v>0</x:v>
          </x:cell>
          <x:cell r="Q194">
            <x:v>0</x:v>
          </x:cell>
          <x:cell r="R194" t="str">
            <x:v>피해 없음</x:v>
          </x:cell>
          <x:cell r="S194">
            <x:v>7.2000000000000002</x:v>
          </x:cell>
          <x:cell r="T194">
            <x:v>0.25</x:v>
          </x:cell>
          <x:cell r="U194" t="str">
            <x:v>개별</x:v>
          </x:cell>
          <x:cell r="V194">
            <x:v>5.7000000000000002</x:v>
          </x:cell>
          <x:cell r="W194">
            <x:v>0.65000000000000002</x:v>
          </x:cell>
          <x:cell r="X194" t="str">
            <x:v>없음</x:v>
          </x:cell>
          <x:cell r="Y194">
            <x:v>0</x:v>
          </x:cell>
          <x:cell r="Z194" t="str">
            <x:v>없음</x:v>
          </x:cell>
          <x:cell r="AA194">
            <x:v>0</x:v>
          </x:cell>
          <x:cell r="AB194" t="str">
            <x:v>시전 종료</x:v>
          </x:cell>
          <x:cell r="AC194" t="str">
            <x:v>없음</x:v>
          </x:cell>
          <x:cell r="AD194" t="str">
            <x:v>기능 원형: 구조 방해 · 몬스터 시트 발동률 25%와 동기화</x:v>
          </x:cell>
        </x:row>
        <x:row r="195">
          <x:cell r="G195" t="str">
            <x:v>아직도?</x:v>
          </x:cell>
          <x:cell r="H195" t="str">
            <x:v>서사적 압박 신호를 파동으로 방출해 직접 피해보다 판단·UI·행동을 흔듦.</x:v>
          </x:cell>
          <x:cell r="I195"/>
          <x:cell r="J195" t="str">
            <x:v>액티브</x:v>
          </x:cell>
          <x:cell r="K195" t="str">
            <x:v>아직도 안 구했어?</x:v>
          </x:cell>
          <x:cell r="L195" t="str">
            <x:v>회복 행동 지연 1초</x:v>
          </x:cell>
          <x:cell r="M195" t="str">
            <x:v>AI 가중치</x:v>
          </x:cell>
          <x:cell r="N195" t="str">
            <x:v>사거리·페이즈·주변 상황 조건 충족</x:v>
          </x:cell>
          <x:cell r="O195" t="str">
            <x:v>몬스터 최종 공격력 비율</x:v>
          </x:cell>
          <x:cell r="P195">
            <x:v>0.45000000000000001</x:v>
          </x:cell>
          <x:cell r="Q195">
            <x:v>0</x:v>
          </x:cell>
          <x:cell r="R195" t="str">
            <x:v>몬스터 최종 공격력 × 45%</x:v>
          </x:cell>
          <x:cell r="S195">
            <x:v>7.9000000000000004</x:v>
          </x:cell>
          <x:cell r="T195">
            <x:v>0.25</x:v>
          </x:cell>
          <x:cell r="U195" t="str">
            <x:v>개별</x:v>
          </x:cell>
          <x:cell r="V195">
            <x:v>6.4000000000000004</x:v>
          </x:cell>
          <x:cell r="W195">
            <x:v>0.65000000000000002</x:v>
          </x:cell>
          <x:cell r="X195" t="str">
            <x:v>없음</x:v>
          </x:cell>
          <x:cell r="Y195">
            <x:v>0</x:v>
          </x:cell>
          <x:cell r="Z195" t="str">
            <x:v>없음</x:v>
          </x:cell>
          <x:cell r="AA195">
            <x:v>0</x:v>
          </x:cell>
          <x:cell r="AB195" t="str">
            <x:v>시전 종료</x:v>
          </x:cell>
          <x:cell r="AC195" t="str">
            <x:v>없음</x:v>
          </x:cell>
          <x:cell r="AD195" t="str">
            <x:v>기능 원형: 재촉 파동 · 몬스터 시트 발동률 25%와 동기화</x:v>
          </x:cell>
        </x:row>
        <x:row r="196">
          <x:cell r="G196" t="str">
            <x:v>지금 당장!</x:v>
          </x:cell>
          <x:cell r="H196" t="str">
            <x:v>'즉시 추격' 행동을 수행해 위치·전투 리듬을 변화시킴.</x:v>
          </x:cell>
          <x:cell r="I196"/>
          <x:cell r="J196" t="str">
            <x:v>액티브</x:v>
          </x:cell>
          <x:cell r="K196" t="str">
            <x:v>아직도 안 구했어?</x:v>
          </x:cell>
          <x:cell r="L196"/>
          <x:cell r="M196" t="str">
            <x:v>AI 가중치</x:v>
          </x:cell>
          <x:cell r="N196" t="str">
            <x:v>사거리·페이즈·주변 상황 조건 충족</x:v>
          </x:cell>
          <x:cell r="O196" t="str">
            <x:v>없음</x:v>
          </x:cell>
          <x:cell r="P196">
            <x:v>0</x:v>
          </x:cell>
          <x:cell r="Q196">
            <x:v>0</x:v>
          </x:cell>
          <x:cell r="R196" t="str">
            <x:v>피해 없음</x:v>
          </x:cell>
          <x:cell r="S196">
            <x:v>8.5999999999999996</x:v>
          </x:cell>
          <x:cell r="T196">
            <x:v>0.14999999999999999</x:v>
          </x:cell>
          <x:cell r="U196" t="str">
            <x:v>개별</x:v>
          </x:cell>
          <x:cell r="V196">
            <x:v>7.0999999999999996</x:v>
          </x:cell>
          <x:cell r="W196">
            <x:v>0.65000000000000002</x:v>
          </x:cell>
          <x:cell r="X196" t="str">
            <x:v>없음</x:v>
          </x:cell>
          <x:cell r="Y196">
            <x:v>0</x:v>
          </x:cell>
          <x:cell r="Z196" t="str">
            <x:v>없음</x:v>
          </x:cell>
          <x:cell r="AA196">
            <x:v>0</x:v>
          </x:cell>
          <x:cell r="AB196" t="str">
            <x:v>시전 종료</x:v>
          </x:cell>
          <x:cell r="AC196" t="str">
            <x:v>없음</x:v>
          </x:cell>
          <x:cell r="AD196" t="str">
            <x:v>기능 원형: 즉시 추격 · 몬스터 시트 발동률 15%와 동기화</x:v>
          </x:cell>
        </x:row>
        <x:row r="197">
          <x:cell r="G197" t="str">
            <x:v>너만 할 수 있대!</x:v>
          </x:cell>
          <x:cell r="H197" t="str">
            <x:v>'희생 구호' 행동을 수행해 위치·전투 리듬을 변화시킴.</x:v>
          </x:cell>
          <x:cell r="I197"/>
          <x:cell r="J197" t="str">
            <x:v>액티브</x:v>
          </x:cell>
          <x:cell r="K197" t="str">
            <x:v>너만 할 수 있대</x:v>
          </x:cell>
          <x:cell r="L197"/>
          <x:cell r="M197" t="str">
            <x:v>AI 가중치</x:v>
          </x:cell>
          <x:cell r="N197" t="str">
            <x:v>사거리·페이즈·주변 상황 조건 충족</x:v>
          </x:cell>
          <x:cell r="O197" t="str">
            <x:v>없음</x:v>
          </x:cell>
          <x:cell r="P197">
            <x:v>0</x:v>
          </x:cell>
          <x:cell r="Q197">
            <x:v>0</x:v>
          </x:cell>
          <x:cell r="R197" t="str">
            <x:v>피해 없음</x:v>
          </x:cell>
          <x:cell r="S197">
            <x:v>7</x:v>
          </x:cell>
          <x:cell r="T197">
            <x:v>0.25</x:v>
          </x:cell>
          <x:cell r="U197" t="str">
            <x:v>개별</x:v>
          </x:cell>
          <x:cell r="V197">
            <x:v>5.5</x:v>
          </x:cell>
          <x:cell r="W197">
            <x:v>0.75</x:v>
          </x:cell>
          <x:cell r="X197" t="str">
            <x:v>없음</x:v>
          </x:cell>
          <x:cell r="Y197">
            <x:v>0</x:v>
          </x:cell>
          <x:cell r="Z197" t="str">
            <x:v>없음</x:v>
          </x:cell>
          <x:cell r="AA197">
            <x:v>0</x:v>
          </x:cell>
          <x:cell r="AB197" t="str">
            <x:v>시전 종료</x:v>
          </x:cell>
          <x:cell r="AC197" t="str">
            <x:v>없음</x:v>
          </x:cell>
          <x:cell r="AD197" t="str">
            <x:v>기능 원형: 희생 구호 · 몬스터 시트 발동률 25%와 동기화</x:v>
          </x:cell>
        </x:row>
        <x:row r="198">
          <x:cell r="G198" t="str">
            <x:v>다 같이 말해!</x:v>
          </x:cell>
          <x:cell r="H198" t="str">
            <x:v>주변 아군의 전투 리듬을 끌어올려 공격 성능을 일정 시간 강화함.</x:v>
          </x:cell>
          <x:cell r="I198"/>
          <x:cell r="J198" t="str">
            <x:v>액티브</x:v>
          </x:cell>
          <x:cell r="K198" t="str">
            <x:v>너만 할 수 있대</x:v>
          </x:cell>
          <x:cell r="L198"/>
          <x:cell r="M198" t="str">
            <x:v>AI 가중치</x:v>
          </x:cell>
          <x:cell r="N198" t="str">
            <x:v>사거리·페이즈·주변 상황 조건 충족</x:v>
          </x:cell>
          <x:cell r="O198" t="str">
            <x:v>없음</x:v>
          </x:cell>
          <x:cell r="P198">
            <x:v>0</x:v>
          </x:cell>
          <x:cell r="Q198">
            <x:v>0</x:v>
          </x:cell>
          <x:cell r="R198" t="str">
            <x:v>피해 없음</x:v>
          </x:cell>
          <x:cell r="S198">
            <x:v>7.7000000000000002</x:v>
          </x:cell>
          <x:cell r="T198">
            <x:v>0.29999999999999999</x:v>
          </x:cell>
          <x:cell r="U198" t="str">
            <x:v>개별</x:v>
          </x:cell>
          <x:cell r="V198">
            <x:v>6.2000000000000002</x:v>
          </x:cell>
          <x:cell r="W198">
            <x:v>0.75</x:v>
          </x:cell>
          <x:cell r="X198" t="str">
            <x:v>공격력</x:v>
          </x:cell>
          <x:cell r="Y198">
            <x:v>20</x:v>
          </x:cell>
          <x:cell r="Z198" t="str">
            <x:v>%</x:v>
          </x:cell>
          <x:cell r="AA198">
            <x:v>6</x:v>
          </x:cell>
          <x:cell r="AB198" t="str">
            <x:v>지속 종료</x:v>
          </x:cell>
          <x:cell r="AC198" t="str">
            <x:v>SKL-STS-004</x:v>
          </x:cell>
          <x:cell r="AD198" t="str">
            <x:v>기능 원형: 부하 강화 · 몬스터 시트 발동률 30%와 동기화</x:v>
          </x:cell>
        </x:row>
        <x:row r="199">
          <x:cell r="G199" t="str">
            <x:v>등 떠밀기</x:v>
          </x:cell>
          <x:cell r="H199" t="str">
            <x:v>직선 전조 후 목표 방향으로 빠르게 돌진해 경로상의 대상을 압박함.</x:v>
          </x:cell>
          <x:cell r="I199"/>
          <x:cell r="J199" t="str">
            <x:v>액티브</x:v>
          </x:cell>
          <x:cell r="K199" t="str">
            <x:v>너만 할 수 있대</x:v>
          </x:cell>
          <x:cell r="L199" t="str">
            <x:v>밀려남 1.5칸</x:v>
          </x:cell>
          <x:cell r="M199" t="str">
            <x:v>AI 가중치</x:v>
          </x:cell>
          <x:cell r="N199" t="str">
            <x:v>사거리·페이즈·주변 상황 조건 충족</x:v>
          </x:cell>
          <x:cell r="O199" t="str">
            <x:v>몬스터 최종 공격력 비율</x:v>
          </x:cell>
          <x:cell r="P199">
            <x:v>1.21</x:v>
          </x:cell>
          <x:cell r="Q199">
            <x:v>0</x:v>
          </x:cell>
          <x:cell r="R199" t="str">
            <x:v>몬스터 최종 공격력 × 121%</x:v>
          </x:cell>
          <x:cell r="S199">
            <x:v>8.4000000000000004</x:v>
          </x:cell>
          <x:cell r="T199">
            <x:v>0.25</x:v>
          </x:cell>
          <x:cell r="U199" t="str">
            <x:v>개별</x:v>
          </x:cell>
          <x:cell r="V199">
            <x:v>6.9000000000000004</x:v>
          </x:cell>
          <x:cell r="W199">
            <x:v>0.75</x:v>
          </x:cell>
          <x:cell r="X199" t="str">
            <x:v>없음</x:v>
          </x:cell>
          <x:cell r="Y199">
            <x:v>0</x:v>
          </x:cell>
          <x:cell r="Z199" t="str">
            <x:v>없음</x:v>
          </x:cell>
          <x:cell r="AA199">
            <x:v>0</x:v>
          </x:cell>
          <x:cell r="AB199" t="str">
            <x:v>시전 종료</x:v>
          </x:cell>
          <x:cell r="AC199" t="str">
            <x:v>SKL-STS-002</x:v>
          </x:cell>
          <x:cell r="AD199" t="str">
            <x:v>기능 원형: 집단 돌진 · 몬스터 시트 발동률 25%와 동기화</x:v>
          </x:cell>
        </x:row>
        <x:row r="200">
          <x:cell r="G200" t="str">
            <x:v>저 사람부터!</x:v>
          </x:cell>
          <x:cell r="H200" t="str">
            <x:v>특정 대상이나 위치에 표식을 남겨 무리의 공격 우선순위를 집중시킴.</x:v>
          </x:cell>
          <x:cell r="I200"/>
          <x:cell r="J200" t="str">
            <x:v>액티브</x:v>
          </x:cell>
          <x:cell r="K200" t="str">
            <x:v>너만 할 수 있대</x:v>
          </x:cell>
          <x:cell r="L200" t="str">
            <x:v>표적 지정</x:v>
          </x:cell>
          <x:cell r="M200" t="str">
            <x:v>AI 가중치</x:v>
          </x:cell>
          <x:cell r="N200" t="str">
            <x:v>사거리·페이즈·주변 상황 조건 충족</x:v>
          </x:cell>
          <x:cell r="O200" t="str">
            <x:v>없음</x:v>
          </x:cell>
          <x:cell r="P200">
            <x:v>0</x:v>
          </x:cell>
          <x:cell r="Q200">
            <x:v>0</x:v>
          </x:cell>
          <x:cell r="R200" t="str">
            <x:v>피해 없음</x:v>
          </x:cell>
          <x:cell r="S200">
            <x:v>9.0999999999999996</x:v>
          </x:cell>
          <x:cell r="T200">
            <x:v>0.20000000000000001</x:v>
          </x:cell>
          <x:cell r="U200" t="str">
            <x:v>개별</x:v>
          </x:cell>
          <x:cell r="V200">
            <x:v>7.5999999999999996</x:v>
          </x:cell>
          <x:cell r="W200">
            <x:v>0.75</x:v>
          </x:cell>
          <x:cell r="X200" t="str">
            <x:v>AI 우선순위</x:v>
          </x:cell>
          <x:cell r="Y200">
            <x:v>1</x:v>
          </x:cell>
          <x:cell r="Z200" t="str">
            <x:v>단계</x:v>
          </x:cell>
          <x:cell r="AA200">
            <x:v>4</x:v>
          </x:cell>
          <x:cell r="AB200" t="str">
            <x:v>지속 종료</x:v>
          </x:cell>
          <x:cell r="AC200" t="str">
            <x:v>SKL-STS-007</x:v>
          </x:cell>
          <x:cell r="AD200" t="str">
            <x:v>기능 원형: 공격 표적 지정 · 몬스터 시트 발동률 20%와 동기화</x:v>
          </x:cell>
        </x:row>
        <x:row r="201">
          <x:cell r="G201" t="str">
            <x:v>저쪽으로.</x:v>
          </x:cell>
          <x:cell r="H201" t="str">
            <x:v>특정 대상이나 위치에 표식을 남겨 무리의 공격 우선순위를 집중시킴.</x:v>
          </x:cell>
          <x:cell r="I201"/>
          <x:cell r="J201" t="str">
            <x:v>액티브</x:v>
          </x:cell>
          <x:cell r="K201" t="str">
            <x:v>딱 한 명이면 돼</x:v>
          </x:cell>
          <x:cell r="L201" t="str">
            <x:v>표적 지정</x:v>
          </x:cell>
          <x:cell r="M201" t="str">
            <x:v>AI 가중치</x:v>
          </x:cell>
          <x:cell r="N201" t="str">
            <x:v>사거리·페이즈·주변 상황 조건 충족</x:v>
          </x:cell>
          <x:cell r="O201" t="str">
            <x:v>없음</x:v>
          </x:cell>
          <x:cell r="P201">
            <x:v>0</x:v>
          </x:cell>
          <x:cell r="Q201">
            <x:v>0</x:v>
          </x:cell>
          <x:cell r="R201" t="str">
            <x:v>피해 없음</x:v>
          </x:cell>
          <x:cell r="S201">
            <x:v>7</x:v>
          </x:cell>
          <x:cell r="T201">
            <x:v>0.25</x:v>
          </x:cell>
          <x:cell r="U201" t="str">
            <x:v>개별</x:v>
          </x:cell>
          <x:cell r="V201">
            <x:v>5.5</x:v>
          </x:cell>
          <x:cell r="W201">
            <x:v>0.75</x:v>
          </x:cell>
          <x:cell r="X201" t="str">
            <x:v>AI 우선순위</x:v>
          </x:cell>
          <x:cell r="Y201">
            <x:v>1</x:v>
          </x:cell>
          <x:cell r="Z201" t="str">
            <x:v>단계</x:v>
          </x:cell>
          <x:cell r="AA201">
            <x:v>4</x:v>
          </x:cell>
          <x:cell r="AB201" t="str">
            <x:v>지속 종료</x:v>
          </x:cell>
          <x:cell r="AC201" t="str">
            <x:v>SKL-STS-007</x:v>
          </x:cell>
          <x:cell r="AD201" t="str">
            <x:v>기능 원형: 균열 방향 지정 · 몬스터 시트 발동률 25%와 동기화</x:v>
          </x:cell>
        </x:row>
        <x:row r="202">
          <x:cell r="G202" t="str">
            <x:v>양쪽에서 밀어!</x:v>
          </x:cell>
          <x:cell r="H202" t="str">
            <x:v>'양면 압박' 행동을 수행해 위치·전투 리듬을 변화시킴.</x:v>
          </x:cell>
          <x:cell r="I202"/>
          <x:cell r="J202" t="str">
            <x:v>액티브</x:v>
          </x:cell>
          <x:cell r="K202" t="str">
            <x:v>딱 한 명이면 돼</x:v>
          </x:cell>
          <x:cell r="L202"/>
          <x:cell r="M202" t="str">
            <x:v>AI 가중치</x:v>
          </x:cell>
          <x:cell r="N202" t="str">
            <x:v>사거리·페이즈·주변 상황 조건 충족</x:v>
          </x:cell>
          <x:cell r="O202" t="str">
            <x:v>없음</x:v>
          </x:cell>
          <x:cell r="P202">
            <x:v>0</x:v>
          </x:cell>
          <x:cell r="Q202">
            <x:v>0</x:v>
          </x:cell>
          <x:cell r="R202" t="str">
            <x:v>피해 없음</x:v>
          </x:cell>
          <x:cell r="S202">
            <x:v>7.7000000000000002</x:v>
          </x:cell>
          <x:cell r="T202">
            <x:v>0.29999999999999999</x:v>
          </x:cell>
          <x:cell r="U202" t="str">
            <x:v>개별</x:v>
          </x:cell>
          <x:cell r="V202">
            <x:v>6.2000000000000002</x:v>
          </x:cell>
          <x:cell r="W202">
            <x:v>0.75</x:v>
          </x:cell>
          <x:cell r="X202" t="str">
            <x:v>없음</x:v>
          </x:cell>
          <x:cell r="Y202">
            <x:v>0</x:v>
          </x:cell>
          <x:cell r="Z202" t="str">
            <x:v>없음</x:v>
          </x:cell>
          <x:cell r="AA202">
            <x:v>0</x:v>
          </x:cell>
          <x:cell r="AB202" t="str">
            <x:v>시전 종료</x:v>
          </x:cell>
          <x:cell r="AC202" t="str">
            <x:v>없음</x:v>
          </x:cell>
          <x:cell r="AD202" t="str">
            <x:v>기능 원형: 양면 압박 · 몬스터 시트 발동률 30%와 동기화</x:v>
          </x:cell>
        </x:row>
        <x:row r="203">
          <x:cell r="G203" t="str">
            <x:v>한 명만 보내!</x:v>
          </x:cell>
          <x:cell r="H203" t="str">
            <x:v>몸체·집게·외피로 목표를 밀어 안전 위치에서 벗어나게 함.</x:v>
          </x:cell>
          <x:cell r="I203"/>
          <x:cell r="J203" t="str">
            <x:v>액티브</x:v>
          </x:cell>
          <x:cell r="K203" t="str">
            <x:v>딱 한 명이면 돼</x:v>
          </x:cell>
          <x:cell r="L203" t="str">
            <x:v>밀려남 1.5칸</x:v>
          </x:cell>
          <x:cell r="M203" t="str">
            <x:v>AI 가중치</x:v>
          </x:cell>
          <x:cell r="N203" t="str">
            <x:v>사거리·페이즈·주변 상황 조건 충족</x:v>
          </x:cell>
          <x:cell r="O203" t="str">
            <x:v>몬스터 최종 공격력 비율</x:v>
          </x:cell>
          <x:cell r="P203">
            <x:v>0.79000000000000004</x:v>
          </x:cell>
          <x:cell r="Q203">
            <x:v>0</x:v>
          </x:cell>
          <x:cell r="R203" t="str">
            <x:v>몬스터 최종 공격력 × 79%</x:v>
          </x:cell>
          <x:cell r="S203">
            <x:v>8.4000000000000004</x:v>
          </x:cell>
          <x:cell r="T203">
            <x:v>0.25</x:v>
          </x:cell>
          <x:cell r="U203" t="str">
            <x:v>개별</x:v>
          </x:cell>
          <x:cell r="V203">
            <x:v>6.9000000000000004</x:v>
          </x:cell>
          <x:cell r="W203">
            <x:v>0.75</x:v>
          </x:cell>
          <x:cell r="X203" t="str">
            <x:v>없음</x:v>
          </x:cell>
          <x:cell r="Y203">
            <x:v>0</x:v>
          </x:cell>
          <x:cell r="Z203" t="str">
            <x:v>없음</x:v>
          </x:cell>
          <x:cell r="AA203">
            <x:v>0</x:v>
          </x:cell>
          <x:cell r="AB203" t="str">
            <x:v>시전 종료</x:v>
          </x:cell>
          <x:cell r="AC203" t="str">
            <x:v>SKL-STS-002</x:v>
          </x:cell>
          <x:cell r="AD203" t="str">
            <x:v>기능 원형: 부하 밀치기 명령 · 몬스터 시트 발동률 25%와 동기화</x:v>
          </x:cell>
        </x:row>
        <x:row r="204">
          <x:cell r="G204" t="str">
            <x:v>다시 한 줄</x:v>
          </x:cell>
          <x:cell r="H204" t="str">
            <x:v>주변 부하의 위치를 다시 배치해 봉쇄·보호 진형을 재구성함.</x:v>
          </x:cell>
          <x:cell r="I204"/>
          <x:cell r="J204" t="str">
            <x:v>액티브</x:v>
          </x:cell>
          <x:cell r="K204" t="str">
            <x:v>딱 한 명이면 돼</x:v>
          </x:cell>
          <x:cell r="L204"/>
          <x:cell r="M204" t="str">
            <x:v>AI 가중치</x:v>
          </x:cell>
          <x:cell r="N204" t="str">
            <x:v>사거리·페이즈·주변 상황 조건 충족</x:v>
          </x:cell>
          <x:cell r="O204" t="str">
            <x:v>없음</x:v>
          </x:cell>
          <x:cell r="P204">
            <x:v>0</x:v>
          </x:cell>
          <x:cell r="Q204">
            <x:v>0</x:v>
          </x:cell>
          <x:cell r="R204" t="str">
            <x:v>피해 없음</x:v>
          </x:cell>
          <x:cell r="S204">
            <x:v>9.0999999999999996</x:v>
          </x:cell>
          <x:cell r="T204">
            <x:v>0.20000000000000001</x:v>
          </x:cell>
          <x:cell r="U204" t="str">
            <x:v>개별</x:v>
          </x:cell>
          <x:cell r="V204">
            <x:v>7.5999999999999996</x:v>
          </x:cell>
          <x:cell r="W204">
            <x:v>0.75</x:v>
          </x:cell>
          <x:cell r="X204" t="str">
            <x:v>AI 위치</x:v>
          </x:cell>
          <x:cell r="Y204">
            <x:v>1</x:v>
          </x:cell>
          <x:cell r="Z204" t="str">
            <x:v>단계</x:v>
          </x:cell>
          <x:cell r="AA204">
            <x:v>0</x:v>
          </x:cell>
          <x:cell r="AB204" t="str">
            <x:v>시전 종료</x:v>
          </x:cell>
          <x:cell r="AC204" t="str">
            <x:v>없음</x:v>
          </x:cell>
          <x:cell r="AD204" t="str">
            <x:v>기능 원형: 진형 재구성 · 몬스터 시트 발동률 20%와 동기화</x:v>
          </x:cell>
        </x:row>
        <x:row r="205">
          <x:cell r="G205" t="str">
            <x:v>선의 압류</x:v>
          </x:cell>
          <x:cell r="H205" t="str">
            <x:v>통로·출구·안전 위치를 점유하거나 닫아 플레이어의 이동 선택지를 줄임.</x:v>
          </x:cell>
          <x:cell r="I205"/>
          <x:cell r="J205" t="str">
            <x:v>액티브</x:v>
          </x:cell>
          <x:cell r="K205" t="str">
            <x:v>선의 압류관</x:v>
          </x:cell>
          <x:cell r="L205" t="str">
            <x:v>이동 경로 제한</x:v>
          </x:cell>
          <x:cell r="M205" t="str">
            <x:v>페이즈+AI</x:v>
          </x:cell>
          <x:cell r="N205" t="str">
            <x:v>현재 페이즈에서 사용 가능·가중치 판정</x:v>
          </x:cell>
          <x:cell r="O205" t="str">
            <x:v>없음</x:v>
          </x:cell>
          <x:cell r="P205">
            <x:v>0</x:v>
          </x:cell>
          <x:cell r="Q205">
            <x:v>0</x:v>
          </x:cell>
          <x:cell r="R205" t="str">
            <x:v>피해 없음</x:v>
          </x:cell>
          <x:cell r="S205">
            <x:v>8</x:v>
          </x:cell>
          <x:cell r="T205">
            <x:v>0.25</x:v>
          </x:cell>
          <x:cell r="U205" t="str">
            <x:v>개별</x:v>
          </x:cell>
          <x:cell r="V205">
            <x:v>6.5</x:v>
          </x:cell>
          <x:cell r="W205">
            <x:v>0.90000000000000002</x:v>
          </x:cell>
          <x:cell r="X205" t="str">
            <x:v>이동 가능 경로</x:v>
          </x:cell>
          <x:cell r="Y205">
            <x:v>-1</x:v>
          </x:cell>
          <x:cell r="Z205" t="str">
            <x:v>개</x:v>
          </x:cell>
          <x:cell r="AA205">
            <x:v>4</x:v>
          </x:cell>
          <x:cell r="AB205" t="str">
            <x:v>지속 종료</x:v>
          </x:cell>
          <x:cell r="AC205" t="str">
            <x:v>없음</x:v>
          </x:cell>
          <x:cell r="AD205" t="str">
            <x:v>기능 원형: 선의 봉쇄 · 몬스터 시트 발동률 25%와 동기화</x:v>
          </x:cell>
        </x:row>
        <x:row r="206">
          <x:cell r="G206" t="str">
            <x:v>회복도 압류</x:v>
          </x:cell>
          <x:cell r="H206" t="str">
            <x:v>플레이어의 회복 효과를 반전시켜 회복 행동 자체를 위험하게 만듦.</x:v>
          </x:cell>
          <x:cell r="I206"/>
          <x:cell r="J206" t="str">
            <x:v>액티브</x:v>
          </x:cell>
          <x:cell r="K206" t="str">
            <x:v>선의 압류관</x:v>
          </x:cell>
          <x:cell r="L206" t="str">
            <x:v>회복 반전</x:v>
          </x:cell>
          <x:cell r="M206" t="str">
            <x:v>페이즈+AI</x:v>
          </x:cell>
          <x:cell r="N206" t="str">
            <x:v>현재 페이즈에서 사용 가능·가중치 판정</x:v>
          </x:cell>
          <x:cell r="O206" t="str">
            <x:v>없음</x:v>
          </x:cell>
          <x:cell r="P206">
            <x:v>0</x:v>
          </x:cell>
          <x:cell r="Q206">
            <x:v>0</x:v>
          </x:cell>
          <x:cell r="R206" t="str">
            <x:v>피해 없음</x:v>
          </x:cell>
          <x:cell r="S206">
            <x:v>8.6999999999999993</x:v>
          </x:cell>
          <x:cell r="T206">
            <x:v>0.25</x:v>
          </x:cell>
          <x:cell r="U206" t="str">
            <x:v>개별</x:v>
          </x:cell>
          <x:cell r="V206">
            <x:v>7.2000000000000002</x:v>
          </x:cell>
          <x:cell r="W206">
            <x:v>0.90000000000000002</x:v>
          </x:cell>
          <x:cell r="X206" t="str">
            <x:v>회복 효율</x:v>
          </x:cell>
          <x:cell r="Y206">
            <x:v>-200</x:v>
          </x:cell>
          <x:cell r="Z206" t="str">
            <x:v>%</x:v>
          </x:cell>
          <x:cell r="AA206">
            <x:v>4</x:v>
          </x:cell>
          <x:cell r="AB206" t="str">
            <x:v>지속 종료</x:v>
          </x:cell>
          <x:cell r="AC206" t="str">
            <x:v>SKL-STS-017</x:v>
          </x:cell>
          <x:cell r="AD206" t="str">
            <x:v>기능 원형: 회복 반전 · 몬스터 시트 발동률 25%와 동기화</x:v>
          </x:cell>
        </x:row>
        <x:row r="207">
          <x:cell r="G207" t="str">
            <x:v>압류분으로 수리</x:v>
          </x:cell>
          <x:cell r="H207" t="str">
            <x:v>손상된 외피·부위를 다시 결합해 체력을 회복함.</x:v>
          </x:cell>
          <x:cell r="I207"/>
          <x:cell r="J207" t="str">
            <x:v>액티브</x:v>
          </x:cell>
          <x:cell r="K207" t="str">
            <x:v>선의 압류관</x:v>
          </x:cell>
          <x:cell r="L207"/>
          <x:cell r="M207" t="str">
            <x:v>페이즈+AI</x:v>
          </x:cell>
          <x:cell r="N207" t="str">
            <x:v>현재 페이즈에서 사용 가능·가중치 판정</x:v>
          </x:cell>
          <x:cell r="O207" t="str">
            <x:v>없음</x:v>
          </x:cell>
          <x:cell r="P207">
            <x:v>0</x:v>
          </x:cell>
          <x:cell r="Q207">
            <x:v>0</x:v>
          </x:cell>
          <x:cell r="R207" t="str">
            <x:v>피해 없음</x:v>
          </x:cell>
          <x:cell r="S207">
            <x:v>9.4000000000000004</x:v>
          </x:cell>
          <x:cell r="T207">
            <x:v>0.25</x:v>
          </x:cell>
          <x:cell r="U207" t="str">
            <x:v>개별</x:v>
          </x:cell>
          <x:cell r="V207">
            <x:v>7.9000000000000004</x:v>
          </x:cell>
          <x:cell r="W207">
            <x:v>0.90000000000000002</x:v>
          </x:cell>
          <x:cell r="X207" t="str">
            <x:v>HP</x:v>
          </x:cell>
          <x:cell r="Y207">
            <x:v>12</x:v>
          </x:cell>
          <x:cell r="Z207" t="str">
            <x:v>%</x:v>
          </x:cell>
          <x:cell r="AA207">
            <x:v>0</x:v>
          </x:cell>
          <x:cell r="AB207" t="str">
            <x:v>시전 종료</x:v>
          </x:cell>
          <x:cell r="AC207" t="str">
            <x:v>없음</x:v>
          </x:cell>
          <x:cell r="AD207" t="str">
            <x:v>기능 원형: 탈취 외피 재생 · 몬스터 시트 발동률 25%와 동기화</x:v>
          </x:cell>
        </x:row>
        <x:row r="208">
          <x:cell r="G208" t="str">
            <x:v>미납 경고</x:v>
          </x:cell>
          <x:cell r="H208" t="str">
            <x:v>'균열 파동' 행동을 수행해 위치·전투 리듬을 변화시킴.</x:v>
          </x:cell>
          <x:cell r="I208"/>
          <x:cell r="J208" t="str">
            <x:v>액티브</x:v>
          </x:cell>
          <x:cell r="K208" t="str">
            <x:v>선의 압류관</x:v>
          </x:cell>
          <x:cell r="L208"/>
          <x:cell r="M208" t="str">
            <x:v>페이즈+AI</x:v>
          </x:cell>
          <x:cell r="N208" t="str">
            <x:v>현재 페이즈에서 사용 가능·가중치 판정</x:v>
          </x:cell>
          <x:cell r="O208" t="str">
            <x:v>몬스터 최종 공격력 비율</x:v>
          </x:cell>
          <x:cell r="P208">
            <x:v>1.1499999999999999</x:v>
          </x:cell>
          <x:cell r="Q208">
            <x:v>0</x:v>
          </x:cell>
          <x:cell r="R208" t="str">
            <x:v>몬스터 최종 공격력 × 115%</x:v>
          </x:cell>
          <x:cell r="S208">
            <x:v>10.1</x:v>
          </x:cell>
          <x:cell r="T208">
            <x:v>0.25</x:v>
          </x:cell>
          <x:cell r="U208" t="str">
            <x:v>개별</x:v>
          </x:cell>
          <x:cell r="V208">
            <x:v>8.5999999999999996</x:v>
          </x:cell>
          <x:cell r="W208">
            <x:v>0.90000000000000002</x:v>
          </x:cell>
          <x:cell r="X208" t="str">
            <x:v>없음</x:v>
          </x:cell>
          <x:cell r="Y208">
            <x:v>0</x:v>
          </x:cell>
          <x:cell r="Z208" t="str">
            <x:v>없음</x:v>
          </x:cell>
          <x:cell r="AA208">
            <x:v>0</x:v>
          </x:cell>
          <x:cell r="AB208" t="str">
            <x:v>시전 종료</x:v>
          </x:cell>
          <x:cell r="AC208" t="str">
            <x:v>없음</x:v>
          </x:cell>
          <x:cell r="AD208" t="str">
            <x:v>기능 원형: 균열 파동 · 몬스터 시트 발동률 25%와 동기화</x:v>
          </x:cell>
        </x:row>
        <x:row r="209">
          <x:cell r="G209" t="str">
            <x:v>등급부터 매길게.</x:v>
          </x:cell>
          <x:cell r="H209" t="str">
            <x:v>행동과 무관한 등급을 강제로 부여해 보스의 공격 우선순위를 바꿈.</x:v>
          </x:cell>
          <x:cell r="I209"/>
          <x:cell r="J209" t="str">
            <x:v>액티브</x:v>
          </x:cell>
          <x:cell r="K209" t="str">
            <x:v>너만 무한이잖아</x:v>
          </x:cell>
          <x:cell r="L209" t="str">
            <x:v>등급 표식</x:v>
          </x:cell>
          <x:cell r="M209" t="str">
            <x:v>페이즈+AI</x:v>
          </x:cell>
          <x:cell r="N209" t="str">
            <x:v>현재 페이즈에서 사용 가능·가중치 판정</x:v>
          </x:cell>
          <x:cell r="O209" t="str">
            <x:v>없음</x:v>
          </x:cell>
          <x:cell r="P209">
            <x:v>0</x:v>
          </x:cell>
          <x:cell r="Q209">
            <x:v>0</x:v>
          </x:cell>
          <x:cell r="R209" t="str">
            <x:v>피해 없음</x:v>
          </x:cell>
          <x:cell r="S209">
            <x:v>8</x:v>
          </x:cell>
          <x:cell r="T209">
            <x:v>0.25</x:v>
          </x:cell>
          <x:cell r="U209" t="str">
            <x:v>개별</x:v>
          </x:cell>
          <x:cell r="V209">
            <x:v>6.5</x:v>
          </x:cell>
          <x:cell r="W209">
            <x:v>0.90000000000000002</x:v>
          </x:cell>
          <x:cell r="X209" t="str">
            <x:v>우선순위</x:v>
          </x:cell>
          <x:cell r="Y209">
            <x:v>1</x:v>
          </x:cell>
          <x:cell r="Z209" t="str">
            <x:v>등급</x:v>
          </x:cell>
          <x:cell r="AA209">
            <x:v>0</x:v>
          </x:cell>
          <x:cell r="AB209" t="str">
            <x:v>시전 종료</x:v>
          </x:cell>
          <x:cell r="AC209" t="str">
            <x:v>SKL-STS-019</x:v>
          </x:cell>
          <x:cell r="AD209" t="str">
            <x:v>기능 원형: 등급 배정 · 몬스터 시트 발동률 25%와 동기화</x:v>
          </x:cell>
        </x:row>
        <x:row r="210">
          <x:cell r="G210" t="str">
            <x:v>한 명이면 충분해.</x:v>
          </x:cell>
          <x:cell r="H210" t="str">
            <x:v>차한해를 희생 우선 대상으로 지정해 주변 공격과 밀치기 규칙을 집중시킴.</x:v>
          </x:cell>
          <x:cell r="I210"/>
          <x:cell r="J210" t="str">
            <x:v>액티브</x:v>
          </x:cell>
          <x:cell r="K210" t="str">
            <x:v>너만 무한이잖아</x:v>
          </x:cell>
          <x:cell r="L210" t="str">
            <x:v>희생 표식</x:v>
          </x:cell>
          <x:cell r="M210" t="str">
            <x:v>페이즈+AI</x:v>
          </x:cell>
          <x:cell r="N210" t="str">
            <x:v>현재 페이즈에서 사용 가능·가중치 판정</x:v>
          </x:cell>
          <x:cell r="O210" t="str">
            <x:v>없음</x:v>
          </x:cell>
          <x:cell r="P210">
            <x:v>0</x:v>
          </x:cell>
          <x:cell r="Q210">
            <x:v>0</x:v>
          </x:cell>
          <x:cell r="R210" t="str">
            <x:v>피해 없음</x:v>
          </x:cell>
          <x:cell r="S210">
            <x:v>8.6999999999999993</x:v>
          </x:cell>
          <x:cell r="T210">
            <x:v>0.25</x:v>
          </x:cell>
          <x:cell r="U210" t="str">
            <x:v>개별</x:v>
          </x:cell>
          <x:cell r="V210">
            <x:v>7.2000000000000002</x:v>
          </x:cell>
          <x:cell r="W210">
            <x:v>0.90000000000000002</x:v>
          </x:cell>
          <x:cell r="X210" t="str">
            <x:v>AI 우선순위</x:v>
          </x:cell>
          <x:cell r="Y210">
            <x:v>2</x:v>
          </x:cell>
          <x:cell r="Z210" t="str">
            <x:v>단계</x:v>
          </x:cell>
          <x:cell r="AA210">
            <x:v>5</x:v>
          </x:cell>
          <x:cell r="AB210" t="str">
            <x:v>지속 종료</x:v>
          </x:cell>
          <x:cell r="AC210" t="str">
            <x:v>SKL-STS-020</x:v>
          </x:cell>
          <x:cell r="AD210" t="str">
            <x:v>기능 원형: 희생 우선순위 · 몬스터 시트 발동률 25%와 동기화</x:v>
          </x:cell>
        </x:row>
        <x:row r="211">
          <x:cell r="G211" t="str">
            <x:v>측정합니다.</x:v>
          </x:cell>
          <x:cell r="H211" t="str">
            <x:v>직선 조준선으로 목표를 스캔·타격해 원거리 압박을 줌.</x:v>
          </x:cell>
          <x:cell r="I211"/>
          <x:cell r="J211" t="str">
            <x:v>액티브</x:v>
          </x:cell>
          <x:cell r="K211" t="str">
            <x:v>너만 무한이잖아</x:v>
          </x:cell>
          <x:cell r="L211"/>
          <x:cell r="M211" t="str">
            <x:v>페이즈+AI</x:v>
          </x:cell>
          <x:cell r="N211" t="str">
            <x:v>현재 페이즈에서 사용 가능·가중치 판정</x:v>
          </x:cell>
          <x:cell r="O211" t="str">
            <x:v>몬스터 최종 공격력 비율</x:v>
          </x:cell>
          <x:cell r="P211">
            <x:v>1.0900000000000001</x:v>
          </x:cell>
          <x:cell r="Q211">
            <x:v>0</x:v>
          </x:cell>
          <x:cell r="R211" t="str">
            <x:v>몬스터 최종 공격력 × 109%</x:v>
          </x:cell>
          <x:cell r="S211">
            <x:v>9.4000000000000004</x:v>
          </x:cell>
          <x:cell r="T211">
            <x:v>0.25</x:v>
          </x:cell>
          <x:cell r="U211" t="str">
            <x:v>개별</x:v>
          </x:cell>
          <x:cell r="V211">
            <x:v>7.9000000000000004</x:v>
          </x:cell>
          <x:cell r="W211">
            <x:v>0.90000000000000002</x:v>
          </x:cell>
          <x:cell r="X211" t="str">
            <x:v>없음</x:v>
          </x:cell>
          <x:cell r="Y211">
            <x:v>0</x:v>
          </x:cell>
          <x:cell r="Z211" t="str">
            <x:v>없음</x:v>
          </x:cell>
          <x:cell r="AA211">
            <x:v>0</x:v>
          </x:cell>
          <x:cell r="AB211" t="str">
            <x:v>시전 종료</x:v>
          </x:cell>
          <x:cell r="AC211" t="str">
            <x:v>없음</x:v>
          </x:cell>
          <x:cell r="AD211" t="str">
            <x:v>기능 원형: 측정 빔 · 몬스터 시트 발동률 25%와 동기화</x:v>
          </x:cell>
        </x:row>
        <x:row r="212">
          <x:cell r="G212" t="str">
            <x:v>마지막은 같이.</x:v>
          </x:cell>
          <x:cell r="H212" t="str">
            <x:v>자신의 핵심 부위를 짧게 노출해 공격 기회를 만들지만 이후 패턴 전환을 준비함.</x:v>
          </x:cell>
          <x:cell r="I212"/>
          <x:cell r="J212" t="str">
            <x:v>액티브</x:v>
          </x:cell>
          <x:cell r="K212" t="str">
            <x:v>너만 무한이잖아</x:v>
          </x:cell>
          <x:cell r="L212"/>
          <x:cell r="M212" t="str">
            <x:v>페이즈+AI</x:v>
          </x:cell>
          <x:cell r="N212" t="str">
            <x:v>현재 페이즈에서 사용 가능·가중치 판정</x:v>
          </x:cell>
          <x:cell r="O212" t="str">
            <x:v>없음</x:v>
          </x:cell>
          <x:cell r="P212">
            <x:v>0</x:v>
          </x:cell>
          <x:cell r="Q212">
            <x:v>0</x:v>
          </x:cell>
          <x:cell r="R212" t="str">
            <x:v>피해 없음</x:v>
          </x:cell>
          <x:cell r="S212">
            <x:v>10.1</x:v>
          </x:cell>
          <x:cell r="T212">
            <x:v>0.25</x:v>
          </x:cell>
          <x:cell r="U212" t="str">
            <x:v>개별</x:v>
          </x:cell>
          <x:cell r="V212">
            <x:v>8.5999999999999996</x:v>
          </x:cell>
          <x:cell r="W212">
            <x:v>0.90000000000000002</x:v>
          </x:cell>
          <x:cell r="X212" t="str">
            <x:v>방어력</x:v>
          </x:cell>
          <x:cell r="Y212">
            <x:v>-40</x:v>
          </x:cell>
          <x:cell r="Z212" t="str">
            <x:v>%</x:v>
          </x:cell>
          <x:cell r="AA212">
            <x:v>2</x:v>
          </x:cell>
          <x:cell r="AB212" t="str">
            <x:v>지속 종료</x:v>
          </x:cell>
          <x:cell r="AC212" t="str">
            <x:v>없음</x:v>
          </x:cell>
          <x:cell r="AD212" t="str">
            <x:v>기능 원형: 핵 노출·동기화 · 몬스터 시트 발동률 25%와 동기화</x:v>
          </x:cell>
        </x:row>
      </x:sheetData>
      <x:sheetData sheetId="5" refreshError="0">
        <x:row r="7">
          <x:cell r="A7">
            <x:v>1</x:v>
          </x:cell>
          <x:cell r="J7" t="str">
            <x:v/>
          </x:cell>
          <x:cell r="N7" t="str">
            <x:v/>
          </x:cell>
          <x:cell r="W7"/>
        </x:row>
        <x:row r="8">
          <x:cell r="A8">
            <x:v>2</x:v>
          </x:cell>
          <x:cell r="W8"/>
        </x:row>
        <x:row r="9">
          <x:cell r="A9">
            <x:v>3</x:v>
          </x:cell>
          <x:cell r="W9"/>
        </x:row>
        <x:row r="10">
          <x:cell r="A10">
            <x:v>4</x:v>
          </x:cell>
          <x:cell r="W10"/>
        </x:row>
        <x:row r="11">
          <x:cell r="A11">
            <x:v>5</x:v>
          </x:cell>
          <x:cell r="W11"/>
        </x:row>
        <x:row r="12">
          <x:cell r="A12">
            <x:v>6</x:v>
          </x:cell>
          <x:cell r="W12"/>
        </x:row>
        <x:row r="13">
          <x:cell r="A13">
            <x:v>7</x:v>
          </x:cell>
          <x:cell r="W13"/>
        </x:row>
        <x:row r="14">
          <x:cell r="A14">
            <x:v>8</x:v>
          </x:cell>
          <x:cell r="W14"/>
        </x:row>
        <x:row r="15">
          <x:cell r="A15">
            <x:v>9</x:v>
          </x:cell>
          <x:cell r="W15"/>
        </x:row>
        <x:row r="16">
          <x:cell r="A16">
            <x:v>10</x:v>
          </x:cell>
          <x:cell r="W16"/>
        </x:row>
        <x:row r="17">
          <x:cell r="A17">
            <x:v>11</x:v>
          </x:cell>
          <x:cell r="W17"/>
        </x:row>
        <x:row r="18">
          <x:cell r="A18">
            <x:v>12</x:v>
          </x:cell>
          <x:cell r="W18"/>
        </x:row>
        <x:row r="19">
          <x:cell r="A19">
            <x:v>13</x:v>
          </x:cell>
          <x:cell r="W19"/>
        </x:row>
        <x:row r="20">
          <x:cell r="A20">
            <x:v>14</x:v>
          </x:cell>
          <x:cell r="W20"/>
        </x:row>
        <x:row r="21">
          <x:cell r="A21">
            <x:v>15</x:v>
          </x:cell>
          <x:cell r="W21"/>
        </x:row>
        <x:row r="22">
          <x:cell r="A22">
            <x:v>16</x:v>
          </x:cell>
          <x:cell r="W22"/>
        </x:row>
        <x:row r="23">
          <x:cell r="A23">
            <x:v>17</x:v>
          </x:cell>
          <x:cell r="W23"/>
        </x:row>
        <x:row r="24">
          <x:cell r="A24">
            <x:v>18</x:v>
          </x:cell>
          <x:cell r="W24"/>
        </x:row>
        <x:row r="25">
          <x:cell r="A25">
            <x:v>19</x:v>
          </x:cell>
          <x:cell r="W25"/>
        </x:row>
        <x:row r="26">
          <x:cell r="A26">
            <x:v>20</x:v>
          </x:cell>
          <x:cell r="W26"/>
        </x:row>
        <x:row r="27">
          <x:cell r="A27">
            <x:v>21</x:v>
          </x:cell>
          <x:cell r="W27"/>
        </x:row>
        <x:row r="28">
          <x:cell r="A28">
            <x:v>22</x:v>
          </x:cell>
          <x:cell r="W28"/>
        </x:row>
        <x:row r="29">
          <x:cell r="A29">
            <x:v>23</x:v>
          </x:cell>
          <x:cell r="W29"/>
        </x:row>
        <x:row r="30">
          <x:cell r="A30">
            <x:v>24</x:v>
          </x:cell>
          <x:cell r="W30"/>
        </x:row>
        <x:row r="31">
          <x:cell r="A31">
            <x:v>25</x:v>
          </x:cell>
          <x:cell r="W31"/>
        </x:row>
        <x:row r="32">
          <x:cell r="A32">
            <x:v>26</x:v>
          </x:cell>
          <x:cell r="W32"/>
        </x:row>
        <x:row r="33">
          <x:cell r="A33">
            <x:v>27</x:v>
          </x:cell>
          <x:cell r="W33"/>
        </x:row>
        <x:row r="34">
          <x:cell r="A34">
            <x:v>28</x:v>
          </x:cell>
          <x:cell r="W34"/>
        </x:row>
        <x:row r="35">
          <x:cell r="A35">
            <x:v>29</x:v>
          </x:cell>
          <x:cell r="W35"/>
        </x:row>
        <x:row r="36">
          <x:cell r="A36">
            <x:v>30</x:v>
          </x:cell>
          <x:cell r="W36"/>
        </x:row>
        <x:row r="37">
          <x:cell r="A37">
            <x:v>31</x:v>
          </x:cell>
          <x:cell r="W37"/>
        </x:row>
        <x:row r="38">
          <x:cell r="A38">
            <x:v>32</x:v>
          </x:cell>
          <x:cell r="W38"/>
        </x:row>
        <x:row r="39">
          <x:cell r="A39">
            <x:v>33</x:v>
          </x:cell>
          <x:cell r="W39"/>
        </x:row>
        <x:row r="40">
          <x:cell r="A40">
            <x:v>34</x:v>
          </x:cell>
          <x:cell r="W40"/>
        </x:row>
        <x:row r="41">
          <x:cell r="A41">
            <x:v>35</x:v>
          </x:cell>
          <x:cell r="W41"/>
        </x:row>
        <x:row r="42">
          <x:cell r="A42">
            <x:v>36</x:v>
          </x:cell>
          <x:cell r="W42"/>
        </x:row>
        <x:row r="43">
          <x:cell r="A43">
            <x:v>37</x:v>
          </x:cell>
          <x:cell r="W43"/>
        </x:row>
        <x:row r="44">
          <x:cell r="A44">
            <x:v>38</x:v>
          </x:cell>
          <x:cell r="W44"/>
        </x:row>
        <x:row r="45">
          <x:cell r="A45">
            <x:v>39</x:v>
          </x:cell>
          <x:cell r="W45"/>
        </x:row>
        <x:row r="46">
          <x:cell r="A46">
            <x:v>40</x:v>
          </x:cell>
          <x:cell r="W46"/>
        </x:row>
        <x:row r="47">
          <x:cell r="A47">
            <x:v>41</x:v>
          </x:cell>
          <x:cell r="W47"/>
        </x:row>
        <x:row r="48">
          <x:cell r="A48">
            <x:v>42</x:v>
          </x:cell>
          <x:cell r="W48"/>
        </x:row>
        <x:row r="49">
          <x:cell r="A49">
            <x:v>43</x:v>
          </x:cell>
          <x:cell r="W49"/>
        </x:row>
        <x:row r="50">
          <x:cell r="A50">
            <x:v>44</x:v>
          </x:cell>
          <x:cell r="W50"/>
        </x:row>
        <x:row r="51">
          <x:cell r="A51">
            <x:v>45</x:v>
          </x:cell>
          <x:cell r="W51"/>
        </x:row>
        <x:row r="52">
          <x:cell r="A52">
            <x:v>46</x:v>
          </x:cell>
          <x:cell r="W52"/>
        </x:row>
        <x:row r="53">
          <x:cell r="A53">
            <x:v>47</x:v>
          </x:cell>
          <x:cell r="W53"/>
        </x:row>
        <x:row r="54">
          <x:cell r="A54">
            <x:v>48</x:v>
          </x:cell>
          <x:cell r="W54"/>
        </x:row>
        <x:row r="55">
          <x:cell r="A55">
            <x:v>49</x:v>
          </x:cell>
          <x:cell r="W55"/>
        </x:row>
        <x:row r="56">
          <x:cell r="A56">
            <x:v>50</x:v>
          </x:cell>
          <x:cell r="W56"/>
        </x:row>
        <x:row r="57">
          <x:cell r="A57">
            <x:v>51</x:v>
          </x:cell>
          <x:cell r="W57"/>
        </x:row>
        <x:row r="58">
          <x:cell r="A58">
            <x:v>52</x:v>
          </x:cell>
          <x:cell r="W58"/>
        </x:row>
        <x:row r="59">
          <x:cell r="A59">
            <x:v>53</x:v>
          </x:cell>
          <x:cell r="W59"/>
        </x:row>
        <x:row r="60">
          <x:cell r="A60">
            <x:v>54</x:v>
          </x:cell>
          <x:cell r="W60"/>
        </x:row>
        <x:row r="61">
          <x:cell r="A61">
            <x:v>55</x:v>
          </x:cell>
          <x:cell r="W61"/>
        </x:row>
        <x:row r="62">
          <x:cell r="A62">
            <x:v>56</x:v>
          </x:cell>
          <x:cell r="W62"/>
        </x:row>
        <x:row r="63">
          <x:cell r="A63">
            <x:v>57</x:v>
          </x:cell>
          <x:cell r="W63"/>
        </x:row>
        <x:row r="64">
          <x:cell r="A64">
            <x:v>58</x:v>
          </x:cell>
          <x:cell r="W64"/>
        </x:row>
        <x:row r="65">
          <x:cell r="A65">
            <x:v>59</x:v>
          </x:cell>
          <x:cell r="W65"/>
        </x:row>
        <x:row r="66">
          <x:cell r="A66">
            <x:v>60</x:v>
          </x:cell>
          <x:cell r="W66"/>
        </x:row>
        <x:row r="67">
          <x:cell r="A67">
            <x:v>61</x:v>
          </x:cell>
          <x:cell r="W67"/>
        </x:row>
        <x:row r="68">
          <x:cell r="A68">
            <x:v>62</x:v>
          </x:cell>
          <x:cell r="W68"/>
        </x:row>
        <x:row r="69">
          <x:cell r="A69">
            <x:v>63</x:v>
          </x:cell>
          <x:cell r="W69"/>
        </x:row>
        <x:row r="70">
          <x:cell r="A70">
            <x:v>64</x:v>
          </x:cell>
          <x:cell r="W70"/>
        </x:row>
        <x:row r="71">
          <x:cell r="A71">
            <x:v>65</x:v>
          </x:cell>
          <x:cell r="J71" t="str">
            <x:v/>
          </x:cell>
          <x:cell r="N71" t="str">
            <x:v/>
          </x:cell>
          <x:cell r="W71"/>
        </x:row>
        <x:row r="72">
          <x:cell r="A72">
            <x:v>66</x:v>
          </x:cell>
          <x:cell r="W72"/>
        </x:row>
        <x:row r="73">
          <x:cell r="A73">
            <x:v>67</x:v>
          </x:cell>
          <x:cell r="W73"/>
        </x:row>
        <x:row r="74">
          <x:cell r="A74">
            <x:v>68</x:v>
          </x:cell>
          <x:cell r="W74"/>
        </x:row>
        <x:row r="75">
          <x:cell r="A75">
            <x:v>69</x:v>
          </x:cell>
          <x:cell r="W75"/>
        </x:row>
        <x:row r="76">
          <x:cell r="A76">
            <x:v>70</x:v>
          </x:cell>
          <x:cell r="W76"/>
        </x:row>
        <x:row r="77">
          <x:cell r="A77">
            <x:v>71</x:v>
          </x:cell>
          <x:cell r="W77"/>
        </x:row>
        <x:row r="78">
          <x:cell r="A78">
            <x:v>72</x:v>
          </x:cell>
          <x:cell r="W78"/>
        </x:row>
        <x:row r="79">
          <x:cell r="A79">
            <x:v>73</x:v>
          </x:cell>
          <x:cell r="W79"/>
        </x:row>
        <x:row r="80">
          <x:cell r="A80">
            <x:v>74</x:v>
          </x:cell>
          <x:cell r="C80" t="str">
            <x:v>보라멍울</x:v>
          </x:cell>
          <x:cell r="E80" t="str">
            <x:v>초기 변이체</x:v>
          </x:cell>
          <x:cell r="F80">
            <x:v>30</x:v>
          </x:cell>
          <x:cell r="G80">
            <x:v>4</x:v>
          </x:cell>
          <x:cell r="H80" t="str">
            <x:v>근접 본능</x:v>
          </x:cell>
          <x:cell r="I80">
            <x:v>1</x:v>
          </x:cell>
          <x:cell r="J80">
            <x:v>5</x:v>
          </x:cell>
          <x:cell r="K80">
            <x:v>0</x:v>
          </x:cell>
          <x:cell r="L80" t="str">
            <x:v>불완전한 외피</x:v>
          </x:cell>
          <x:cell r="M80">
            <x:v>0</x:v>
          </x:cell>
          <x:cell r="N80">
            <x:v>0</x:v>
          </x:cell>
          <x:cell r="O80" t="str">
            <x:v>슥, 긁기</x:v>
          </x:cell>
          <x:cell r="P80">
            <x:v>70</x:v>
          </x:cell>
          <x:cell r="Q80" t="str">
            <x:v>꿈틀꿈틀</x:v>
          </x:cell>
          <x:cell r="R80">
            <x:v>30</x:v>
          </x:cell>
          <x:cell r="T80">
            <x:v>0</x:v>
          </x:cell>
          <x:cell r="V80">
            <x:v>0</x:v>
          </x:cell>
          <x:cell r="W80" t="str">
            <x:v>침식</x:v>
          </x:cell>
          <x:cell r="X80" t="str">
            <x:v>전신이 짙은 보라색인 아메바형 단세포. 얼굴·손발 없이 위족과 발광 핵만으로 움직이는 최초 조우 개체.</x:v>
          </x:cell>
        </x:row>
        <x:row r="81">
          <x:cell r="A81">
            <x:v>75</x:v>
          </x:cell>
          <x:cell r="W81"/>
        </x:row>
        <x:row r="82">
          <x:cell r="A82">
            <x:v>76</x:v>
          </x:cell>
          <x:cell r="W82"/>
        </x:row>
        <x:row r="83">
          <x:cell r="A83">
            <x:v>77</x:v>
          </x:cell>
          <x:cell r="W83"/>
        </x:row>
        <x:row r="84">
          <x:cell r="A84">
            <x:v>78</x:v>
          </x:cell>
          <x:cell r="C84" t="str">
            <x:v>문틈젤리</x:v>
          </x:cell>
          <x:cell r="E84" t="str">
            <x:v>초기 변이체</x:v>
          </x:cell>
          <x:cell r="F84">
            <x:v>60</x:v>
          </x:cell>
          <x:cell r="G84">
            <x:v>7</x:v>
          </x:cell>
          <x:cell r="H84" t="str">
            <x:v>기습 반응</x:v>
          </x:cell>
          <x:cell r="I84">
            <x:v>1</x:v>
          </x:cell>
          <x:cell r="J84">
            <x:v>8</x:v>
          </x:cell>
          <x:cell r="K84">
            <x:v>2</x:v>
          </x:cell>
          <x:cell r="L84" t="str">
            <x:v>웅크린 자세</x:v>
          </x:cell>
          <x:cell r="M84">
            <x:v>1</x:v>
          </x:cell>
          <x:cell r="N84">
            <x:v>3</x:v>
          </x:cell>
          <x:cell r="O84" t="str">
            <x:v>문 열면 나와!</x:v>
          </x:cell>
          <x:cell r="P84">
            <x:v>45</x:v>
          </x:cell>
          <x:cell r="Q84" t="str">
            <x:v>여긴 내 틈</x:v>
          </x:cell>
          <x:cell r="R84">
            <x:v>35</x:v>
          </x:cell>
          <x:cell r="S84" t="str">
            <x:v>쭈욱!</x:v>
          </x:cell>
          <x:cell r="T84">
            <x:v>20</x:v>
          </x:cell>
          <x:cell r="V84">
            <x:v>0</x:v>
          </x:cell>
          <x:cell r="W84" t="str">
            <x:v>안정</x:v>
          </x:cell>
          <x:cell r="X84" t="str">
            <x:v>전신 보라색의 납작한 세포막. 문틈에 붙어 있다가 꽃잎처럼 막을 펼치며 접근을 막는다.</x:v>
          </x:cell>
        </x:row>
        <x:row r="85">
          <x:cell r="A85">
            <x:v>79</x:v>
          </x:cell>
          <x:cell r="W85"/>
        </x:row>
        <x:row r="86">
          <x:cell r="A86">
            <x:v>80</x:v>
          </x:cell>
          <x:cell r="W86"/>
        </x:row>
        <x:row r="87">
          <x:cell r="A87">
            <x:v>81</x:v>
          </x:cell>
          <x:cell r="W87"/>
        </x:row>
        <x:row r="88">
          <x:cell r="A88">
            <x:v>82</x:v>
          </x:cell>
          <x:cell r="W88"/>
        </x:row>
        <x:row r="89">
          <x:cell r="A89">
            <x:v>83</x:v>
          </x:cell>
          <x:cell r="C89" t="str">
            <x:v>질질핵</x:v>
          </x:cell>
          <x:cell r="E89" t="str">
            <x:v>초기 변이체</x:v>
          </x:cell>
          <x:cell r="F89">
            <x:v>45</x:v>
          </x:cell>
          <x:cell r="G89">
            <x:v>5</x:v>
          </x:cell>
          <x:cell r="H89" t="str">
            <x:v>체중 충격</x:v>
          </x:cell>
          <x:cell r="I89">
            <x:v>1</x:v>
          </x:cell>
          <x:cell r="J89">
            <x:v>6</x:v>
          </x:cell>
          <x:cell r="K89">
            <x:v>1</x:v>
          </x:cell>
          <x:cell r="L89" t="str">
            <x:v>두꺼운 등 외피</x:v>
          </x:cell>
          <x:cell r="M89">
            <x:v>1</x:v>
          </x:cell>
          <x:cell r="N89">
            <x:v>2</x:v>
          </x:cell>
          <x:cell r="O89" t="str">
            <x:v>쿵.</x:v>
          </x:cell>
          <x:cell r="P89">
            <x:v>60</x:v>
          </x:cell>
          <x:cell r="Q89" t="str">
            <x:v>질질질…</x:v>
          </x:cell>
          <x:cell r="R89">
            <x:v>40</x:v>
          </x:cell>
          <x:cell r="T89">
            <x:v>0</x:v>
          </x:cell>
          <x:cell r="V89">
            <x:v>0</x:v>
          </x:cell>
          <x:cell r="W89" t="str">
            <x:v>침식</x:v>
          </x:cell>
          <x:cell r="X89" t="str">
            <x:v>길쭉한 보라 점액질 몸으로 밝은 핵을 끌고 다닌다. 느린 압박과 우회 학습을 담당한다.</x:v>
          </x:cell>
        </x:row>
        <x:row r="90">
          <x:cell r="A90">
            <x:v>84</x:v>
          </x:cell>
          <x:cell r="C90" t="str">
            <x:v>울음주머니</x:v>
          </x:cell>
          <x:cell r="E90" t="str">
            <x:v>초기 변이체</x:v>
          </x:cell>
          <x:cell r="F90">
            <x:v>35</x:v>
          </x:cell>
          <x:cell r="G90">
            <x:v>4</x:v>
          </x:cell>
          <x:cell r="H90" t="str">
            <x:v>공포 음파</x:v>
          </x:cell>
          <x:cell r="I90">
            <x:v>1</x:v>
          </x:cell>
          <x:cell r="J90">
            <x:v>5</x:v>
          </x:cell>
          <x:cell r="K90">
            <x:v>0</x:v>
          </x:cell>
          <x:cell r="L90" t="str">
            <x:v>얇은 외피</x:v>
          </x:cell>
          <x:cell r="M90">
            <x:v>0</x:v>
          </x:cell>
          <x:cell r="N90">
            <x:v>0</x:v>
          </x:cell>
          <x:cell r="O90" t="str">
            <x:v>으아앙—</x:v>
          </x:cell>
          <x:cell r="P90">
            <x:v>45</x:v>
          </x:cell>
          <x:cell r="Q90" t="str">
            <x:v>가까이 오지 마</x:v>
          </x:cell>
          <x:cell r="R90">
            <x:v>35</x:v>
          </x:cell>
          <x:cell r="S90" t="str">
            <x:v>숨 한번</x:v>
          </x:cell>
          <x:cell r="T90">
            <x:v>20</x:v>
          </x:cell>
          <x:cell r="V90">
            <x:v>0</x:v>
          </x:cell>
          <x:cell r="W90" t="str">
            <x:v>공명</x:v>
          </x:cell>
          <x:cell r="X90" t="str">
            <x:v>입 없는 보라색 세포낭. 몸 전체가 부풀고 수축할 때 사람과 비슷한 울음만 새어 나온다.</x:v>
          </x:cell>
        </x:row>
        <x:row r="91">
          <x:cell r="A91">
            <x:v>85</x:v>
          </x:cell>
          <x:cell r="C91" t="str">
            <x:v>길치섬모</x:v>
          </x:cell>
          <x:cell r="E91" t="str">
            <x:v>초기 변이체</x:v>
          </x:cell>
          <x:cell r="F91">
            <x:v>55</x:v>
          </x:cell>
          <x:cell r="G91">
            <x:v>6</x:v>
          </x:cell>
          <x:cell r="H91" t="str">
            <x:v>당황한 반격</x:v>
          </x:cell>
          <x:cell r="I91">
            <x:v>1</x:v>
          </x:cell>
          <x:cell r="J91">
            <x:v>7</x:v>
          </x:cell>
          <x:cell r="K91">
            <x:v>2</x:v>
          </x:cell>
          <x:cell r="L91" t="str">
            <x:v>굳은 외피</x:v>
          </x:cell>
          <x:cell r="M91">
            <x:v>0</x:v>
          </x:cell>
          <x:cell r="N91">
            <x:v>2</x:v>
          </x:cell>
          <x:cell r="O91" t="str">
            <x:v>어디였지?</x:v>
          </x:cell>
          <x:cell r="P91">
            <x:v>55</x:v>
          </x:cell>
          <x:cell r="Q91" t="str">
            <x:v>아, 비켜!</x:v>
          </x:cell>
          <x:cell r="R91">
            <x:v>30</x:v>
          </x:cell>
          <x:cell r="S91" t="str">
            <x:v>여기 맞나?</x:v>
          </x:cell>
          <x:cell r="T91">
            <x:v>15</x:v>
          </x:cell>
          <x:cell r="V91">
            <x:v>0</x:v>
          </x:cell>
          <x:cell r="W91" t="str">
            <x:v>공명</x:v>
          </x:cell>
          <x:cell r="X91" t="str">
            <x:v>전신 보라색의 둥근 단세포. 사방의 섬모가 제멋대로 움직여 불규칙하게 회전·배회한다.</x:v>
          </x:cell>
        </x:row>
        <x:row r="92">
          <x:cell r="A92">
            <x:v>86</x:v>
          </x:cell>
          <x:cell r="W92"/>
        </x:row>
        <x:row r="93">
          <x:cell r="A93">
            <x:v>87</x:v>
          </x:cell>
          <x:cell r="W93"/>
        </x:row>
        <x:row r="94">
          <x:cell r="A94">
            <x:v>88</x:v>
          </x:cell>
          <x:cell r="W94"/>
        </x:row>
        <x:row r="95">
          <x:cell r="A95">
            <x:v>89</x:v>
          </x:cell>
          <x:cell r="W95"/>
        </x:row>
        <x:row r="96">
          <x:cell r="A96">
            <x:v>90</x:v>
          </x:cell>
          <x:cell r="W96"/>
        </x:row>
        <x:row r="97">
          <x:cell r="A97">
            <x:v>91</x:v>
          </x:cell>
          <x:cell r="W97"/>
        </x:row>
        <x:row r="98">
          <x:cell r="A98">
            <x:v>92</x:v>
          </x:cell>
          <x:cell r="W98"/>
        </x:row>
        <x:row r="99">
          <x:cell r="A99">
            <x:v>93</x:v>
          </x:cell>
          <x:cell r="W99"/>
        </x:row>
        <x:row r="100">
          <x:cell r="A100">
            <x:v>94</x:v>
          </x:cell>
          <x:cell r="W100"/>
        </x:row>
        <x:row r="101">
          <x:cell r="A101">
            <x:v>95</x:v>
          </x:cell>
          <x:cell r="W101"/>
        </x:row>
        <x:row r="102">
          <x:cell r="A102">
            <x:v>96</x:v>
          </x:cell>
          <x:cell r="W102"/>
        </x:row>
        <x:row r="103">
          <x:cell r="A103">
            <x:v>97</x:v>
          </x:cell>
          <x:cell r="C103" t="str">
            <x:v>쫓쫓해삼</x:v>
          </x:cell>
          <x:cell r="E103" t="str">
            <x:v>일반 변이체</x:v>
          </x:cell>
          <x:cell r="F103">
            <x:v>80</x:v>
          </x:cell>
          <x:cell r="G103">
            <x:v>10</x:v>
          </x:cell>
          <x:cell r="H103" t="str">
            <x:v>추격 가속</x:v>
          </x:cell>
          <x:cell r="I103">
            <x:v>2</x:v>
          </x:cell>
          <x:cell r="J103">
            <x:v>12</x:v>
          </x:cell>
          <x:cell r="K103">
            <x:v>4</x:v>
          </x:cell>
          <x:cell r="L103" t="str">
            <x:v>긴장된 근육</x:v>
          </x:cell>
          <x:cell r="M103">
            <x:v>1</x:v>
          </x:cell>
          <x:cell r="N103">
            <x:v>5</x:v>
          </x:cell>
          <x:cell r="O103" t="str">
            <x:v>잡았다, 또!</x:v>
          </x:cell>
          <x:cell r="P103">
            <x:v>45</x:v>
          </x:cell>
          <x:cell r="Q103" t="str">
            <x:v>쫓아간다!</x:v>
          </x:cell>
          <x:cell r="R103">
            <x:v>35</x:v>
          </x:cell>
          <x:cell r="S103" t="str">
            <x:v>너 말고 너!</x:v>
          </x:cell>
          <x:cell r="T103">
            <x:v>20</x:v>
          </x:cell>
          <x:cell r="V103">
            <x:v>0</x:v>
          </x:cell>
          <x:cell r="W103" t="str">
            <x:v>공명</x:v>
          </x:cell>
          <x:cell r="X103" t="str">
            <x:v>청회색 해삼형 몸통을 빠르게 수축하며 추적한다. 등 틈과 촉수 끝에만 보랏빛 균열이 남는다.</x:v>
          </x:cell>
        </x:row>
        <x:row r="104">
          <x:cell r="A104">
            <x:v>98</x:v>
          </x:cell>
          <x:cell r="C104" t="str">
            <x:v>길막말미잘</x:v>
          </x:cell>
          <x:cell r="E104" t="str">
            <x:v>일반 변이체</x:v>
          </x:cell>
          <x:cell r="F104">
            <x:v>110</x:v>
          </x:cell>
          <x:cell r="G104">
            <x:v>12</x:v>
          </x:cell>
          <x:cell r="H104" t="str">
            <x:v>길목 압박</x:v>
          </x:cell>
          <x:cell r="I104">
            <x:v>2</x:v>
          </x:cell>
          <x:cell r="J104">
            <x:v>14</x:v>
          </x:cell>
          <x:cell r="K104">
            <x:v>6</x:v>
          </x:cell>
          <x:cell r="L104" t="str">
            <x:v>넓은 체형</x:v>
          </x:cell>
          <x:cell r="M104">
            <x:v>2</x:v>
          </x:cell>
          <x:cell r="N104">
            <x:v>8</x:v>
          </x:cell>
          <x:cell r="O104" t="str">
            <x:v>여기 못 지나가</x:v>
          </x:cell>
          <x:cell r="P104">
            <x:v>50</x:v>
          </x:cell>
          <x:cell r="Q104" t="str">
            <x:v>길막 완료</x:v>
          </x:cell>
          <x:cell r="R104">
            <x:v>30</x:v>
          </x:cell>
          <x:cell r="S104" t="str">
            <x:v>툭!</x:v>
          </x:cell>
          <x:cell r="T104">
            <x:v>20</x:v>
          </x:cell>
          <x:cell r="V104">
            <x:v>0</x:v>
          </x:cell>
          <x:cell r="W104" t="str">
            <x:v>안정</x:v>
          </x:cell>
          <x:cell r="X104" t="str">
            <x:v>바닥에 뿌리내린 말미잘형 개체. 넓은 촉수막을 펼쳐 보급로를 막고, 중앙 핵만 보라색으로 빛난다.</x:v>
          </x:cell>
        </x:row>
        <x:row r="105">
          <x:cell r="A105">
            <x:v>99</x:v>
          </x:cell>
          <x:cell r="W105"/>
        </x:row>
        <x:row r="106">
          <x:cell r="A106">
            <x:v>100</x:v>
          </x:cell>
          <x:cell r="C106" t="str">
            <x:v>엉킨세포군</x:v>
          </x:cell>
          <x:cell r="E106" t="str">
            <x:v>강화 변이체</x:v>
          </x:cell>
          <x:cell r="F106">
            <x:v>190</x:v>
          </x:cell>
          <x:cell r="G106">
            <x:v>20</x:v>
          </x:cell>
          <x:cell r="H106" t="str">
            <x:v>다중 팔 타격</x:v>
          </x:cell>
          <x:cell r="I106">
            <x:v>4</x:v>
          </x:cell>
          <x:cell r="J106">
            <x:v>24</x:v>
          </x:cell>
          <x:cell r="K106">
            <x:v>9</x:v>
          </x:cell>
          <x:cell r="L106" t="str">
            <x:v>겹친 외피</x:v>
          </x:cell>
          <x:cell r="M106">
            <x:v>3</x:v>
          </x:cell>
          <x:cell r="N106">
            <x:v>12</x:v>
          </x:cell>
          <x:cell r="O106" t="str">
            <x:v>셋이서 빙글</x:v>
          </x:cell>
          <x:cell r="P106">
            <x:v>40</x:v>
          </x:cell>
          <x:cell r="Q106" t="str">
            <x:v>한꺼번에 쿵</x:v>
          </x:cell>
          <x:cell r="R106">
            <x:v>30</x:v>
          </x:cell>
          <x:cell r="S106" t="str">
            <x:v>방향은 모르겠고!</x:v>
          </x:cell>
          <x:cell r="T106">
            <x:v>20</x:v>
          </x:cell>
          <x:cell r="U106" t="str">
            <x:v>엉켜서 딱!</x:v>
          </x:cell>
          <x:cell r="V106">
            <x:v>10</x:v>
          </x:cell>
          <x:cell r="W106" t="str">
            <x:v>침식</x:v>
          </x:cell>
          <x:cell r="X106" t="str">
            <x:v>서로 다른 세포낭 셋이 한 외피를 공유하는 강화 개체. 끊어진 신경 다발 사이로 보라 체액이 흐른다.</x:v>
          </x:cell>
        </x:row>
        <x:row r="107">
          <x:cell r="A107">
            <x:v>101</x:v>
          </x:cell>
          <x:cell r="W107"/>
        </x:row>
        <x:row r="108">
          <x:cell r="A108">
            <x:v>102</x:v>
          </x:cell>
          <x:cell r="W108"/>
        </x:row>
        <x:row r="109">
          <x:cell r="A109">
            <x:v>103</x:v>
          </x:cell>
          <x:cell r="C109" t="str">
            <x:v>대장촉수</x:v>
          </x:cell>
          <x:cell r="E109" t="str">
            <x:v>무리 선도체</x:v>
          </x:cell>
          <x:cell r="F109">
            <x:v>270</x:v>
          </x:cell>
          <x:cell r="G109">
            <x:v>22</x:v>
          </x:cell>
          <x:cell r="H109" t="str">
            <x:v>무리 공명</x:v>
          </x:cell>
          <x:cell r="I109">
            <x:v>5</x:v>
          </x:cell>
          <x:cell r="J109">
            <x:v>27</x:v>
          </x:cell>
          <x:cell r="K109">
            <x:v>11</x:v>
          </x:cell>
          <x:cell r="L109" t="str">
            <x:v>부하 엄호</x:v>
          </x:cell>
          <x:cell r="M109">
            <x:v>4</x:v>
          </x:cell>
          <x:cell r="N109">
            <x:v>15</x:v>
          </x:cell>
          <x:cell r="O109" t="str">
            <x:v>너부터!</x:v>
          </x:cell>
          <x:cell r="P109">
            <x:v>30</x:v>
          </x:cell>
          <x:cell r="Q109" t="str">
            <x:v>다 같이 가!</x:v>
          </x:cell>
          <x:cell r="R109">
            <x:v>30</x:v>
          </x:cell>
          <x:cell r="S109" t="str">
            <x:v>빨리빨리!</x:v>
          </x:cell>
          <x:cell r="T109">
            <x:v>25</x:v>
          </x:cell>
          <x:cell r="U109" t="str">
            <x:v>내가 간다</x:v>
          </x:cell>
          <x:cell r="V109">
            <x:v>15</x:v>
          </x:cell>
          <x:cell r="W109" t="str">
            <x:v>공명</x:v>
          </x:cell>
          <x:cell r="X109" t="str">
            <x:v>갑각 외피·명령용 볏·새끼 주머니를 가진 선도체. 보랏빛 신호 촉수로 주변 개체의 이동을 통제한다.</x:v>
          </x:cell>
        </x:row>
        <x:row r="110">
          <x:cell r="A110">
            <x:v>104</x:v>
          </x:cell>
          <x:cell r="W110"/>
        </x:row>
        <x:row r="111">
          <x:cell r="A111">
            <x:v>105</x:v>
          </x:cell>
          <x:cell r="W111"/>
        </x:row>
        <x:row r="112">
          <x:cell r="A112">
            <x:v>106</x:v>
          </x:cell>
          <x:cell r="W112"/>
        </x:row>
        <x:row r="113">
          <x:cell r="A113">
            <x:v>107</x:v>
          </x:cell>
          <x:cell r="W113"/>
        </x:row>
        <x:row r="114">
          <x:cell r="A114">
            <x:v>108</x:v>
          </x:cell>
          <x:cell r="W114"/>
        </x:row>
        <x:row r="115">
          <x:cell r="A115">
            <x:v>109</x:v>
          </x:cell>
          <x:cell r="W115"/>
        </x:row>
        <x:row r="116">
          <x:cell r="A116">
            <x:v>110</x:v>
          </x:cell>
          <x:cell r="W116"/>
        </x:row>
        <x:row r="117">
          <x:cell r="A117">
            <x:v>111</x:v>
          </x:cell>
          <x:cell r="W117"/>
        </x:row>
        <x:row r="118">
          <x:cell r="A118">
            <x:v>112</x:v>
          </x:cell>
          <x:cell r="W118"/>
        </x:row>
        <x:row r="119">
          <x:cell r="A119">
            <x:v>113</x:v>
          </x:cell>
          <x:cell r="W119"/>
        </x:row>
        <x:row r="120">
          <x:cell r="A120">
            <x:v>114</x:v>
          </x:cell>
          <x:cell r="W120"/>
        </x:row>
        <x:row r="121">
          <x:cell r="A121">
            <x:v>115</x:v>
          </x:cell>
          <x:cell r="W121"/>
        </x:row>
        <x:row r="122">
          <x:cell r="A122">
            <x:v>116</x:v>
          </x:cell>
          <x:cell r="W122"/>
        </x:row>
        <x:row r="123">
          <x:cell r="A123">
            <x:v>117</x:v>
          </x:cell>
          <x:cell r="W123"/>
        </x:row>
        <x:row r="124">
          <x:cell r="A124">
            <x:v>118</x:v>
          </x:cell>
          <x:cell r="W124"/>
        </x:row>
        <x:row r="125">
          <x:cell r="A125">
            <x:v>119</x:v>
          </x:cell>
          <x:cell r="W125"/>
        </x:row>
        <x:row r="126">
          <x:cell r="A126">
            <x:v>120</x:v>
          </x:cell>
          <x:cell r="W126"/>
        </x:row>
        <x:row r="127">
          <x:cell r="A127">
            <x:v>121</x:v>
          </x:cell>
          <x:cell r="W127"/>
        </x:row>
        <x:row r="128">
          <x:cell r="A128">
            <x:v>122</x:v>
          </x:cell>
          <x:cell r="W128"/>
        </x:row>
        <x:row r="129">
          <x:cell r="A129">
            <x:v>123</x:v>
          </x:cell>
          <x:cell r="W129"/>
        </x:row>
        <x:row r="130">
          <x:cell r="A130">
            <x:v>124</x:v>
          </x:cell>
          <x:cell r="W130"/>
        </x:row>
        <x:row r="131">
          <x:cell r="A131">
            <x:v>125</x:v>
          </x:cell>
          <x:cell r="C131" t="str">
            <x:v>똑똑소라</x:v>
          </x:cell>
          <x:cell r="E131" t="str">
            <x:v>일반 변이체</x:v>
          </x:cell>
          <x:cell r="F131">
            <x:v>130</x:v>
          </x:cell>
          <x:cell r="G131">
            <x:v>18</x:v>
          </x:cell>
          <x:cell r="H131" t="str">
            <x:v>반복 충격</x:v>
          </x:cell>
          <x:cell r="I131">
            <x:v>3</x:v>
          </x:cell>
          <x:cell r="J131">
            <x:v>21</x:v>
          </x:cell>
          <x:cell r="K131">
            <x:v>8</x:v>
          </x:cell>
          <x:cell r="L131" t="str">
            <x:v>단단한 손뼈</x:v>
          </x:cell>
          <x:cell r="M131">
            <x:v>2</x:v>
          </x:cell>
          <x:cell r="N131">
            <x:v>10</x:v>
          </x:cell>
          <x:cell r="O131" t="str">
            <x:v>똑똑똑!</x:v>
          </x:cell>
          <x:cell r="P131">
            <x:v>40</x:v>
          </x:cell>
          <x:cell r="Q131" t="str">
            <x:v>문 좀 열어!</x:v>
          </x:cell>
          <x:cell r="R131">
            <x:v>35</x:v>
          </x:cell>
          <x:cell r="S131" t="str">
            <x:v>다음 문!</x:v>
          </x:cell>
          <x:cell r="T131">
            <x:v>25</x:v>
          </x:cell>
          <x:cell r="V131">
            <x:v>0</x:v>
          </x:cell>
          <x:cell r="W131" t="str">
            <x:v>공명</x:v>
          </x:cell>
          <x:cell r="X131" t="str">
            <x:v>소라 껍데기 앞의 충각을 반복해 문을 두드린다. 껍데기 갈라짐과 내부 핵에만 보라색이 드러난다.</x:v>
          </x:cell>
        </x:row>
        <x:row r="132">
          <x:cell r="A132">
            <x:v>126</x:v>
          </x:cell>
          <x:cell r="C132" t="str">
            <x:v>문틈새우</x:v>
          </x:cell>
          <x:cell r="E132" t="str">
            <x:v>일반 변이체</x:v>
          </x:cell>
          <x:cell r="F132">
            <x:v>115</x:v>
          </x:cell>
          <x:cell r="G132">
            <x:v>20</x:v>
          </x:cell>
          <x:cell r="H132" t="str">
            <x:v>후방 기습</x:v>
          </x:cell>
          <x:cell r="I132">
            <x:v>4</x:v>
          </x:cell>
          <x:cell r="J132">
            <x:v>24</x:v>
          </x:cell>
          <x:cell r="K132">
            <x:v>7</x:v>
          </x:cell>
          <x:cell r="L132" t="str">
            <x:v>유연한 골격</x:v>
          </x:cell>
          <x:cell r="M132">
            <x:v>1</x:v>
          </x:cell>
          <x:cell r="N132">
            <x:v>8</x:v>
          </x:cell>
          <x:cell r="O132" t="str">
            <x:v>쏙!</x:v>
          </x:cell>
          <x:cell r="P132">
            <x:v>35</x:v>
          </x:cell>
          <x:cell r="Q132" t="str">
            <x:v>뒤에 있다!</x:v>
          </x:cell>
          <x:cell r="R132">
            <x:v>40</x:v>
          </x:cell>
          <x:cell r="S132" t="str">
            <x:v>쏙 빠지기</x:v>
          </x:cell>
          <x:cell r="T132">
            <x:v>25</x:v>
          </x:cell>
          <x:cell r="V132">
            <x:v>0</x:v>
          </x:cell>
          <x:cell r="W132" t="str">
            <x:v>공명</x:v>
          </x:cell>
          <x:cell r="X132" t="str">
            <x:v>납작한 새우형 외피와 송곳 다리로 방어선 틈을 파고든다. 꼬리 마디의 보랏빛 점이 감각기관이다.</x:v>
          </x:cell>
        </x:row>
        <x:row r="133">
          <x:cell r="A133">
            <x:v>127</x:v>
          </x:cell>
          <x:cell r="W133"/>
        </x:row>
        <x:row r="134">
          <x:cell r="A134">
            <x:v>128</x:v>
          </x:cell>
          <x:cell r="W134"/>
        </x:row>
        <x:row r="135">
          <x:cell r="A135">
            <x:v>129</x:v>
          </x:cell>
          <x:cell r="J135" t="str">
            <x:v/>
          </x:cell>
          <x:cell r="N135" t="str">
            <x:v/>
          </x:cell>
          <x:cell r="W135"/>
        </x:row>
        <x:row r="136">
          <x:cell r="A136">
            <x:v>130</x:v>
          </x:cell>
          <x:cell r="C136" t="str">
            <x:v>밖으로 나가재</x:v>
          </x:cell>
          <x:cell r="E136" t="str">
            <x:v>일반 변이체</x:v>
          </x:cell>
          <x:cell r="F136">
            <x:v>165</x:v>
          </x:cell>
          <x:cell r="G136">
            <x:v>21</x:v>
          </x:cell>
          <x:cell r="H136" t="str">
            <x:v>밀치기 충격</x:v>
          </x:cell>
          <x:cell r="I136">
            <x:v>4</x:v>
          </x:cell>
          <x:cell r="J136">
            <x:v>25</x:v>
          </x:cell>
          <x:cell r="K136">
            <x:v>10</x:v>
          </x:cell>
          <x:cell r="L136" t="str">
            <x:v>낮은 무게중심</x:v>
          </x:cell>
          <x:cell r="M136">
            <x:v>3</x:v>
          </x:cell>
          <x:cell r="N136">
            <x:v>13</x:v>
          </x:cell>
          <x:cell r="O136" t="str">
            <x:v>나가!</x:v>
          </x:cell>
          <x:cell r="P136">
            <x:v>50</x:v>
          </x:cell>
          <x:cell r="Q136" t="str">
            <x:v>출구는 내 자리</x:v>
          </x:cell>
          <x:cell r="R136">
            <x:v>30</x:v>
          </x:cell>
          <x:cell r="S136" t="str">
            <x:v>바닥도 나가!</x:v>
          </x:cell>
          <x:cell r="T136">
            <x:v>20</x:v>
          </x:cell>
          <x:cell r="V136">
            <x:v>0</x:v>
          </x:cell>
          <x:cell r="W136" t="str">
            <x:v>차단</x:v>
          </x:cell>
          <x:cell r="X136" t="str">
            <x:v>쐐기 집게와 넓은 꼬리판으로 시민을 안전 구역 밖으로 밀어낸다. 관절 안쪽만 보랏빛으로 발광한다.</x:v>
          </x:cell>
        </x:row>
        <x:row r="137">
          <x:cell r="A137">
            <x:v>131</x:v>
          </x:cell>
          <x:cell r="W137"/>
        </x:row>
        <x:row r="138">
          <x:cell r="A138">
            <x:v>132</x:v>
          </x:cell>
          <x:cell r="W138"/>
        </x:row>
        <x:row r="139">
          <x:cell r="A139">
            <x:v>133</x:v>
          </x:cell>
          <x:cell r="W139"/>
        </x:row>
        <x:row r="140">
          <x:cell r="A140">
            <x:v>134</x:v>
          </x:cell>
          <x:cell r="W140"/>
        </x:row>
        <x:row r="141">
          <x:cell r="A141">
            <x:v>135</x:v>
          </x:cell>
          <x:cell r="W141"/>
        </x:row>
        <x:row r="142">
          <x:cell r="A142">
            <x:v>136</x:v>
          </x:cell>
          <x:cell r="W142"/>
        </x:row>
        <x:row r="143">
          <x:cell r="A143">
            <x:v>137</x:v>
          </x:cell>
          <x:cell r="W143"/>
        </x:row>
        <x:row r="144">
          <x:cell r="A144">
            <x:v>138</x:v>
          </x:cell>
          <x:cell r="W144"/>
        </x:row>
        <x:row r="145">
          <x:cell r="A145">
            <x:v>139</x:v>
          </x:cell>
          <x:cell r="W145"/>
        </x:row>
        <x:row r="146">
          <x:cell r="A146">
            <x:v>140</x:v>
          </x:cell>
          <x:cell r="W146"/>
        </x:row>
        <x:row r="147">
          <x:cell r="A147">
            <x:v>141</x:v>
          </x:cell>
          <x:cell r="C147" t="str">
            <x:v>내자리산호</x:v>
          </x:cell>
          <x:cell r="E147" t="str">
            <x:v>강화 변이체</x:v>
          </x:cell>
          <x:cell r="F147">
            <x:v>320</x:v>
          </x:cell>
          <x:cell r="G147">
            <x:v>30</x:v>
          </x:cell>
          <x:cell r="H147" t="str">
            <x:v>구역 압박</x:v>
          </x:cell>
          <x:cell r="I147">
            <x:v>6</x:v>
          </x:cell>
          <x:cell r="J147">
            <x:v>36</x:v>
          </x:cell>
          <x:cell r="K147">
            <x:v>17</x:v>
          </x:cell>
          <x:cell r="L147" t="str">
            <x:v>응집 외피</x:v>
          </x:cell>
          <x:cell r="M147">
            <x:v>5</x:v>
          </x:cell>
          <x:cell r="N147">
            <x:v>22</x:v>
          </x:cell>
          <x:cell r="O147" t="str">
            <x:v>여긴 내 자리!</x:v>
          </x:cell>
          <x:cell r="P147">
            <x:v>35</x:v>
          </x:cell>
          <x:cell r="Q147" t="str">
            <x:v>자리 찍기</x:v>
          </x:cell>
          <x:cell r="R147">
            <x:v>30</x:v>
          </x:cell>
          <x:cell r="S147" t="str">
            <x:v>절대 안 비켜</x:v>
          </x:cell>
          <x:cell r="T147">
            <x:v>20</x:v>
          </x:cell>
          <x:cell r="U147" t="str">
            <x:v>조금만 밀어</x:v>
          </x:cell>
          <x:cell r="V147">
            <x:v>15</x:v>
          </x:cell>
          <x:cell r="W147" t="str">
            <x:v>침식</x:v>
          </x:cell>
          <x:cell r="X147" t="str">
            <x:v>바닥과 벽을 점유하며 자라는 산호 요새형 강화체. 공간을 좁힐수록 중앙 보라 핵의 방어력이 오른다.</x:v>
          </x:cell>
        </x:row>
        <x:row r="148">
          <x:cell r="A148">
            <x:v>142</x:v>
          </x:cell>
          <x:cell r="C148" t="str">
            <x:v>비상구대게</x:v>
          </x:cell>
          <x:cell r="E148" t="str">
            <x:v>무리 선도체</x:v>
          </x:cell>
          <x:cell r="F148">
            <x:v>430</x:v>
          </x:cell>
          <x:cell r="G148">
            <x:v>34</x:v>
          </x:cell>
          <x:cell r="H148" t="str">
            <x:v>봉쇄 명령</x:v>
          </x:cell>
          <x:cell r="I148">
            <x:v>7</x:v>
          </x:cell>
          <x:cell r="J148">
            <x:v>41</x:v>
          </x:cell>
          <x:cell r="K148">
            <x:v>20</x:v>
          </x:cell>
          <x:cell r="L148" t="str">
            <x:v>진형 방어</x:v>
          </x:cell>
          <x:cell r="M148">
            <x:v>6</x:v>
          </x:cell>
          <x:cell r="N148">
            <x:v>26</x:v>
          </x:cell>
          <x:cell r="O148" t="str">
            <x:v>비상구 폐쇄!</x:v>
          </x:cell>
          <x:cell r="P148">
            <x:v>30</x:v>
          </x:cell>
          <x:cell r="Q148" t="str">
            <x:v>자리 바꿔!</x:v>
          </x:cell>
          <x:cell r="R148">
            <x:v>25</x:v>
          </x:cell>
          <x:cell r="S148" t="str">
            <x:v>다 같이 밀어!</x:v>
          </x:cell>
          <x:cell r="T148">
            <x:v>30</x:v>
          </x:cell>
          <x:cell r="U148" t="str">
            <x:v>집게 한 번</x:v>
          </x:cell>
          <x:cell r="V148">
            <x:v>15</x:v>
          </x:cell>
          <x:cell r="W148" t="str">
            <x:v>침식</x:v>
          </x:cell>
          <x:cell r="X148" t="str">
            <x:v>비상구 표식과 철문 파편을 등에 진 대형 게 선도체. 문짝 집게로 출구를 봉쇄하고 부하 진형을 유지한다.</x:v>
          </x:cell>
        </x:row>
        <x:row r="149">
          <x:cell r="A149">
            <x:v>143</x:v>
          </x:cell>
          <x:cell r="W149"/>
        </x:row>
        <x:row r="150">
          <x:cell r="A150">
            <x:v>144</x:v>
          </x:cell>
          <x:cell r="W150"/>
        </x:row>
        <x:row r="151">
          <x:cell r="A151">
            <x:v>145</x:v>
          </x:cell>
          <x:cell r="W151"/>
        </x:row>
        <x:row r="152">
          <x:cell r="A152">
            <x:v>146</x:v>
          </x:cell>
          <x:cell r="C152" t="str">
            <x:v>나만 살아서 다행</x:v>
          </x:cell>
          <x:cell r="E152" t="str">
            <x:v>구역 보스</x:v>
          </x:cell>
          <x:cell r="F152">
            <x:v>1800</x:v>
          </x:cell>
          <x:cell r="G152">
            <x:v>45</x:v>
          </x:cell>
          <x:cell r="H152" t="str">
            <x:v>봉쇄 외피</x:v>
          </x:cell>
          <x:cell r="I152">
            <x:v>10</x:v>
          </x:cell>
          <x:cell r="J152">
            <x:v>55</x:v>
          </x:cell>
          <x:cell r="K152">
            <x:v>30</x:v>
          </x:cell>
          <x:cell r="L152" t="str">
            <x:v>철판 갑각</x:v>
          </x:cell>
          <x:cell r="M152">
            <x:v>10</x:v>
          </x:cell>
          <x:cell r="N152">
            <x:v>40</x:v>
          </x:cell>
          <x:cell r="O152" t="str">
            <x:v>문 닫습니다!</x:v>
          </x:cell>
          <x:cell r="P152">
            <x:v>30</x:v>
          </x:cell>
          <x:cell r="Q152" t="str">
            <x:v>밖에 있어.</x:v>
          </x:cell>
          <x:cell r="R152">
            <x:v>25</x:v>
          </x:cell>
          <x:cell r="S152" t="str">
            <x:v>너도 밖으로.</x:v>
          </x:cell>
          <x:cell r="T152">
            <x:v>20</x:v>
          </x:cell>
          <x:cell r="U152" t="str">
            <x:v>잠금 해제? 잠깐.</x:v>
          </x:cell>
          <x:cell r="V152">
            <x:v>25</x:v>
          </x:cell>
          <x:cell r="W152" t="str">
            <x:v>침식</x:v>
          </x:cell>
          <x:cell r="X152" t="str">
            <x:v>방화문과 잠금 장치가 소라 요새처럼 겹친 비인간형 보스. 구조 요청이 진짜임을 알고도 문을 닫고 ‘난 살아서 다행’이라 안도한 인간이 변이했다.</x:v>
          </x:cell>
        </x:row>
        <x:row r="153">
          <x:cell r="A153">
            <x:v>147</x:v>
          </x:cell>
          <x:cell r="W153"/>
        </x:row>
        <x:row r="154">
          <x:cell r="A154">
            <x:v>148</x:v>
          </x:cell>
          <x:cell r="W154"/>
        </x:row>
        <x:row r="155">
          <x:cell r="A155">
            <x:v>149</x:v>
          </x:cell>
          <x:cell r="W155"/>
        </x:row>
        <x:row r="156">
          <x:cell r="A156">
            <x:v>150</x:v>
          </x:cell>
          <x:cell r="W156"/>
        </x:row>
        <x:row r="157">
          <x:cell r="A157">
            <x:v>151</x:v>
          </x:cell>
          <x:cell r="W157"/>
        </x:row>
        <x:row r="158">
          <x:cell r="A158">
            <x:v>152</x:v>
          </x:cell>
          <x:cell r="W158"/>
        </x:row>
        <x:row r="159">
          <x:cell r="A159">
            <x:v>153</x:v>
          </x:cell>
          <x:cell r="W159"/>
        </x:row>
        <x:row r="160">
          <x:cell r="A160">
            <x:v>154</x:v>
          </x:cell>
          <x:cell r="W160"/>
        </x:row>
        <x:row r="161">
          <x:cell r="A161">
            <x:v>155</x:v>
          </x:cell>
          <x:cell r="W161"/>
        </x:row>
        <x:row r="162">
          <x:cell r="A162">
            <x:v>156</x:v>
          </x:cell>
          <x:cell r="W162"/>
        </x:row>
        <x:row r="163">
          <x:cell r="A163">
            <x:v>157</x:v>
          </x:cell>
          <x:cell r="W163"/>
        </x:row>
        <x:row r="164">
          <x:cell r="A164">
            <x:v>158</x:v>
          </x:cell>
          <x:cell r="W164"/>
        </x:row>
        <x:row r="165">
          <x:cell r="A165">
            <x:v>159</x:v>
          </x:cell>
          <x:cell r="W165"/>
        </x:row>
        <x:row r="166">
          <x:cell r="A166">
            <x:v>160</x:v>
          </x:cell>
          <x:cell r="C166" t="str">
            <x:v>찰싹진드기</x:v>
          </x:cell>
          <x:cell r="E166" t="str">
            <x:v>일반 변이체</x:v>
          </x:cell>
          <x:cell r="F166">
            <x:v>210</x:v>
          </x:cell>
          <x:cell r="G166">
            <x:v>27</x:v>
          </x:cell>
          <x:cell r="H166" t="str">
            <x:v>밀착 압박</x:v>
          </x:cell>
          <x:cell r="I166">
            <x:v>5</x:v>
          </x:cell>
          <x:cell r="J166">
            <x:v>32</x:v>
          </x:cell>
          <x:cell r="K166">
            <x:v>13</x:v>
          </x:cell>
          <x:cell r="L166" t="str">
            <x:v>점착 외피</x:v>
          </x:cell>
          <x:cell r="M166">
            <x:v>3</x:v>
          </x:cell>
          <x:cell r="N166">
            <x:v>16</x:v>
          </x:cell>
          <x:cell r="O166" t="str">
            <x:v>찰싹!</x:v>
          </x:cell>
          <x:cell r="P166">
            <x:v>40</x:v>
          </x:cell>
          <x:cell r="Q166" t="str">
            <x:v>거기 붙어 있어</x:v>
          </x:cell>
          <x:cell r="R166">
            <x:v>30</x:v>
          </x:cell>
          <x:cell r="S166" t="str">
            <x:v>앙!</x:v>
          </x:cell>
          <x:cell r="T166">
            <x:v>30</x:v>
          </x:cell>
          <x:cell r="V166">
            <x:v>0</x:v>
          </x:cell>
          <x:cell r="W166" t="str">
            <x:v>차단</x:v>
          </x:cell>
          <x:cell r="X166" t="str">
            <x:v>납작한 진드기·삿갓조개형 개체. 동료 외피에 붙어 보랏빛 흡착 핵으로 능력치를 끌어올린다.</x:v>
          </x:cell>
        </x:row>
        <x:row r="167">
          <x:cell r="A167">
            <x:v>161</x:v>
          </x:cell>
          <x:cell r="C167" t="str">
            <x:v>합체는 했는데</x:v>
          </x:cell>
          <x:cell r="E167" t="str">
            <x:v>일반 변이체</x:v>
          </x:cell>
          <x:cell r="F167">
            <x:v>250</x:v>
          </x:cell>
          <x:cell r="G167">
            <x:v>30</x:v>
          </x:cell>
          <x:cell r="H167" t="str">
            <x:v>불규칙 타격</x:v>
          </x:cell>
          <x:cell r="I167">
            <x:v>6</x:v>
          </x:cell>
          <x:cell r="J167">
            <x:v>36</x:v>
          </x:cell>
          <x:cell r="K167">
            <x:v>15</x:v>
          </x:cell>
          <x:cell r="L167" t="str">
            <x:v>중첩 신체</x:v>
          </x:cell>
          <x:cell r="M167">
            <x:v>4</x:v>
          </x:cell>
          <x:cell r="N167">
            <x:v>19</x:v>
          </x:cell>
          <x:cell r="O167" t="str">
            <x:v>박자 안 맞아!</x:v>
          </x:cell>
          <x:cell r="P167">
            <x:v>40</x:v>
          </x:cell>
          <x:cell r="Q167" t="str">
            <x:v>사방으로 휙</x:v>
          </x:cell>
          <x:cell r="R167">
            <x:v>35</x:v>
          </x:cell>
          <x:cell r="S167" t="str">
            <x:v>어, 넘어진다!</x:v>
          </x:cell>
          <x:cell r="T167">
            <x:v>25</x:v>
          </x:cell>
          <x:cell r="V167">
            <x:v>0</x:v>
          </x:cell>
          <x:cell r="W167" t="str">
            <x:v>차단</x:v>
          </x:cell>
          <x:cell r="X167" t="str">
            <x:v>두 절지동물이 X자로 잘못 융합된 개체. 다리 박자가 계속 어긋나 공격 간격이 불규칙하다.</x:v>
          </x:cell>
        </x:row>
        <x:row r="168">
          <x:cell r="A168">
            <x:v>162</x:v>
          </x:cell>
          <x:cell r="W168"/>
        </x:row>
        <x:row r="169">
          <x:cell r="A169">
            <x:v>163</x:v>
          </x:cell>
          <x:cell r="C169" t="str">
            <x:v>합치면 강해진댔잖아</x:v>
          </x:cell>
          <x:cell r="E169" t="str">
            <x:v>구역 보스</x:v>
          </x:cell>
          <x:cell r="F169">
            <x:v>2800</x:v>
          </x:cell>
          <x:cell r="G169">
            <x:v>56</x:v>
          </x:cell>
          <x:cell r="H169" t="str">
            <x:v>융합 공명</x:v>
          </x:cell>
          <x:cell r="I169">
            <x:v>12</x:v>
          </x:cell>
          <x:cell r="J169">
            <x:v>68</x:v>
          </x:cell>
          <x:cell r="K169">
            <x:v>35</x:v>
          </x:cell>
          <x:cell r="L169" t="str">
            <x:v>다층 외피</x:v>
          </x:cell>
          <x:cell r="M169">
            <x:v>11</x:v>
          </x:cell>
          <x:cell r="N169">
            <x:v>46</x:v>
          </x:cell>
          <x:cell r="O169" t="str">
            <x:v>한꺼번에 쾅!</x:v>
          </x:cell>
          <x:cell r="P169">
            <x:v>25</x:v>
          </x:cell>
          <x:cell r="Q169" t="str">
            <x:v>너도 붙어!</x:v>
          </x:cell>
          <x:cell r="R169">
            <x:v>25</x:v>
          </x:cell>
          <x:cell r="S169" t="str">
            <x:v>하나 더 붙이면 돼</x:v>
          </x:cell>
          <x:cell r="T169">
            <x:v>20</x:v>
          </x:cell>
          <x:cell r="U169" t="str">
            <x:v>왜 더 약해져?!</x:v>
          </x:cell>
          <x:cell r="V169">
            <x:v>30</x:v>
          </x:cell>
          <x:cell r="W169" t="str">
            <x:v>차단</x:v>
          </x:cell>
          <x:cell r="X169" t="str">
            <x:v>딱정벌레·지네·벌집 기관이 한 몸에 붙은 구역 보스. 부위가 파괴될수록 중앙 보라 융합핵이 노출된다.</x:v>
          </x:cell>
        </x:row>
        <x:row r="170">
          <x:cell r="A170">
            <x:v>164</x:v>
          </x:cell>
          <x:cell r="C170" t="str">
            <x:v>몸통 대여중</x:v>
          </x:cell>
          <x:cell r="E170" t="str">
            <x:v>강화 변이체</x:v>
          </x:cell>
          <x:cell r="F170">
            <x:v>480</x:v>
          </x:cell>
          <x:cell r="G170">
            <x:v>42</x:v>
          </x:cell>
          <x:cell r="H170" t="str">
            <x:v>다중 신체</x:v>
          </x:cell>
          <x:cell r="I170">
            <x:v>8</x:v>
          </x:cell>
          <x:cell r="J170">
            <x:v>50</x:v>
          </x:cell>
          <x:cell r="K170">
            <x:v>23</x:v>
          </x:cell>
          <x:cell r="L170" t="str">
            <x:v>교체 외피</x:v>
          </x:cell>
          <x:cell r="M170">
            <x:v>6</x:v>
          </x:cell>
          <x:cell r="N170">
            <x:v>29</x:v>
          </x:cell>
          <x:cell r="O170" t="str">
            <x:v>팔 바꿔 쓸게</x:v>
          </x:cell>
          <x:cell r="P170">
            <x:v>30</x:v>
          </x:cell>
          <x:cell r="Q170" t="str">
            <x:v>이건 던질게</x:v>
          </x:cell>
          <x:cell r="R170">
            <x:v>25</x:v>
          </x:cell>
          <x:cell r="S170" t="str">
            <x:v>몸통 잠깐!</x:v>
          </x:cell>
          <x:cell r="T170">
            <x:v>25</x:v>
          </x:cell>
          <x:cell r="U170" t="str">
            <x:v>이건 반납</x:v>
          </x:cell>
          <x:cell r="V170">
            <x:v>20</x:v>
          </x:cell>
          <x:cell r="W170" t="str">
            <x:v>차단</x:v>
          </x:cell>
          <x:cell r="X170" t="str">
            <x:v>버려진 외피와 다른 개체의 기관을 임시 몸통처럼 이어 붙인다. 장착 부위에 따라 패턴이 바뀐다.</x:v>
          </x:cell>
        </x:row>
        <x:row r="171">
          <x:cell r="A171">
            <x:v>165</x:v>
          </x:cell>
          <x:cell r="C171" t="str">
            <x:v>한입 단체석</x:v>
          </x:cell>
          <x:cell r="E171" t="str">
            <x:v>무리 선도체</x:v>
          </x:cell>
          <x:cell r="F171">
            <x:v>720</x:v>
          </x:cell>
          <x:cell r="G171">
            <x:v>48</x:v>
          </x:cell>
          <x:cell r="H171" t="str">
            <x:v>흡수 강화</x:v>
          </x:cell>
          <x:cell r="I171">
            <x:v>10</x:v>
          </x:cell>
          <x:cell r="J171">
            <x:v>58</x:v>
          </x:cell>
          <x:cell r="K171">
            <x:v>27</x:v>
          </x:cell>
          <x:cell r="L171" t="str">
            <x:v>흡수 외피</x:v>
          </x:cell>
          <x:cell r="M171">
            <x:v>8</x:v>
          </x:cell>
          <x:cell r="N171">
            <x:v>35</x:v>
          </x:cell>
          <x:cell r="O171" t="str">
            <x:v>자리 남았어요!</x:v>
          </x:cell>
          <x:cell r="P171">
            <x:v>25</x:v>
          </x:cell>
          <x:cell r="Q171" t="str">
            <x:v>한 자리 먹기</x:v>
          </x:cell>
          <x:cell r="R171">
            <x:v>25</x:v>
          </x:cell>
          <x:cell r="S171" t="str">
            <x:v>단체석 확장!</x:v>
          </x:cell>
          <x:cell r="T171">
            <x:v>30</x:v>
          </x:cell>
          <x:cell r="U171" t="str">
            <x:v>통째로 간다!</x:v>
          </x:cell>
          <x:cell r="V171">
            <x:v>20</x:v>
          </x:cell>
          <x:cell r="W171" t="str">
            <x:v>차단</x:v>
          </x:cell>
          <x:cell r="X171" t="str">
            <x:v>개미귀신형 방과 유충 주머니가 결합된 선도체. 부하를 삼켜 회복하고 새로운 개체로 다시 뱉는다.</x:v>
          </x:cell>
        </x:row>
        <x:row r="172">
          <x:cell r="A172">
            <x:v>166</x:v>
          </x:cell>
          <x:cell r="W172"/>
        </x:row>
        <x:row r="173">
          <x:cell r="A173">
            <x:v>167</x:v>
          </x:cell>
          <x:cell r="W173"/>
        </x:row>
        <x:row r="174">
          <x:cell r="A174">
            <x:v>168</x:v>
          </x:cell>
          <x:cell r="W174"/>
        </x:row>
        <x:row r="175">
          <x:cell r="A175">
            <x:v>169</x:v>
          </x:cell>
          <x:cell r="W175"/>
        </x:row>
        <x:row r="176">
          <x:cell r="A176">
            <x:v>170</x:v>
          </x:cell>
          <x:cell r="W176"/>
        </x:row>
        <x:row r="177">
          <x:cell r="A177">
            <x:v>171</x:v>
          </x:cell>
          <x:cell r="W177"/>
        </x:row>
        <x:row r="178">
          <x:cell r="A178">
            <x:v>172</x:v>
          </x:cell>
          <x:cell r="W178"/>
        </x:row>
        <x:row r="179">
          <x:cell r="A179">
            <x:v>173</x:v>
          </x:cell>
          <x:cell r="W179"/>
        </x:row>
        <x:row r="180">
          <x:cell r="A180">
            <x:v>174</x:v>
          </x:cell>
          <x:cell r="W180"/>
        </x:row>
        <x:row r="181">
          <x:cell r="A181">
            <x:v>175</x:v>
          </x:cell>
          <x:cell r="C181" t="str">
            <x:v>기립박수벌레</x:v>
          </x:cell>
          <x:cell r="E181" t="str">
            <x:v>일반 변이체</x:v>
          </x:cell>
          <x:cell r="F181">
            <x:v>220</x:v>
          </x:cell>
          <x:cell r="G181">
            <x:v>24</x:v>
          </x:cell>
          <x:cell r="H181" t="str">
            <x:v>갈채 파동</x:v>
          </x:cell>
          <x:cell r="I181">
            <x:v>5</x:v>
          </x:cell>
          <x:cell r="J181">
            <x:v>29</x:v>
          </x:cell>
          <x:cell r="K181">
            <x:v>14</x:v>
          </x:cell>
          <x:cell r="L181" t="str">
            <x:v>군중 속 은폐</x:v>
          </x:cell>
          <x:cell r="M181">
            <x:v>4</x:v>
          </x:cell>
          <x:cell r="N181">
            <x:v>18</x:v>
          </x:cell>
          <x:cell r="O181" t="str">
            <x:v>짝짝짝!</x:v>
          </x:cell>
          <x:cell r="P181">
            <x:v>45</x:v>
          </x:cell>
          <x:cell r="Q181" t="str">
            <x:v>박수 소리!</x:v>
          </x:cell>
          <x:cell r="R181">
            <x:v>30</x:v>
          </x:cell>
          <x:cell r="S181" t="str">
            <x:v>거리 두고 박수</x:v>
          </x:cell>
          <x:cell r="T181">
            <x:v>25</x:v>
          </x:cell>
          <x:cell r="V181">
            <x:v>0</x:v>
          </x:cell>
          <x:cell r="W181" t="str">
            <x:v>공명</x:v>
          </x:cell>
          <x:cell r="X181" t="str">
            <x:v>매미 날개판을 부딪쳐 끝없는 박수음을 낸다. 보랏빛 공명낭이 주변 개체의 공격 리듬을 맞춘다.</x:v>
          </x:cell>
        </x:row>
        <x:row r="182">
          <x:cell r="A182">
            <x:v>176</x:v>
          </x:cell>
          <x:cell r="W182"/>
        </x:row>
        <x:row r="183">
          <x:cell r="A183">
            <x:v>177</x:v>
          </x:cell>
          <x:cell r="C183" t="str">
            <x:v>호명나방</x:v>
          </x:cell>
          <x:cell r="E183" t="str">
            <x:v>일반 변이체</x:v>
          </x:cell>
          <x:cell r="F183">
            <x:v>235</x:v>
          </x:cell>
          <x:cell r="G183">
            <x:v>28</x:v>
          </x:cell>
          <x:cell r="H183" t="str">
            <x:v>호명 압박</x:v>
          </x:cell>
          <x:cell r="I183">
            <x:v>5</x:v>
          </x:cell>
          <x:cell r="J183">
            <x:v>33</x:v>
          </x:cell>
          <x:cell r="K183">
            <x:v>14</x:v>
          </x:cell>
          <x:cell r="L183" t="str">
            <x:v>후방 위치</x:v>
          </x:cell>
          <x:cell r="M183">
            <x:v>3</x:v>
          </x:cell>
          <x:cell r="N183">
            <x:v>17</x:v>
          </x:cell>
          <x:cell r="O183" t="str">
            <x:v>너, 거기!</x:v>
          </x:cell>
          <x:cell r="P183">
            <x:v>35</x:v>
          </x:cell>
          <x:cell r="Q183" t="str">
            <x:v>다들 와!</x:v>
          </x:cell>
          <x:cell r="R183">
            <x:v>25</x:v>
          </x:cell>
          <x:cell r="S183" t="str">
            <x:v>확성기 한 번!</x:v>
          </x:cell>
          <x:cell r="T183">
            <x:v>25</x:v>
          </x:cell>
          <x:cell r="U183" t="str">
            <x:v>불렀으면 간다</x:v>
          </x:cell>
          <x:cell r="V183">
            <x:v>15</x:v>
          </x:cell>
          <x:cell r="W183" t="str">
            <x:v>공명</x:v>
          </x:cell>
          <x:cell r="X183" t="str">
            <x:v>세 갈래 확성 기관을 가진 나방형 개체. 이름 대신 표적 신호를 울려 증원을 부르며 얼굴은 없다.</x:v>
          </x:cell>
        </x:row>
        <x:row r="184">
          <x:cell r="A184">
            <x:v>178</x:v>
          </x:cell>
          <x:cell r="C184" t="str">
            <x:v>그림자 팬클럽</x:v>
          </x:cell>
          <x:cell r="E184" t="str">
            <x:v>강화 변이체</x:v>
          </x:cell>
          <x:cell r="F184">
            <x:v>510</x:v>
          </x:cell>
          <x:cell r="G184">
            <x:v>44</x:v>
          </x:cell>
          <x:cell r="H184" t="str">
            <x:v>집요한 추격</x:v>
          </x:cell>
          <x:cell r="I184">
            <x:v>9</x:v>
          </x:cell>
          <x:cell r="J184">
            <x:v>53</x:v>
          </x:cell>
          <x:cell r="K184">
            <x:v>24</x:v>
          </x:cell>
          <x:cell r="L184" t="str">
            <x:v>그림자 외피</x:v>
          </x:cell>
          <x:cell r="M184">
            <x:v>6</x:v>
          </x:cell>
          <x:cell r="N184">
            <x:v>30</x:v>
          </x:cell>
          <x:cell r="O184" t="str">
            <x:v>발자국 저장</x:v>
          </x:cell>
          <x:cell r="P184">
            <x:v>25</x:v>
          </x:cell>
          <x:cell r="Q184" t="str">
            <x:v>사인 받으러 간다!</x:v>
          </x:cell>
          <x:cell r="R184">
            <x:v>35</x:v>
          </x:cell>
          <x:cell r="S184" t="str">
            <x:v>딱 붙어!</x:v>
          </x:cell>
          <x:cell r="T184">
            <x:v>20</x:v>
          </x:cell>
          <x:cell r="U184" t="str">
            <x:v>팬서비스 연타</x:v>
          </x:cell>
          <x:cell r="V184">
            <x:v>20</x:v>
          </x:cell>
          <x:cell r="W184" t="str">
            <x:v>공명</x:v>
          </x:cell>
          <x:cell r="X184" t="str">
            <x:v>검은 지네 몸과 추적 깃을 가진 강화체. 영웅의 이동 경로를 복사하듯 따라붙고 보라 감각핵으로 선회한다.</x:v>
          </x:cell>
        </x:row>
        <x:row r="185">
          <x:cell r="A185">
            <x:v>179</x:v>
          </x:cell>
          <x:cell r="C185" t="str">
            <x:v>추앙풍뎅이</x:v>
          </x:cell>
          <x:cell r="E185" t="str">
            <x:v>강화 변이체</x:v>
          </x:cell>
          <x:cell r="F185">
            <x:v>540</x:v>
          </x:cell>
          <x:cell r="G185">
            <x:v>39</x:v>
          </x:cell>
          <x:cell r="H185" t="str">
            <x:v>숭배 공명</x:v>
          </x:cell>
          <x:cell r="I185">
            <x:v>8</x:v>
          </x:cell>
          <x:cell r="J185">
            <x:v>47</x:v>
          </x:cell>
          <x:cell r="K185">
            <x:v>26</x:v>
          </x:cell>
          <x:cell r="L185" t="str">
            <x:v>보호막 생성</x:v>
          </x:cell>
          <x:cell r="M185">
            <x:v>8</x:v>
          </x:cell>
          <x:cell r="N185">
            <x:v>34</x:v>
          </x:cell>
          <x:cell r="O185" t="str">
            <x:v>오늘의 영웅!</x:v>
          </x:cell>
          <x:cell r="P185">
            <x:v>25</x:v>
          </x:cell>
          <x:cell r="Q185" t="str">
            <x:v>영웅 보호!</x:v>
          </x:cell>
          <x:cell r="R185">
            <x:v>30</x:v>
          </x:cell>
          <x:cell r="S185" t="str">
            <x:v>박수 더!</x:v>
          </x:cell>
          <x:cell r="T185">
            <x:v>25</x:v>
          </x:cell>
          <x:cell r="U185" t="str">
            <x:v>팬은 비켜!</x:v>
          </x:cell>
          <x:cell r="V185">
            <x:v>20</x:v>
          </x:cell>
          <x:cell r="W185" t="str">
            <x:v>공명</x:v>
          </x:cell>
          <x:cell r="X185" t="str">
            <x:v>왕관 같은 뿔과 받침 외피를 가진 장수풍뎅이형 강화체. 보호 대상과 보라 연결선을 유지한다.</x:v>
          </x:cell>
        </x:row>
        <x:row r="186">
          <x:cell r="A186">
            <x:v>180</x:v>
          </x:cell>
          <x:cell r="C186" t="str">
            <x:v>박수 저금통</x:v>
          </x:cell>
          <x:cell r="E186" t="str">
            <x:v>무리 선도체</x:v>
          </x:cell>
          <x:cell r="F186">
            <x:v>760</x:v>
          </x:cell>
          <x:cell r="G186">
            <x:v>50</x:v>
          </x:cell>
          <x:cell r="H186" t="str">
            <x:v>집단 갈채</x:v>
          </x:cell>
          <x:cell r="I186">
            <x:v>11</x:v>
          </x:cell>
          <x:cell r="J186">
            <x:v>61</x:v>
          </x:cell>
          <x:cell r="K186">
            <x:v>29</x:v>
          </x:cell>
          <x:cell r="L186" t="str">
            <x:v>부하 보호막</x:v>
          </x:cell>
          <x:cell r="M186">
            <x:v>9</x:v>
          </x:cell>
          <x:cell r="N186">
            <x:v>38</x:v>
          </x:cell>
          <x:cell r="O186" t="str">
            <x:v>시선 모아!</x:v>
          </x:cell>
          <x:cell r="P186">
            <x:v>25</x:v>
          </x:cell>
          <x:cell r="Q186" t="str">
            <x:v>박수 적금</x:v>
          </x:cell>
          <x:cell r="R186">
            <x:v>30</x:v>
          </x:cell>
          <x:cell r="S186" t="str">
            <x:v>줄 다시 서!</x:v>
          </x:cell>
          <x:cell r="T186">
            <x:v>20</x:v>
          </x:cell>
          <x:cell r="U186" t="str">
            <x:v>만기 폭발!</x:v>
          </x:cell>
          <x:cell r="V186">
            <x:v>25</x:v>
          </x:cell>
          <x:cell r="W186" t="str">
            <x:v>공명</x:v>
          </x:cell>
          <x:cell r="X186" t="str">
            <x:v>공명 드럼과 저장낭이 달린 선도체. 전장의 갈채음을 모아 보랏빛 에너지로 압축한다.</x:v>
          </x:cell>
        </x:row>
        <x:row r="187">
          <x:cell r="A187">
            <x:v>181</x:v>
          </x:cell>
          <x:cell r="C187" t="str">
            <x:v>박수 없인 못 살아</x:v>
          </x:cell>
          <x:cell r="E187" t="str">
            <x:v>챕터 보스</x:v>
          </x:cell>
          <x:cell r="F187">
            <x:v>4300</x:v>
          </x:cell>
          <x:cell r="G187">
            <x:v>66</x:v>
          </x:cell>
          <x:cell r="H187" t="str">
            <x:v>대중의 갈채</x:v>
          </x:cell>
          <x:cell r="I187">
            <x:v>15</x:v>
          </x:cell>
          <x:cell r="J187">
            <x:v>81</x:v>
          </x:cell>
          <x:cell r="K187">
            <x:v>41</x:v>
          </x:cell>
          <x:cell r="L187" t="str">
            <x:v>갈채 보호막</x:v>
          </x:cell>
          <x:cell r="M187">
            <x:v>14</x:v>
          </x:cell>
          <x:cell r="N187">
            <x:v>55</x:v>
          </x:cell>
          <x:cell r="O187" t="str">
            <x:v>나 찍고 있지?</x:v>
          </x:cell>
          <x:cell r="P187">
            <x:v>20</x:v>
          </x:cell>
          <x:cell r="Q187" t="str">
            <x:v>박수 더!</x:v>
          </x:cell>
          <x:cell r="R187">
            <x:v>30</x:v>
          </x:cell>
          <x:cell r="S187" t="str">
            <x:v>진짜 시민 맞아?</x:v>
          </x:cell>
          <x:cell r="T187">
            <x:v>25</x:v>
          </x:cell>
          <x:cell r="U187" t="str">
            <x:v>박수 먹기</x:v>
          </x:cell>
          <x:cell r="V187">
            <x:v>25</x:v>
          </x:cell>
          <x:cell r="W187" t="str">
            <x:v>공명</x:v>
          </x:cell>
          <x:cell r="X187" t="str">
            <x:v>카메라 셔터·조명·빈 고치가 외피가 된 챕터 보스. 긴급 구조 알림을 끄고도 자신의 특혜를 지키려 합리화한 고등급자의 변이체다.</x:v>
          </x:cell>
        </x:row>
        <x:row r="188">
          <x:cell r="A188">
            <x:v>182</x:v>
          </x:cell>
          <x:cell r="W188"/>
        </x:row>
        <x:row r="189">
          <x:cell r="A189">
            <x:v>183</x:v>
          </x:cell>
          <x:cell r="W189"/>
        </x:row>
        <x:row r="190">
          <x:cell r="A190">
            <x:v>184</x:v>
          </x:cell>
          <x:cell r="W190"/>
        </x:row>
        <x:row r="191">
          <x:cell r="A191">
            <x:v>185</x:v>
          </x:cell>
          <x:cell r="W191"/>
        </x:row>
        <x:row r="192">
          <x:cell r="A192">
            <x:v>186</x:v>
          </x:cell>
          <x:cell r="W192"/>
        </x:row>
        <x:row r="193">
          <x:cell r="A193">
            <x:v>187</x:v>
          </x:cell>
          <x:cell r="W193"/>
        </x:row>
        <x:row r="194">
          <x:cell r="A194">
            <x:v>188</x:v>
          </x:cell>
          <x:cell r="W194"/>
        </x:row>
        <x:row r="195">
          <x:cell r="A195">
            <x:v>189</x:v>
          </x:cell>
          <x:cell r="W195"/>
        </x:row>
        <x:row r="196">
          <x:cell r="A196">
            <x:v>190</x:v>
          </x:cell>
          <x:cell r="W196"/>
        </x:row>
        <x:row r="197">
          <x:cell r="A197">
            <x:v>191</x:v>
          </x:cell>
          <x:cell r="W197"/>
        </x:row>
        <x:row r="198">
          <x:cell r="A198">
            <x:v>192</x:v>
          </x:cell>
          <x:cell r="W198"/>
        </x:row>
        <x:row r="199">
          <x:cell r="A199">
            <x:v>193</x:v>
          </x:cell>
          <x:cell r="J199" t="str">
            <x:v/>
          </x:cell>
          <x:cell r="N199" t="str">
            <x:v/>
          </x:cell>
          <x:cell r="W199"/>
        </x:row>
        <x:row r="200">
          <x:cell r="A200">
            <x:v>194</x:v>
          </x:cell>
          <x:cell r="W200"/>
        </x:row>
        <x:row r="201">
          <x:cell r="A201">
            <x:v>195</x:v>
          </x:cell>
          <x:cell r="W201"/>
        </x:row>
        <x:row r="202">
          <x:cell r="A202">
            <x:v>196</x:v>
          </x:cell>
          <x:cell r="W202"/>
        </x:row>
        <x:row r="203">
          <x:cell r="A203">
            <x:v>197</x:v>
          </x:cell>
          <x:cell r="W203"/>
        </x:row>
        <x:row r="204">
          <x:cell r="A204">
            <x:v>198</x:v>
          </x:cell>
          <x:cell r="W204"/>
        </x:row>
        <x:row r="205">
          <x:cell r="A205">
            <x:v>199</x:v>
          </x:cell>
          <x:cell r="W205"/>
        </x:row>
        <x:row r="206">
          <x:cell r="A206">
            <x:v>200</x:v>
          </x:cell>
          <x:cell r="W206"/>
        </x:row>
        <x:row r="207">
          <x:cell r="A207">
            <x:v>201</x:v>
          </x:cell>
          <x:cell r="W207"/>
        </x:row>
        <x:row r="208">
          <x:cell r="A208">
            <x:v>202</x:v>
          </x:cell>
          <x:cell r="W208"/>
        </x:row>
        <x:row r="209">
          <x:cell r="A209">
            <x:v>203</x:v>
          </x:cell>
          <x:cell r="W209"/>
        </x:row>
        <x:row r="210">
          <x:cell r="A210">
            <x:v>204</x:v>
          </x:cell>
          <x:cell r="W210"/>
        </x:row>
        <x:row r="211">
          <x:cell r="A211">
            <x:v>205</x:v>
          </x:cell>
          <x:cell r="W211"/>
        </x:row>
        <x:row r="212">
          <x:cell r="A212">
            <x:v>206</x:v>
          </x:cell>
          <x:cell r="W212"/>
        </x:row>
        <x:row r="213">
          <x:cell r="A213">
            <x:v>207</x:v>
          </x:cell>
          <x:cell r="W213"/>
        </x:row>
        <x:row r="214">
          <x:cell r="A214">
            <x:v>208</x:v>
          </x:cell>
          <x:cell r="W214"/>
        </x:row>
        <x:row r="215">
          <x:cell r="A215">
            <x:v>209</x:v>
          </x:cell>
          <x:cell r="W215"/>
        </x:row>
        <x:row r="216">
          <x:cell r="A216">
            <x:v>210</x:v>
          </x:cell>
          <x:cell r="W216"/>
        </x:row>
        <x:row r="217">
          <x:cell r="A217">
            <x:v>211</x:v>
          </x:cell>
          <x:cell r="W217"/>
        </x:row>
        <x:row r="218">
          <x:cell r="A218">
            <x:v>212</x:v>
          </x:cell>
          <x:cell r="W218"/>
        </x:row>
        <x:row r="219">
          <x:cell r="A219">
            <x:v>213</x:v>
          </x:cell>
          <x:cell r="W219"/>
        </x:row>
        <x:row r="220">
          <x:cell r="A220">
            <x:v>214</x:v>
          </x:cell>
          <x:cell r="C220" t="str">
            <x:v>퇴근하고 싶다</x:v>
          </x:cell>
          <x:cell r="E220" t="str">
            <x:v>일반 변이체</x:v>
          </x:cell>
          <x:cell r="F220">
            <x:v>330</x:v>
          </x:cell>
          <x:cell r="G220">
            <x:v>38</x:v>
          </x:cell>
          <x:cell r="H220" t="str">
            <x:v>좁은 복도 압박</x:v>
          </x:cell>
          <x:cell r="I220">
            <x:v>7</x:v>
          </x:cell>
          <x:cell r="J220">
            <x:v>45</x:v>
          </x:cell>
          <x:cell r="K220">
            <x:v>19</x:v>
          </x:cell>
          <x:cell r="L220" t="str">
            <x:v>굳은 교복 외피</x:v>
          </x:cell>
          <x:cell r="M220">
            <x:v>5</x:v>
          </x:cell>
          <x:cell r="N220">
            <x:v>24</x:v>
          </x:cell>
          <x:cell r="O220" t="str">
            <x:v>복도 한 바퀴만…</x:v>
          </x:cell>
          <x:cell r="P220">
            <x:v>30</x:v>
          </x:cell>
          <x:cell r="Q220" t="str">
            <x:v>퇴근 전에 잡는다</x:v>
          </x:cell>
          <x:cell r="R220">
            <x:v>30</x:v>
          </x:cell>
          <x:cell r="S220" t="str">
            <x:v>문턱 조심!</x:v>
          </x:cell>
          <x:cell r="T220">
            <x:v>25</x:v>
          </x:cell>
          <x:cell r="U220" t="str">
            <x:v>무슨 소리지?</x:v>
          </x:cell>
          <x:cell r="V220">
            <x:v>15</x:v>
          </x:cell>
          <x:cell r="W220" t="str">
            <x:v>침식</x:v>
          </x:cell>
          <x:cell r="X220" t="str">
            <x:v>머리와 팔다리 없이 빈 체육복과 슬리퍼만 복도를 기어 다닌다. 지친 교직원의 습관이 이동 경로로 남았다.</x:v>
          </x:cell>
        </x:row>
        <x:row r="221">
          <x:cell r="A221">
            <x:v>215</x:v>
          </x:cell>
          <x:cell r="C221" t="str">
            <x:v>등 뒤 한 칸</x:v>
          </x:cell>
          <x:cell r="E221" t="str">
            <x:v>강화 변이체</x:v>
          </x:cell>
          <x:cell r="F221">
            <x:v>650</x:v>
          </x:cell>
          <x:cell r="G221">
            <x:v>54</x:v>
          </x:cell>
          <x:cell r="H221" t="str">
            <x:v>기습 충격</x:v>
          </x:cell>
          <x:cell r="I221">
            <x:v>11</x:v>
          </x:cell>
          <x:cell r="J221">
            <x:v>65</x:v>
          </x:cell>
          <x:cell r="K221">
            <x:v>29</x:v>
          </x:cell>
          <x:cell r="L221" t="str">
            <x:v>사각지대 은폐</x:v>
          </x:cell>
          <x:cell r="M221">
            <x:v>7</x:v>
          </x:cell>
          <x:cell r="N221">
            <x:v>36</x:v>
          </x:cell>
          <x:cell r="O221" t="str">
            <x:v>뒤에 있어.</x:v>
          </x:cell>
          <x:cell r="P221">
            <x:v>30</x:v>
          </x:cell>
          <x:cell r="Q221" t="str">
            <x:v>한 칸만 밀게</x:v>
          </x:cell>
          <x:cell r="R221">
            <x:v>35</x:v>
          </x:cell>
          <x:cell r="S221" t="str">
            <x:v>넘어져.</x:v>
          </x:cell>
          <x:cell r="T221">
            <x:v>20</x:v>
          </x:cell>
          <x:cell r="U221" t="str">
            <x:v>다시 뒤로</x:v>
          </x:cell>
          <x:cell r="V221">
            <x:v>15</x:v>
          </x:cell>
          <x:cell r="W221" t="str">
            <x:v>공명</x:v>
          </x:cell>
          <x:cell r="X221" t="str">
            <x:v>책가방·책상 다리·교과서 등뼈가 엉킨 강화체. 뒤에서 한 칸씩 밀어 위험 오브젝트에 닿게 한다.</x:v>
          </x:cell>
        </x:row>
        <x:row r="222">
          <x:cell r="A222">
            <x:v>216</x:v>
          </x:cell>
          <x:cell r="W222"/>
        </x:row>
        <x:row r="223">
          <x:cell r="A223">
            <x:v>217</x:v>
          </x:cell>
          <x:cell r="W223"/>
        </x:row>
        <x:row r="224">
          <x:cell r="A224">
            <x:v>218</x:v>
          </x:cell>
          <x:cell r="W224"/>
        </x:row>
        <x:row r="225">
          <x:cell r="A225">
            <x:v>219</x:v>
          </x:cell>
          <x:cell r="W225"/>
        </x:row>
        <x:row r="226">
          <x:cell r="A226">
            <x:v>220</x:v>
          </x:cell>
          <x:cell r="W226"/>
        </x:row>
        <x:row r="227">
          <x:cell r="A227">
            <x:v>221</x:v>
          </x:cell>
          <x:cell r="W227"/>
        </x:row>
        <x:row r="228">
          <x:cell r="A228">
            <x:v>222</x:v>
          </x:cell>
          <x:cell r="C228" t="str">
            <x:v>칠판 낄낄이</x:v>
          </x:cell>
          <x:cell r="E228" t="str">
            <x:v>강화 변이체</x:v>
          </x:cell>
          <x:cell r="F228">
            <x:v>690</x:v>
          </x:cell>
          <x:cell r="G228">
            <x:v>52</x:v>
          </x:cell>
          <x:cell r="H228" t="str">
            <x:v>조롱 파동</x:v>
          </x:cell>
          <x:cell r="I228">
            <x:v>10</x:v>
          </x:cell>
          <x:cell r="J228">
            <x:v>62</x:v>
          </x:cell>
          <x:cell r="K228">
            <x:v>28</x:v>
          </x:cell>
          <x:cell r="L228" t="str">
            <x:v>환영 분산</x:v>
          </x:cell>
          <x:cell r="M228">
            <x:v>9</x:v>
          </x:cell>
          <x:cell r="N228">
            <x:v>37</x:v>
          </x:cell>
          <x:cell r="O228" t="str">
            <x:v>낄낄낄</x:v>
          </x:cell>
          <x:cell r="P228">
            <x:v>30</x:v>
          </x:cell>
          <x:cell r="Q228" t="str">
            <x:v>왼쪽? 오른쪽?</x:v>
          </x:cell>
          <x:cell r="R228">
            <x:v>25</x:v>
          </x:cell>
          <x:cell r="S228" t="str">
            <x:v>웃는 얼굴 날리기</x:v>
          </x:cell>
          <x:cell r="T228">
            <x:v>30</x:v>
          </x:cell>
          <x:cell r="U228" t="str">
            <x:v>하나 더 웃자</x:v>
          </x:cell>
          <x:cell r="V228">
            <x:v>15</x:v>
          </x:cell>
          <x:cell r="W228" t="str">
            <x:v>침식</x:v>
          </x:cell>
          <x:cell r="X228" t="str">
            <x:v>금 간 칠판 조각과 분필 초승달이 군체를 이룬다. 진짜 얼굴 없이 낄낄대는 선만 번갈아 나타난다.</x:v>
          </x:cell>
        </x:row>
        <x:row r="229">
          <x:cell r="A229">
            <x:v>223</x:v>
          </x:cell>
          <x:cell r="W229"/>
        </x:row>
        <x:row r="230">
          <x:cell r="A230">
            <x:v>224</x:v>
          </x:cell>
          <x:cell r="W230"/>
        </x:row>
        <x:row r="231">
          <x:cell r="A231">
            <x:v>225</x:v>
          </x:cell>
          <x:cell r="W231"/>
        </x:row>
        <x:row r="232">
          <x:cell r="A232">
            <x:v>226</x:v>
          </x:cell>
          <x:cell r="W232"/>
        </x:row>
        <x:row r="233">
          <x:cell r="A233">
            <x:v>227</x:v>
          </x:cell>
          <x:cell r="W233"/>
        </x:row>
        <x:row r="234">
          <x:cell r="A234">
            <x:v>228</x:v>
          </x:cell>
          <x:cell r="W234"/>
        </x:row>
        <x:row r="235">
          <x:cell r="A235">
            <x:v>229</x:v>
          </x:cell>
          <x:cell r="W235"/>
        </x:row>
        <x:row r="236">
          <x:cell r="A236">
            <x:v>230</x:v>
          </x:cell>
          <x:cell r="C236" t="str">
            <x:v>못 본 척 동아리</x:v>
          </x:cell>
          <x:cell r="E236" t="str">
            <x:v>강화 변이체</x:v>
          </x:cell>
          <x:cell r="F236">
            <x:v>760</x:v>
          </x:cell>
          <x:cell r="G236">
            <x:v>55</x:v>
          </x:cell>
          <x:cell r="H236" t="str">
            <x:v>집단 압박</x:v>
          </x:cell>
          <x:cell r="I236">
            <x:v>11</x:v>
          </x:cell>
          <x:cell r="J236">
            <x:v>66</x:v>
          </x:cell>
          <x:cell r="K236">
            <x:v>33</x:v>
          </x:cell>
          <x:cell r="L236" t="str">
            <x:v>군집 방어</x:v>
          </x:cell>
          <x:cell r="M236">
            <x:v>10</x:v>
          </x:cell>
          <x:cell r="N236">
            <x:v>43</x:v>
          </x:cell>
          <x:cell r="O236" t="str">
            <x:v>난 못 봤어</x:v>
          </x:cell>
          <x:cell r="P236">
            <x:v>20</x:v>
          </x:cell>
          <x:cell r="Q236" t="str">
            <x:v>길은 못 줘</x:v>
          </x:cell>
          <x:cell r="R236">
            <x:v>30</x:v>
          </x:cell>
          <x:cell r="S236" t="str">
            <x:v>다 같이 모른 척</x:v>
          </x:cell>
          <x:cell r="T236">
            <x:v>30</x:v>
          </x:cell>
          <x:cell r="U236" t="str">
            <x:v>걔는 건드리지 마</x:v>
          </x:cell>
          <x:cell r="V236">
            <x:v>20</x:v>
          </x:cell>
          <x:cell r="W236" t="str">
            <x:v>침식</x:v>
          </x:cell>
          <x:cell r="X236" t="str">
            <x:v>고개 없는 빈 교복 여러 벌과 교과서 지네가 한 개체처럼 움직인다. 공격이 시작되면 모두 반대쪽을 향한다.</x:v>
          </x:cell>
        </x:row>
        <x:row r="237">
          <x:cell r="A237">
            <x:v>231</x:v>
          </x:cell>
          <x:cell r="W237"/>
        </x:row>
        <x:row r="238">
          <x:cell r="A238">
            <x:v>232</x:v>
          </x:cell>
          <x:cell r="W238"/>
        </x:row>
        <x:row r="239">
          <x:cell r="A239">
            <x:v>233</x:v>
          </x:cell>
          <x:cell r="W239"/>
        </x:row>
        <x:row r="240">
          <x:cell r="A240">
            <x:v>234</x:v>
          </x:cell>
          <x:cell r="W240"/>
        </x:row>
        <x:row r="241">
          <x:cell r="A241">
            <x:v>235</x:v>
          </x:cell>
          <x:cell r="W241"/>
        </x:row>
        <x:row r="242">
          <x:cell r="A242">
            <x:v>236</x:v>
          </x:cell>
          <x:cell r="C242" t="str">
            <x:v>3반에서 들었대</x:v>
          </x:cell>
          <x:cell r="E242" t="str">
            <x:v>무리 선도체</x:v>
          </x:cell>
          <x:cell r="F242">
            <x:v>980</x:v>
          </x:cell>
          <x:cell r="G242">
            <x:v>62</x:v>
          </x:cell>
          <x:cell r="H242" t="str">
            <x:v>소문 확산</x:v>
          </x:cell>
          <x:cell r="I242">
            <x:v>13</x:v>
          </x:cell>
          <x:cell r="J242">
            <x:v>75</x:v>
          </x:cell>
          <x:cell r="K242">
            <x:v>34</x:v>
          </x:cell>
          <x:cell r="L242" t="str">
            <x:v>부하 분산 엄호</x:v>
          </x:cell>
          <x:cell r="M242">
            <x:v>10</x:v>
          </x:cell>
          <x:cell r="N242">
            <x:v>44</x:v>
          </x:cell>
          <x:cell r="O242" t="str">
            <x:v>3반에도 말할게</x:v>
          </x:cell>
          <x:cell r="P242">
            <x:v>25</x:v>
          </x:cell>
          <x:cell r="Q242" t="str">
            <x:v>다 들었대!</x:v>
          </x:cell>
          <x:cell r="R242">
            <x:v>25</x:v>
          </x:cell>
          <x:cell r="S242" t="str">
            <x:v>소문 쫙!</x:v>
          </x:cell>
          <x:cell r="T242">
            <x:v>30</x:v>
          </x:cell>
          <x:cell r="U242" t="str">
            <x:v>난 뒤로 갈게</x:v>
          </x:cell>
          <x:cell r="V242">
            <x:v>20</x:v>
          </x:cell>
          <x:cell r="W242" t="str">
            <x:v>공명</x:v>
          </x:cell>
          <x:cell r="X242" t="str">
            <x:v>쪽지 날개·교내 방송 스피커·소문 주머니가 붙은 종이 나방 선도체. 신호를 허용하면 인접 교실까지 적을 부른다.</x:v>
          </x:cell>
        </x:row>
        <x:row r="243">
          <x:cell r="A243">
            <x:v>237</x:v>
          </x:cell>
          <x:cell r="W243"/>
        </x:row>
        <x:row r="244">
          <x:cell r="A244">
            <x:v>238</x:v>
          </x:cell>
          <x:cell r="W244"/>
        </x:row>
        <x:row r="245">
          <x:cell r="A245">
            <x:v>239</x:v>
          </x:cell>
          <x:cell r="C245" t="str">
            <x:v>한 명 빼고 전부</x:v>
          </x:cell>
          <x:cell r="E245" t="str">
            <x:v>무리 선도체</x:v>
          </x:cell>
          <x:cell r="F245">
            <x:v>1120</x:v>
          </x:cell>
          <x:cell r="G245">
            <x:v>66</x:v>
          </x:cell>
          <x:cell r="H245" t="str">
            <x:v>포위 압박</x:v>
          </x:cell>
          <x:cell r="I245">
            <x:v>14</x:v>
          </x:cell>
          <x:cell r="J245">
            <x:v>80</x:v>
          </x:cell>
          <x:cell r="K245">
            <x:v>36</x:v>
          </x:cell>
          <x:cell r="L245" t="str">
            <x:v>원형 진형</x:v>
          </x:cell>
          <x:cell r="M245">
            <x:v>11</x:v>
          </x:cell>
          <x:cell r="N245">
            <x:v>47</x:v>
          </x:cell>
          <x:cell r="O245" t="str">
            <x:v>한 명만 가운데</x:v>
          </x:cell>
          <x:cell r="P245">
            <x:v>30</x:v>
          </x:cell>
          <x:cell r="Q245" t="str">
            <x:v>나갈 곳 없어</x:v>
          </x:cell>
          <x:cell r="R245">
            <x:v>25</x:v>
          </x:cell>
          <x:cell r="S245" t="str">
            <x:v>차례대로.</x:v>
          </x:cell>
          <x:cell r="T245">
            <x:v>25</x:v>
          </x:cell>
          <x:cell r="U245" t="str">
            <x:v>전부 같이!</x:v>
          </x:cell>
          <x:cell r="V245">
            <x:v>20</x:v>
          </x:cell>
          <x:cell r="W245" t="str">
            <x:v>차단</x:v>
          </x:cell>
          <x:cell r="X245" t="str">
            <x:v>빈 책상과 가방들이 원을 만들고 중앙의 한 자리를 고립시킨다. 인간 없이 학교폭력의 집단 포위를 표현한다.</x:v>
          </x:cell>
        </x:row>
        <x:row r="246">
          <x:cell r="A246">
            <x:v>240</x:v>
          </x:cell>
          <x:cell r="C246" t="str">
            <x:v>그날의 오답노트</x:v>
          </x:cell>
          <x:cell r="E246" t="str">
            <x:v>구역 보스</x:v>
          </x:cell>
          <x:cell r="F246">
            <x:v>3600</x:v>
          </x:cell>
          <x:cell r="G246">
            <x:v>74</x:v>
          </x:cell>
          <x:cell r="H246" t="str">
            <x:v>기억 침식</x:v>
          </x:cell>
          <x:cell r="I246">
            <x:v>16</x:v>
          </x:cell>
          <x:cell r="J246">
            <x:v>90</x:v>
          </x:cell>
          <x:cell r="K246">
            <x:v>45</x:v>
          </x:cell>
          <x:cell r="L246" t="str">
            <x:v>환영 외피</x:v>
          </x:cell>
          <x:cell r="M246">
            <x:v>13</x:v>
          </x:cell>
          <x:cell r="N246">
            <x:v>58</x:v>
          </x:cell>
          <x:cell r="O246" t="str">
            <x:v>그날은 이랬어.</x:v>
          </x:cell>
          <x:cell r="P246">
            <x:v>25</x:v>
          </x:cell>
          <x:cell r="Q246" t="str">
            <x:v>교실 다시 쓰기</x:v>
          </x:cell>
          <x:cell r="R246">
            <x:v>25</x:v>
          </x:cell>
          <x:cell r="S246" t="str">
            <x:v>네가 틀렸잖아.</x:v>
          </x:cell>
          <x:cell r="T246">
            <x:v>25</x:v>
          </x:cell>
          <x:cell r="U246" t="str">
            <x:v>정답 바꾸기</x:v>
          </x:cell>
          <x:cell r="V246">
            <x:v>25</x:v>
          </x:cell>
          <x:cell r="W246" t="str">
            <x:v>차단</x:v>
          </x:cell>
          <x:cell r="X246" t="str">
            <x:v>칠판·공책·책상 파편과 보라 세포막이 만든 기억 군체. 변혜서의 왜곡된 장면을 비추며 진실 닻을 오답으로 바꾼다.</x:v>
          </x:cell>
        </x:row>
        <x:row r="247">
          <x:cell r="A247">
            <x:v>241</x:v>
          </x:cell>
          <x:cell r="W247"/>
        </x:row>
        <x:row r="248">
          <x:cell r="A248">
            <x:v>242</x:v>
          </x:cell>
          <x:cell r="W248"/>
        </x:row>
        <x:row r="249">
          <x:cell r="A249">
            <x:v>243</x:v>
          </x:cell>
          <x:cell r="W249"/>
        </x:row>
        <x:row r="250">
          <x:cell r="A250">
            <x:v>244</x:v>
          </x:cell>
          <x:cell r="W250"/>
        </x:row>
        <x:row r="251">
          <x:cell r="A251">
            <x:v>245</x:v>
          </x:cell>
          <x:cell r="C251" t="str">
            <x:v>별을 삼킨 강당</x:v>
          </x:cell>
          <x:cell r="E251" t="str">
            <x:v>챕터 보스</x:v>
          </x:cell>
          <x:cell r="F251">
            <x:v>6200</x:v>
          </x:cell>
          <x:cell r="G251">
            <x:v>84</x:v>
          </x:cell>
          <x:cell r="H251" t="str">
            <x:v>폭력의 기억</x:v>
          </x:cell>
          <x:cell r="I251">
            <x:v>18</x:v>
          </x:cell>
          <x:cell r="J251">
            <x:v>102</x:v>
          </x:cell>
          <x:cell r="K251">
            <x:v>54</x:v>
          </x:cell>
          <x:cell r="L251" t="str">
            <x:v>괴물 외피</x:v>
          </x:cell>
          <x:cell r="M251">
            <x:v>16</x:v>
          </x:cell>
          <x:cell r="N251">
            <x:v>70</x:v>
          </x:cell>
          <x:cell r="O251" t="str">
            <x:v>아직 안 끝났어</x:v>
          </x:cell>
          <x:cell r="P251">
            <x:v>25</x:v>
          </x:cell>
          <x:cell r="Q251" t="str">
            <x:v>공은 돌아온다</x:v>
          </x:cell>
          <x:cell r="R251">
            <x:v>20</x:v>
          </x:cell>
          <x:cell r="S251" t="str">
            <x:v>왜 이제 왔어?</x:v>
          </x:cell>
          <x:cell r="T251">
            <x:v>25</x:v>
          </x:cell>
          <x:cell r="U251" t="str">
            <x:v>때리지 마.</x:v>
          </x:cell>
          <x:cell r="V251">
            <x:v>30</x:v>
          </x:cell>
          <x:cell r="W251" t="str">
            <x:v>차단</x:v>
          </x:cell>
          <x:cell r="X251" t="str">
            <x:v>체육 매트·농구 골대 갈비뼈·빈 교복이 강당처럼 융합된 변혜서의 보스체. 별 모양 우정 목걸이만 심장처럼 보랏빛으로 빛난다.</x:v>
          </x:cell>
        </x:row>
        <x:row r="252">
          <x:cell r="A252">
            <x:v>246</x:v>
          </x:cell>
          <x:cell r="W252"/>
        </x:row>
        <x:row r="253">
          <x:cell r="A253">
            <x:v>247</x:v>
          </x:cell>
          <x:cell r="W253"/>
        </x:row>
        <x:row r="254">
          <x:cell r="A254">
            <x:v>248</x:v>
          </x:cell>
          <x:cell r="W254"/>
        </x:row>
        <x:row r="255">
          <x:cell r="A255">
            <x:v>249</x:v>
          </x:cell>
          <x:cell r="W255"/>
        </x:row>
        <x:row r="256">
          <x:cell r="A256">
            <x:v>250</x:v>
          </x:cell>
          <x:cell r="W256"/>
        </x:row>
        <x:row r="257">
          <x:cell r="A257">
            <x:v>251</x:v>
          </x:cell>
          <x:cell r="W257"/>
        </x:row>
        <x:row r="258">
          <x:cell r="A258">
            <x:v>252</x:v>
          </x:cell>
          <x:cell r="W258"/>
        </x:row>
        <x:row r="259">
          <x:cell r="A259">
            <x:v>253</x:v>
          </x:cell>
          <x:cell r="W259"/>
        </x:row>
        <x:row r="260">
          <x:cell r="A260">
            <x:v>254</x:v>
          </x:cell>
          <x:cell r="W260"/>
        </x:row>
        <x:row r="261">
          <x:cell r="A261">
            <x:v>255</x:v>
          </x:cell>
          <x:cell r="W261"/>
        </x:row>
        <x:row r="262">
          <x:cell r="A262">
            <x:v>256</x:v>
          </x:cell>
          <x:cell r="W262"/>
        </x:row>
        <x:row r="263">
          <x:cell r="A263">
            <x:v>257</x:v>
          </x:cell>
          <x:cell r="J263" t="str">
            <x:v/>
          </x:cell>
          <x:cell r="N263" t="str">
            <x:v/>
          </x:cell>
          <x:cell r="W263"/>
        </x:row>
        <x:row r="264">
          <x:cell r="A264">
            <x:v>258</x:v>
          </x:cell>
          <x:cell r="W264"/>
        </x:row>
        <x:row r="265">
          <x:cell r="A265">
            <x:v>259</x:v>
          </x:cell>
          <x:cell r="W265"/>
        </x:row>
        <x:row r="266">
          <x:cell r="A266">
            <x:v>260</x:v>
          </x:cell>
          <x:cell r="W266"/>
        </x:row>
        <x:row r="267">
          <x:cell r="A267">
            <x:v>261</x:v>
          </x:cell>
          <x:cell r="W267"/>
        </x:row>
        <x:row r="268">
          <x:cell r="A268">
            <x:v>262</x:v>
          </x:cell>
          <x:cell r="W268"/>
        </x:row>
        <x:row r="269">
          <x:cell r="A269">
            <x:v>263</x:v>
          </x:cell>
          <x:cell r="W269"/>
        </x:row>
        <x:row r="270">
          <x:cell r="A270">
            <x:v>264</x:v>
          </x:cell>
          <x:cell r="W270"/>
        </x:row>
        <x:row r="271">
          <x:cell r="A271">
            <x:v>265</x:v>
          </x:cell>
          <x:cell r="C271" t="str">
            <x:v>권한이 없습니다</x:v>
          </x:cell>
          <x:cell r="E271" t="str">
            <x:v>강화 변이체</x:v>
          </x:cell>
          <x:cell r="F271">
            <x:v>1280</x:v>
          </x:cell>
          <x:cell r="G271">
            <x:v>79</x:v>
          </x:cell>
          <x:cell r="H271" t="str">
            <x:v>생체 감시</x:v>
          </x:cell>
          <x:cell r="I271">
            <x:v>15</x:v>
          </x:cell>
          <x:cell r="J271">
            <x:v>94</x:v>
          </x:cell>
          <x:cell r="K271">
            <x:v>44</x:v>
          </x:cell>
          <x:cell r="L271" t="str">
            <x:v>보안 외피</x:v>
          </x:cell>
          <x:cell r="M271">
            <x:v>11</x:v>
          </x:cell>
          <x:cell r="N271">
            <x:v>55</x:v>
          </x:cell>
          <x:cell r="O271" t="str">
            <x:v>인증 실패</x:v>
          </x:cell>
          <x:cell r="P271">
            <x:v>30</x:v>
          </x:cell>
          <x:cell r="Q271" t="str">
            <x:v>권한이 없습니다</x:v>
          </x:cell>
          <x:cell r="R271">
            <x:v>25</x:v>
          </x:cell>
          <x:cell r="S271" t="str">
            <x:v>스캔합니다</x:v>
          </x:cell>
          <x:cell r="T271">
            <x:v>25</x:v>
          </x:cell>
          <x:cell r="U271" t="str">
            <x:v>임시 승인</x:v>
          </x:cell>
          <x:cell r="V271">
            <x:v>20</x:v>
          </x:cell>
          <x:cell r="W271" t="str">
            <x:v>침식</x:v>
          </x:cell>
          <x:cell r="X271" t="str">
            <x:v>보안 스캐너와 딱정벌레 외피가 결합된 비대칭 사족형. 보랏빛 인증핵을 제압하면 생체 인증 모듈을 회수한다.</x:v>
          </x:cell>
        </x:row>
        <x:row r="272">
          <x:cell r="A272">
            <x:v>266</x:v>
          </x:cell>
          <x:cell r="W272"/>
        </x:row>
        <x:row r="273">
          <x:cell r="A273">
            <x:v>267</x:v>
          </x:cell>
          <x:cell r="W273"/>
        </x:row>
        <x:row r="274">
          <x:cell r="A274">
            <x:v>268</x:v>
          </x:cell>
          <x:cell r="W274"/>
        </x:row>
        <x:row r="275">
          <x:cell r="A275">
            <x:v>269</x:v>
          </x:cell>
          <x:cell r="W275"/>
        </x:row>
        <x:row r="276">
          <x:cell r="A276">
            <x:v>270</x:v>
          </x:cell>
          <x:cell r="W276"/>
        </x:row>
        <x:row r="277">
          <x:cell r="A277">
            <x:v>271</x:v>
          </x:cell>
          <x:cell r="W277"/>
        </x:row>
        <x:row r="278">
          <x:cell r="A278">
            <x:v>272</x:v>
          </x:cell>
          <x:cell r="W278"/>
        </x:row>
        <x:row r="279">
          <x:cell r="A279">
            <x:v>273</x:v>
          </x:cell>
          <x:cell r="W279"/>
        </x:row>
        <x:row r="280">
          <x:cell r="A280">
            <x:v>274</x:v>
          </x:cell>
          <x:cell r="C280" t="str">
            <x:v>조회수는 못 참지</x:v>
          </x:cell>
          <x:cell r="E280" t="str">
            <x:v>강화 변이체</x:v>
          </x:cell>
          <x:cell r="F280">
            <x:v>920</x:v>
          </x:cell>
          <x:cell r="G280">
            <x:v>68</x:v>
          </x:cell>
          <x:cell r="H280" t="str">
            <x:v>집중 비난</x:v>
          </x:cell>
          <x:cell r="I280">
            <x:v>14</x:v>
          </x:cell>
          <x:cell r="J280">
            <x:v>82</x:v>
          </x:cell>
          <x:cell r="K280">
            <x:v>38</x:v>
          </x:cell>
          <x:cell r="L280" t="str">
            <x:v>군중 뒤 은폐</x:v>
          </x:cell>
          <x:cell r="M280">
            <x:v>10</x:v>
          </x:cell>
          <x:cell r="N280">
            <x:v>48</x:v>
          </x:cell>
          <x:cell r="O280" t="str">
            <x:v>오늘의 희생양</x:v>
          </x:cell>
          <x:cell r="P280">
            <x:v>30</x:v>
          </x:cell>
          <x:cell r="Q280" t="str">
            <x:v>다 같이 저기!</x:v>
          </x:cell>
          <x:cell r="R280">
            <x:v>30</x:v>
          </x:cell>
          <x:cell r="S280" t="str">
            <x:v>댓글 폭주</x:v>
          </x:cell>
          <x:cell r="T280">
            <x:v>25</x:v>
          </x:cell>
          <x:cell r="U280" t="str">
            <x:v>각도 다시 잡기</x:v>
          </x:cell>
          <x:cell r="V280">
            <x:v>15</x:v>
          </x:cell>
          <x:cell r="W280" t="str">
            <x:v>공명</x:v>
          </x:cell>
          <x:cell r="X280" t="str">
            <x:v>악질 채널 ‘클릭헌터’의 변이체. 카메라 소라 외피와 화살촉 촉수로 표적을 지정하며, 눈썹 흉터와 피어싱은 균열·금속 돌기로 남는다.</x:v>
          </x:cell>
        </x:row>
        <x:row r="281">
          <x:cell r="A281">
            <x:v>275</x:v>
          </x:cell>
          <x:cell r="C281" t="str">
            <x:v>네 탓 택배</x:v>
          </x:cell>
          <x:cell r="E281" t="str">
            <x:v>강화 변이체</x:v>
          </x:cell>
          <x:cell r="F281">
            <x:v>980</x:v>
          </x:cell>
          <x:cell r="G281">
            <x:v>72</x:v>
          </x:cell>
          <x:cell r="H281" t="str">
            <x:v>책임 전가</x:v>
          </x:cell>
          <x:cell r="I281">
            <x:v>15</x:v>
          </x:cell>
          <x:cell r="J281">
            <x:v>87</x:v>
          </x:cell>
          <x:cell r="K281">
            <x:v>40</x:v>
          </x:cell>
          <x:cell r="L281" t="str">
            <x:v>피해 이전</x:v>
          </x:cell>
          <x:cell r="M281">
            <x:v>12</x:v>
          </x:cell>
          <x:cell r="N281">
            <x:v>52</x:v>
          </x:cell>
          <x:cell r="O281" t="str">
            <x:v>이거 네 거야.</x:v>
          </x:cell>
          <x:cell r="P281">
            <x:v>30</x:v>
          </x:cell>
          <x:cell r="Q281" t="str">
            <x:v>이것도 네 거야.</x:v>
          </x:cell>
          <x:cell r="R281">
            <x:v>25</x:v>
          </x:cell>
          <x:cell r="S281" t="str">
            <x:v>책임 배송</x:v>
          </x:cell>
          <x:cell r="T281">
            <x:v>25</x:v>
          </x:cell>
          <x:cell r="U281" t="str">
            <x:v>수취인 변경</x:v>
          </x:cell>
          <x:cell r="V281">
            <x:v>20</x:v>
          </x:cell>
          <x:cell r="W281" t="str">
            <x:v>공명</x:v>
          </x:cell>
          <x:cell r="X281" t="str">
            <x:v>화물 딱정벌레와 전가 상자가 결합한 강화체. 보라 연결관으로 받은 피해를 다른 대상에게 배송하듯 넘긴다.</x:v>
          </x:cell>
        </x:row>
        <x:row r="282">
          <x:cell r="A282">
            <x:v>276</x:v>
          </x:cell>
          <x:cell r="C282" t="str">
            <x:v>납작 엎드려</x:v>
          </x:cell>
          <x:cell r="E282" t="str">
            <x:v>강화 변이체</x:v>
          </x:cell>
          <x:cell r="F282">
            <x:v>1080</x:v>
          </x:cell>
          <x:cell r="G282">
            <x:v>74</x:v>
          </x:cell>
          <x:cell r="H282" t="str">
            <x:v>복종 압박</x:v>
          </x:cell>
          <x:cell r="I282">
            <x:v>16</x:v>
          </x:cell>
          <x:cell r="J282">
            <x:v>90</x:v>
          </x:cell>
          <x:cell r="K282">
            <x:v>42</x:v>
          </x:cell>
          <x:cell r="L282" t="str">
            <x:v>권위 외피</x:v>
          </x:cell>
          <x:cell r="M282">
            <x:v>12</x:v>
          </x:cell>
          <x:cell r="N282">
            <x:v>54</x:v>
          </x:cell>
          <x:cell r="O282" t="str">
            <x:v>엎드려.</x:v>
          </x:cell>
          <x:cell r="P282">
            <x:v>30</x:v>
          </x:cell>
          <x:cell r="Q282" t="str">
            <x:v>더 낮게.</x:v>
          </x:cell>
          <x:cell r="R282">
            <x:v>30</x:v>
          </x:cell>
          <x:cell r="S282" t="str">
            <x:v>움직이지 마.</x:v>
          </x:cell>
          <x:cell r="T282">
            <x:v>20</x:v>
          </x:cell>
          <x:cell r="U282" t="str">
            <x:v>찍어 누르기</x:v>
          </x:cell>
          <x:cell r="V282">
            <x:v>20</x:v>
          </x:cell>
          <x:cell r="W282" t="str">
            <x:v>공명</x:v>
          </x:cell>
          <x:cell r="X282" t="str">
            <x:v>가오리형 유압 프레스 강화체. 넓은 압착판을 내려 복종 자세를 강요하고 중앙 균열핵을 잠깐 노출한다.</x:v>
          </x:cell>
        </x:row>
        <x:row r="283">
          <x:cell r="A283">
            <x:v>277</x:v>
          </x:cell>
          <x:cell r="C283" t="str">
            <x:v>아직도 안 구했어?</x:v>
          </x:cell>
          <x:cell r="E283" t="str">
            <x:v>강화 변이체</x:v>
          </x:cell>
          <x:cell r="F283">
            <x:v>1160</x:v>
          </x:cell>
          <x:cell r="G283">
            <x:v>78</x:v>
          </x:cell>
          <x:cell r="H283" t="str">
            <x:v>구원 독촉</x:v>
          </x:cell>
          <x:cell r="I283">
            <x:v>17</x:v>
          </x:cell>
          <x:cell r="J283">
            <x:v>95</x:v>
          </x:cell>
          <x:cell r="K283">
            <x:v>43</x:v>
          </x:cell>
          <x:cell r="L283" t="str">
            <x:v>초조한 외피</x:v>
          </x:cell>
          <x:cell r="M283">
            <x:v>11</x:v>
          </x:cell>
          <x:cell r="N283">
            <x:v>54</x:v>
          </x:cell>
          <x:cell r="O283" t="str">
            <x:v>빨리!</x:v>
          </x:cell>
          <x:cell r="P283">
            <x:v>35</x:v>
          </x:cell>
          <x:cell r="Q283" t="str">
            <x:v>그거 말고 나부터!</x:v>
          </x:cell>
          <x:cell r="R283">
            <x:v>25</x:v>
          </x:cell>
          <x:cell r="S283" t="str">
            <x:v>아직도?</x:v>
          </x:cell>
          <x:cell r="T283">
            <x:v>25</x:v>
          </x:cell>
          <x:cell r="U283" t="str">
            <x:v>지금 당장!</x:v>
          </x:cell>
          <x:cell r="V283">
            <x:v>15</x:v>
          </x:cell>
          <x:cell r="W283" t="str">
            <x:v>공명</x:v>
          </x:cell>
          <x:cell r="X283" t="str">
            <x:v>경보 사이렌과 숫양·지네 구조가 합쳐진 강화체. 독촉 신호로 구조와 회복의 우선순위를 흔든다.</x:v>
          </x:cell>
        </x:row>
        <x:row r="284">
          <x:cell r="A284">
            <x:v>278</x:v>
          </x:cell>
          <x:cell r="W284"/>
        </x:row>
        <x:row r="285">
          <x:cell r="A285">
            <x:v>279</x:v>
          </x:cell>
          <x:cell r="C285" t="str">
            <x:v>너만 할 수 있대</x:v>
          </x:cell>
          <x:cell r="E285" t="str">
            <x:v>무리 선도체</x:v>
          </x:cell>
          <x:cell r="F285">
            <x:v>1520</x:v>
          </x:cell>
          <x:cell r="G285">
            <x:v>83</x:v>
          </x:cell>
          <x:cell r="H285" t="str">
            <x:v>희생 선동</x:v>
          </x:cell>
          <x:cell r="I285">
            <x:v>19</x:v>
          </x:cell>
          <x:cell r="J285">
            <x:v>102</x:v>
          </x:cell>
          <x:cell r="K285">
            <x:v>47</x:v>
          </x:cell>
          <x:cell r="L285" t="str">
            <x:v>군중 엄호</x:v>
          </x:cell>
          <x:cell r="M285">
            <x:v>14</x:v>
          </x:cell>
          <x:cell r="N285">
            <x:v>61</x:v>
          </x:cell>
          <x:cell r="O285" t="str">
            <x:v>너만 할 수 있대!</x:v>
          </x:cell>
          <x:cell r="P285">
            <x:v>25</x:v>
          </x:cell>
          <x:cell r="Q285" t="str">
            <x:v>다 같이 말해!</x:v>
          </x:cell>
          <x:cell r="R285">
            <x:v>30</x:v>
          </x:cell>
          <x:cell r="S285" t="str">
            <x:v>등 떠밀기</x:v>
          </x:cell>
          <x:cell r="T285">
            <x:v>25</x:v>
          </x:cell>
          <x:cell r="U285" t="str">
            <x:v>저 사람부터!</x:v>
          </x:cell>
          <x:cell r="V285">
            <x:v>20</x:v>
          </x:cell>
          <x:cell r="W285" t="str">
            <x:v>공명</x:v>
          </x:cell>
          <x:cell r="X285" t="str">
            <x:v>네 개 확성기와 지휘 볏을 가진 기계 황소·매미 선도체. 희생 구호를 방송해 주변 군체를 강화한다.</x:v>
          </x:cell>
        </x:row>
        <x:row r="286">
          <x:cell r="A286">
            <x:v>280</x:v>
          </x:cell>
          <x:cell r="C286" t="str">
            <x:v>딱 한 명이면 돼</x:v>
          </x:cell>
          <x:cell r="E286" t="str">
            <x:v>무리 선도체</x:v>
          </x:cell>
          <x:cell r="F286">
            <x:v>1800</x:v>
          </x:cell>
          <x:cell r="G286">
            <x:v>88</x:v>
          </x:cell>
          <x:cell r="H286" t="str">
            <x:v>집단 밀어내기</x:v>
          </x:cell>
          <x:cell r="I286">
            <x:v>20</x:v>
          </x:cell>
          <x:cell r="J286">
            <x:v>108</x:v>
          </x:cell>
          <x:cell r="K286">
            <x:v>50</x:v>
          </x:cell>
          <x:cell r="L286" t="str">
            <x:v>압박 진형</x:v>
          </x:cell>
          <x:cell r="M286">
            <x:v>15</x:v>
          </x:cell>
          <x:cell r="N286">
            <x:v>65</x:v>
          </x:cell>
          <x:cell r="O286" t="str">
            <x:v>저쪽으로.</x:v>
          </x:cell>
          <x:cell r="P286">
            <x:v>25</x:v>
          </x:cell>
          <x:cell r="Q286" t="str">
            <x:v>양쪽에서 밀어!</x:v>
          </x:cell>
          <x:cell r="R286">
            <x:v>30</x:v>
          </x:cell>
          <x:cell r="S286" t="str">
            <x:v>한 명만 보내!</x:v>
          </x:cell>
          <x:cell r="T286">
            <x:v>25</x:v>
          </x:cell>
          <x:cell r="U286" t="str">
            <x:v>다시 한 줄</x:v>
          </x:cell>
          <x:cell r="V286">
            <x:v>20</x:v>
          </x:cell>
          <x:cell r="W286" t="str">
            <x:v>공명</x:v>
          </x:cell>
          <x:cell r="X286" t="str">
            <x:v>원형 컨베이어와 밀침 판이 한 사람의 자리만 겨눈다. 소형 밀침 군체를 지휘해 차한해를 균열로 운반한다.</x:v>
          </x:cell>
        </x:row>
        <x:row r="287">
          <x:cell r="A287">
            <x:v>281</x:v>
          </x:cell>
          <x:cell r="W287"/>
        </x:row>
        <x:row r="288">
          <x:cell r="A288">
            <x:v>282</x:v>
          </x:cell>
          <x:cell r="W288"/>
        </x:row>
        <x:row r="289">
          <x:cell r="A289">
            <x:v>283</x:v>
          </x:cell>
          <x:cell r="C289" t="str">
            <x:v>선의 압류관</x:v>
          </x:cell>
          <x:cell r="E289" t="str">
            <x:v>구역 보스</x:v>
          </x:cell>
          <x:cell r="F289">
            <x:v>5400</x:v>
          </x:cell>
          <x:cell r="G289">
            <x:v>98</x:v>
          </x:cell>
          <x:cell r="H289" t="str">
            <x:v>선의 탈취</x:v>
          </x:cell>
          <x:cell r="I289">
            <x:v>23</x:v>
          </x:cell>
          <x:cell r="J289">
            <x:v>121</x:v>
          </x:cell>
          <x:cell r="K289">
            <x:v>59</x:v>
          </x:cell>
          <x:cell r="L289" t="str">
            <x:v>재생 외피</x:v>
          </x:cell>
          <x:cell r="M289">
            <x:v>18</x:v>
          </x:cell>
          <x:cell r="N289">
            <x:v>77</x:v>
          </x:cell>
          <x:cell r="O289" t="str">
            <x:v>선의 압류</x:v>
          </x:cell>
          <x:cell r="P289">
            <x:v>25</x:v>
          </x:cell>
          <x:cell r="Q289" t="str">
            <x:v>회복도 압류</x:v>
          </x:cell>
          <x:cell r="R289">
            <x:v>25</x:v>
          </x:cell>
          <x:cell r="S289" t="str">
            <x:v>압류분으로 수리</x:v>
          </x:cell>
          <x:cell r="T289">
            <x:v>25</x:v>
          </x:cell>
          <x:cell r="U289" t="str">
            <x:v>미납 경고</x:v>
          </x:cell>
          <x:cell r="V289">
            <x:v>25</x:v>
          </x:cell>
          <x:cell r="W289" t="str">
            <x:v>공명</x:v>
          </x:cell>
          <x:cell r="X289" t="str">
            <x:v>인간 변이체가 아닌 균열 태생 정예 수호체. 낮은 금고게 몸체와 네 압류 군체가 선의를 봉쇄·탈취하고 회복을 반전한다.</x:v>
          </x:cell>
        </x:row>
        <x:row r="290">
          <x:cell r="A290">
            <x:v>284</x:v>
          </x:cell>
          <x:cell r="C290" t="str">
            <x:v>너만 무한이잖아</x:v>
          </x:cell>
          <x:cell r="E290" t="str">
            <x:v>챕터 보스</x:v>
          </x:cell>
          <x:cell r="F290">
            <x:v>8600</x:v>
          </x:cell>
          <x:cell r="G290">
            <x:v>112</x:v>
          </x:cell>
          <x:cell r="H290" t="str">
            <x:v>등급 강제</x:v>
          </x:cell>
          <x:cell r="I290">
            <x:v>28</x:v>
          </x:cell>
          <x:cell r="J290">
            <x:v>140</x:v>
          </x:cell>
          <x:cell r="K290">
            <x:v>69</x:v>
          </x:cell>
          <x:cell r="L290" t="str">
            <x:v>계량 장치</x:v>
          </x:cell>
          <x:cell r="M290">
            <x:v>21</x:v>
          </x:cell>
          <x:cell r="N290">
            <x:v>90</x:v>
          </x:cell>
          <x:cell r="O290" t="str">
            <x:v>등급부터 매길게.</x:v>
          </x:cell>
          <x:cell r="P290">
            <x:v>25</x:v>
          </x:cell>
          <x:cell r="Q290" t="str">
            <x:v>한 명이면 충분해.</x:v>
          </x:cell>
          <x:cell r="R290">
            <x:v>25</x:v>
          </x:cell>
          <x:cell r="S290" t="str">
            <x:v>측정합니다.</x:v>
          </x:cell>
          <x:cell r="T290">
            <x:v>25</x:v>
          </x:cell>
          <x:cell r="U290" t="str">
            <x:v>마지막은 같이.</x:v>
          </x:cell>
          <x:cell r="V290">
            <x:v>25</x:v>
          </x:cell>
          <x:cell r="W290" t="str">
            <x:v>공명</x:v>
          </x:cell>
          <x:cell r="X290" t="str">
            <x:v>비대칭 저울·계량 고리·다족 기관이 원형 엔진으로 융합된 최종 보스. 차한해의 무한한 선의를 등급과 희생 순서로 환산한다.</x:v>
          </x:cell>
        </x:row>
        <x:row r="291">
          <x:cell r="A291">
            <x:v>285</x:v>
          </x:cell>
        </x:row>
        <x:row r="292">
          <x:cell r="A292">
            <x:v>286</x:v>
          </x:cell>
        </x:row>
        <x:row r="293">
          <x:cell r="A293">
            <x:v>287</x:v>
          </x:cell>
        </x:row>
        <x:row r="294">
          <x:cell r="A294">
            <x:v>288</x:v>
          </x:cell>
        </x:row>
        <x:row r="295">
          <x:cell r="A295">
            <x:v>289</x:v>
          </x:cell>
        </x:row>
        <x:row r="296">
          <x:cell r="A296">
            <x:v>290</x:v>
          </x:cell>
        </x:row>
        <x:row r="297">
          <x:cell r="A297">
            <x:v>291</x:v>
          </x:cell>
        </x:row>
        <x:row r="298">
          <x:cell r="A298">
            <x:v>292</x:v>
          </x:cell>
        </x:row>
        <x:row r="299">
          <x:cell r="A299">
            <x:v>293</x:v>
          </x:cell>
        </x:row>
        <x:row r="300">
          <x:cell r="A300">
            <x:v>294</x:v>
          </x:cell>
        </x:row>
        <x:row r="301">
          <x:cell r="A301">
            <x:v>295</x:v>
          </x:cell>
        </x:row>
        <x:row r="302">
          <x:cell r="A302">
            <x:v>296</x:v>
          </x:cell>
        </x:row>
        <x:row r="303">
          <x:cell r="A303">
            <x:v>297</x:v>
          </x:cell>
        </x:row>
        <x:row r="304">
          <x:cell r="A304">
            <x:v>298</x:v>
          </x:cell>
        </x:row>
        <x:row r="305">
          <x:cell r="A305">
            <x:v>299</x:v>
          </x:cell>
        </x:row>
        <x:row r="306">
          <x:cell r="A306">
            <x:v>300</x:v>
          </x:cell>
        </x:row>
        <x:row r="307">
          <x:cell r="A307">
            <x:v>301</x:v>
          </x:cell>
        </x:row>
        <x:row r="308">
          <x:cell r="A308">
            <x:v>302</x:v>
          </x:cell>
        </x:row>
        <x:row r="309">
          <x:cell r="A309">
            <x:v>303</x:v>
          </x:cell>
          <x:cell r="X309"/>
        </x:row>
        <x:row r="310">
          <x:cell r="A310">
            <x:v>304</x:v>
          </x:cell>
          <x:cell r="X310"/>
        </x:row>
        <x:row r="311">
          <x:cell r="A311">
            <x:v>305</x:v>
          </x:cell>
          <x:cell r="X311"/>
        </x:row>
        <x:row r="312">
          <x:cell r="A312">
            <x:v>306</x:v>
          </x:cell>
          <x:cell r="X312"/>
        </x:row>
      </x:sheetData>
      <x:sheetData sheetId="6" refreshError="0"/>
      <x:sheetData sheetId="7" refreshError="0"/>
      <x:sheetData sheetId="8" refreshError="0"/>
      <x:sheetData sheetId="9" refreshError="0"/>
      <x:sheetData sheetId="10" refreshError="0"/>
      <x:sheetData sheetId="11" refreshError="0"/>
    </x:sheetDataSet>
  </x:externalBook>
</x:externalLink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E405"/>
  <x:sheetViews>
    <x:sheetView tabSelected="1" topLeftCell="A1" zoomScale="60" zoomScaleNormal="75" zoomScaleSheetLayoutView="60" workbookViewId="0">
      <x:selection activeCell="B5" activeCellId="0" sqref="B5:G5"/>
    </x:sheetView>
  </x:sheetViews>
  <x:sheetFormatPr defaultColWidth="8.93359375" defaultRowHeight="13.55000000000000071054"/>
  <x:cols>
    <x:col min="1" max="1" width="3" customWidth="1"/>
    <x:col min="2" max="7" width="11" customWidth="1"/>
    <x:col min="8" max="8" width="4" customWidth="1"/>
    <x:col min="9" max="9" width="10" customWidth="1"/>
    <x:col min="10" max="11" width="14" customWidth="1"/>
    <x:col min="12" max="12" width="4" customWidth="1"/>
    <x:col min="13" max="18" width="11" customWidth="1"/>
    <x:col min="19" max="19" width="3" customWidth="1"/>
    <x:col min="27" max="31" width="2" customWidth="1"/>
  </x:cols>
  <x:sheetData>
    <x:row r="1" spans="1:19" ht="33.95000000000000284217" customHeight="1">
      <x:c r="A1" s="1"/>
      <x:c r="B1" s="2" t="s">
        <x:v>104</x:v>
      </x:c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1"/>
    </x:row>
    <x:row r="2" spans="1:19" ht="21.94999999999999928946" customHeight="1">
      <x:c r="A2" s="1"/>
      <x:c r="B2" s="4" t="s">
        <x:v>107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1"/>
    </x:row>
    <x:row r="3" spans="1:19" ht="21.94999999999999928946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spans="1:19" ht="21.94999999999999928946" customHeight="1">
      <x:c r="A4" s="1"/>
      <x:c r="B4" s="5" t="s">
        <x:v>156</x:v>
      </x:c>
      <x:c r="C4" s="6"/>
      <x:c r="D4" s="6"/>
      <x:c r="E4" s="6"/>
      <x:c r="F4" s="6"/>
      <x:c r="G4" s="7"/>
      <x:c r="H4" s="1"/>
      <x:c r="I4" s="1"/>
      <x:c r="J4" s="1"/>
      <x:c r="K4" s="1"/>
      <x:c r="L4" s="1"/>
      <x:c r="M4" s="8" t="s">
        <x:v>149</x:v>
      </x:c>
      <x:c r="N4" s="9"/>
      <x:c r="O4" s="9"/>
      <x:c r="P4" s="9"/>
      <x:c r="Q4" s="9"/>
      <x:c r="R4" s="10"/>
      <x:c r="S4" s="1"/>
    </x:row>
    <x:row r="5" spans="1:19" ht="21.94999999999999928946" customHeight="1">
      <x:c r="A5" s="1"/>
      <x:c r="B5" s="11" t="s">
        <x:v>32</x:v>
      </x:c>
      <x:c r="C5" s="12"/>
      <x:c r="D5" s="12"/>
      <x:c r="E5" s="12"/>
      <x:c r="F5" s="12"/>
      <x:c r="G5" s="13"/>
      <x:c r="H5" s="1"/>
      <x:c r="I5" s="1"/>
      <x:c r="J5" s="1"/>
      <x:c r="K5" s="1"/>
      <x:c r="L5" s="1"/>
      <x:c r="M5" s="14" t="s">
        <x:v>155</x:v>
      </x:c>
      <x:c r="N5" s="15"/>
      <x:c r="O5" s="15"/>
      <x:c r="P5" s="16">
        <x:v>249</x:v>
      </x:c>
      <x:c r="Q5" s="16"/>
      <x:c r="R5" s="17"/>
      <x:c r="S5" s="1"/>
    </x:row>
    <x:row r="6" spans="1:19" ht="21.94999999999999928946" customHeight="1">
      <x:c r="A6" s="1"/>
      <x:c r="B6" s="18"/>
      <x:c r="C6" s="19"/>
      <x:c r="D6" s="19"/>
      <x:c r="E6" s="19"/>
      <x:c r="F6" s="19"/>
      <x:c r="G6" s="20"/>
      <x:c r="H6" s="1"/>
      <x:c r="I6" s="1"/>
      <x:c r="J6" s="1"/>
      <x:c r="K6" s="1"/>
      <x:c r="L6" s="1"/>
      <x:c r="M6" s="21" t="str">
        <x:f>IFERROR(VLOOKUP($P$5,'[1]PC DATA(대차대조표)'!$A$2:$K$307,2,FALSE),"")</x:f>
        <x:v>차한해</x:v>
      </x:c>
      <x:c r="N6" s="22"/>
      <x:c r="O6" s="22"/>
      <x:c r="P6" s="22"/>
      <x:c r="Q6" s="22"/>
      <x:c r="R6" s="23"/>
      <x:c r="S6" s="1"/>
    </x:row>
    <x:row r="7" spans="1:19" ht="26.10000000000000142109" customHeight="1">
      <x:c r="A7" s="1"/>
      <x:c r="B7" s="24" t="s">
        <x:v>103</x:v>
      </x:c>
      <x:c r="C7" s="25"/>
      <x:c r="D7" s="25"/>
      <x:c r="E7" s="25"/>
      <x:c r="F7" s="25"/>
      <x:c r="G7" s="26"/>
      <x:c r="H7" s="1"/>
      <x:c r="I7" s="1"/>
      <x:c r="J7" s="1"/>
      <x:c r="K7" s="1"/>
      <x:c r="L7" s="1"/>
      <x:c r="M7" s="24" t="s">
        <x:v>147</x:v>
      </x:c>
      <x:c r="N7" s="25"/>
      <x:c r="O7" s="25"/>
      <x:c r="P7" s="25"/>
      <x:c r="Q7" s="25"/>
      <x:c r="R7" s="26"/>
      <x:c r="S7" s="1"/>
    </x:row>
    <x:row r="8" spans="1:19" ht="26.10000000000000142109" customHeight="1">
      <x:c r="A8" s="1"/>
      <x:c r="B8" s="27"/>
      <x:c r="C8" s="28"/>
      <x:c r="D8" s="28"/>
      <x:c r="E8" s="28"/>
      <x:c r="F8" s="28"/>
      <x:c r="G8" s="29"/>
      <x:c r="H8" s="1"/>
      <x:c r="I8" s="30" t="s">
        <x:v>3</x:v>
      </x:c>
      <x:c r="J8" s="31"/>
      <x:c r="K8" s="32"/>
      <x:c r="L8" s="1"/>
      <x:c r="M8" s="27"/>
      <x:c r="N8" s="28"/>
      <x:c r="O8" s="28"/>
      <x:c r="P8" s="28"/>
      <x:c r="Q8" s="28"/>
      <x:c r="R8" s="29"/>
      <x:c r="S8" s="1"/>
    </x:row>
    <x:row r="9" spans="1:19" ht="26.10000000000000142109" customHeight="1">
      <x:c r="A9" s="1"/>
      <x:c r="B9" s="27"/>
      <x:c r="C9" s="28"/>
      <x:c r="D9" s="28"/>
      <x:c r="E9" s="28"/>
      <x:c r="F9" s="28"/>
      <x:c r="G9" s="29"/>
      <x:c r="H9" s="1"/>
      <x:c r="I9" s="33"/>
      <x:c r="J9" s="34"/>
      <x:c r="K9" s="35"/>
      <x:c r="L9" s="1"/>
      <x:c r="M9" s="27"/>
      <x:c r="N9" s="28"/>
      <x:c r="O9" s="28"/>
      <x:c r="P9" s="28"/>
      <x:c r="Q9" s="28"/>
      <x:c r="R9" s="29"/>
      <x:c r="S9" s="1"/>
    </x:row>
    <x:row r="10" spans="1:19" ht="26.10000000000000142109" customHeight="1">
      <x:c r="A10" s="1"/>
      <x:c r="B10" s="27"/>
      <x:c r="C10" s="28"/>
      <x:c r="D10" s="28"/>
      <x:c r="E10" s="28"/>
      <x:c r="F10" s="28"/>
      <x:c r="G10" s="29"/>
      <x:c r="H10" s="1"/>
      <x:c r="I10" s="36"/>
      <x:c r="J10" s="37"/>
      <x:c r="K10" s="38"/>
      <x:c r="L10" s="1"/>
      <x:c r="M10" s="27"/>
      <x:c r="N10" s="28"/>
      <x:c r="O10" s="28"/>
      <x:c r="P10" s="28"/>
      <x:c r="Q10" s="28"/>
      <x:c r="R10" s="29"/>
      <x:c r="S10" s="1"/>
    </x:row>
    <x:row r="11" spans="1:19" ht="26.10000000000000142109" customHeight="1">
      <x:c r="A11" s="1"/>
      <x:c r="B11" s="27"/>
      <x:c r="C11" s="28"/>
      <x:c r="D11" s="28"/>
      <x:c r="E11" s="28"/>
      <x:c r="F11" s="28"/>
      <x:c r="G11" s="29"/>
      <x:c r="H11" s="1"/>
      <x:c r="I11" s="39" t="s">
        <x:v>148</x:v>
      </x:c>
      <x:c r="J11" s="39"/>
      <x:c r="K11" s="39"/>
      <x:c r="L11" s="1"/>
      <x:c r="M11" s="27"/>
      <x:c r="N11" s="28"/>
      <x:c r="O11" s="28"/>
      <x:c r="P11" s="28"/>
      <x:c r="Q11" s="28"/>
      <x:c r="R11" s="29"/>
      <x:c r="S11" s="1"/>
    </x:row>
    <x:row r="12" spans="1:19" ht="26.10000000000000142109" customHeight="1">
      <x:c r="A12" s="1"/>
      <x:c r="B12" s="27"/>
      <x:c r="C12" s="28"/>
      <x:c r="D12" s="28"/>
      <x:c r="E12" s="28"/>
      <x:c r="F12" s="28"/>
      <x:c r="G12" s="29"/>
      <x:c r="H12" s="1"/>
      <x:c r="I12" s="39"/>
      <x:c r="J12" s="39"/>
      <x:c r="K12" s="39"/>
      <x:c r="L12" s="1"/>
      <x:c r="M12" s="27"/>
      <x:c r="N12" s="28"/>
      <x:c r="O12" s="28"/>
      <x:c r="P12" s="28"/>
      <x:c r="Q12" s="28"/>
      <x:c r="R12" s="29"/>
      <x:c r="S12" s="1"/>
    </x:row>
    <x:row r="13" spans="1:19" ht="26.10000000000000142109" customHeight="1">
      <x:c r="A13" s="1"/>
      <x:c r="B13" s="27"/>
      <x:c r="C13" s="28"/>
      <x:c r="D13" s="28"/>
      <x:c r="E13" s="28"/>
      <x:c r="F13" s="28"/>
      <x:c r="G13" s="29"/>
      <x:c r="H13" s="1"/>
      <x:c r="I13" s="1"/>
      <x:c r="J13" s="1"/>
      <x:c r="K13" s="1"/>
      <x:c r="L13" s="1"/>
      <x:c r="M13" s="27"/>
      <x:c r="N13" s="28"/>
      <x:c r="O13" s="28"/>
      <x:c r="P13" s="28"/>
      <x:c r="Q13" s="28"/>
      <x:c r="R13" s="29"/>
      <x:c r="S13" s="1"/>
    </x:row>
    <x:row r="14" spans="1:19" ht="26.10000000000000142109" customHeight="1">
      <x:c r="A14" s="1"/>
      <x:c r="B14" s="27"/>
      <x:c r="C14" s="28"/>
      <x:c r="D14" s="28"/>
      <x:c r="E14" s="28"/>
      <x:c r="F14" s="28"/>
      <x:c r="G14" s="29"/>
      <x:c r="H14" s="1"/>
      <x:c r="I14" s="1"/>
      <x:c r="J14" s="1"/>
      <x:c r="K14" s="1"/>
      <x:c r="L14" s="1"/>
      <x:c r="M14" s="27"/>
      <x:c r="N14" s="28"/>
      <x:c r="O14" s="28"/>
      <x:c r="P14" s="28"/>
      <x:c r="Q14" s="28"/>
      <x:c r="R14" s="29"/>
      <x:c r="S14" s="1"/>
    </x:row>
    <x:row r="15" spans="1:19" ht="26.10000000000000142109" customHeight="1">
      <x:c r="A15" s="1"/>
      <x:c r="B15" s="40"/>
      <x:c r="C15" s="41"/>
      <x:c r="D15" s="41"/>
      <x:c r="E15" s="41"/>
      <x:c r="F15" s="41"/>
      <x:c r="G15" s="42"/>
      <x:c r="H15" s="1"/>
      <x:c r="I15" s="1"/>
      <x:c r="J15" s="1"/>
      <x:c r="K15" s="1"/>
      <x:c r="L15" s="1"/>
      <x:c r="M15" s="40"/>
      <x:c r="N15" s="41"/>
      <x:c r="O15" s="41"/>
      <x:c r="P15" s="41"/>
      <x:c r="Q15" s="41"/>
      <x:c r="R15" s="42"/>
      <x:c r="S15" s="1"/>
    </x:row>
    <x:row r="16" spans="1:19" ht="21.94999999999999928946" customHeight="1">
      <x:c r="A16" s="1"/>
      <x:c r="B16" s="14" t="s">
        <x:v>1</x:v>
      </x:c>
      <x:c r="C16" s="15"/>
      <x:c r="D16" s="43" t="str">
        <x:f>IFERROR(VLOOKUP($B$5,[1]몬스터!$C$7:$X$312,3,FALSE),"")</x:f>
        <x:v>무리 선도체</x:v>
      </x:c>
      <x:c r="E16" s="43"/>
      <x:c r="F16" s="43"/>
      <x:c r="G16" s="44"/>
      <x:c r="H16" s="1"/>
      <x:c r="I16" s="1"/>
      <x:c r="J16" s="1"/>
      <x:c r="K16" s="1"/>
      <x:c r="L16" s="1"/>
      <x:c r="M16" s="14" t="s">
        <x:v>15</x:v>
      </x:c>
      <x:c r="N16" s="15"/>
      <x:c r="O16" s="45">
        <x:f>IFERROR(VLOOKUP($P$5,'[1]PC DATA(대차대조표)'!$A$2:$K$307,3,FALSE),"")</x:f>
        <x:v>0</x:v>
      </x:c>
      <x:c r="P16" s="45"/>
      <x:c r="Q16" s="45"/>
      <x:c r="R16" s="46"/>
      <x:c r="S16" s="1"/>
    </x:row>
    <x:row r="17" spans="1:19" ht="21.94999999999999928946" customHeight="1">
      <x:c r="A17" s="1"/>
      <x:c r="B17" s="14" t="s">
        <x:v>81</x:v>
      </x:c>
      <x:c r="C17" s="15"/>
      <x:c r="D17" s="43">
        <x:f>IFERROR(INDEX([1]몬스터!$A$7:$A$312,MATCH($B$5,[1]몬스터!$C$7:$C$312,0)),"")</x:f>
        <x:v>142</x:v>
      </x:c>
      <x:c r="E17" s="43"/>
      <x:c r="F17" s="43"/>
      <x:c r="G17" s="44"/>
      <x:c r="H17" s="1"/>
      <x:c r="I17" s="1"/>
      <x:c r="J17" s="1"/>
      <x:c r="K17" s="1"/>
      <x:c r="L17" s="1"/>
      <x:c r="M17" s="14" t="s">
        <x:v>63</x:v>
      </x:c>
      <x:c r="N17" s="15"/>
      <x:c r="O17" s="45" t="str">
        <x:f>IFERROR(VLOOKUP($P$5,'[1]PC DATA(대차대조표)'!$A$2:$K$307,4,FALSE),"")</x:f>
        <x:v>별을 삼킨 강당가 변혜서임을 확정하고 선의 안정 장치 발동 견디기</x:v>
      </x:c>
      <x:c r="P17" s="45"/>
      <x:c r="Q17" s="45"/>
      <x:c r="R17" s="46"/>
      <x:c r="S17" s="1"/>
    </x:row>
    <x:row r="18" spans="1:19" ht="21.94999999999999928946" customHeight="1">
      <x:c r="A18" s="1"/>
      <x:c r="B18" s="47" t="s">
        <x:v>6</x:v>
      </x:c>
      <x:c r="C18" s="48"/>
      <x:c r="D18" s="49" t="str">
        <x:f>IFERROR(VLOOKUP($B$5,[1]몬스터!$C$7:$X$312,21,FALSE),"")</x:f>
        <x:v>침식</x:v>
      </x:c>
      <x:c r="E18" s="49"/>
      <x:c r="F18" s="49"/>
      <x:c r="G18" s="50"/>
      <x:c r="H18" s="1"/>
      <x:c r="I18" s="1"/>
      <x:c r="J18" s="1"/>
      <x:c r="K18" s="1"/>
      <x:c r="L18" s="1"/>
      <x:c r="M18" s="47" t="s">
        <x:v>80</x:v>
      </x:c>
      <x:c r="N18" s="48"/>
      <x:c r="O18" s="51">
        <x:f>IFERROR(VLOOKUP($P$5,'[1]PC DATA(대차대조표)'!$A$2:$K$307,9,FALSE),"-")</x:f>
        <x:v>0</x:v>
      </x:c>
      <x:c r="P18" s="51"/>
      <x:c r="Q18" s="51"/>
      <x:c r="R18" s="52"/>
      <x:c r="S18" s="1"/>
    </x:row>
    <x:row r="19" spans="1:19" ht="21.94999999999999928946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</x:row>
    <x:row r="20" spans="1:19" ht="21.94999999999999928946" customHeight="1">
      <x:c r="A20" s="1"/>
      <x:c r="B20" s="53" t="s">
        <x:v>105</x:v>
      </x:c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1"/>
    </x:row>
    <x:row r="21" spans="1:19" ht="21.94999999999999928946" customHeight="1">
      <x:c r="A21" s="1"/>
      <x:c r="B21" s="1"/>
      <x:c r="C21" s="1"/>
      <x:c r="D21" s="1"/>
      <x:c r="E21" s="1"/>
      <x:c r="F21" s="1"/>
      <x:c r="G21" s="1"/>
      <x:c r="H21" s="1"/>
      <x:c r="I21" s="54" t="s">
        <x:v>65</x:v>
      </x:c>
      <x:c r="J21" s="54" t="s">
        <x:v>29</x:v>
      </x:c>
      <x:c r="K21" s="54" t="s">
        <x:v>72</x:v>
      </x:c>
      <x:c r="L21" s="1"/>
      <x:c r="M21" s="1"/>
      <x:c r="N21" s="1"/>
      <x:c r="O21" s="1"/>
      <x:c r="P21" s="1"/>
      <x:c r="Q21" s="1"/>
      <x:c r="R21" s="1"/>
      <x:c r="S21" s="1"/>
    </x:row>
    <x:row r="22" spans="1:19" ht="21.94999999999999928946" customHeight="1">
      <x:c r="A22" s="1"/>
      <x:c r="B22" s="55" t="s">
        <x:v>7</x:v>
      </x:c>
      <x:c r="C22" s="56"/>
      <x:c r="D22" s="57">
        <x:f>IFERROR(VLOOKUP($B$5,[1]몬스터!$C$7:$X$312,4,FALSE),0)</x:f>
        <x:v>430</x:v>
      </x:c>
      <x:c r="E22" s="57"/>
      <x:c r="F22" s="57"/>
      <x:c r="G22" s="58"/>
      <x:c r="H22" s="1"/>
      <x:c r="I22" s="59">
        <x:f>IFERROR(VLOOKUP($B$5,[1]몬스터!$C$7:$X$312,8,FALSE),0)</x:f>
        <x:v>41</x:v>
      </x:c>
      <x:c r="J22" s="59" t="s">
        <x:v>71</x:v>
      </x:c>
      <x:c r="K22" s="59" t="str">
        <x:f>IFERROR(VLOOKUP($P$5,'[1]PC DATA(대차대조표)'!$A$2:$K$307,5,FALSE),0)</x:f>
        <x:v>보스 전투</x:v>
      </x:c>
      <x:c r="L22" s="1"/>
      <x:c r="M22" s="55" t="s">
        <x:v>30</x:v>
      </x:c>
      <x:c r="N22" s="56"/>
      <x:c r="O22" s="60" t="str">
        <x:f>IFERROR(VLOOKUP($P$5,'[1]PC DATA(대차대조표)'!$A$2:$K$307,5,FALSE),"-")</x:f>
        <x:v>보스 전투</x:v>
      </x:c>
      <x:c r="P22" s="60"/>
      <x:c r="Q22" s="60"/>
      <x:c r="R22" s="61"/>
      <x:c r="S22" s="1"/>
    </x:row>
    <x:row r="23" spans="1:19" ht="21.94999999999999928946" customHeight="1">
      <x:c r="A23" s="1"/>
      <x:c r="B23" s="62" t="s">
        <x:v>60</x:v>
      </x:c>
      <x:c r="C23" s="63"/>
      <x:c r="D23" s="64">
        <x:f>IFERROR(VLOOKUP($B$5,[1]몬스터!$C$7:$X$312,5,FALSE),0)</x:f>
        <x:v>34</x:v>
      </x:c>
      <x:c r="E23" s="64"/>
      <x:c r="F23" s="64"/>
      <x:c r="G23" s="65"/>
      <x:c r="H23" s="1"/>
      <x:c r="I23" s="66">
        <x:f>IFERROR(VLOOKUP($B$5,[1]몬스터!$C$7:$X$312,12,FALSE),0)</x:f>
        <x:v>26</x:v>
      </x:c>
      <x:c r="J23" s="66" t="s">
        <x:v>68</x:v>
      </x:c>
      <x:c r="K23" s="66">
        <x:f>IFERROR(VLOOKUP($P$5,'[1]PC DATA(대차대조표)'!$A$2:$K$307,7,FALSE),0)</x:f>
        <x:v>0</x:v>
      </x:c>
      <x:c r="L23" s="1"/>
      <x:c r="M23" s="62" t="s">
        <x:v>31</x:v>
      </x:c>
      <x:c r="N23" s="63"/>
      <x:c r="O23" s="67">
        <x:f>IFERROR(VLOOKUP($P$5,'[1]PC DATA(대차대조표)'!$A$2:$K$307,6,FALSE),"-")</x:f>
        <x:v>470</x:v>
      </x:c>
      <x:c r="P23" s="67"/>
      <x:c r="Q23" s="67"/>
      <x:c r="R23" s="68"/>
      <x:c r="S23" s="1"/>
    </x:row>
    <x:row r="24" spans="1:19" ht="21.94999999999999928946" customHeight="1">
      <x:c r="A24" s="1"/>
      <x:c r="B24" s="62" t="s">
        <x:v>70</x:v>
      </x:c>
      <x:c r="C24" s="63"/>
      <x:c r="D24" s="64">
        <x:f>IFERROR(VLOOKUP($B$5,[1]몬스터!$C$7:$X$312,7,FALSE),0)</x:f>
        <x:v>7</x:v>
      </x:c>
      <x:c r="E24" s="64"/>
      <x:c r="F24" s="64"/>
      <x:c r="G24" s="65"/>
      <x:c r="H24" s="1"/>
      <x:c r="I24" s="1"/>
      <x:c r="J24" s="1"/>
      <x:c r="K24" s="1"/>
      <x:c r="L24" s="1"/>
      <x:c r="M24" s="62" t="s">
        <x:v>37</x:v>
      </x:c>
      <x:c r="N24" s="63"/>
      <x:c r="O24" s="67">
        <x:f>IFERROR(VLOOKUP($P$5,'[1]PC DATA(대차대조표)'!$A$2:$K$307,7,FALSE),"-")</x:f>
        <x:v>0</x:v>
      </x:c>
      <x:c r="P24" s="67"/>
      <x:c r="Q24" s="67"/>
      <x:c r="R24" s="68"/>
      <x:c r="S24" s="1"/>
    </x:row>
    <x:row r="25" spans="1:19" ht="21.94999999999999928946" customHeight="1">
      <x:c r="A25" s="1"/>
      <x:c r="B25" s="62" t="s">
        <x:v>71</x:v>
      </x:c>
      <x:c r="C25" s="63"/>
      <x:c r="D25" s="64">
        <x:f>IFERROR(VLOOKUP($B$5,[1]몬스터!$C$7:$X$312,8,FALSE),0)</x:f>
        <x:v>41</x:v>
      </x:c>
      <x:c r="E25" s="64"/>
      <x:c r="F25" s="64"/>
      <x:c r="G25" s="65"/>
      <x:c r="H25" s="1"/>
      <x:c r="I25" s="1"/>
      <x:c r="J25" s="1"/>
      <x:c r="K25" s="1"/>
      <x:c r="L25" s="1"/>
      <x:c r="M25" s="69" t="s">
        <x:v>25</x:v>
      </x:c>
      <x:c r="N25" s="70"/>
      <x:c r="O25" s="71">
        <x:f>IFERROR(VLOOKUP($P$5,'[1]PC DATA(대차대조표)'!$A$2:$K$307,8,FALSE),"-")</x:f>
        <x:v>165</x:v>
      </x:c>
      <x:c r="P25" s="71"/>
      <x:c r="Q25" s="71"/>
      <x:c r="R25" s="72"/>
      <x:c r="S25" s="1"/>
    </x:row>
    <x:row r="26" spans="1:19" ht="21.94999999999999928946" customHeight="1">
      <x:c r="A26" s="1"/>
      <x:c r="B26" s="62" t="s">
        <x:v>61</x:v>
      </x:c>
      <x:c r="C26" s="63"/>
      <x:c r="D26" s="64">
        <x:f>IFERROR(VLOOKUP($B$5,[1]몬스터!$C$7:$X$312,9,FALSE),0)</x:f>
        <x:v>20</x:v>
      </x:c>
      <x:c r="E26" s="64"/>
      <x:c r="F26" s="64"/>
      <x:c r="G26" s="65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</x:row>
    <x:row r="27" spans="1:19" ht="21.94999999999999928946" customHeight="1">
      <x:c r="A27" s="1"/>
      <x:c r="B27" s="62" t="s">
        <x:v>69</x:v>
      </x:c>
      <x:c r="C27" s="63"/>
      <x:c r="D27" s="64">
        <x:f>IFERROR(VLOOKUP($B$5,[1]몬스터!$C$7:$X$312,11,FALSE),0)</x:f>
        <x:v>6</x:v>
      </x:c>
      <x:c r="E27" s="64"/>
      <x:c r="F27" s="64"/>
      <x:c r="G27" s="65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</x:row>
    <x:row r="28" spans="1:19" ht="21.94999999999999928946" customHeight="1">
      <x:c r="A28" s="1"/>
      <x:c r="B28" s="69" t="s">
        <x:v>68</x:v>
      </x:c>
      <x:c r="C28" s="70"/>
      <x:c r="D28" s="73">
        <x:f>IFERROR(VLOOKUP($B$5,[1]몬스터!$C$7:$X$312,12,FALSE),0)</x:f>
        <x:v>26</x:v>
      </x:c>
      <x:c r="E28" s="73"/>
      <x:c r="F28" s="73"/>
      <x:c r="G28" s="74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</x:row>
    <x:row r="29" spans="1:19" ht="21.94999999999999928946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</x:row>
    <x:row r="30" spans="1:19" ht="21.94999999999999928946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</x:row>
    <x:row r="31" spans="1:19" ht="21.94999999999999928946" customHeight="1">
      <x:c r="A31" s="1"/>
      <x:c r="B31" s="75" t="s">
        <x:v>152</x:v>
      </x:c>
      <x:c r="C31" s="75"/>
      <x:c r="D31" s="75"/>
      <x:c r="E31" s="75"/>
      <x:c r="F31" s="75"/>
      <x:c r="G31" s="75"/>
      <x:c r="H31" s="75"/>
      <x:c r="I31" s="75"/>
      <x:c r="J31" s="75"/>
      <x:c r="K31" s="75"/>
      <x:c r="L31" s="75"/>
      <x:c r="M31" s="75"/>
      <x:c r="N31" s="75"/>
      <x:c r="O31" s="75"/>
      <x:c r="P31" s="75"/>
      <x:c r="Q31" s="75"/>
      <x:c r="R31" s="75"/>
      <x:c r="S31" s="1"/>
    </x:row>
    <x:row r="32" spans="1:19" ht="21.94999999999999928946" customHeight="1">
      <x:c r="A32" s="1"/>
      <x:c r="B32" s="76" t="s">
        <x:v>115</x:v>
      </x:c>
      <x:c r="C32" s="76"/>
      <x:c r="D32" s="76"/>
      <x:c r="E32" s="76"/>
      <x:c r="F32" s="76"/>
      <x:c r="G32" s="1"/>
      <x:c r="H32" s="77" t="s">
        <x:v>33</x:v>
      </x:c>
      <x:c r="I32" s="77"/>
      <x:c r="J32" s="77"/>
      <x:c r="K32" s="77"/>
      <x:c r="L32" s="77"/>
      <x:c r="M32" s="76" t="s">
        <x:v>113</x:v>
      </x:c>
      <x:c r="N32" s="76"/>
      <x:c r="O32" s="76"/>
      <x:c r="P32" s="76"/>
      <x:c r="Q32" s="76"/>
      <x:c r="R32" s="76"/>
      <x:c r="S32" s="1"/>
    </x:row>
    <x:row r="33" spans="1:19" ht="21.94999999999999928946" customHeight="1">
      <x:c r="A33" s="1"/>
      <x:c r="B33" s="78" t="s">
        <x:v>4</x:v>
      </x:c>
      <x:c r="C33" s="78"/>
      <x:c r="D33" s="78"/>
      <x:c r="E33" s="78"/>
      <x:c r="F33" s="78"/>
      <x:c r="G33" s="1"/>
      <x:c r="H33" s="79" t="str">
        <x:f>$B$33&amp;"  VS  "&amp;IFERROR(VLOOKUP($B$5,[1]몬스터!$C$7:$X$312,21,FALSE),"")</x:f>
        <x:v>공명  VS  침식</x:v>
      </x:c>
      <x:c r="I33" s="79"/>
      <x:c r="J33" s="79" t="s">
        <x:v>3</x:v>
      </x:c>
      <x:c r="K33" s="79"/>
      <x:c r="L33" s="79"/>
      <x:c r="M33" s="80" t="s">
        <x:v>2</x:v>
      </x:c>
      <x:c r="N33" s="80"/>
      <x:c r="O33" s="80"/>
      <x:c r="P33" s="80"/>
      <x:c r="Q33" s="80"/>
      <x:c r="R33" s="80"/>
      <x:c r="S33" s="1"/>
    </x:row>
    <x:row r="34" spans="1:19" ht="21.94999999999999928946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</x:row>
    <x:row r="35" spans="1:19" ht="21.94999999999999928946" customHeight="1">
      <x:c r="A35" s="1"/>
      <x:c r="B35" s="81" t="s">
        <x:v>111</x:v>
      </x:c>
      <x:c r="C35" s="82"/>
      <x:c r="D35" s="82"/>
      <x:c r="E35" s="82"/>
      <x:c r="F35" s="82"/>
      <x:c r="G35" s="83"/>
      <x:c r="H35" s="84" t="s">
        <x:v>108</x:v>
      </x:c>
      <x:c r="I35" s="85"/>
      <x:c r="J35" s="85"/>
      <x:c r="K35" s="85"/>
      <x:c r="L35" s="86"/>
      <x:c r="M35" s="81" t="s">
        <x:v>110</x:v>
      </x:c>
      <x:c r="N35" s="82"/>
      <x:c r="O35" s="82"/>
      <x:c r="P35" s="82"/>
      <x:c r="Q35" s="82"/>
      <x:c r="R35" s="83"/>
      <x:c r="S35" s="1"/>
    </x:row>
    <x:row r="36" spans="1:19" ht="21.94999999999999928946" customHeight="1">
      <x:c r="A36" s="1"/>
      <x:c r="B36" s="62" t="s">
        <x:v>120</x:v>
      </x:c>
      <x:c r="C36" s="63"/>
      <x:c r="D36" s="63"/>
      <x:c r="E36" s="64">
        <x:f>IFERROR(INDEX(#REF!,MATCH($B$33,#REF!,0),MATCH($D$18,#REF!,0)),1)</x:f>
        <x:v>1</x:v>
      </x:c>
      <x:c r="F36" s="64"/>
      <x:c r="G36" s="65"/>
      <x:c r="H36" s="87"/>
      <x:c r="I36" s="88"/>
      <x:c r="J36" s="88"/>
      <x:c r="K36" s="88"/>
      <x:c r="L36" s="89"/>
      <x:c r="M36" s="62" t="s">
        <x:v>120</x:v>
      </x:c>
      <x:c r="N36" s="63"/>
      <x:c r="O36" s="63"/>
      <x:c r="P36" s="64">
        <x:f>IFERROR(INDEX(#REF!,MATCH($D$18,#REF!,0),MATCH($M$33,#REF!,0)),1)</x:f>
        <x:v>1</x:v>
      </x:c>
      <x:c r="Q36" s="64"/>
      <x:c r="R36" s="65"/>
      <x:c r="S36" s="1"/>
    </x:row>
    <x:row r="37" spans="1:19" ht="21.94999999999999928946" customHeight="1">
      <x:c r="A37" s="1"/>
      <x:c r="B37" s="62" t="s">
        <x:v>122</x:v>
      </x:c>
      <x:c r="C37" s="63"/>
      <x:c r="D37" s="63"/>
      <x:c r="E37" s="64" t="e">
        <x:f>ROUND($K$22*$E$36,1)</x:f>
        <x:v>#VALUE!</x:v>
      </x:c>
      <x:c r="F37" s="64"/>
      <x:c r="G37" s="65"/>
      <x:c r="H37" s="87"/>
      <x:c r="I37" s="88"/>
      <x:c r="J37" s="88"/>
      <x:c r="K37" s="88"/>
      <x:c r="L37" s="89"/>
      <x:c r="M37" s="62" t="s">
        <x:v>122</x:v>
      </x:c>
      <x:c r="N37" s="63"/>
      <x:c r="O37" s="63"/>
      <x:c r="P37" s="64">
        <x:f>ROUND($I$22*$P$36,1)</x:f>
        <x:v>41</x:v>
      </x:c>
      <x:c r="Q37" s="64"/>
      <x:c r="R37" s="65"/>
      <x:c r="S37" s="1"/>
    </x:row>
    <x:row r="38" spans="1:19" ht="21.94999999999999928946" customHeight="1">
      <x:c r="A38" s="1"/>
      <x:c r="B38" s="62" t="s">
        <x:v>27</x:v>
      </x:c>
      <x:c r="C38" s="63"/>
      <x:c r="D38" s="63"/>
      <x:c r="E38" s="64">
        <x:f>$I$23</x:f>
        <x:v>26</x:v>
      </x:c>
      <x:c r="F38" s="64"/>
      <x:c r="G38" s="65"/>
      <x:c r="H38" s="87"/>
      <x:c r="I38" s="88"/>
      <x:c r="J38" s="88"/>
      <x:c r="K38" s="88"/>
      <x:c r="L38" s="89"/>
      <x:c r="M38" s="62" t="s">
        <x:v>27</x:v>
      </x:c>
      <x:c r="N38" s="63"/>
      <x:c r="O38" s="63"/>
      <x:c r="P38" s="64">
        <x:f>$K$23</x:f>
        <x:v>0</x:v>
      </x:c>
      <x:c r="Q38" s="64"/>
      <x:c r="R38" s="65"/>
      <x:c r="S38" s="1"/>
    </x:row>
    <x:row r="39" spans="1:19" ht="21.94999999999999928946" customHeight="1">
      <x:c r="A39" s="1"/>
      <x:c r="B39" s="62" t="s">
        <x:v>124</x:v>
      </x:c>
      <x:c r="C39" s="63"/>
      <x:c r="D39" s="63"/>
      <x:c r="E39" s="64" t="e">
        <x:f>ROUND($E$37-$E$38,1)</x:f>
        <x:v>#VALUE!</x:v>
      </x:c>
      <x:c r="F39" s="64"/>
      <x:c r="G39" s="65"/>
      <x:c r="H39" s="87"/>
      <x:c r="I39" s="88"/>
      <x:c r="J39" s="88"/>
      <x:c r="K39" s="88"/>
      <x:c r="L39" s="89"/>
      <x:c r="M39" s="62" t="s">
        <x:v>124</x:v>
      </x:c>
      <x:c r="N39" s="63"/>
      <x:c r="O39" s="63"/>
      <x:c r="P39" s="64">
        <x:f>ROUND($P$37-$P$38,1)</x:f>
        <x:v>41</x:v>
      </x:c>
      <x:c r="Q39" s="64"/>
      <x:c r="R39" s="65"/>
      <x:c r="S39" s="1"/>
    </x:row>
    <x:row r="40" spans="1:19" ht="21.94999999999999928946" customHeight="1">
      <x:c r="A40" s="1"/>
      <x:c r="B40" s="90" t="e">
        <x:f>IF($E$39&gt;0,"공격 우세",IF($E$39=0,"균형","방어 우세"))</x:f>
        <x:v>#VALUE!</x:v>
      </x:c>
      <x:c r="C40" s="91"/>
      <x:c r="D40" s="91"/>
      <x:c r="E40" s="91"/>
      <x:c r="F40" s="91"/>
      <x:c r="G40" s="92"/>
      <x:c r="H40" s="93"/>
      <x:c r="I40" s="94"/>
      <x:c r="J40" s="94"/>
      <x:c r="K40" s="94"/>
      <x:c r="L40" s="95"/>
      <x:c r="M40" s="90" t="str">
        <x:f>IF($P$39&gt;0,"몬스터 공격 우세",IF($P$39=0,"균형","차한해 방어 우세"))</x:f>
        <x:v>몬스터 공격 우세</x:v>
      </x:c>
      <x:c r="N40" s="91"/>
      <x:c r="O40" s="91"/>
      <x:c r="P40" s="91"/>
      <x:c r="Q40" s="91"/>
      <x:c r="R40" s="92"/>
      <x:c r="S40" s="1"/>
    </x:row>
    <x:row r="41" spans="1:19" ht="21.94999999999999928946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</x:row>
    <x:row r="42" spans="1:19" ht="21.94999999999999928946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</x:row>
    <x:row r="43" spans="1:19" ht="21.94999999999999928946" customHeight="1">
      <x:c r="A43" s="1"/>
      <x:c r="B43" s="53" t="s">
        <x:v>153</x:v>
      </x:c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1"/>
    </x:row>
    <x:row r="44" spans="1:19" ht="21.94999999999999928946" customHeight="1">
      <x:c r="A44" s="1"/>
      <x:c r="B44" s="96" t="s">
        <x:v>101</x:v>
      </x:c>
      <x:c r="C44" s="97"/>
      <x:c r="D44" s="97"/>
      <x:c r="E44" s="97"/>
      <x:c r="F44" s="97"/>
      <x:c r="G44" s="98"/>
      <x:c r="H44" s="1"/>
      <x:c r="I44" s="1"/>
      <x:c r="J44" s="1"/>
      <x:c r="K44" s="1"/>
      <x:c r="L44" s="1"/>
      <x:c r="M44" s="99" t="s">
        <x:v>21</x:v>
      </x:c>
      <x:c r="N44" s="100"/>
      <x:c r="O44" s="100"/>
      <x:c r="P44" s="100"/>
      <x:c r="Q44" s="100"/>
      <x:c r="R44" s="101"/>
      <x:c r="S44" s="1"/>
    </x:row>
    <x:row r="45" spans="1:19" ht="21.94999999999999928946" customHeight="1">
      <x:c r="A45" s="1"/>
      <x:c r="B45" s="102" t="str">
        <x:f>IFERROR(VLOOKUP($B$5,[1]몬스터!$C$7:$X$312,13,FALSE),"-")</x:f>
        <x:v>비상구 폐쇄!</x:v>
      </x:c>
      <x:c r="C45" s="103"/>
      <x:c r="D45" s="103"/>
      <x:c r="E45" s="103"/>
      <x:c r="F45" s="104" t="str">
        <x:f>IFERROR(VLOOKUP($B$5,[1]몬스터!$C$7:$X$312,14,FALSE),0)&amp;"%"</x:f>
        <x:v>30%</x:v>
      </x:c>
      <x:c r="G45" s="105"/>
      <x:c r="H45" s="1"/>
      <x:c r="I45" s="1"/>
      <x:c r="J45" s="1"/>
      <x:c r="K45" s="1"/>
      <x:c r="L45" s="1"/>
      <x:c r="M45" s="62" t="s">
        <x:v>121</x:v>
      </x:c>
      <x:c r="N45" s="63"/>
      <x:c r="O45" s="63"/>
      <x:c r="P45" s="106">
        <x:f>IFERROR(VLOOKUP($P$5,'[1]PC DATA(대차대조표)'!$A$2:$K$307,9,FALSE),"-")</x:f>
        <x:v>0</x:v>
      </x:c>
      <x:c r="Q45" s="106"/>
      <x:c r="R45" s="107"/>
      <x:c r="S45" s="1"/>
    </x:row>
    <x:row r="46" spans="1:19" ht="21.94999999999999928946" customHeight="1">
      <x:c r="A46" s="1"/>
      <x:c r="B46" s="102" t="str">
        <x:f>IFERROR(VLOOKUP($B$5,[1]몬스터!$C$7:$X$312,15,FALSE),"-")</x:f>
        <x:v>자리 바꿔!</x:v>
      </x:c>
      <x:c r="C46" s="103"/>
      <x:c r="D46" s="103"/>
      <x:c r="E46" s="103"/>
      <x:c r="F46" s="104" t="str">
        <x:f>IFERROR(VLOOKUP($B$5,[1]몬스터!$C$7:$X$312,16,FALSE),0)&amp;"%"</x:f>
        <x:v>25%</x:v>
      </x:c>
      <x:c r="G46" s="105"/>
      <x:c r="H46" s="1"/>
      <x:c r="I46" s="1"/>
      <x:c r="J46" s="1"/>
      <x:c r="K46" s="1"/>
      <x:c r="L46" s="1"/>
      <x:c r="M46" s="62" t="s">
        <x:v>31</x:v>
      </x:c>
      <x:c r="N46" s="63"/>
      <x:c r="O46" s="63"/>
      <x:c r="P46" s="106">
        <x:f>IFERROR(VLOOKUP($P$5,'[1]PC DATA(대차대조표)'!$A$2:$K$307,6,FALSE),"-")</x:f>
        <x:v>470</x:v>
      </x:c>
      <x:c r="Q46" s="106"/>
      <x:c r="R46" s="107"/>
      <x:c r="S46" s="1"/>
    </x:row>
    <x:row r="47" spans="1:19" ht="21.94999999999999928946" customHeight="1">
      <x:c r="A47" s="1"/>
      <x:c r="B47" s="102" t="str">
        <x:f>IFERROR(VLOOKUP($B$5,[1]몬스터!$C$7:$X$312,17,FALSE),"-")</x:f>
        <x:v>다 같이 밀어!</x:v>
      </x:c>
      <x:c r="C47" s="103"/>
      <x:c r="D47" s="103"/>
      <x:c r="E47" s="103"/>
      <x:c r="F47" s="104" t="str">
        <x:f>IFERROR(VLOOKUP($B$5,[1]몬스터!$C$7:$X$312,18,FALSE),0)&amp;"%"</x:f>
        <x:v>30%</x:v>
      </x:c>
      <x:c r="G47" s="105"/>
      <x:c r="H47" s="1"/>
      <x:c r="I47" s="1"/>
      <x:c r="J47" s="1"/>
      <x:c r="K47" s="1"/>
      <x:c r="L47" s="1"/>
      <x:c r="M47" s="62" t="s">
        <x:v>25</x:v>
      </x:c>
      <x:c r="N47" s="63"/>
      <x:c r="O47" s="63"/>
      <x:c r="P47" s="106">
        <x:f>IFERROR(VLOOKUP($P$5,'[1]PC DATA(대차대조표)'!$A$2:$K$307,8,FALSE),"-")</x:f>
        <x:v>165</x:v>
      </x:c>
      <x:c r="Q47" s="106"/>
      <x:c r="R47" s="107"/>
      <x:c r="S47" s="1"/>
    </x:row>
    <x:row r="48" spans="1:19" ht="21.94999999999999928946" customHeight="1">
      <x:c r="A48" s="1"/>
      <x:c r="B48" s="102" t="str">
        <x:f>IFERROR(VLOOKUP($B$5,[1]몬스터!$C$7:$X$312,19,FALSE),"-")</x:f>
        <x:v>집게 한 번</x:v>
      </x:c>
      <x:c r="C48" s="103"/>
      <x:c r="D48" s="103"/>
      <x:c r="E48" s="103"/>
      <x:c r="F48" s="104" t="str">
        <x:f>IFERROR(VLOOKUP($B$5,[1]몬스터!$C$7:$X$312,20,FALSE),0)&amp;"%"</x:f>
        <x:v>15%</x:v>
      </x:c>
      <x:c r="G48" s="105"/>
      <x:c r="H48" s="1"/>
      <x:c r="I48" s="1"/>
      <x:c r="J48" s="1"/>
      <x:c r="K48" s="1"/>
      <x:c r="L48" s="1"/>
      <x:c r="M48" s="62" t="s">
        <x:v>109</x:v>
      </x:c>
      <x:c r="N48" s="63"/>
      <x:c r="O48" s="63"/>
      <x:c r="P48" s="106" t="str">
        <x:f>IFERROR(VLOOKUP($P$5,'[1]PC DATA(대차대조표)'!$A$2:$K$307,10,FALSE),"-")</x:f>
        <x:v>바꿔가며!</x:v>
      </x:c>
      <x:c r="Q48" s="106"/>
      <x:c r="R48" s="107"/>
      <x:c r="S48" s="1"/>
    </x:row>
    <x:row r="49" spans="1:19" ht="21.94999999999999928946" customHeight="1">
      <x:c r="A49" s="1"/>
      <x:c r="B49" s="18"/>
      <x:c r="C49" s="19"/>
      <x:c r="D49" s="19"/>
      <x:c r="E49" s="19"/>
      <x:c r="F49" s="19"/>
      <x:c r="G49" s="20"/>
      <x:c r="H49" s="1"/>
      <x:c r="I49" s="1"/>
      <x:c r="J49" s="1"/>
      <x:c r="K49" s="1"/>
      <x:c r="L49" s="1"/>
      <x:c r="M49" s="18"/>
      <x:c r="N49" s="19"/>
      <x:c r="O49" s="19"/>
      <x:c r="P49" s="19"/>
      <x:c r="Q49" s="19"/>
      <x:c r="R49" s="20"/>
      <x:c r="S49" s="1"/>
    </x:row>
    <x:row r="50" spans="1:19" ht="21.94999999999999928946" customHeight="1">
      <x:c r="A50" s="1"/>
      <x:c r="B50" s="108" t="s">
        <x:v>94</x:v>
      </x:c>
      <x:c r="C50" s="109"/>
      <x:c r="D50" s="109"/>
      <x:c r="E50" s="109"/>
      <x:c r="F50" s="109"/>
      <x:c r="G50" s="110"/>
      <x:c r="H50" s="1"/>
      <x:c r="I50" s="1"/>
      <x:c r="J50" s="1"/>
      <x:c r="K50" s="1"/>
      <x:c r="L50" s="1"/>
      <x:c r="M50" s="111" t="s">
        <x:v>46</x:v>
      </x:c>
      <x:c r="N50" s="112"/>
      <x:c r="O50" s="112"/>
      <x:c r="P50" s="112"/>
      <x:c r="Q50" s="112"/>
      <x:c r="R50" s="113"/>
      <x:c r="S50" s="1"/>
    </x:row>
    <x:row r="51" spans="1:19" ht="21.94999999999999928946" customHeight="1">
      <x:c r="A51" s="1"/>
      <x:c r="B51" s="62" t="s">
        <x:v>98</x:v>
      </x:c>
      <x:c r="C51" s="63"/>
      <x:c r="D51" s="106" t="str">
        <x:f>IFERROR(VLOOKUP($B$50,'[1]스킬 DATA'!$G$2:$AD$212,4,FALSE),"-")</x:f>
        <x:v>액티브</x:v>
      </x:c>
      <x:c r="E51" s="106"/>
      <x:c r="F51" s="106"/>
      <x:c r="G51" s="107"/>
      <x:c r="H51" s="1"/>
      <x:c r="I51" s="1"/>
      <x:c r="J51" s="1"/>
      <x:c r="K51" s="1"/>
      <x:c r="L51" s="1"/>
      <x:c r="M51" s="62" t="s">
        <x:v>98</x:v>
      </x:c>
      <x:c r="N51" s="63"/>
      <x:c r="O51" s="106" t="str">
        <x:f>IFERROR(VLOOKUP($M$50,'[1]스킬 DATA'!$G$2:$AD$212,4,FALSE),"-")</x:f>
        <x:v>액티브</x:v>
      </x:c>
      <x:c r="P51" s="106"/>
      <x:c r="Q51" s="106"/>
      <x:c r="R51" s="107"/>
      <x:c r="S51" s="1"/>
    </x:row>
    <x:row r="52" spans="1:19" ht="42" customHeight="1">
      <x:c r="A52" s="1"/>
      <x:c r="B52" s="62" t="s">
        <x:v>36</x:v>
      </x:c>
      <x:c r="C52" s="63"/>
      <x:c r="D52" s="106" t="str">
        <x:f>IFERROR(VLOOKUP($B$50,'[1]스킬 DATA'!$G$2:$AD$212,2,FALSE),"-")</x:f>
        <x:v>'공격 중지·접근' 행동을 수행해 위치·전투 리듬을 변화시킴.</x:v>
      </x:c>
      <x:c r="E52" s="106"/>
      <x:c r="F52" s="106"/>
      <x:c r="G52" s="107"/>
      <x:c r="H52" s="1"/>
      <x:c r="I52" s="1"/>
      <x:c r="J52" s="1"/>
      <x:c r="K52" s="1"/>
      <x:c r="L52" s="1"/>
      <x:c r="M52" s="62" t="s">
        <x:v>36</x:v>
      </x:c>
      <x:c r="N52" s="63"/>
      <x:c r="O52" s="106" t="str">
        <x:f>IFERROR(VLOOKUP($M$50,'[1]스킬 DATA'!$G$2:$AD$212,2,FALSE),"-")</x:f>
        <x:v>근거리 사랑의 매와 원거리 보랏빛 농구공을 빠르게 전환해 보스의 거리별 기억 패턴에 대응함.</x:v>
      </x:c>
      <x:c r="P52" s="106"/>
      <x:c r="Q52" s="106"/>
      <x:c r="R52" s="107"/>
      <x:c r="S52" s="1"/>
    </x:row>
    <x:row r="53" spans="1:19" ht="21.94999999999999928946" customHeight="1">
      <x:c r="A53" s="1"/>
      <x:c r="B53" s="18"/>
      <x:c r="C53" s="19"/>
      <x:c r="D53" s="19"/>
      <x:c r="E53" s="19"/>
      <x:c r="F53" s="19"/>
      <x:c r="G53" s="20"/>
      <x:c r="H53" s="1"/>
      <x:c r="I53" s="1"/>
      <x:c r="J53" s="1"/>
      <x:c r="K53" s="1"/>
      <x:c r="L53" s="1"/>
      <x:c r="M53" s="18"/>
      <x:c r="N53" s="19"/>
      <x:c r="O53" s="19"/>
      <x:c r="P53" s="19"/>
      <x:c r="Q53" s="19"/>
      <x:c r="R53" s="20"/>
      <x:c r="S53" s="1"/>
    </x:row>
    <x:row r="54" spans="1:19" ht="42" customHeight="1">
      <x:c r="A54" s="1"/>
      <x:c r="B54" s="62" t="s">
        <x:v>67</x:v>
      </x:c>
      <x:c r="C54" s="63"/>
      <x:c r="D54" s="106" t="str">
        <x:f>IFERROR(VLOOKUP($B$50,'[1]스킬 DATA'!$G$2:$AD$212,8,FALSE),"-")</x:f>
        <x:v>현재 페이즈에서 사용 가능·가중치 판정</x:v>
      </x:c>
      <x:c r="E54" s="106"/>
      <x:c r="F54" s="106"/>
      <x:c r="G54" s="107"/>
      <x:c r="H54" s="1"/>
      <x:c r="I54" s="1"/>
      <x:c r="J54" s="1"/>
      <x:c r="K54" s="1"/>
      <x:c r="L54" s="1"/>
      <x:c r="M54" s="62" t="s">
        <x:v>67</x:v>
      </x:c>
      <x:c r="N54" s="63"/>
      <x:c r="O54" s="106" t="str">
        <x:f>IFERROR(VLOOKUP($M$50,'[1]스킬 DATA'!$G$2:$AD$212,8,FALSE),"-")</x:f>
        <x:v>보유 무기 2종</x:v>
      </x:c>
      <x:c r="P54" s="106"/>
      <x:c r="Q54" s="106"/>
      <x:c r="R54" s="107"/>
      <x:c r="S54" s="1"/>
    </x:row>
    <x:row r="55" spans="1:19" ht="21.94999999999999928946" customHeight="1">
      <x:c r="A55" s="1"/>
      <x:c r="B55" s="62" t="s">
        <x:v>66</x:v>
      </x:c>
      <x:c r="C55" s="63"/>
      <x:c r="D55" s="106">
        <x:f>IFERROR(VLOOKUP($B$50,'[1]스킬 DATA'!$G$2:$AD$212,10,FALSE),"-")</x:f>
        <x:v>0</x:v>
      </x:c>
      <x:c r="E55" s="106"/>
      <x:c r="F55" s="106"/>
      <x:c r="G55" s="107"/>
      <x:c r="H55" s="1"/>
      <x:c r="I55" s="1"/>
      <x:c r="J55" s="1"/>
      <x:c r="K55" s="1"/>
      <x:c r="L55" s="1"/>
      <x:c r="M55" s="62" t="s">
        <x:v>66</x:v>
      </x:c>
      <x:c r="N55" s="63"/>
      <x:c r="O55" s="106">
        <x:f>IFERROR(VLOOKUP($M$50,'[1]스킬 DATA'!$G$2:$AD$212,10,FALSE),"-")</x:f>
        <x:v>0</x:v>
      </x:c>
      <x:c r="P55" s="106"/>
      <x:c r="Q55" s="106"/>
      <x:c r="R55" s="107"/>
      <x:c r="S55" s="1"/>
    </x:row>
    <x:row r="56" spans="1:19" ht="21.94999999999999928946" customHeight="1">
      <x:c r="A56" s="1"/>
      <x:c r="B56" s="62" t="s">
        <x:v>26</x:v>
      </x:c>
      <x:c r="C56" s="63"/>
      <x:c r="D56" s="106">
        <x:f>IFERROR(VLOOKUP($B$50,'[1]스킬 DATA'!$G$2:$AD$212,16,FALSE),"-")</x:f>
        <x:v>8.5999999999999996</x:v>
      </x:c>
      <x:c r="E56" s="106"/>
      <x:c r="F56" s="106"/>
      <x:c r="G56" s="107"/>
      <x:c r="H56" s="1"/>
      <x:c r="I56" s="1"/>
      <x:c r="J56" s="1"/>
      <x:c r="K56" s="1"/>
      <x:c r="L56" s="1"/>
      <x:c r="M56" s="62" t="s">
        <x:v>26</x:v>
      </x:c>
      <x:c r="N56" s="63"/>
      <x:c r="O56" s="106">
        <x:f>IFERROR(VLOOKUP($M$50,'[1]스킬 DATA'!$G$2:$AD$212,16,FALSE),"-")</x:f>
        <x:v>0.80000000000000004</x:v>
      </x:c>
      <x:c r="P56" s="106"/>
      <x:c r="Q56" s="106"/>
      <x:c r="R56" s="107"/>
      <x:c r="S56" s="1"/>
    </x:row>
    <x:row r="57" spans="1:19" ht="21.94999999999999928946" customHeight="1">
      <x:c r="A57" s="1"/>
      <x:c r="B57" s="62" t="s">
        <x:v>119</x:v>
      </x:c>
      <x:c r="C57" s="63"/>
      <x:c r="D57" s="106">
        <x:f>IFERROR(VLOOKUP($B$50,'[1]스킬 DATA'!$G$2:$AD$212,17,FALSE),"-")</x:f>
        <x:v>0.90000000000000002</x:v>
      </x:c>
      <x:c r="E57" s="106"/>
      <x:c r="F57" s="106"/>
      <x:c r="G57" s="107"/>
      <x:c r="H57" s="1"/>
      <x:c r="I57" s="1"/>
      <x:c r="J57" s="1"/>
      <x:c r="K57" s="1"/>
      <x:c r="L57" s="1"/>
      <x:c r="M57" s="62" t="s">
        <x:v>119</x:v>
      </x:c>
      <x:c r="N57" s="63"/>
      <x:c r="O57" s="106">
        <x:f>IFERROR(VLOOKUP($M$50,'[1]스킬 DATA'!$G$2:$AD$212,17,FALSE),"-")</x:f>
        <x:v>0.14999999999999999</x:v>
      </x:c>
      <x:c r="P57" s="106"/>
      <x:c r="Q57" s="106"/>
      <x:c r="R57" s="107"/>
      <x:c r="S57" s="1"/>
    </x:row>
    <x:row r="58" spans="1:19" ht="21.94999999999999928946" customHeight="1">
      <x:c r="A58" s="1"/>
      <x:c r="B58" s="62" t="s">
        <x:v>28</x:v>
      </x:c>
      <x:c r="C58" s="63"/>
      <x:c r="D58" s="106" t="str">
        <x:f>IFERROR(VLOOKUP($B$50,'[1]스킬 DATA'!$G$2:$AD$212,18,FALSE),"-")</x:f>
        <x:v>없음</x:v>
      </x:c>
      <x:c r="E58" s="106"/>
      <x:c r="F58" s="106"/>
      <x:c r="G58" s="107"/>
      <x:c r="H58" s="1"/>
      <x:c r="I58" s="1"/>
      <x:c r="J58" s="1"/>
      <x:c r="K58" s="1"/>
      <x:c r="L58" s="1"/>
      <x:c r="M58" s="62" t="s">
        <x:v>28</x:v>
      </x:c>
      <x:c r="N58" s="63"/>
      <x:c r="O58" s="106" t="str">
        <x:f>IFERROR(VLOOKUP($M$50,'[1]스킬 DATA'!$G$2:$AD$212,18,FALSE),"-")</x:f>
        <x:v>장비 슬롯</x:v>
      </x:c>
      <x:c r="P58" s="106"/>
      <x:c r="Q58" s="106"/>
      <x:c r="R58" s="107"/>
      <x:c r="S58" s="1"/>
    </x:row>
    <x:row r="59" spans="1:19" ht="21.94999999999999928946" customHeight="1">
      <x:c r="A59" s="1"/>
      <x:c r="B59" s="69" t="s">
        <x:v>24</x:v>
      </x:c>
      <x:c r="C59" s="70"/>
      <x:c r="D59" s="114">
        <x:f>IFERROR(VLOOKUP($B$50,'[1]스킬 DATA'!$G$2:$AD$212,19,FALSE),"-")</x:f>
        <x:v>0</x:v>
      </x:c>
      <x:c r="E59" s="114"/>
      <x:c r="F59" s="114"/>
      <x:c r="G59" s="115"/>
      <x:c r="H59" s="1"/>
      <x:c r="I59" s="1"/>
      <x:c r="J59" s="1"/>
      <x:c r="K59" s="1"/>
      <x:c r="L59" s="1"/>
      <x:c r="M59" s="69" t="s">
        <x:v>24</x:v>
      </x:c>
      <x:c r="N59" s="70"/>
      <x:c r="O59" s="114">
        <x:f>IFERROR(VLOOKUP($M$50,'[1]스킬 DATA'!$G$2:$AD$212,19,FALSE),"-")</x:f>
        <x:v>1</x:v>
      </x:c>
      <x:c r="P59" s="114"/>
      <x:c r="Q59" s="114"/>
      <x:c r="R59" s="115"/>
      <x:c r="S59" s="1"/>
    </x:row>
    <x:row r="60" spans="1:19" ht="21.94999999999999928946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</x:row>
    <x:row r="61" spans="1:19" ht="21.94999999999999928946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</x:row>
    <x:row r="62" spans="1:19" ht="21.94999999999999928946" customHeight="1">
      <x:c r="A62" s="1"/>
      <x:c r="B62" s="75" t="s">
        <x:v>106</x:v>
      </x:c>
      <x:c r="C62" s="75"/>
      <x:c r="D62" s="75"/>
      <x:c r="E62" s="75"/>
      <x:c r="F62" s="75"/>
      <x:c r="G62" s="75"/>
      <x:c r="H62" s="75"/>
      <x:c r="I62" s="75"/>
      <x:c r="J62" s="75"/>
      <x:c r="K62" s="75"/>
      <x:c r="L62" s="75"/>
      <x:c r="M62" s="75"/>
      <x:c r="N62" s="75"/>
      <x:c r="O62" s="75"/>
      <x:c r="P62" s="75"/>
      <x:c r="Q62" s="75"/>
      <x:c r="R62" s="75"/>
      <x:c r="S62" s="1"/>
    </x:row>
    <x:row r="63" spans="1:19" ht="51.95000000000000284217" customHeight="1">
      <x:c r="A63" s="1"/>
      <x:c r="B63" s="116" t="s">
        <x:v>114</x:v>
      </x:c>
      <x:c r="C63" s="116"/>
      <x:c r="D63" s="116"/>
      <x:c r="E63" s="116"/>
      <x:c r="F63" s="116"/>
      <x:c r="G63" s="117" t="str">
        <x:f>IFERROR(VLOOKUP($B$5,[1]몬스터!$C$7:$X$312,22,FALSE),"-")</x:f>
        <x:v>비상구 표식과 철문 파편을 등에 진 대형 게 선도체. 문짝 집게로 출구를 봉쇄하고 부하 진형을 유지한다.</x:v>
      </x:c>
      <x:c r="H63" s="117"/>
      <x:c r="I63" s="117"/>
      <x:c r="J63" s="117"/>
      <x:c r="K63" s="117"/>
      <x:c r="L63" s="117"/>
      <x:c r="M63" s="117"/>
      <x:c r="N63" s="117"/>
      <x:c r="O63" s="117"/>
      <x:c r="P63" s="117"/>
      <x:c r="Q63" s="117"/>
      <x:c r="R63" s="117"/>
      <x:c r="S63" s="1"/>
    </x:row>
    <x:row r="64" spans="1:19" ht="21.94999999999999928946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</x:row>
    <x:row r="65" spans="1:19" ht="21.94999999999999928946" customHeight="1">
      <x:c r="A65" s="1"/>
      <x:c r="B65" s="116" t="s">
        <x:v>112</x:v>
      </x:c>
      <x:c r="C65" s="116"/>
      <x:c r="D65" s="116"/>
      <x:c r="E65" s="116"/>
      <x:c r="F65" s="116"/>
      <x:c r="G65" s="118" t="e">
        <x:f>IF($E$39&gt;0,"차한해 공격 지표가 몬스터 방어력을 상회함. ","차한해 공격 지표가 몬스터 방어력 이하임. ")&amp;IF($P$39&gt;0,"몬스터 공격 지표가 차한해 방어력을 상회함.","몬스터 공격 지표가 차한해 방어력 이하임.")</x:f>
        <x:v>#VALUE!</x:v>
      </x:c>
      <x:c r="H65" s="118"/>
      <x:c r="I65" s="118"/>
      <x:c r="J65" s="118"/>
      <x:c r="K65" s="118"/>
      <x:c r="L65" s="118"/>
      <x:c r="M65" s="118"/>
      <x:c r="N65" s="118"/>
      <x:c r="O65" s="118"/>
      <x:c r="P65" s="118"/>
      <x:c r="Q65" s="118"/>
      <x:c r="R65" s="118"/>
      <x:c r="S65" s="1"/>
    </x:row>
    <x:row r="66" spans="1:19" ht="21.94999999999999928946" customHeight="1">
      <x:c r="A66" s="1"/>
      <x:c r="B66" s="1"/>
      <x:c r="C66" s="1"/>
      <x:c r="D66" s="1"/>
      <x:c r="E66" s="1"/>
      <x:c r="F66" s="1"/>
      <x:c r="G66" s="118"/>
      <x:c r="H66" s="118"/>
      <x:c r="I66" s="118"/>
      <x:c r="J66" s="118"/>
      <x:c r="K66" s="118"/>
      <x:c r="L66" s="118"/>
      <x:c r="M66" s="118"/>
      <x:c r="N66" s="118"/>
      <x:c r="O66" s="118"/>
      <x:c r="P66" s="118"/>
      <x:c r="Q66" s="118"/>
      <x:c r="R66" s="118"/>
      <x:c r="S66" s="1"/>
    </x:row>
    <x:row r="67" spans="1:19" ht="21.94999999999999928946" customHeight="1">
      <x:c r="A67" s="1"/>
      <x:c r="B67" s="1"/>
      <x:c r="C67" s="1"/>
      <x:c r="D67" s="1"/>
      <x:c r="E67" s="1"/>
      <x:c r="F67" s="1"/>
      <x:c r="G67" s="118"/>
      <x:c r="H67" s="118"/>
      <x:c r="I67" s="118"/>
      <x:c r="J67" s="118"/>
      <x:c r="K67" s="118"/>
      <x:c r="L67" s="118"/>
      <x:c r="M67" s="118"/>
      <x:c r="N67" s="118"/>
      <x:c r="O67" s="118"/>
      <x:c r="P67" s="118"/>
      <x:c r="Q67" s="118"/>
      <x:c r="R67" s="118"/>
      <x:c r="S67" s="1"/>
    </x:row>
    <x:row r="68" spans="1:19" ht="21.94999999999999928946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</x:row>
    <x:row r="69" spans="1:19" ht="21.94999999999999928946" customHeight="1">
      <x:c r="A69" s="1"/>
      <x:c r="B69" s="39" t="s">
        <x:v>102</x:v>
      </x:c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1"/>
    </x:row>
    <x:row r="70" spans="1:19" ht="21.94999999999999928946" customHeight="1">
      <x:c r="A70" s="1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1"/>
    </x:row>
    <x:row r="71" spans="1:19" ht="21.94999999999999928946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</x:row>
    <x:row r="72" spans="1:19" ht="21.94999999999999928946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</x:row>
    <x:row r="73" spans="1:19" ht="21.94999999999999928946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</x:row>
    <x:row r="74" spans="1:19" ht="21.94999999999999928946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</x:row>
    <x:row r="75" spans="1:19" ht="21.94999999999999928946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</x:row>
    <x:row r="76" spans="1:19" ht="21.94999999999999928946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</x:row>
    <x:row r="77" spans="1:19" ht="21.94999999999999928946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</x:row>
    <x:row r="78" spans="1:19" ht="21.94999999999999928946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</x:row>
    <x:row r="100" spans="27:31">
      <x:c r="AA100" s="119" t="s">
        <x:v>40</x:v>
      </x:c>
      <x:c r="AB100" s="119">
        <x:v>1</x:v>
      </x:c>
      <x:c r="AC100" s="119" t="s">
        <x:v>2</x:v>
      </x:c>
      <x:c r="AD100" s="119" t="s">
        <x:v>51</x:v>
      </x:c>
      <x:c r="AE100" s="119" t="str">
        <x:f>IFERROR(VLOOKUP($B$5,[1]몬스터!$C$7:$X$312,13,FALSE),"")</x:f>
        <x:v>비상구 폐쇄!</x:v>
      </x:c>
    </x:row>
    <x:row r="101" spans="27:31">
      <x:c r="AA101" s="119" t="s">
        <x:v>35</x:v>
      </x:c>
      <x:c r="AB101" s="119">
        <x:v>2</x:v>
      </x:c>
      <x:c r="AC101" s="119" t="s">
        <x:v>4</x:v>
      </x:c>
      <x:c r="AD101" s="119" t="s">
        <x:v>14</x:v>
      </x:c>
      <x:c r="AE101" s="119" t="str">
        <x:f>IFERROR(VLOOKUP($B$5,[1]몬스터!$C$7:$X$312,15,FALSE),"")</x:f>
        <x:v>자리 바꿔!</x:v>
      </x:c>
    </x:row>
    <x:row r="102" spans="27:31">
      <x:c r="AA102" s="119" t="s">
        <x:v>12</x:v>
      </x:c>
      <x:c r="AB102" s="119">
        <x:v>3</x:v>
      </x:c>
      <x:c r="AC102" s="119" t="s">
        <x:v>11</x:v>
      </x:c>
      <x:c r="AD102" s="119" t="s">
        <x:v>18</x:v>
      </x:c>
      <x:c r="AE102" s="119" t="str">
        <x:f>IFERROR(VLOOKUP($B$5,[1]몬스터!$C$7:$X$312,17,FALSE),"")</x:f>
        <x:v>다 같이 밀어!</x:v>
      </x:c>
    </x:row>
    <x:row r="103" spans="27:31">
      <x:c r="AA103" s="119" t="s">
        <x:v>41</x:v>
      </x:c>
      <x:c r="AB103" s="119">
        <x:v>4</x:v>
      </x:c>
      <x:c r="AC103" s="119" t="s">
        <x:v>16</x:v>
      </x:c>
      <x:c r="AD103" s="119" t="s">
        <x:v>100</x:v>
      </x:c>
      <x:c r="AE103" s="119" t="str">
        <x:f>IFERROR(VLOOKUP($B$5,[1]몬스터!$C$7:$X$312,19,FALSE),"")</x:f>
        <x:v>집게 한 번</x:v>
      </x:c>
    </x:row>
    <x:row r="104" spans="27:31">
      <x:c r="AA104" s="119" t="s">
        <x:v>58</x:v>
      </x:c>
      <x:c r="AB104" s="119">
        <x:v>5</x:v>
      </x:c>
      <x:c r="AC104" s="119"/>
      <x:c r="AD104" s="119" t="s">
        <x:v>73</x:v>
      </x:c>
      <x:c r="AE104" s="119"/>
    </x:row>
    <x:row r="105" spans="27:31">
      <x:c r="AA105" s="119" t="s">
        <x:v>54</x:v>
      </x:c>
      <x:c r="AB105" s="119">
        <x:v>6</x:v>
      </x:c>
      <x:c r="AC105" s="119"/>
      <x:c r="AD105" s="119" t="s">
        <x:v>62</x:v>
      </x:c>
      <x:c r="AE105" s="119"/>
    </x:row>
    <x:row r="106" spans="27:31">
      <x:c r="AA106" s="119" t="s">
        <x:v>56</x:v>
      </x:c>
      <x:c r="AB106" s="119">
        <x:v>7</x:v>
      </x:c>
      <x:c r="AC106" s="119"/>
      <x:c r="AD106" s="119" t="s">
        <x:v>127</x:v>
      </x:c>
      <x:c r="AE106" s="119"/>
    </x:row>
    <x:row r="107" spans="27:31">
      <x:c r="AA107" s="119" t="s">
        <x:v>52</x:v>
      </x:c>
      <x:c r="AB107" s="119">
        <x:v>8</x:v>
      </x:c>
      <x:c r="AC107" s="119"/>
      <x:c r="AD107" s="119" t="s">
        <x:v>128</x:v>
      </x:c>
      <x:c r="AE107" s="119"/>
    </x:row>
    <x:row r="108" spans="27:31">
      <x:c r="AA108" s="119" t="s">
        <x:v>49</x:v>
      </x:c>
      <x:c r="AB108" s="119">
        <x:v>9</x:v>
      </x:c>
      <x:c r="AC108" s="119"/>
      <x:c r="AD108" s="119" t="s">
        <x:v>117</x:v>
      </x:c>
      <x:c r="AE108" s="119"/>
    </x:row>
    <x:row r="109" spans="27:31">
      <x:c r="AA109" s="119" t="s">
        <x:v>64</x:v>
      </x:c>
      <x:c r="AB109" s="119">
        <x:v>10</x:v>
      </x:c>
      <x:c r="AC109" s="119"/>
      <x:c r="AD109" s="119" t="s">
        <x:v>99</x:v>
      </x:c>
      <x:c r="AE109" s="119"/>
    </x:row>
    <x:row r="110" spans="27:31">
      <x:c r="AA110" s="119" t="s">
        <x:v>50</x:v>
      </x:c>
      <x:c r="AB110" s="119">
        <x:v>11</x:v>
      </x:c>
      <x:c r="AC110" s="119"/>
      <x:c r="AD110" s="119" t="s">
        <x:v>38</x:v>
      </x:c>
      <x:c r="AE110" s="119"/>
    </x:row>
    <x:row r="111" spans="27:31">
      <x:c r="AA111" s="119" t="s">
        <x:v>57</x:v>
      </x:c>
      <x:c r="AB111" s="119">
        <x:v>12</x:v>
      </x:c>
      <x:c r="AC111" s="119"/>
      <x:c r="AD111" s="119" t="s">
        <x:v>43</x:v>
      </x:c>
      <x:c r="AE111" s="119"/>
    </x:row>
    <x:row r="112" spans="27:31">
      <x:c r="AA112" s="119" t="s">
        <x:v>23</x:v>
      </x:c>
      <x:c r="AB112" s="119">
        <x:v>13</x:v>
      </x:c>
      <x:c r="AC112" s="119"/>
      <x:c r="AD112" s="119" t="s">
        <x:v>129</x:v>
      </x:c>
      <x:c r="AE112" s="119"/>
    </x:row>
    <x:row r="113" spans="27:31">
      <x:c r="AA113" s="119" t="s">
        <x:v>32</x:v>
      </x:c>
      <x:c r="AB113" s="119">
        <x:v>14</x:v>
      </x:c>
      <x:c r="AC113" s="119"/>
      <x:c r="AD113" s="119" t="s">
        <x:v>45</x:v>
      </x:c>
      <x:c r="AE113" s="119"/>
    </x:row>
    <x:row r="114" spans="27:31">
      <x:c r="AA114" s="119" t="s">
        <x:v>135</x:v>
      </x:c>
      <x:c r="AB114" s="119">
        <x:v>15</x:v>
      </x:c>
      <x:c r="AC114" s="119"/>
      <x:c r="AD114" s="119" t="s">
        <x:v>42</x:v>
      </x:c>
      <x:c r="AE114" s="119"/>
    </x:row>
    <x:row r="115" spans="27:31">
      <x:c r="AA115" s="119" t="s">
        <x:v>89</x:v>
      </x:c>
      <x:c r="AB115" s="119">
        <x:v>16</x:v>
      </x:c>
      <x:c r="AC115" s="119"/>
      <x:c r="AD115" s="119" t="s">
        <x:v>132</x:v>
      </x:c>
      <x:c r="AE115" s="119"/>
    </x:row>
    <x:row r="116" spans="27:31">
      <x:c r="AA116" s="119" t="s">
        <x:v>83</x:v>
      </x:c>
      <x:c r="AB116" s="119">
        <x:v>17</x:v>
      </x:c>
      <x:c r="AC116" s="119"/>
      <x:c r="AD116" s="119" t="s">
        <x:v>13</x:v>
      </x:c>
      <x:c r="AE116" s="119"/>
    </x:row>
    <x:row r="117" spans="27:31">
      <x:c r="AA117" s="119" t="s">
        <x:v>136</x:v>
      </x:c>
      <x:c r="AB117" s="119">
        <x:v>18</x:v>
      </x:c>
      <x:c r="AC117" s="119"/>
      <x:c r="AD117" s="119" t="s">
        <x:v>44</x:v>
      </x:c>
      <x:c r="AE117" s="119"/>
    </x:row>
    <x:row r="118" spans="27:31">
      <x:c r="AA118" s="119" t="s">
        <x:v>55</x:v>
      </x:c>
      <x:c r="AB118" s="119">
        <x:v>19</x:v>
      </x:c>
      <x:c r="AC118" s="119"/>
      <x:c r="AD118" s="119" t="s">
        <x:v>133</x:v>
      </x:c>
      <x:c r="AE118" s="119"/>
    </x:row>
    <x:row r="119" spans="27:31">
      <x:c r="AA119" s="119" t="s">
        <x:v>59</x:v>
      </x:c>
      <x:c r="AB119" s="119">
        <x:v>20</x:v>
      </x:c>
      <x:c r="AC119" s="119"/>
      <x:c r="AD119" s="119" t="s">
        <x:v>74</x:v>
      </x:c>
      <x:c r="AE119" s="119"/>
    </x:row>
    <x:row r="120" spans="27:31">
      <x:c r="AA120" s="119" t="s">
        <x:v>84</x:v>
      </x:c>
      <x:c r="AB120" s="119">
        <x:v>21</x:v>
      </x:c>
      <x:c r="AC120" s="119"/>
      <x:c r="AD120" s="119" t="s">
        <x:v>118</x:v>
      </x:c>
      <x:c r="AE120" s="119"/>
    </x:row>
    <x:row r="121" spans="27:31">
      <x:c r="AA121" s="119" t="s">
        <x:v>88</x:v>
      </x:c>
      <x:c r="AB121" s="119">
        <x:v>22</x:v>
      </x:c>
      <x:c r="AC121" s="119"/>
      <x:c r="AD121" s="119" t="s">
        <x:v>134</x:v>
      </x:c>
      <x:c r="AE121" s="119"/>
    </x:row>
    <x:row r="122" spans="27:31">
      <x:c r="AA122" s="119" t="s">
        <x:v>91</x:v>
      </x:c>
      <x:c r="AB122" s="119">
        <x:v>23</x:v>
      </x:c>
      <x:c r="AC122" s="119"/>
      <x:c r="AD122" s="119" t="s">
        <x:v>10</x:v>
      </x:c>
      <x:c r="AE122" s="119"/>
    </x:row>
    <x:row r="123" spans="27:31">
      <x:c r="AA123" s="119" t="s">
        <x:v>85</x:v>
      </x:c>
      <x:c r="AB123" s="119">
        <x:v>24</x:v>
      </x:c>
      <x:c r="AC123" s="119"/>
      <x:c r="AD123" s="119" t="s">
        <x:v>53</x:v>
      </x:c>
      <x:c r="AE123" s="119"/>
    </x:row>
    <x:row r="124" spans="27:31">
      <x:c r="AA124" s="119" t="s">
        <x:v>86</x:v>
      </x:c>
      <x:c r="AB124" s="119">
        <x:v>25</x:v>
      </x:c>
      <x:c r="AC124" s="119"/>
      <x:c r="AD124" s="119" t="s">
        <x:v>39</x:v>
      </x:c>
      <x:c r="AE124" s="119"/>
    </x:row>
    <x:row r="125" spans="27:31">
      <x:c r="AA125" s="119" t="s">
        <x:v>139</x:v>
      </x:c>
      <x:c r="AB125" s="119">
        <x:v>26</x:v>
      </x:c>
      <x:c r="AC125" s="119"/>
      <x:c r="AD125" s="119" t="s">
        <x:v>46</x:v>
      </x:c>
      <x:c r="AE125" s="119"/>
    </x:row>
    <x:row r="126" spans="27:31">
      <x:c r="AA126" s="119" t="s">
        <x:v>90</x:v>
      </x:c>
      <x:c r="AB126" s="119">
        <x:v>27</x:v>
      </x:c>
      <x:c r="AC126" s="119"/>
      <x:c r="AD126" s="119" t="s">
        <x:v>79</x:v>
      </x:c>
      <x:c r="AE126" s="119"/>
    </x:row>
    <x:row r="127" spans="27:31">
      <x:c r="AA127" s="119" t="s">
        <x:v>92</x:v>
      </x:c>
      <x:c r="AB127" s="119">
        <x:v>28</x:v>
      </x:c>
      <x:c r="AC127" s="119"/>
      <x:c r="AD127" s="119" t="s">
        <x:v>75</x:v>
      </x:c>
      <x:c r="AE127" s="119"/>
    </x:row>
    <x:row r="128" spans="27:31">
      <x:c r="AA128" s="119" t="s">
        <x:v>93</x:v>
      </x:c>
      <x:c r="AB128" s="119">
        <x:v>29</x:v>
      </x:c>
      <x:c r="AC128" s="119"/>
      <x:c r="AD128" s="119" t="s">
        <x:v>131</x:v>
      </x:c>
      <x:c r="AE128" s="119"/>
    </x:row>
    <x:row r="129" spans="27:31">
      <x:c r="AA129" s="119" t="s">
        <x:v>142</x:v>
      </x:c>
      <x:c r="AB129" s="119">
        <x:v>30</x:v>
      </x:c>
      <x:c r="AC129" s="119"/>
      <x:c r="AD129" s="119" t="s">
        <x:v>77</x:v>
      </x:c>
      <x:c r="AE129" s="119"/>
    </x:row>
    <x:row r="130" spans="27:31">
      <x:c r="AA130" s="119" t="s">
        <x:v>140</x:v>
      </x:c>
      <x:c r="AB130" s="119">
        <x:v>31</x:v>
      </x:c>
      <x:c r="AC130" s="119"/>
      <x:c r="AD130" s="119" t="s">
        <x:v>20</x:v>
      </x:c>
      <x:c r="AE130" s="119"/>
    </x:row>
    <x:row r="131" spans="27:31">
      <x:c r="AA131" s="119" t="s">
        <x:v>137</x:v>
      </x:c>
      <x:c r="AB131" s="119">
        <x:v>32</x:v>
      </x:c>
      <x:c r="AC131" s="119"/>
      <x:c r="AD131" s="119" t="s">
        <x:v>76</x:v>
      </x:c>
      <x:c r="AE131" s="119"/>
    </x:row>
    <x:row r="132" spans="27:31">
      <x:c r="AA132" s="119" t="s">
        <x:v>145</x:v>
      </x:c>
      <x:c r="AB132" s="119">
        <x:v>33</x:v>
      </x:c>
      <x:c r="AC132" s="119"/>
      <x:c r="AD132" s="119"/>
      <x:c r="AE132" s="119"/>
    </x:row>
    <x:row r="133" spans="27:31">
      <x:c r="AA133" s="119" t="s">
        <x:v>138</x:v>
      </x:c>
      <x:c r="AB133" s="119">
        <x:v>34</x:v>
      </x:c>
      <x:c r="AC133" s="119"/>
      <x:c r="AD133" s="119"/>
      <x:c r="AE133" s="119"/>
    </x:row>
    <x:row r="134" spans="27:31">
      <x:c r="AA134" s="119" t="s">
        <x:v>144</x:v>
      </x:c>
      <x:c r="AB134" s="119">
        <x:v>35</x:v>
      </x:c>
      <x:c r="AC134" s="119"/>
      <x:c r="AD134" s="119"/>
      <x:c r="AE134" s="119"/>
    </x:row>
    <x:row r="135" spans="27:31">
      <x:c r="AA135" s="119" t="s">
        <x:v>143</x:v>
      </x:c>
      <x:c r="AB135" s="119">
        <x:v>36</x:v>
      </x:c>
      <x:c r="AC135" s="119"/>
      <x:c r="AD135" s="119"/>
      <x:c r="AE135" s="119"/>
    </x:row>
    <x:row r="136" spans="27:31">
      <x:c r="AA136" s="119" t="s">
        <x:v>95</x:v>
      </x:c>
      <x:c r="AB136" s="119">
        <x:v>37</x:v>
      </x:c>
      <x:c r="AC136" s="119"/>
      <x:c r="AD136" s="119"/>
      <x:c r="AE136" s="119"/>
    </x:row>
    <x:row r="137" spans="27:31">
      <x:c r="AA137" s="119" t="s">
        <x:v>96</x:v>
      </x:c>
      <x:c r="AB137" s="119">
        <x:v>38</x:v>
      </x:c>
      <x:c r="AC137" s="119"/>
      <x:c r="AD137" s="119"/>
      <x:c r="AE137" s="119"/>
    </x:row>
    <x:row r="138" spans="27:31">
      <x:c r="AA138" s="119" t="s">
        <x:v>141</x:v>
      </x:c>
      <x:c r="AB138" s="119">
        <x:v>39</x:v>
      </x:c>
      <x:c r="AC138" s="119"/>
      <x:c r="AD138" s="119"/>
      <x:c r="AE138" s="119"/>
    </x:row>
    <x:row r="139" spans="27:31">
      <x:c r="AA139" s="119" t="s">
        <x:v>123</x:v>
      </x:c>
      <x:c r="AB139" s="119">
        <x:v>40</x:v>
      </x:c>
      <x:c r="AC139" s="119"/>
      <x:c r="AD139" s="119"/>
      <x:c r="AE139" s="119"/>
    </x:row>
    <x:row r="140" spans="27:31">
      <x:c r="AA140" s="119" t="s">
        <x:v>125</x:v>
      </x:c>
      <x:c r="AB140" s="119">
        <x:v>41</x:v>
      </x:c>
      <x:c r="AC140" s="119"/>
      <x:c r="AD140" s="119"/>
      <x:c r="AE140" s="119"/>
    </x:row>
    <x:row r="141" spans="27:31">
      <x:c r="AA141" s="119" t="s">
        <x:v>97</x:v>
      </x:c>
      <x:c r="AB141" s="119">
        <x:v>42</x:v>
      </x:c>
      <x:c r="AC141" s="119"/>
      <x:c r="AD141" s="119"/>
      <x:c r="AE141" s="119"/>
    </x:row>
    <x:row r="142" spans="27:31">
      <x:c r="AA142" s="119" t="s">
        <x:v>126</x:v>
      </x:c>
      <x:c r="AB142" s="119">
        <x:v>43</x:v>
      </x:c>
      <x:c r="AC142" s="119"/>
      <x:c r="AD142" s="119"/>
      <x:c r="AE142" s="119"/>
    </x:row>
    <x:row r="143" spans="27:31">
      <x:c r="AA143" s="119"/>
      <x:c r="AB143" s="119">
        <x:v>44</x:v>
      </x:c>
      <x:c r="AC143" s="119"/>
      <x:c r="AD143" s="119"/>
      <x:c r="AE143" s="119"/>
    </x:row>
    <x:row r="144" spans="27:31">
      <x:c r="AA144" s="119"/>
      <x:c r="AB144" s="119">
        <x:v>45</x:v>
      </x:c>
      <x:c r="AC144" s="119"/>
      <x:c r="AD144" s="119"/>
      <x:c r="AE144" s="119"/>
    </x:row>
    <x:row r="145" spans="27:31">
      <x:c r="AA145" s="119"/>
      <x:c r="AB145" s="119">
        <x:v>46</x:v>
      </x:c>
      <x:c r="AC145" s="119"/>
      <x:c r="AD145" s="119"/>
      <x:c r="AE145" s="119"/>
    </x:row>
    <x:row r="146" spans="27:31">
      <x:c r="AA146" s="119"/>
      <x:c r="AB146" s="119">
        <x:v>47</x:v>
      </x:c>
      <x:c r="AC146" s="119"/>
      <x:c r="AD146" s="119"/>
      <x:c r="AE146" s="119"/>
    </x:row>
    <x:row r="147" spans="27:31">
      <x:c r="AA147" s="119"/>
      <x:c r="AB147" s="119">
        <x:v>48</x:v>
      </x:c>
      <x:c r="AC147" s="119"/>
      <x:c r="AD147" s="119"/>
      <x:c r="AE147" s="119"/>
    </x:row>
    <x:row r="148" spans="27:31">
      <x:c r="AA148" s="119"/>
      <x:c r="AB148" s="119">
        <x:v>49</x:v>
      </x:c>
      <x:c r="AC148" s="119"/>
      <x:c r="AD148" s="119"/>
      <x:c r="AE148" s="119"/>
    </x:row>
    <x:row r="149" spans="27:31">
      <x:c r="AA149" s="119"/>
      <x:c r="AB149" s="119">
        <x:v>50</x:v>
      </x:c>
      <x:c r="AC149" s="119"/>
      <x:c r="AD149" s="119"/>
      <x:c r="AE149" s="119"/>
    </x:row>
    <x:row r="150" spans="27:31">
      <x:c r="AA150" s="119"/>
      <x:c r="AB150" s="119">
        <x:v>51</x:v>
      </x:c>
      <x:c r="AC150" s="119"/>
      <x:c r="AD150" s="119"/>
      <x:c r="AE150" s="119"/>
    </x:row>
    <x:row r="151" spans="27:31">
      <x:c r="AA151" s="119"/>
      <x:c r="AB151" s="119">
        <x:v>52</x:v>
      </x:c>
      <x:c r="AC151" s="119"/>
      <x:c r="AD151" s="119"/>
      <x:c r="AE151" s="119"/>
    </x:row>
    <x:row r="152" spans="27:31">
      <x:c r="AA152" s="119"/>
      <x:c r="AB152" s="119">
        <x:v>53</x:v>
      </x:c>
      <x:c r="AC152" s="119"/>
      <x:c r="AD152" s="119"/>
      <x:c r="AE152" s="119"/>
    </x:row>
    <x:row r="153" spans="27:31">
      <x:c r="AA153" s="119"/>
      <x:c r="AB153" s="119">
        <x:v>54</x:v>
      </x:c>
      <x:c r="AC153" s="119"/>
      <x:c r="AD153" s="119"/>
      <x:c r="AE153" s="119"/>
    </x:row>
    <x:row r="154" spans="27:31">
      <x:c r="AA154" s="119"/>
      <x:c r="AB154" s="119">
        <x:v>55</x:v>
      </x:c>
      <x:c r="AC154" s="119"/>
      <x:c r="AD154" s="119"/>
      <x:c r="AE154" s="119"/>
    </x:row>
    <x:row r="155" spans="27:31">
      <x:c r="AA155" s="119"/>
      <x:c r="AB155" s="119">
        <x:v>56</x:v>
      </x:c>
      <x:c r="AC155" s="119"/>
      <x:c r="AD155" s="119"/>
      <x:c r="AE155" s="119"/>
    </x:row>
    <x:row r="156" spans="27:31">
      <x:c r="AA156" s="119"/>
      <x:c r="AB156" s="119">
        <x:v>57</x:v>
      </x:c>
      <x:c r="AC156" s="119"/>
      <x:c r="AD156" s="119"/>
      <x:c r="AE156" s="119"/>
    </x:row>
    <x:row r="157" spans="27:31">
      <x:c r="AA157" s="119"/>
      <x:c r="AB157" s="119">
        <x:v>58</x:v>
      </x:c>
      <x:c r="AC157" s="119"/>
      <x:c r="AD157" s="119"/>
      <x:c r="AE157" s="119"/>
    </x:row>
    <x:row r="158" spans="27:31">
      <x:c r="AA158" s="119"/>
      <x:c r="AB158" s="119">
        <x:v>59</x:v>
      </x:c>
      <x:c r="AC158" s="119"/>
      <x:c r="AD158" s="119"/>
      <x:c r="AE158" s="119"/>
    </x:row>
    <x:row r="159" spans="27:31">
      <x:c r="AA159" s="119"/>
      <x:c r="AB159" s="119">
        <x:v>60</x:v>
      </x:c>
      <x:c r="AC159" s="119"/>
      <x:c r="AD159" s="119"/>
      <x:c r="AE159" s="119"/>
    </x:row>
    <x:row r="160" spans="27:31">
      <x:c r="AA160" s="119"/>
      <x:c r="AB160" s="119">
        <x:v>61</x:v>
      </x:c>
      <x:c r="AC160" s="119"/>
      <x:c r="AD160" s="119"/>
      <x:c r="AE160" s="119"/>
    </x:row>
    <x:row r="161" spans="27:31">
      <x:c r="AA161" s="119"/>
      <x:c r="AB161" s="119">
        <x:v>62</x:v>
      </x:c>
      <x:c r="AC161" s="119"/>
      <x:c r="AD161" s="119"/>
      <x:c r="AE161" s="119"/>
    </x:row>
    <x:row r="162" spans="27:31">
      <x:c r="AA162" s="119"/>
      <x:c r="AB162" s="119">
        <x:v>63</x:v>
      </x:c>
      <x:c r="AC162" s="119"/>
      <x:c r="AD162" s="119"/>
      <x:c r="AE162" s="119"/>
    </x:row>
    <x:row r="163" spans="27:31">
      <x:c r="AA163" s="119"/>
      <x:c r="AB163" s="119">
        <x:v>64</x:v>
      </x:c>
      <x:c r="AC163" s="119"/>
      <x:c r="AD163" s="119"/>
      <x:c r="AE163" s="119"/>
    </x:row>
    <x:row r="164" spans="27:31">
      <x:c r="AA164" s="119"/>
      <x:c r="AB164" s="119">
        <x:v>65</x:v>
      </x:c>
      <x:c r="AC164" s="119"/>
      <x:c r="AD164" s="119"/>
      <x:c r="AE164" s="119"/>
    </x:row>
    <x:row r="165" spans="27:31">
      <x:c r="AA165" s="119"/>
      <x:c r="AB165" s="119">
        <x:v>66</x:v>
      </x:c>
      <x:c r="AC165" s="119"/>
      <x:c r="AD165" s="119"/>
      <x:c r="AE165" s="119"/>
    </x:row>
    <x:row r="166" spans="27:31">
      <x:c r="AA166" s="119"/>
      <x:c r="AB166" s="119">
        <x:v>67</x:v>
      </x:c>
      <x:c r="AC166" s="119"/>
      <x:c r="AD166" s="119"/>
      <x:c r="AE166" s="119"/>
    </x:row>
    <x:row r="167" spans="27:31">
      <x:c r="AA167" s="119"/>
      <x:c r="AB167" s="119">
        <x:v>68</x:v>
      </x:c>
      <x:c r="AC167" s="119"/>
      <x:c r="AD167" s="119"/>
      <x:c r="AE167" s="119"/>
    </x:row>
    <x:row r="168" spans="27:31">
      <x:c r="AA168" s="119"/>
      <x:c r="AB168" s="119">
        <x:v>69</x:v>
      </x:c>
      <x:c r="AC168" s="119"/>
      <x:c r="AD168" s="119"/>
      <x:c r="AE168" s="119"/>
    </x:row>
    <x:row r="169" spans="27:31">
      <x:c r="AA169" s="119"/>
      <x:c r="AB169" s="119">
        <x:v>70</x:v>
      </x:c>
      <x:c r="AC169" s="119"/>
      <x:c r="AD169" s="119"/>
      <x:c r="AE169" s="119"/>
    </x:row>
    <x:row r="170" spans="27:31">
      <x:c r="AA170" s="119"/>
      <x:c r="AB170" s="119">
        <x:v>71</x:v>
      </x:c>
      <x:c r="AC170" s="119"/>
      <x:c r="AD170" s="119"/>
      <x:c r="AE170" s="119"/>
    </x:row>
    <x:row r="171" spans="27:31">
      <x:c r="AA171" s="119"/>
      <x:c r="AB171" s="119">
        <x:v>72</x:v>
      </x:c>
      <x:c r="AC171" s="119"/>
      <x:c r="AD171" s="119"/>
      <x:c r="AE171" s="119"/>
    </x:row>
    <x:row r="172" spans="27:31">
      <x:c r="AA172" s="119"/>
      <x:c r="AB172" s="119">
        <x:v>73</x:v>
      </x:c>
      <x:c r="AC172" s="119"/>
      <x:c r="AD172" s="119"/>
      <x:c r="AE172" s="119"/>
    </x:row>
    <x:row r="173" spans="27:31">
      <x:c r="AA173" s="119"/>
      <x:c r="AB173" s="119">
        <x:v>74</x:v>
      </x:c>
      <x:c r="AC173" s="119"/>
      <x:c r="AD173" s="119"/>
      <x:c r="AE173" s="119"/>
    </x:row>
    <x:row r="174" spans="27:31">
      <x:c r="AA174" s="119"/>
      <x:c r="AB174" s="119">
        <x:v>75</x:v>
      </x:c>
      <x:c r="AC174" s="119"/>
      <x:c r="AD174" s="119"/>
      <x:c r="AE174" s="119"/>
    </x:row>
    <x:row r="175" spans="27:31">
      <x:c r="AA175" s="119"/>
      <x:c r="AB175" s="119">
        <x:v>76</x:v>
      </x:c>
      <x:c r="AC175" s="119"/>
      <x:c r="AD175" s="119"/>
      <x:c r="AE175" s="119"/>
    </x:row>
    <x:row r="176" spans="27:31">
      <x:c r="AA176" s="119"/>
      <x:c r="AB176" s="119">
        <x:v>77</x:v>
      </x:c>
      <x:c r="AC176" s="119"/>
      <x:c r="AD176" s="119"/>
      <x:c r="AE176" s="119"/>
    </x:row>
    <x:row r="177" spans="27:31">
      <x:c r="AA177" s="119"/>
      <x:c r="AB177" s="119">
        <x:v>78</x:v>
      </x:c>
      <x:c r="AC177" s="119"/>
      <x:c r="AD177" s="119"/>
      <x:c r="AE177" s="119"/>
    </x:row>
    <x:row r="178" spans="27:31">
      <x:c r="AA178" s="119"/>
      <x:c r="AB178" s="119">
        <x:v>79</x:v>
      </x:c>
      <x:c r="AC178" s="119"/>
      <x:c r="AD178" s="119"/>
      <x:c r="AE178" s="119"/>
    </x:row>
    <x:row r="179" spans="27:31">
      <x:c r="AA179" s="119"/>
      <x:c r="AB179" s="119">
        <x:v>80</x:v>
      </x:c>
      <x:c r="AC179" s="119"/>
      <x:c r="AD179" s="119"/>
      <x:c r="AE179" s="119"/>
    </x:row>
    <x:row r="180" spans="27:31">
      <x:c r="AA180" s="119"/>
      <x:c r="AB180" s="119">
        <x:v>81</x:v>
      </x:c>
      <x:c r="AC180" s="119"/>
      <x:c r="AD180" s="119"/>
      <x:c r="AE180" s="119"/>
    </x:row>
    <x:row r="181" spans="27:31">
      <x:c r="AA181" s="119"/>
      <x:c r="AB181" s="119">
        <x:v>82</x:v>
      </x:c>
      <x:c r="AC181" s="119"/>
      <x:c r="AD181" s="119"/>
      <x:c r="AE181" s="119"/>
    </x:row>
    <x:row r="182" spans="27:31">
      <x:c r="AA182" s="119"/>
      <x:c r="AB182" s="119">
        <x:v>83</x:v>
      </x:c>
      <x:c r="AC182" s="119"/>
      <x:c r="AD182" s="119"/>
      <x:c r="AE182" s="119"/>
    </x:row>
    <x:row r="183" spans="27:31">
      <x:c r="AA183" s="119"/>
      <x:c r="AB183" s="119">
        <x:v>84</x:v>
      </x:c>
      <x:c r="AC183" s="119"/>
      <x:c r="AD183" s="119"/>
      <x:c r="AE183" s="119"/>
    </x:row>
    <x:row r="184" spans="27:31">
      <x:c r="AA184" s="119"/>
      <x:c r="AB184" s="119">
        <x:v>85</x:v>
      </x:c>
      <x:c r="AC184" s="119"/>
      <x:c r="AD184" s="119"/>
      <x:c r="AE184" s="119"/>
    </x:row>
    <x:row r="185" spans="27:31">
      <x:c r="AA185" s="119"/>
      <x:c r="AB185" s="119">
        <x:v>86</x:v>
      </x:c>
      <x:c r="AC185" s="119"/>
      <x:c r="AD185" s="119"/>
      <x:c r="AE185" s="119"/>
    </x:row>
    <x:row r="186" spans="27:31">
      <x:c r="AA186" s="119"/>
      <x:c r="AB186" s="119">
        <x:v>87</x:v>
      </x:c>
      <x:c r="AC186" s="119"/>
      <x:c r="AD186" s="119"/>
      <x:c r="AE186" s="119"/>
    </x:row>
    <x:row r="187" spans="27:31">
      <x:c r="AA187" s="119"/>
      <x:c r="AB187" s="119">
        <x:v>88</x:v>
      </x:c>
      <x:c r="AC187" s="119"/>
      <x:c r="AD187" s="119"/>
      <x:c r="AE187" s="119"/>
    </x:row>
    <x:row r="188" spans="27:31">
      <x:c r="AA188" s="119"/>
      <x:c r="AB188" s="119">
        <x:v>89</x:v>
      </x:c>
      <x:c r="AC188" s="119"/>
      <x:c r="AD188" s="119"/>
      <x:c r="AE188" s="119"/>
    </x:row>
    <x:row r="189" spans="27:31">
      <x:c r="AA189" s="119"/>
      <x:c r="AB189" s="119">
        <x:v>90</x:v>
      </x:c>
      <x:c r="AC189" s="119"/>
      <x:c r="AD189" s="119"/>
      <x:c r="AE189" s="119"/>
    </x:row>
    <x:row r="190" spans="27:31">
      <x:c r="AA190" s="119"/>
      <x:c r="AB190" s="119">
        <x:v>91</x:v>
      </x:c>
      <x:c r="AC190" s="119"/>
      <x:c r="AD190" s="119"/>
      <x:c r="AE190" s="119"/>
    </x:row>
    <x:row r="191" spans="27:31">
      <x:c r="AA191" s="119"/>
      <x:c r="AB191" s="119">
        <x:v>92</x:v>
      </x:c>
      <x:c r="AC191" s="119"/>
      <x:c r="AD191" s="119"/>
      <x:c r="AE191" s="119"/>
    </x:row>
    <x:row r="192" spans="27:31">
      <x:c r="AA192" s="119"/>
      <x:c r="AB192" s="119">
        <x:v>93</x:v>
      </x:c>
      <x:c r="AC192" s="119"/>
      <x:c r="AD192" s="119"/>
      <x:c r="AE192" s="119"/>
    </x:row>
    <x:row r="193" spans="27:31">
      <x:c r="AA193" s="119"/>
      <x:c r="AB193" s="119">
        <x:v>94</x:v>
      </x:c>
      <x:c r="AC193" s="119"/>
      <x:c r="AD193" s="119"/>
      <x:c r="AE193" s="119"/>
    </x:row>
    <x:row r="194" spans="27:31">
      <x:c r="AA194" s="119"/>
      <x:c r="AB194" s="119">
        <x:v>95</x:v>
      </x:c>
      <x:c r="AC194" s="119"/>
      <x:c r="AD194" s="119"/>
      <x:c r="AE194" s="119"/>
    </x:row>
    <x:row r="195" spans="27:31">
      <x:c r="AA195" s="119"/>
      <x:c r="AB195" s="119">
        <x:v>96</x:v>
      </x:c>
      <x:c r="AC195" s="119"/>
      <x:c r="AD195" s="119"/>
      <x:c r="AE195" s="119"/>
    </x:row>
    <x:row r="196" spans="27:31">
      <x:c r="AA196" s="119"/>
      <x:c r="AB196" s="119">
        <x:v>97</x:v>
      </x:c>
      <x:c r="AC196" s="119"/>
      <x:c r="AD196" s="119"/>
      <x:c r="AE196" s="119"/>
    </x:row>
    <x:row r="197" spans="27:31">
      <x:c r="AA197" s="119"/>
      <x:c r="AB197" s="119">
        <x:v>98</x:v>
      </x:c>
      <x:c r="AC197" s="119"/>
      <x:c r="AD197" s="119"/>
      <x:c r="AE197" s="119"/>
    </x:row>
    <x:row r="198" spans="27:31">
      <x:c r="AA198" s="119"/>
      <x:c r="AB198" s="119">
        <x:v>99</x:v>
      </x:c>
      <x:c r="AC198" s="119"/>
      <x:c r="AD198" s="119"/>
      <x:c r="AE198" s="119"/>
    </x:row>
    <x:row r="199" spans="27:31">
      <x:c r="AA199" s="119"/>
      <x:c r="AB199" s="119">
        <x:v>100</x:v>
      </x:c>
      <x:c r="AC199" s="119"/>
      <x:c r="AD199" s="119"/>
      <x:c r="AE199" s="119"/>
    </x:row>
    <x:row r="200" spans="27:31">
      <x:c r="AA200" s="119"/>
      <x:c r="AB200" s="119">
        <x:v>101</x:v>
      </x:c>
      <x:c r="AC200" s="119"/>
      <x:c r="AD200" s="119"/>
      <x:c r="AE200" s="119"/>
    </x:row>
    <x:row r="201" spans="27:31">
      <x:c r="AA201" s="119"/>
      <x:c r="AB201" s="119">
        <x:v>102</x:v>
      </x:c>
      <x:c r="AC201" s="119"/>
      <x:c r="AD201" s="119"/>
      <x:c r="AE201" s="119"/>
    </x:row>
    <x:row r="202" spans="27:31">
      <x:c r="AA202" s="119"/>
      <x:c r="AB202" s="119">
        <x:v>103</x:v>
      </x:c>
      <x:c r="AC202" s="119"/>
      <x:c r="AD202" s="119"/>
      <x:c r="AE202" s="119"/>
    </x:row>
    <x:row r="203" spans="27:31">
      <x:c r="AA203" s="119"/>
      <x:c r="AB203" s="119">
        <x:v>104</x:v>
      </x:c>
      <x:c r="AC203" s="119"/>
      <x:c r="AD203" s="119"/>
      <x:c r="AE203" s="119"/>
    </x:row>
    <x:row r="204" spans="27:31">
      <x:c r="AA204" s="119"/>
      <x:c r="AB204" s="119">
        <x:v>105</x:v>
      </x:c>
      <x:c r="AC204" s="119"/>
      <x:c r="AD204" s="119"/>
      <x:c r="AE204" s="119"/>
    </x:row>
    <x:row r="205" spans="27:31">
      <x:c r="AA205" s="119"/>
      <x:c r="AB205" s="119">
        <x:v>106</x:v>
      </x:c>
      <x:c r="AC205" s="119"/>
      <x:c r="AD205" s="119"/>
      <x:c r="AE205" s="119"/>
    </x:row>
    <x:row r="206" spans="27:31">
      <x:c r="AA206" s="119"/>
      <x:c r="AB206" s="119">
        <x:v>107</x:v>
      </x:c>
      <x:c r="AC206" s="119"/>
      <x:c r="AD206" s="119"/>
      <x:c r="AE206" s="119"/>
    </x:row>
    <x:row r="207" spans="27:31">
      <x:c r="AA207" s="119"/>
      <x:c r="AB207" s="119">
        <x:v>108</x:v>
      </x:c>
      <x:c r="AC207" s="119"/>
      <x:c r="AD207" s="119"/>
      <x:c r="AE207" s="119"/>
    </x:row>
    <x:row r="208" spans="27:31">
      <x:c r="AA208" s="119"/>
      <x:c r="AB208" s="119">
        <x:v>109</x:v>
      </x:c>
      <x:c r="AC208" s="119"/>
      <x:c r="AD208" s="119"/>
      <x:c r="AE208" s="119"/>
    </x:row>
    <x:row r="209" spans="27:31">
      <x:c r="AA209" s="119"/>
      <x:c r="AB209" s="119">
        <x:v>110</x:v>
      </x:c>
      <x:c r="AC209" s="119"/>
      <x:c r="AD209" s="119"/>
      <x:c r="AE209" s="119"/>
    </x:row>
    <x:row r="210" spans="27:31">
      <x:c r="AA210" s="119"/>
      <x:c r="AB210" s="119">
        <x:v>111</x:v>
      </x:c>
      <x:c r="AC210" s="119"/>
      <x:c r="AD210" s="119"/>
      <x:c r="AE210" s="119"/>
    </x:row>
    <x:row r="211" spans="27:31">
      <x:c r="AA211" s="119"/>
      <x:c r="AB211" s="119">
        <x:v>112</x:v>
      </x:c>
      <x:c r="AC211" s="119"/>
      <x:c r="AD211" s="119"/>
      <x:c r="AE211" s="119"/>
    </x:row>
    <x:row r="212" spans="27:31">
      <x:c r="AA212" s="119"/>
      <x:c r="AB212" s="119">
        <x:v>113</x:v>
      </x:c>
      <x:c r="AC212" s="119"/>
      <x:c r="AD212" s="119"/>
      <x:c r="AE212" s="119"/>
    </x:row>
    <x:row r="213" spans="27:31">
      <x:c r="AA213" s="119"/>
      <x:c r="AB213" s="119">
        <x:v>114</x:v>
      </x:c>
      <x:c r="AC213" s="119"/>
      <x:c r="AD213" s="119"/>
      <x:c r="AE213" s="119"/>
    </x:row>
    <x:row r="214" spans="27:31">
      <x:c r="AA214" s="119"/>
      <x:c r="AB214" s="119">
        <x:v>115</x:v>
      </x:c>
      <x:c r="AC214" s="119"/>
      <x:c r="AD214" s="119"/>
      <x:c r="AE214" s="119"/>
    </x:row>
    <x:row r="215" spans="27:31">
      <x:c r="AA215" s="119"/>
      <x:c r="AB215" s="119">
        <x:v>116</x:v>
      </x:c>
      <x:c r="AC215" s="119"/>
      <x:c r="AD215" s="119"/>
      <x:c r="AE215" s="119"/>
    </x:row>
    <x:row r="216" spans="27:31">
      <x:c r="AA216" s="119"/>
      <x:c r="AB216" s="119">
        <x:v>117</x:v>
      </x:c>
      <x:c r="AC216" s="119"/>
      <x:c r="AD216" s="119"/>
      <x:c r="AE216" s="119"/>
    </x:row>
    <x:row r="217" spans="27:31">
      <x:c r="AA217" s="119"/>
      <x:c r="AB217" s="119">
        <x:v>118</x:v>
      </x:c>
      <x:c r="AC217" s="119"/>
      <x:c r="AD217" s="119"/>
      <x:c r="AE217" s="119"/>
    </x:row>
    <x:row r="218" spans="27:31">
      <x:c r="AA218" s="119"/>
      <x:c r="AB218" s="119">
        <x:v>119</x:v>
      </x:c>
      <x:c r="AC218" s="119"/>
      <x:c r="AD218" s="119"/>
      <x:c r="AE218" s="119"/>
    </x:row>
    <x:row r="219" spans="27:31">
      <x:c r="AA219" s="119"/>
      <x:c r="AB219" s="119">
        <x:v>120</x:v>
      </x:c>
      <x:c r="AC219" s="119"/>
      <x:c r="AD219" s="119"/>
      <x:c r="AE219" s="119"/>
    </x:row>
    <x:row r="220" spans="27:31">
      <x:c r="AA220" s="119"/>
      <x:c r="AB220" s="119">
        <x:v>121</x:v>
      </x:c>
      <x:c r="AC220" s="119"/>
      <x:c r="AD220" s="119"/>
      <x:c r="AE220" s="119"/>
    </x:row>
    <x:row r="221" spans="27:31">
      <x:c r="AA221" s="119"/>
      <x:c r="AB221" s="119">
        <x:v>122</x:v>
      </x:c>
      <x:c r="AC221" s="119"/>
      <x:c r="AD221" s="119"/>
      <x:c r="AE221" s="119"/>
    </x:row>
    <x:row r="222" spans="27:31">
      <x:c r="AA222" s="119"/>
      <x:c r="AB222" s="119">
        <x:v>123</x:v>
      </x:c>
      <x:c r="AC222" s="119"/>
      <x:c r="AD222" s="119"/>
      <x:c r="AE222" s="119"/>
    </x:row>
    <x:row r="223" spans="27:31">
      <x:c r="AA223" s="119"/>
      <x:c r="AB223" s="119">
        <x:v>124</x:v>
      </x:c>
      <x:c r="AC223" s="119"/>
      <x:c r="AD223" s="119"/>
      <x:c r="AE223" s="119"/>
    </x:row>
    <x:row r="224" spans="27:31">
      <x:c r="AA224" s="119"/>
      <x:c r="AB224" s="119">
        <x:v>125</x:v>
      </x:c>
      <x:c r="AC224" s="119"/>
      <x:c r="AD224" s="119"/>
      <x:c r="AE224" s="119"/>
    </x:row>
    <x:row r="225" spans="27:31">
      <x:c r="AA225" s="119"/>
      <x:c r="AB225" s="119">
        <x:v>126</x:v>
      </x:c>
      <x:c r="AC225" s="119"/>
      <x:c r="AD225" s="119"/>
      <x:c r="AE225" s="119"/>
    </x:row>
    <x:row r="226" spans="27:31">
      <x:c r="AA226" s="119"/>
      <x:c r="AB226" s="119">
        <x:v>127</x:v>
      </x:c>
      <x:c r="AC226" s="119"/>
      <x:c r="AD226" s="119"/>
      <x:c r="AE226" s="119"/>
    </x:row>
    <x:row r="227" spans="27:31">
      <x:c r="AA227" s="119"/>
      <x:c r="AB227" s="119">
        <x:v>128</x:v>
      </x:c>
      <x:c r="AC227" s="119"/>
      <x:c r="AD227" s="119"/>
      <x:c r="AE227" s="119"/>
    </x:row>
    <x:row r="228" spans="27:31">
      <x:c r="AA228" s="119"/>
      <x:c r="AB228" s="119">
        <x:v>129</x:v>
      </x:c>
      <x:c r="AC228" s="119"/>
      <x:c r="AD228" s="119"/>
      <x:c r="AE228" s="119"/>
    </x:row>
    <x:row r="229" spans="27:31">
      <x:c r="AA229" s="119"/>
      <x:c r="AB229" s="119">
        <x:v>130</x:v>
      </x:c>
      <x:c r="AC229" s="119"/>
      <x:c r="AD229" s="119"/>
      <x:c r="AE229" s="119"/>
    </x:row>
    <x:row r="230" spans="27:31">
      <x:c r="AA230" s="119"/>
      <x:c r="AB230" s="119">
        <x:v>131</x:v>
      </x:c>
      <x:c r="AC230" s="119"/>
      <x:c r="AD230" s="119"/>
      <x:c r="AE230" s="119"/>
    </x:row>
    <x:row r="231" spans="27:31">
      <x:c r="AA231" s="119"/>
      <x:c r="AB231" s="119">
        <x:v>132</x:v>
      </x:c>
      <x:c r="AC231" s="119"/>
      <x:c r="AD231" s="119"/>
      <x:c r="AE231" s="119"/>
    </x:row>
    <x:row r="232" spans="27:31">
      <x:c r="AA232" s="119"/>
      <x:c r="AB232" s="119">
        <x:v>133</x:v>
      </x:c>
      <x:c r="AC232" s="119"/>
      <x:c r="AD232" s="119"/>
      <x:c r="AE232" s="119"/>
    </x:row>
    <x:row r="233" spans="27:31">
      <x:c r="AA233" s="119"/>
      <x:c r="AB233" s="119">
        <x:v>134</x:v>
      </x:c>
      <x:c r="AC233" s="119"/>
      <x:c r="AD233" s="119"/>
      <x:c r="AE233" s="119"/>
    </x:row>
    <x:row r="234" spans="27:31">
      <x:c r="AA234" s="119"/>
      <x:c r="AB234" s="119">
        <x:v>135</x:v>
      </x:c>
      <x:c r="AC234" s="119"/>
      <x:c r="AD234" s="119"/>
      <x:c r="AE234" s="119"/>
    </x:row>
    <x:row r="235" spans="27:31">
      <x:c r="AA235" s="119"/>
      <x:c r="AB235" s="119">
        <x:v>136</x:v>
      </x:c>
      <x:c r="AC235" s="119"/>
      <x:c r="AD235" s="119"/>
      <x:c r="AE235" s="119"/>
    </x:row>
    <x:row r="236" spans="27:31">
      <x:c r="AA236" s="119"/>
      <x:c r="AB236" s="119">
        <x:v>137</x:v>
      </x:c>
      <x:c r="AC236" s="119"/>
      <x:c r="AD236" s="119"/>
      <x:c r="AE236" s="119"/>
    </x:row>
    <x:row r="237" spans="27:31">
      <x:c r="AA237" s="119"/>
      <x:c r="AB237" s="119">
        <x:v>138</x:v>
      </x:c>
      <x:c r="AC237" s="119"/>
      <x:c r="AD237" s="119"/>
      <x:c r="AE237" s="119"/>
    </x:row>
    <x:row r="238" spans="27:31">
      <x:c r="AA238" s="119"/>
      <x:c r="AB238" s="119">
        <x:v>139</x:v>
      </x:c>
      <x:c r="AC238" s="119"/>
      <x:c r="AD238" s="119"/>
      <x:c r="AE238" s="119"/>
    </x:row>
    <x:row r="239" spans="27:31">
      <x:c r="AA239" s="119"/>
      <x:c r="AB239" s="119">
        <x:v>140</x:v>
      </x:c>
      <x:c r="AC239" s="119"/>
      <x:c r="AD239" s="119"/>
      <x:c r="AE239" s="119"/>
    </x:row>
    <x:row r="240" spans="27:31">
      <x:c r="AA240" s="119"/>
      <x:c r="AB240" s="119">
        <x:v>141</x:v>
      </x:c>
      <x:c r="AC240" s="119"/>
      <x:c r="AD240" s="119"/>
      <x:c r="AE240" s="119"/>
    </x:row>
    <x:row r="241" spans="27:31">
      <x:c r="AA241" s="119"/>
      <x:c r="AB241" s="119">
        <x:v>142</x:v>
      </x:c>
      <x:c r="AC241" s="119"/>
      <x:c r="AD241" s="119"/>
      <x:c r="AE241" s="119"/>
    </x:row>
    <x:row r="242" spans="27:31">
      <x:c r="AA242" s="119"/>
      <x:c r="AB242" s="119">
        <x:v>143</x:v>
      </x:c>
      <x:c r="AC242" s="119"/>
      <x:c r="AD242" s="119"/>
      <x:c r="AE242" s="119"/>
    </x:row>
    <x:row r="243" spans="27:31">
      <x:c r="AA243" s="119"/>
      <x:c r="AB243" s="119">
        <x:v>144</x:v>
      </x:c>
      <x:c r="AC243" s="119"/>
      <x:c r="AD243" s="119"/>
      <x:c r="AE243" s="119"/>
    </x:row>
    <x:row r="244" spans="27:31">
      <x:c r="AA244" s="119"/>
      <x:c r="AB244" s="119">
        <x:v>145</x:v>
      </x:c>
      <x:c r="AC244" s="119"/>
      <x:c r="AD244" s="119"/>
      <x:c r="AE244" s="119"/>
    </x:row>
    <x:row r="245" spans="27:31">
      <x:c r="AA245" s="119"/>
      <x:c r="AB245" s="119">
        <x:v>146</x:v>
      </x:c>
      <x:c r="AC245" s="119"/>
      <x:c r="AD245" s="119"/>
      <x:c r="AE245" s="119"/>
    </x:row>
    <x:row r="246" spans="27:31">
      <x:c r="AA246" s="119"/>
      <x:c r="AB246" s="119">
        <x:v>147</x:v>
      </x:c>
      <x:c r="AC246" s="119"/>
      <x:c r="AD246" s="119"/>
      <x:c r="AE246" s="119"/>
    </x:row>
    <x:row r="247" spans="27:31">
      <x:c r="AA247" s="119"/>
      <x:c r="AB247" s="119">
        <x:v>148</x:v>
      </x:c>
      <x:c r="AC247" s="119"/>
      <x:c r="AD247" s="119"/>
      <x:c r="AE247" s="119"/>
    </x:row>
    <x:row r="248" spans="27:31">
      <x:c r="AA248" s="119"/>
      <x:c r="AB248" s="119">
        <x:v>149</x:v>
      </x:c>
      <x:c r="AC248" s="119"/>
      <x:c r="AD248" s="119"/>
      <x:c r="AE248" s="119"/>
    </x:row>
    <x:row r="249" spans="27:31">
      <x:c r="AA249" s="119"/>
      <x:c r="AB249" s="119">
        <x:v>150</x:v>
      </x:c>
      <x:c r="AC249" s="119"/>
      <x:c r="AD249" s="119"/>
      <x:c r="AE249" s="119"/>
    </x:row>
    <x:row r="250" spans="27:31">
      <x:c r="AA250" s="119"/>
      <x:c r="AB250" s="119">
        <x:v>151</x:v>
      </x:c>
      <x:c r="AC250" s="119"/>
      <x:c r="AD250" s="119"/>
      <x:c r="AE250" s="119"/>
    </x:row>
    <x:row r="251" spans="27:31">
      <x:c r="AA251" s="119"/>
      <x:c r="AB251" s="119">
        <x:v>152</x:v>
      </x:c>
      <x:c r="AC251" s="119"/>
      <x:c r="AD251" s="119"/>
      <x:c r="AE251" s="119"/>
    </x:row>
    <x:row r="252" spans="27:31">
      <x:c r="AA252" s="119"/>
      <x:c r="AB252" s="119">
        <x:v>153</x:v>
      </x:c>
      <x:c r="AC252" s="119"/>
      <x:c r="AD252" s="119"/>
      <x:c r="AE252" s="119"/>
    </x:row>
    <x:row r="253" spans="27:31">
      <x:c r="AA253" s="119"/>
      <x:c r="AB253" s="119">
        <x:v>154</x:v>
      </x:c>
      <x:c r="AC253" s="119"/>
      <x:c r="AD253" s="119"/>
      <x:c r="AE253" s="119"/>
    </x:row>
    <x:row r="254" spans="27:31">
      <x:c r="AA254" s="119"/>
      <x:c r="AB254" s="119">
        <x:v>155</x:v>
      </x:c>
      <x:c r="AC254" s="119"/>
      <x:c r="AD254" s="119"/>
      <x:c r="AE254" s="119"/>
    </x:row>
    <x:row r="255" spans="27:31">
      <x:c r="AA255" s="119"/>
      <x:c r="AB255" s="119">
        <x:v>156</x:v>
      </x:c>
      <x:c r="AC255" s="119"/>
      <x:c r="AD255" s="119"/>
      <x:c r="AE255" s="119"/>
    </x:row>
    <x:row r="256" spans="27:31">
      <x:c r="AA256" s="119"/>
      <x:c r="AB256" s="119">
        <x:v>157</x:v>
      </x:c>
      <x:c r="AC256" s="119"/>
      <x:c r="AD256" s="119"/>
      <x:c r="AE256" s="119"/>
    </x:row>
    <x:row r="257" spans="27:31">
      <x:c r="AA257" s="119"/>
      <x:c r="AB257" s="119">
        <x:v>158</x:v>
      </x:c>
      <x:c r="AC257" s="119"/>
      <x:c r="AD257" s="119"/>
      <x:c r="AE257" s="119"/>
    </x:row>
    <x:row r="258" spans="27:31">
      <x:c r="AA258" s="119"/>
      <x:c r="AB258" s="119">
        <x:v>159</x:v>
      </x:c>
      <x:c r="AC258" s="119"/>
      <x:c r="AD258" s="119"/>
      <x:c r="AE258" s="119"/>
    </x:row>
    <x:row r="259" spans="27:31">
      <x:c r="AA259" s="119"/>
      <x:c r="AB259" s="119">
        <x:v>160</x:v>
      </x:c>
      <x:c r="AC259" s="119"/>
      <x:c r="AD259" s="119"/>
      <x:c r="AE259" s="119"/>
    </x:row>
    <x:row r="260" spans="27:31">
      <x:c r="AA260" s="119"/>
      <x:c r="AB260" s="119">
        <x:v>161</x:v>
      </x:c>
      <x:c r="AC260" s="119"/>
      <x:c r="AD260" s="119"/>
      <x:c r="AE260" s="119"/>
    </x:row>
    <x:row r="261" spans="27:31">
      <x:c r="AA261" s="119"/>
      <x:c r="AB261" s="119">
        <x:v>162</x:v>
      </x:c>
      <x:c r="AC261" s="119"/>
      <x:c r="AD261" s="119"/>
      <x:c r="AE261" s="119"/>
    </x:row>
    <x:row r="262" spans="27:31">
      <x:c r="AA262" s="119"/>
      <x:c r="AB262" s="119">
        <x:v>163</x:v>
      </x:c>
      <x:c r="AC262" s="119"/>
      <x:c r="AD262" s="119"/>
      <x:c r="AE262" s="119"/>
    </x:row>
    <x:row r="263" spans="27:31">
      <x:c r="AA263" s="119"/>
      <x:c r="AB263" s="119">
        <x:v>164</x:v>
      </x:c>
      <x:c r="AC263" s="119"/>
      <x:c r="AD263" s="119"/>
      <x:c r="AE263" s="119"/>
    </x:row>
    <x:row r="264" spans="27:31">
      <x:c r="AA264" s="119"/>
      <x:c r="AB264" s="119">
        <x:v>165</x:v>
      </x:c>
      <x:c r="AC264" s="119"/>
      <x:c r="AD264" s="119"/>
      <x:c r="AE264" s="119"/>
    </x:row>
    <x:row r="265" spans="27:31">
      <x:c r="AA265" s="119"/>
      <x:c r="AB265" s="119">
        <x:v>166</x:v>
      </x:c>
      <x:c r="AC265" s="119"/>
      <x:c r="AD265" s="119"/>
      <x:c r="AE265" s="119"/>
    </x:row>
    <x:row r="266" spans="27:31">
      <x:c r="AA266" s="119"/>
      <x:c r="AB266" s="119">
        <x:v>167</x:v>
      </x:c>
      <x:c r="AC266" s="119"/>
      <x:c r="AD266" s="119"/>
      <x:c r="AE266" s="119"/>
    </x:row>
    <x:row r="267" spans="27:31">
      <x:c r="AA267" s="119"/>
      <x:c r="AB267" s="119">
        <x:v>168</x:v>
      </x:c>
      <x:c r="AC267" s="119"/>
      <x:c r="AD267" s="119"/>
      <x:c r="AE267" s="119"/>
    </x:row>
    <x:row r="268" spans="27:31">
      <x:c r="AA268" s="119"/>
      <x:c r="AB268" s="119">
        <x:v>169</x:v>
      </x:c>
      <x:c r="AC268" s="119"/>
      <x:c r="AD268" s="119"/>
      <x:c r="AE268" s="119"/>
    </x:row>
    <x:row r="269" spans="27:31">
      <x:c r="AA269" s="119"/>
      <x:c r="AB269" s="119">
        <x:v>170</x:v>
      </x:c>
      <x:c r="AC269" s="119"/>
      <x:c r="AD269" s="119"/>
      <x:c r="AE269" s="119"/>
    </x:row>
    <x:row r="270" spans="27:31">
      <x:c r="AA270" s="119"/>
      <x:c r="AB270" s="119">
        <x:v>171</x:v>
      </x:c>
      <x:c r="AC270" s="119"/>
      <x:c r="AD270" s="119"/>
      <x:c r="AE270" s="119"/>
    </x:row>
    <x:row r="271" spans="27:31">
      <x:c r="AA271" s="119"/>
      <x:c r="AB271" s="119">
        <x:v>172</x:v>
      </x:c>
      <x:c r="AC271" s="119"/>
      <x:c r="AD271" s="119"/>
      <x:c r="AE271" s="119"/>
    </x:row>
    <x:row r="272" spans="27:31">
      <x:c r="AA272" s="119"/>
      <x:c r="AB272" s="119">
        <x:v>173</x:v>
      </x:c>
      <x:c r="AC272" s="119"/>
      <x:c r="AD272" s="119"/>
      <x:c r="AE272" s="119"/>
    </x:row>
    <x:row r="273" spans="27:31">
      <x:c r="AA273" s="119"/>
      <x:c r="AB273" s="119">
        <x:v>174</x:v>
      </x:c>
      <x:c r="AC273" s="119"/>
      <x:c r="AD273" s="119"/>
      <x:c r="AE273" s="119"/>
    </x:row>
    <x:row r="274" spans="27:31">
      <x:c r="AA274" s="119"/>
      <x:c r="AB274" s="119">
        <x:v>175</x:v>
      </x:c>
      <x:c r="AC274" s="119"/>
      <x:c r="AD274" s="119"/>
      <x:c r="AE274" s="119"/>
    </x:row>
    <x:row r="275" spans="27:31">
      <x:c r="AA275" s="119"/>
      <x:c r="AB275" s="119">
        <x:v>176</x:v>
      </x:c>
      <x:c r="AC275" s="119"/>
      <x:c r="AD275" s="119"/>
      <x:c r="AE275" s="119"/>
    </x:row>
    <x:row r="276" spans="27:31">
      <x:c r="AA276" s="119"/>
      <x:c r="AB276" s="119">
        <x:v>177</x:v>
      </x:c>
      <x:c r="AC276" s="119"/>
      <x:c r="AD276" s="119"/>
      <x:c r="AE276" s="119"/>
    </x:row>
    <x:row r="277" spans="27:31">
      <x:c r="AA277" s="119"/>
      <x:c r="AB277" s="119">
        <x:v>178</x:v>
      </x:c>
      <x:c r="AC277" s="119"/>
      <x:c r="AD277" s="119"/>
      <x:c r="AE277" s="119"/>
    </x:row>
    <x:row r="278" spans="27:31">
      <x:c r="AA278" s="119"/>
      <x:c r="AB278" s="119">
        <x:v>179</x:v>
      </x:c>
      <x:c r="AC278" s="119"/>
      <x:c r="AD278" s="119"/>
      <x:c r="AE278" s="119"/>
    </x:row>
    <x:row r="279" spans="27:31">
      <x:c r="AA279" s="119"/>
      <x:c r="AB279" s="119">
        <x:v>180</x:v>
      </x:c>
      <x:c r="AC279" s="119"/>
      <x:c r="AD279" s="119"/>
      <x:c r="AE279" s="119"/>
    </x:row>
    <x:row r="280" spans="27:31">
      <x:c r="AA280" s="119"/>
      <x:c r="AB280" s="119">
        <x:v>181</x:v>
      </x:c>
      <x:c r="AC280" s="119"/>
      <x:c r="AD280" s="119"/>
      <x:c r="AE280" s="119"/>
    </x:row>
    <x:row r="281" spans="27:31">
      <x:c r="AA281" s="119"/>
      <x:c r="AB281" s="119">
        <x:v>182</x:v>
      </x:c>
      <x:c r="AC281" s="119"/>
      <x:c r="AD281" s="119"/>
      <x:c r="AE281" s="119"/>
    </x:row>
    <x:row r="282" spans="27:31">
      <x:c r="AA282" s="119"/>
      <x:c r="AB282" s="119">
        <x:v>183</x:v>
      </x:c>
      <x:c r="AC282" s="119"/>
      <x:c r="AD282" s="119"/>
      <x:c r="AE282" s="119"/>
    </x:row>
    <x:row r="283" spans="27:31">
      <x:c r="AA283" s="119"/>
      <x:c r="AB283" s="119">
        <x:v>184</x:v>
      </x:c>
      <x:c r="AC283" s="119"/>
      <x:c r="AD283" s="119"/>
      <x:c r="AE283" s="119"/>
    </x:row>
    <x:row r="284" spans="27:31">
      <x:c r="AA284" s="119"/>
      <x:c r="AB284" s="119">
        <x:v>185</x:v>
      </x:c>
      <x:c r="AC284" s="119"/>
      <x:c r="AD284" s="119"/>
      <x:c r="AE284" s="119"/>
    </x:row>
    <x:row r="285" spans="27:31">
      <x:c r="AA285" s="119"/>
      <x:c r="AB285" s="119">
        <x:v>186</x:v>
      </x:c>
      <x:c r="AC285" s="119"/>
      <x:c r="AD285" s="119"/>
      <x:c r="AE285" s="119"/>
    </x:row>
    <x:row r="286" spans="27:31">
      <x:c r="AA286" s="119"/>
      <x:c r="AB286" s="119">
        <x:v>187</x:v>
      </x:c>
      <x:c r="AC286" s="119"/>
      <x:c r="AD286" s="119"/>
      <x:c r="AE286" s="119"/>
    </x:row>
    <x:row r="287" spans="27:31">
      <x:c r="AA287" s="119"/>
      <x:c r="AB287" s="119">
        <x:v>188</x:v>
      </x:c>
      <x:c r="AC287" s="119"/>
      <x:c r="AD287" s="119"/>
      <x:c r="AE287" s="119"/>
    </x:row>
    <x:row r="288" spans="27:31">
      <x:c r="AA288" s="119"/>
      <x:c r="AB288" s="119">
        <x:v>189</x:v>
      </x:c>
      <x:c r="AC288" s="119"/>
      <x:c r="AD288" s="119"/>
      <x:c r="AE288" s="119"/>
    </x:row>
    <x:row r="289" spans="27:31">
      <x:c r="AA289" s="119"/>
      <x:c r="AB289" s="119">
        <x:v>190</x:v>
      </x:c>
      <x:c r="AC289" s="119"/>
      <x:c r="AD289" s="119"/>
      <x:c r="AE289" s="119"/>
    </x:row>
    <x:row r="290" spans="27:31">
      <x:c r="AA290" s="119"/>
      <x:c r="AB290" s="119">
        <x:v>191</x:v>
      </x:c>
      <x:c r="AC290" s="119"/>
      <x:c r="AD290" s="119"/>
      <x:c r="AE290" s="119"/>
    </x:row>
    <x:row r="291" spans="27:31">
      <x:c r="AA291" s="119"/>
      <x:c r="AB291" s="119">
        <x:v>192</x:v>
      </x:c>
      <x:c r="AC291" s="119"/>
      <x:c r="AD291" s="119"/>
      <x:c r="AE291" s="119"/>
    </x:row>
    <x:row r="292" spans="27:31">
      <x:c r="AA292" s="119"/>
      <x:c r="AB292" s="119">
        <x:v>193</x:v>
      </x:c>
      <x:c r="AC292" s="119"/>
      <x:c r="AD292" s="119"/>
      <x:c r="AE292" s="119"/>
    </x:row>
    <x:row r="293" spans="27:31">
      <x:c r="AA293" s="119"/>
      <x:c r="AB293" s="119">
        <x:v>194</x:v>
      </x:c>
      <x:c r="AC293" s="119"/>
      <x:c r="AD293" s="119"/>
      <x:c r="AE293" s="119"/>
    </x:row>
    <x:row r="294" spans="27:31">
      <x:c r="AA294" s="119"/>
      <x:c r="AB294" s="119">
        <x:v>195</x:v>
      </x:c>
      <x:c r="AC294" s="119"/>
      <x:c r="AD294" s="119"/>
      <x:c r="AE294" s="119"/>
    </x:row>
    <x:row r="295" spans="27:31">
      <x:c r="AA295" s="119"/>
      <x:c r="AB295" s="119">
        <x:v>196</x:v>
      </x:c>
      <x:c r="AC295" s="119"/>
      <x:c r="AD295" s="119"/>
      <x:c r="AE295" s="119"/>
    </x:row>
    <x:row r="296" spans="27:31">
      <x:c r="AA296" s="119"/>
      <x:c r="AB296" s="119">
        <x:v>197</x:v>
      </x:c>
      <x:c r="AC296" s="119"/>
      <x:c r="AD296" s="119"/>
      <x:c r="AE296" s="119"/>
    </x:row>
    <x:row r="297" spans="27:31">
      <x:c r="AA297" s="119"/>
      <x:c r="AB297" s="119">
        <x:v>198</x:v>
      </x:c>
      <x:c r="AC297" s="119"/>
      <x:c r="AD297" s="119"/>
      <x:c r="AE297" s="119"/>
    </x:row>
    <x:row r="298" spans="27:31">
      <x:c r="AA298" s="119"/>
      <x:c r="AB298" s="119">
        <x:v>199</x:v>
      </x:c>
      <x:c r="AC298" s="119"/>
      <x:c r="AD298" s="119"/>
      <x:c r="AE298" s="119"/>
    </x:row>
    <x:row r="299" spans="27:31">
      <x:c r="AA299" s="119"/>
      <x:c r="AB299" s="119">
        <x:v>200</x:v>
      </x:c>
      <x:c r="AC299" s="119"/>
      <x:c r="AD299" s="119"/>
      <x:c r="AE299" s="119"/>
    </x:row>
    <x:row r="300" spans="27:31">
      <x:c r="AA300" s="119"/>
      <x:c r="AB300" s="119">
        <x:v>201</x:v>
      </x:c>
      <x:c r="AC300" s="119"/>
      <x:c r="AD300" s="119"/>
      <x:c r="AE300" s="119"/>
    </x:row>
    <x:row r="301" spans="27:31">
      <x:c r="AA301" s="119"/>
      <x:c r="AB301" s="119">
        <x:v>202</x:v>
      </x:c>
      <x:c r="AC301" s="119"/>
      <x:c r="AD301" s="119"/>
      <x:c r="AE301" s="119"/>
    </x:row>
    <x:row r="302" spans="27:31">
      <x:c r="AA302" s="119"/>
      <x:c r="AB302" s="119">
        <x:v>203</x:v>
      </x:c>
      <x:c r="AC302" s="119"/>
      <x:c r="AD302" s="119"/>
      <x:c r="AE302" s="119"/>
    </x:row>
    <x:row r="303" spans="27:31">
      <x:c r="AA303" s="119"/>
      <x:c r="AB303" s="119">
        <x:v>204</x:v>
      </x:c>
      <x:c r="AC303" s="119"/>
      <x:c r="AD303" s="119"/>
      <x:c r="AE303" s="119"/>
    </x:row>
    <x:row r="304" spans="27:31">
      <x:c r="AA304" s="119"/>
      <x:c r="AB304" s="119">
        <x:v>205</x:v>
      </x:c>
      <x:c r="AC304" s="119"/>
      <x:c r="AD304" s="119"/>
      <x:c r="AE304" s="119"/>
    </x:row>
    <x:row r="305" spans="27:31">
      <x:c r="AA305" s="119"/>
      <x:c r="AB305" s="119">
        <x:v>206</x:v>
      </x:c>
      <x:c r="AC305" s="119"/>
      <x:c r="AD305" s="119"/>
      <x:c r="AE305" s="119"/>
    </x:row>
    <x:row r="306" spans="27:31">
      <x:c r="AA306" s="119"/>
      <x:c r="AB306" s="119">
        <x:v>207</x:v>
      </x:c>
      <x:c r="AC306" s="119"/>
      <x:c r="AD306" s="119"/>
      <x:c r="AE306" s="119"/>
    </x:row>
    <x:row r="307" spans="27:31">
      <x:c r="AA307" s="119"/>
      <x:c r="AB307" s="119">
        <x:v>208</x:v>
      </x:c>
      <x:c r="AC307" s="119"/>
      <x:c r="AD307" s="119"/>
      <x:c r="AE307" s="119"/>
    </x:row>
    <x:row r="308" spans="27:31">
      <x:c r="AA308" s="119"/>
      <x:c r="AB308" s="119">
        <x:v>209</x:v>
      </x:c>
      <x:c r="AC308" s="119"/>
      <x:c r="AD308" s="119"/>
      <x:c r="AE308" s="119"/>
    </x:row>
    <x:row r="309" spans="27:31">
      <x:c r="AA309" s="119"/>
      <x:c r="AB309" s="119">
        <x:v>210</x:v>
      </x:c>
      <x:c r="AC309" s="119"/>
      <x:c r="AD309" s="119"/>
      <x:c r="AE309" s="119"/>
    </x:row>
    <x:row r="310" spans="27:31">
      <x:c r="AA310" s="119"/>
      <x:c r="AB310" s="119">
        <x:v>211</x:v>
      </x:c>
      <x:c r="AC310" s="119"/>
      <x:c r="AD310" s="119"/>
      <x:c r="AE310" s="119"/>
    </x:row>
    <x:row r="311" spans="27:31">
      <x:c r="AA311" s="119"/>
      <x:c r="AB311" s="119">
        <x:v>212</x:v>
      </x:c>
      <x:c r="AC311" s="119"/>
      <x:c r="AD311" s="119"/>
      <x:c r="AE311" s="119"/>
    </x:row>
    <x:row r="312" spans="27:31">
      <x:c r="AA312" s="119"/>
      <x:c r="AB312" s="119">
        <x:v>213</x:v>
      </x:c>
      <x:c r="AC312" s="119"/>
      <x:c r="AD312" s="119"/>
      <x:c r="AE312" s="119"/>
    </x:row>
    <x:row r="313" spans="27:31">
      <x:c r="AA313" s="119"/>
      <x:c r="AB313" s="119">
        <x:v>214</x:v>
      </x:c>
      <x:c r="AC313" s="119"/>
      <x:c r="AD313" s="119"/>
      <x:c r="AE313" s="119"/>
    </x:row>
    <x:row r="314" spans="27:31">
      <x:c r="AA314" s="119"/>
      <x:c r="AB314" s="119">
        <x:v>215</x:v>
      </x:c>
      <x:c r="AC314" s="119"/>
      <x:c r="AD314" s="119"/>
      <x:c r="AE314" s="119"/>
    </x:row>
    <x:row r="315" spans="27:31">
      <x:c r="AA315" s="119"/>
      <x:c r="AB315" s="119">
        <x:v>216</x:v>
      </x:c>
      <x:c r="AC315" s="119"/>
      <x:c r="AD315" s="119"/>
      <x:c r="AE315" s="119"/>
    </x:row>
    <x:row r="316" spans="27:31">
      <x:c r="AA316" s="119"/>
      <x:c r="AB316" s="119">
        <x:v>217</x:v>
      </x:c>
      <x:c r="AC316" s="119"/>
      <x:c r="AD316" s="119"/>
      <x:c r="AE316" s="119"/>
    </x:row>
    <x:row r="317" spans="27:31">
      <x:c r="AA317" s="119"/>
      <x:c r="AB317" s="119">
        <x:v>218</x:v>
      </x:c>
      <x:c r="AC317" s="119"/>
      <x:c r="AD317" s="119"/>
      <x:c r="AE317" s="119"/>
    </x:row>
    <x:row r="318" spans="27:31">
      <x:c r="AA318" s="119"/>
      <x:c r="AB318" s="119">
        <x:v>219</x:v>
      </x:c>
      <x:c r="AC318" s="119"/>
      <x:c r="AD318" s="119"/>
      <x:c r="AE318" s="119"/>
    </x:row>
    <x:row r="319" spans="27:31">
      <x:c r="AA319" s="119"/>
      <x:c r="AB319" s="119">
        <x:v>220</x:v>
      </x:c>
      <x:c r="AC319" s="119"/>
      <x:c r="AD319" s="119"/>
      <x:c r="AE319" s="119"/>
    </x:row>
    <x:row r="320" spans="27:31">
      <x:c r="AA320" s="119"/>
      <x:c r="AB320" s="119">
        <x:v>221</x:v>
      </x:c>
      <x:c r="AC320" s="119"/>
      <x:c r="AD320" s="119"/>
      <x:c r="AE320" s="119"/>
    </x:row>
    <x:row r="321" spans="27:31">
      <x:c r="AA321" s="119"/>
      <x:c r="AB321" s="119">
        <x:v>222</x:v>
      </x:c>
      <x:c r="AC321" s="119"/>
      <x:c r="AD321" s="119"/>
      <x:c r="AE321" s="119"/>
    </x:row>
    <x:row r="322" spans="27:31">
      <x:c r="AA322" s="119"/>
      <x:c r="AB322" s="119">
        <x:v>223</x:v>
      </x:c>
      <x:c r="AC322" s="119"/>
      <x:c r="AD322" s="119"/>
      <x:c r="AE322" s="119"/>
    </x:row>
    <x:row r="323" spans="27:31">
      <x:c r="AA323" s="119"/>
      <x:c r="AB323" s="119">
        <x:v>224</x:v>
      </x:c>
      <x:c r="AC323" s="119"/>
      <x:c r="AD323" s="119"/>
      <x:c r="AE323" s="119"/>
    </x:row>
    <x:row r="324" spans="27:31">
      <x:c r="AA324" s="119"/>
      <x:c r="AB324" s="119">
        <x:v>225</x:v>
      </x:c>
      <x:c r="AC324" s="119"/>
      <x:c r="AD324" s="119"/>
      <x:c r="AE324" s="119"/>
    </x:row>
    <x:row r="325" spans="27:31">
      <x:c r="AA325" s="119"/>
      <x:c r="AB325" s="119">
        <x:v>226</x:v>
      </x:c>
      <x:c r="AC325" s="119"/>
      <x:c r="AD325" s="119"/>
      <x:c r="AE325" s="119"/>
    </x:row>
    <x:row r="326" spans="27:31">
      <x:c r="AA326" s="119"/>
      <x:c r="AB326" s="119">
        <x:v>227</x:v>
      </x:c>
      <x:c r="AC326" s="119"/>
      <x:c r="AD326" s="119"/>
      <x:c r="AE326" s="119"/>
    </x:row>
    <x:row r="327" spans="27:31">
      <x:c r="AA327" s="119"/>
      <x:c r="AB327" s="119">
        <x:v>228</x:v>
      </x:c>
      <x:c r="AC327" s="119"/>
      <x:c r="AD327" s="119"/>
      <x:c r="AE327" s="119"/>
    </x:row>
    <x:row r="328" spans="27:31">
      <x:c r="AA328" s="119"/>
      <x:c r="AB328" s="119">
        <x:v>229</x:v>
      </x:c>
      <x:c r="AC328" s="119"/>
      <x:c r="AD328" s="119"/>
      <x:c r="AE328" s="119"/>
    </x:row>
    <x:row r="329" spans="27:31">
      <x:c r="AA329" s="119"/>
      <x:c r="AB329" s="119">
        <x:v>230</x:v>
      </x:c>
      <x:c r="AC329" s="119"/>
      <x:c r="AD329" s="119"/>
      <x:c r="AE329" s="119"/>
    </x:row>
    <x:row r="330" spans="27:31">
      <x:c r="AA330" s="119"/>
      <x:c r="AB330" s="119">
        <x:v>231</x:v>
      </x:c>
      <x:c r="AC330" s="119"/>
      <x:c r="AD330" s="119"/>
      <x:c r="AE330" s="119"/>
    </x:row>
    <x:row r="331" spans="27:31">
      <x:c r="AA331" s="119"/>
      <x:c r="AB331" s="119">
        <x:v>232</x:v>
      </x:c>
      <x:c r="AC331" s="119"/>
      <x:c r="AD331" s="119"/>
      <x:c r="AE331" s="119"/>
    </x:row>
    <x:row r="332" spans="27:31">
      <x:c r="AA332" s="119"/>
      <x:c r="AB332" s="119">
        <x:v>233</x:v>
      </x:c>
      <x:c r="AC332" s="119"/>
      <x:c r="AD332" s="119"/>
      <x:c r="AE332" s="119"/>
    </x:row>
    <x:row r="333" spans="27:31">
      <x:c r="AA333" s="119"/>
      <x:c r="AB333" s="119">
        <x:v>234</x:v>
      </x:c>
      <x:c r="AC333" s="119"/>
      <x:c r="AD333" s="119"/>
      <x:c r="AE333" s="119"/>
    </x:row>
    <x:row r="334" spans="27:31">
      <x:c r="AA334" s="119"/>
      <x:c r="AB334" s="119">
        <x:v>235</x:v>
      </x:c>
      <x:c r="AC334" s="119"/>
      <x:c r="AD334" s="119"/>
      <x:c r="AE334" s="119"/>
    </x:row>
    <x:row r="335" spans="27:31">
      <x:c r="AA335" s="119"/>
      <x:c r="AB335" s="119">
        <x:v>236</x:v>
      </x:c>
      <x:c r="AC335" s="119"/>
      <x:c r="AD335" s="119"/>
      <x:c r="AE335" s="119"/>
    </x:row>
    <x:row r="336" spans="27:31">
      <x:c r="AA336" s="119"/>
      <x:c r="AB336" s="119">
        <x:v>237</x:v>
      </x:c>
      <x:c r="AC336" s="119"/>
      <x:c r="AD336" s="119"/>
      <x:c r="AE336" s="119"/>
    </x:row>
    <x:row r="337" spans="27:31">
      <x:c r="AA337" s="119"/>
      <x:c r="AB337" s="119">
        <x:v>238</x:v>
      </x:c>
      <x:c r="AC337" s="119"/>
      <x:c r="AD337" s="119"/>
      <x:c r="AE337" s="119"/>
    </x:row>
    <x:row r="338" spans="27:31">
      <x:c r="AA338" s="119"/>
      <x:c r="AB338" s="119">
        <x:v>239</x:v>
      </x:c>
      <x:c r="AC338" s="119"/>
      <x:c r="AD338" s="119"/>
      <x:c r="AE338" s="119"/>
    </x:row>
    <x:row r="339" spans="27:31">
      <x:c r="AA339" s="119"/>
      <x:c r="AB339" s="119">
        <x:v>240</x:v>
      </x:c>
      <x:c r="AC339" s="119"/>
      <x:c r="AD339" s="119"/>
      <x:c r="AE339" s="119"/>
    </x:row>
    <x:row r="340" spans="27:31">
      <x:c r="AA340" s="119"/>
      <x:c r="AB340" s="119">
        <x:v>241</x:v>
      </x:c>
      <x:c r="AC340" s="119"/>
      <x:c r="AD340" s="119"/>
      <x:c r="AE340" s="119"/>
    </x:row>
    <x:row r="341" spans="27:31">
      <x:c r="AA341" s="119"/>
      <x:c r="AB341" s="119">
        <x:v>242</x:v>
      </x:c>
      <x:c r="AC341" s="119"/>
      <x:c r="AD341" s="119"/>
      <x:c r="AE341" s="119"/>
    </x:row>
    <x:row r="342" spans="27:31">
      <x:c r="AA342" s="119"/>
      <x:c r="AB342" s="119">
        <x:v>243</x:v>
      </x:c>
      <x:c r="AC342" s="119"/>
      <x:c r="AD342" s="119"/>
      <x:c r="AE342" s="119"/>
    </x:row>
    <x:row r="343" spans="27:31">
      <x:c r="AA343" s="119"/>
      <x:c r="AB343" s="119">
        <x:v>244</x:v>
      </x:c>
      <x:c r="AC343" s="119"/>
      <x:c r="AD343" s="119"/>
      <x:c r="AE343" s="119"/>
    </x:row>
    <x:row r="344" spans="27:31">
      <x:c r="AA344" s="119"/>
      <x:c r="AB344" s="119">
        <x:v>245</x:v>
      </x:c>
      <x:c r="AC344" s="119"/>
      <x:c r="AD344" s="119"/>
      <x:c r="AE344" s="119"/>
    </x:row>
    <x:row r="345" spans="27:31">
      <x:c r="AA345" s="119"/>
      <x:c r="AB345" s="119">
        <x:v>246</x:v>
      </x:c>
      <x:c r="AC345" s="119"/>
      <x:c r="AD345" s="119"/>
      <x:c r="AE345" s="119"/>
    </x:row>
    <x:row r="346" spans="27:31">
      <x:c r="AA346" s="119"/>
      <x:c r="AB346" s="119">
        <x:v>247</x:v>
      </x:c>
      <x:c r="AC346" s="119"/>
      <x:c r="AD346" s="119"/>
      <x:c r="AE346" s="119"/>
    </x:row>
    <x:row r="347" spans="27:31">
      <x:c r="AA347" s="119"/>
      <x:c r="AB347" s="119">
        <x:v>248</x:v>
      </x:c>
      <x:c r="AC347" s="119"/>
      <x:c r="AD347" s="119"/>
      <x:c r="AE347" s="119"/>
    </x:row>
    <x:row r="348" spans="27:31">
      <x:c r="AA348" s="119"/>
      <x:c r="AB348" s="119">
        <x:v>249</x:v>
      </x:c>
      <x:c r="AC348" s="119"/>
      <x:c r="AD348" s="119"/>
      <x:c r="AE348" s="119"/>
    </x:row>
    <x:row r="349" spans="27:31">
      <x:c r="AA349" s="119"/>
      <x:c r="AB349" s="119">
        <x:v>250</x:v>
      </x:c>
      <x:c r="AC349" s="119"/>
      <x:c r="AD349" s="119"/>
      <x:c r="AE349" s="119"/>
    </x:row>
    <x:row r="350" spans="27:31">
      <x:c r="AA350" s="119"/>
      <x:c r="AB350" s="119">
        <x:v>251</x:v>
      </x:c>
      <x:c r="AC350" s="119"/>
      <x:c r="AD350" s="119"/>
      <x:c r="AE350" s="119"/>
    </x:row>
    <x:row r="351" spans="27:31">
      <x:c r="AA351" s="119"/>
      <x:c r="AB351" s="119">
        <x:v>252</x:v>
      </x:c>
      <x:c r="AC351" s="119"/>
      <x:c r="AD351" s="119"/>
      <x:c r="AE351" s="119"/>
    </x:row>
    <x:row r="352" spans="27:31">
      <x:c r="AA352" s="119"/>
      <x:c r="AB352" s="119">
        <x:v>253</x:v>
      </x:c>
      <x:c r="AC352" s="119"/>
      <x:c r="AD352" s="119"/>
      <x:c r="AE352" s="119"/>
    </x:row>
    <x:row r="353" spans="27:31">
      <x:c r="AA353" s="119"/>
      <x:c r="AB353" s="119">
        <x:v>254</x:v>
      </x:c>
      <x:c r="AC353" s="119"/>
      <x:c r="AD353" s="119"/>
      <x:c r="AE353" s="119"/>
    </x:row>
    <x:row r="354" spans="27:31">
      <x:c r="AA354" s="119"/>
      <x:c r="AB354" s="119">
        <x:v>255</x:v>
      </x:c>
      <x:c r="AC354" s="119"/>
      <x:c r="AD354" s="119"/>
      <x:c r="AE354" s="119"/>
    </x:row>
    <x:row r="355" spans="27:31">
      <x:c r="AA355" s="119"/>
      <x:c r="AB355" s="119">
        <x:v>256</x:v>
      </x:c>
      <x:c r="AC355" s="119"/>
      <x:c r="AD355" s="119"/>
      <x:c r="AE355" s="119"/>
    </x:row>
    <x:row r="356" spans="27:31">
      <x:c r="AA356" s="119"/>
      <x:c r="AB356" s="119">
        <x:v>257</x:v>
      </x:c>
      <x:c r="AC356" s="119"/>
      <x:c r="AD356" s="119"/>
      <x:c r="AE356" s="119"/>
    </x:row>
    <x:row r="357" spans="27:31">
      <x:c r="AA357" s="119"/>
      <x:c r="AB357" s="119">
        <x:v>258</x:v>
      </x:c>
      <x:c r="AC357" s="119"/>
      <x:c r="AD357" s="119"/>
      <x:c r="AE357" s="119"/>
    </x:row>
    <x:row r="358" spans="27:31">
      <x:c r="AA358" s="119"/>
      <x:c r="AB358" s="119">
        <x:v>259</x:v>
      </x:c>
      <x:c r="AC358" s="119"/>
      <x:c r="AD358" s="119"/>
      <x:c r="AE358" s="119"/>
    </x:row>
    <x:row r="359" spans="27:31">
      <x:c r="AA359" s="119"/>
      <x:c r="AB359" s="119">
        <x:v>260</x:v>
      </x:c>
      <x:c r="AC359" s="119"/>
      <x:c r="AD359" s="119"/>
      <x:c r="AE359" s="119"/>
    </x:row>
    <x:row r="360" spans="27:31">
      <x:c r="AA360" s="119"/>
      <x:c r="AB360" s="119">
        <x:v>261</x:v>
      </x:c>
      <x:c r="AC360" s="119"/>
      <x:c r="AD360" s="119"/>
      <x:c r="AE360" s="119"/>
    </x:row>
    <x:row r="361" spans="27:31">
      <x:c r="AA361" s="119"/>
      <x:c r="AB361" s="119">
        <x:v>262</x:v>
      </x:c>
      <x:c r="AC361" s="119"/>
      <x:c r="AD361" s="119"/>
      <x:c r="AE361" s="119"/>
    </x:row>
    <x:row r="362" spans="27:31">
      <x:c r="AA362" s="119"/>
      <x:c r="AB362" s="119">
        <x:v>263</x:v>
      </x:c>
      <x:c r="AC362" s="119"/>
      <x:c r="AD362" s="119"/>
      <x:c r="AE362" s="119"/>
    </x:row>
    <x:row r="363" spans="27:31">
      <x:c r="AA363" s="119"/>
      <x:c r="AB363" s="119">
        <x:v>264</x:v>
      </x:c>
      <x:c r="AC363" s="119"/>
      <x:c r="AD363" s="119"/>
      <x:c r="AE363" s="119"/>
    </x:row>
    <x:row r="364" spans="27:31">
      <x:c r="AA364" s="119"/>
      <x:c r="AB364" s="119">
        <x:v>265</x:v>
      </x:c>
      <x:c r="AC364" s="119"/>
      <x:c r="AD364" s="119"/>
      <x:c r="AE364" s="119"/>
    </x:row>
    <x:row r="365" spans="27:31">
      <x:c r="AA365" s="119"/>
      <x:c r="AB365" s="119">
        <x:v>266</x:v>
      </x:c>
      <x:c r="AC365" s="119"/>
      <x:c r="AD365" s="119"/>
      <x:c r="AE365" s="119"/>
    </x:row>
    <x:row r="366" spans="27:31">
      <x:c r="AA366" s="119"/>
      <x:c r="AB366" s="119">
        <x:v>267</x:v>
      </x:c>
      <x:c r="AC366" s="119"/>
      <x:c r="AD366" s="119"/>
      <x:c r="AE366" s="119"/>
    </x:row>
    <x:row r="367" spans="27:31">
      <x:c r="AA367" s="119"/>
      <x:c r="AB367" s="119">
        <x:v>268</x:v>
      </x:c>
      <x:c r="AC367" s="119"/>
      <x:c r="AD367" s="119"/>
      <x:c r="AE367" s="119"/>
    </x:row>
    <x:row r="368" spans="27:31">
      <x:c r="AA368" s="119"/>
      <x:c r="AB368" s="119">
        <x:v>269</x:v>
      </x:c>
      <x:c r="AC368" s="119"/>
      <x:c r="AD368" s="119"/>
      <x:c r="AE368" s="119"/>
    </x:row>
    <x:row r="369" spans="27:31">
      <x:c r="AA369" s="119"/>
      <x:c r="AB369" s="119">
        <x:v>270</x:v>
      </x:c>
      <x:c r="AC369" s="119"/>
      <x:c r="AD369" s="119"/>
      <x:c r="AE369" s="119"/>
    </x:row>
    <x:row r="370" spans="27:31">
      <x:c r="AA370" s="119"/>
      <x:c r="AB370" s="119">
        <x:v>271</x:v>
      </x:c>
      <x:c r="AC370" s="119"/>
      <x:c r="AD370" s="119"/>
      <x:c r="AE370" s="119"/>
    </x:row>
    <x:row r="371" spans="27:31">
      <x:c r="AA371" s="119"/>
      <x:c r="AB371" s="119">
        <x:v>272</x:v>
      </x:c>
      <x:c r="AC371" s="119"/>
      <x:c r="AD371" s="119"/>
      <x:c r="AE371" s="119"/>
    </x:row>
    <x:row r="372" spans="27:31">
      <x:c r="AA372" s="119"/>
      <x:c r="AB372" s="119">
        <x:v>273</x:v>
      </x:c>
      <x:c r="AC372" s="119"/>
      <x:c r="AD372" s="119"/>
      <x:c r="AE372" s="119"/>
    </x:row>
    <x:row r="373" spans="27:31">
      <x:c r="AA373" s="119"/>
      <x:c r="AB373" s="119">
        <x:v>274</x:v>
      </x:c>
      <x:c r="AC373" s="119"/>
      <x:c r="AD373" s="119"/>
      <x:c r="AE373" s="119"/>
    </x:row>
    <x:row r="374" spans="27:31">
      <x:c r="AA374" s="119"/>
      <x:c r="AB374" s="119">
        <x:v>275</x:v>
      </x:c>
      <x:c r="AC374" s="119"/>
      <x:c r="AD374" s="119"/>
      <x:c r="AE374" s="119"/>
    </x:row>
    <x:row r="375" spans="27:31">
      <x:c r="AA375" s="119"/>
      <x:c r="AB375" s="119">
        <x:v>276</x:v>
      </x:c>
      <x:c r="AC375" s="119"/>
      <x:c r="AD375" s="119"/>
      <x:c r="AE375" s="119"/>
    </x:row>
    <x:row r="376" spans="27:31">
      <x:c r="AA376" s="119"/>
      <x:c r="AB376" s="119">
        <x:v>277</x:v>
      </x:c>
      <x:c r="AC376" s="119"/>
      <x:c r="AD376" s="119"/>
      <x:c r="AE376" s="119"/>
    </x:row>
    <x:row r="377" spans="27:31">
      <x:c r="AA377" s="119"/>
      <x:c r="AB377" s="119">
        <x:v>278</x:v>
      </x:c>
      <x:c r="AC377" s="119"/>
      <x:c r="AD377" s="119"/>
      <x:c r="AE377" s="119"/>
    </x:row>
    <x:row r="378" spans="27:31">
      <x:c r="AA378" s="119"/>
      <x:c r="AB378" s="119">
        <x:v>279</x:v>
      </x:c>
      <x:c r="AC378" s="119"/>
      <x:c r="AD378" s="119"/>
      <x:c r="AE378" s="119"/>
    </x:row>
    <x:row r="379" spans="27:31">
      <x:c r="AA379" s="119"/>
      <x:c r="AB379" s="119">
        <x:v>280</x:v>
      </x:c>
      <x:c r="AC379" s="119"/>
      <x:c r="AD379" s="119"/>
      <x:c r="AE379" s="119"/>
    </x:row>
    <x:row r="380" spans="27:31">
      <x:c r="AA380" s="119"/>
      <x:c r="AB380" s="119">
        <x:v>281</x:v>
      </x:c>
      <x:c r="AC380" s="119"/>
      <x:c r="AD380" s="119"/>
      <x:c r="AE380" s="119"/>
    </x:row>
    <x:row r="381" spans="27:31">
      <x:c r="AA381" s="119"/>
      <x:c r="AB381" s="119">
        <x:v>282</x:v>
      </x:c>
      <x:c r="AC381" s="119"/>
      <x:c r="AD381" s="119"/>
      <x:c r="AE381" s="119"/>
    </x:row>
    <x:row r="382" spans="27:31">
      <x:c r="AA382" s="119"/>
      <x:c r="AB382" s="119">
        <x:v>283</x:v>
      </x:c>
      <x:c r="AC382" s="119"/>
      <x:c r="AD382" s="119"/>
      <x:c r="AE382" s="119"/>
    </x:row>
    <x:row r="383" spans="27:31">
      <x:c r="AA383" s="119"/>
      <x:c r="AB383" s="119">
        <x:v>284</x:v>
      </x:c>
      <x:c r="AC383" s="119"/>
      <x:c r="AD383" s="119"/>
      <x:c r="AE383" s="119"/>
    </x:row>
    <x:row r="384" spans="27:31">
      <x:c r="AA384" s="119"/>
      <x:c r="AB384" s="119">
        <x:v>285</x:v>
      </x:c>
      <x:c r="AC384" s="119"/>
      <x:c r="AD384" s="119"/>
      <x:c r="AE384" s="119"/>
    </x:row>
    <x:row r="385" spans="27:31">
      <x:c r="AA385" s="119"/>
      <x:c r="AB385" s="119">
        <x:v>286</x:v>
      </x:c>
      <x:c r="AC385" s="119"/>
      <x:c r="AD385" s="119"/>
      <x:c r="AE385" s="119"/>
    </x:row>
    <x:row r="386" spans="27:31">
      <x:c r="AA386" s="119"/>
      <x:c r="AB386" s="119">
        <x:v>287</x:v>
      </x:c>
      <x:c r="AC386" s="119"/>
      <x:c r="AD386" s="119"/>
      <x:c r="AE386" s="119"/>
    </x:row>
    <x:row r="387" spans="27:31">
      <x:c r="AA387" s="119"/>
      <x:c r="AB387" s="119">
        <x:v>288</x:v>
      </x:c>
      <x:c r="AC387" s="119"/>
      <x:c r="AD387" s="119"/>
      <x:c r="AE387" s="119"/>
    </x:row>
    <x:row r="388" spans="27:31">
      <x:c r="AA388" s="119"/>
      <x:c r="AB388" s="119">
        <x:v>289</x:v>
      </x:c>
      <x:c r="AC388" s="119"/>
      <x:c r="AD388" s="119"/>
      <x:c r="AE388" s="119"/>
    </x:row>
    <x:row r="389" spans="27:31">
      <x:c r="AA389" s="119"/>
      <x:c r="AB389" s="119">
        <x:v>290</x:v>
      </x:c>
      <x:c r="AC389" s="119"/>
      <x:c r="AD389" s="119"/>
      <x:c r="AE389" s="119"/>
    </x:row>
    <x:row r="390" spans="27:31">
      <x:c r="AA390" s="119"/>
      <x:c r="AB390" s="119">
        <x:v>291</x:v>
      </x:c>
      <x:c r="AC390" s="119"/>
      <x:c r="AD390" s="119"/>
      <x:c r="AE390" s="119"/>
    </x:row>
    <x:row r="391" spans="27:31">
      <x:c r="AA391" s="119"/>
      <x:c r="AB391" s="119">
        <x:v>292</x:v>
      </x:c>
      <x:c r="AC391" s="119"/>
      <x:c r="AD391" s="119"/>
      <x:c r="AE391" s="119"/>
    </x:row>
    <x:row r="392" spans="27:31">
      <x:c r="AA392" s="119"/>
      <x:c r="AB392" s="119">
        <x:v>293</x:v>
      </x:c>
      <x:c r="AC392" s="119"/>
      <x:c r="AD392" s="119"/>
      <x:c r="AE392" s="119"/>
    </x:row>
    <x:row r="393" spans="27:31">
      <x:c r="AA393" s="119"/>
      <x:c r="AB393" s="119">
        <x:v>294</x:v>
      </x:c>
      <x:c r="AC393" s="119"/>
      <x:c r="AD393" s="119"/>
      <x:c r="AE393" s="119"/>
    </x:row>
    <x:row r="394" spans="27:31">
      <x:c r="AA394" s="119"/>
      <x:c r="AB394" s="119">
        <x:v>295</x:v>
      </x:c>
      <x:c r="AC394" s="119"/>
      <x:c r="AD394" s="119"/>
      <x:c r="AE394" s="119"/>
    </x:row>
    <x:row r="395" spans="27:31">
      <x:c r="AA395" s="119"/>
      <x:c r="AB395" s="119">
        <x:v>296</x:v>
      </x:c>
      <x:c r="AC395" s="119"/>
      <x:c r="AD395" s="119"/>
      <x:c r="AE395" s="119"/>
    </x:row>
    <x:row r="396" spans="27:31">
      <x:c r="AA396" s="119"/>
      <x:c r="AB396" s="119">
        <x:v>297</x:v>
      </x:c>
      <x:c r="AC396" s="119"/>
      <x:c r="AD396" s="119"/>
      <x:c r="AE396" s="119"/>
    </x:row>
    <x:row r="397" spans="27:31">
      <x:c r="AA397" s="119"/>
      <x:c r="AB397" s="119">
        <x:v>298</x:v>
      </x:c>
      <x:c r="AC397" s="119"/>
      <x:c r="AD397" s="119"/>
      <x:c r="AE397" s="119"/>
    </x:row>
    <x:row r="398" spans="27:31">
      <x:c r="AA398" s="119"/>
      <x:c r="AB398" s="119">
        <x:v>299</x:v>
      </x:c>
      <x:c r="AC398" s="119"/>
      <x:c r="AD398" s="119"/>
      <x:c r="AE398" s="119"/>
    </x:row>
    <x:row r="399" spans="27:31">
      <x:c r="AA399" s="119"/>
      <x:c r="AB399" s="119">
        <x:v>300</x:v>
      </x:c>
      <x:c r="AC399" s="119"/>
      <x:c r="AD399" s="119"/>
      <x:c r="AE399" s="119"/>
    </x:row>
    <x:row r="400" spans="27:31">
      <x:c r="AA400" s="119"/>
      <x:c r="AB400" s="119">
        <x:v>301</x:v>
      </x:c>
      <x:c r="AC400" s="119"/>
      <x:c r="AD400" s="119"/>
      <x:c r="AE400" s="119"/>
    </x:row>
    <x:row r="401" spans="27:31">
      <x:c r="AA401" s="119"/>
      <x:c r="AB401" s="119">
        <x:v>302</x:v>
      </x:c>
      <x:c r="AC401" s="119"/>
      <x:c r="AD401" s="119"/>
      <x:c r="AE401" s="119"/>
    </x:row>
    <x:row r="402" spans="27:31">
      <x:c r="AA402" s="119"/>
      <x:c r="AB402" s="119">
        <x:v>303</x:v>
      </x:c>
      <x:c r="AC402" s="119"/>
      <x:c r="AD402" s="119"/>
      <x:c r="AE402" s="119"/>
    </x:row>
    <x:row r="403" spans="27:31">
      <x:c r="AA403" s="119"/>
      <x:c r="AB403" s="119">
        <x:v>304</x:v>
      </x:c>
      <x:c r="AC403" s="119"/>
      <x:c r="AD403" s="119"/>
      <x:c r="AE403" s="119"/>
    </x:row>
    <x:row r="404" spans="27:31">
      <x:c r="AA404" s="119"/>
      <x:c r="AB404" s="119">
        <x:v>305</x:v>
      </x:c>
      <x:c r="AC404" s="119"/>
      <x:c r="AD404" s="119"/>
      <x:c r="AE404" s="119"/>
    </x:row>
    <x:row r="405" spans="27:31">
      <x:c r="AA405" s="119"/>
      <x:c r="AB405" s="119">
        <x:v>306</x:v>
      </x:c>
      <x:c r="AC405" s="119"/>
      <x:c r="AD405" s="119"/>
      <x:c r="AE405" s="119"/>
    </x:row>
  </x:sheetData>
  <x:mergeCells count="133">
    <x:mergeCell ref="B1:R1"/>
    <x:mergeCell ref="B2:R2"/>
    <x:mergeCell ref="B4:G4"/>
    <x:mergeCell ref="M4:R4"/>
    <x:mergeCell ref="B5:G5"/>
    <x:mergeCell ref="M5:O5"/>
    <x:mergeCell ref="P5:R5"/>
    <x:mergeCell ref="M6:R6"/>
    <x:mergeCell ref="B7:G15"/>
    <x:mergeCell ref="M7:R15"/>
    <x:mergeCell ref="I8:K10"/>
    <x:mergeCell ref="I11:K12"/>
    <x:mergeCell ref="B16:C16"/>
    <x:mergeCell ref="D16:G16"/>
    <x:mergeCell ref="M16:N16"/>
    <x:mergeCell ref="O16:R16"/>
    <x:mergeCell ref="B17:C17"/>
    <x:mergeCell ref="D17:G17"/>
    <x:mergeCell ref="M17:N17"/>
    <x:mergeCell ref="O17:R17"/>
    <x:mergeCell ref="B18:C18"/>
    <x:mergeCell ref="D18:G18"/>
    <x:mergeCell ref="M18:N18"/>
    <x:mergeCell ref="O18:R18"/>
    <x:mergeCell ref="B20:R20"/>
    <x:mergeCell ref="B22:C22"/>
    <x:mergeCell ref="D22:G22"/>
    <x:mergeCell ref="M22:N22"/>
    <x:mergeCell ref="O22:R22"/>
    <x:mergeCell ref="B23:C23"/>
    <x:mergeCell ref="D23:G23"/>
    <x:mergeCell ref="M23:N23"/>
    <x:mergeCell ref="O23:R23"/>
    <x:mergeCell ref="B24:C24"/>
    <x:mergeCell ref="D24:G24"/>
    <x:mergeCell ref="M24:N24"/>
    <x:mergeCell ref="O24:R24"/>
    <x:mergeCell ref="B25:C25"/>
    <x:mergeCell ref="D25:G25"/>
    <x:mergeCell ref="M25:N25"/>
    <x:mergeCell ref="O25:R25"/>
    <x:mergeCell ref="B26:C26"/>
    <x:mergeCell ref="D26:G26"/>
    <x:mergeCell ref="B27:C27"/>
    <x:mergeCell ref="D27:G27"/>
    <x:mergeCell ref="B28:C28"/>
    <x:mergeCell ref="D28:G28"/>
    <x:mergeCell ref="B31:R31"/>
    <x:mergeCell ref="B32:F32"/>
    <x:mergeCell ref="H32:L32"/>
    <x:mergeCell ref="M32:R32"/>
    <x:mergeCell ref="B33:F33"/>
    <x:mergeCell ref="H33:L33"/>
    <x:mergeCell ref="B35:G35"/>
    <x:mergeCell ref="H35:L40"/>
    <x:mergeCell ref="M35:R35"/>
    <x:mergeCell ref="B36:D36"/>
    <x:mergeCell ref="E36:G36"/>
    <x:mergeCell ref="M36:O36"/>
    <x:mergeCell ref="P36:R36"/>
    <x:mergeCell ref="B37:D37"/>
    <x:mergeCell ref="E37:G37"/>
    <x:mergeCell ref="M37:O37"/>
    <x:mergeCell ref="P37:R37"/>
    <x:mergeCell ref="B38:D38"/>
    <x:mergeCell ref="E38:G38"/>
    <x:mergeCell ref="M38:O38"/>
    <x:mergeCell ref="P38:R38"/>
    <x:mergeCell ref="B39:D39"/>
    <x:mergeCell ref="E39:G39"/>
    <x:mergeCell ref="M39:O39"/>
    <x:mergeCell ref="P39:R39"/>
    <x:mergeCell ref="B40:G40"/>
    <x:mergeCell ref="M40:R40"/>
    <x:mergeCell ref="B43:R43"/>
    <x:mergeCell ref="B44:G44"/>
    <x:mergeCell ref="M44:R44"/>
    <x:mergeCell ref="B45:E45"/>
    <x:mergeCell ref="F45:G45"/>
    <x:mergeCell ref="M45:O45"/>
    <x:mergeCell ref="P45:R45"/>
    <x:mergeCell ref="B46:E46"/>
    <x:mergeCell ref="F46:G46"/>
    <x:mergeCell ref="M46:O46"/>
    <x:mergeCell ref="P46:R46"/>
    <x:mergeCell ref="B47:E47"/>
    <x:mergeCell ref="F47:G47"/>
    <x:mergeCell ref="M47:O47"/>
    <x:mergeCell ref="P47:R47"/>
    <x:mergeCell ref="B48:E48"/>
    <x:mergeCell ref="F48:G48"/>
    <x:mergeCell ref="M48:O48"/>
    <x:mergeCell ref="P48:R48"/>
    <x:mergeCell ref="B50:G50"/>
    <x:mergeCell ref="M50:R50"/>
    <x:mergeCell ref="B51:C51"/>
    <x:mergeCell ref="D51:G51"/>
    <x:mergeCell ref="M51:N51"/>
    <x:mergeCell ref="O51:R51"/>
    <x:mergeCell ref="B52:C52"/>
    <x:mergeCell ref="D52:G52"/>
    <x:mergeCell ref="M52:N52"/>
    <x:mergeCell ref="O52:R52"/>
    <x:mergeCell ref="B54:C54"/>
    <x:mergeCell ref="D54:G54"/>
    <x:mergeCell ref="M54:N54"/>
    <x:mergeCell ref="O54:R54"/>
    <x:mergeCell ref="B55:C55"/>
    <x:mergeCell ref="D55:G55"/>
    <x:mergeCell ref="M55:N55"/>
    <x:mergeCell ref="O55:R55"/>
    <x:mergeCell ref="B56:C56"/>
    <x:mergeCell ref="D56:G56"/>
    <x:mergeCell ref="M56:N56"/>
    <x:mergeCell ref="O56:R56"/>
    <x:mergeCell ref="B57:C57"/>
    <x:mergeCell ref="D57:G57"/>
    <x:mergeCell ref="M57:N57"/>
    <x:mergeCell ref="O57:R57"/>
    <x:mergeCell ref="B58:C58"/>
    <x:mergeCell ref="D58:G58"/>
    <x:mergeCell ref="M58:N58"/>
    <x:mergeCell ref="O58:R58"/>
    <x:mergeCell ref="B59:C59"/>
    <x:mergeCell ref="D59:G59"/>
    <x:mergeCell ref="M59:N59"/>
    <x:mergeCell ref="O59:R59"/>
    <x:mergeCell ref="B62:R62"/>
    <x:mergeCell ref="B63:F63"/>
    <x:mergeCell ref="G63:R63"/>
    <x:mergeCell ref="B65:F65"/>
    <x:mergeCell ref="G65:R67"/>
    <x:mergeCell ref="B69:R70"/>
  </x:mergeCells>
  <x:conditionalFormatting sqref="I22:K22">
    <x:cfRule type="dataBar" priority="1">
      <x:dataBar>
        <x:cfvo type="min"/>
        <x:cfvo type="max"/>
        <x:color rgb="ff9b6cff"/>
      </x:dataBar>
      <x:extLst>
        <x:ext xmlns:x14="http://schemas.microsoft.com/office/spreadsheetml/2009/9/main" uri="{B025F937-C7B1-47D3-B67F-A62EFF666E3E}">
          <x14:id>{5EA673A8-27F5-4D5D-80A4-959E31E134AC}</x14:id>
        </x:ext>
      </x:extLst>
    </x:cfRule>
  </x:conditionalFormatting>
  <x:conditionalFormatting sqref="I23:K23">
    <x:cfRule type="dataBar" priority="2">
      <x:dataBar>
        <x:cfvo type="min"/>
        <x:cfvo type="max"/>
        <x:color rgb="ff55d6e8"/>
      </x:dataBar>
      <x:extLst>
        <x:ext xmlns:x14="http://schemas.microsoft.com/office/spreadsheetml/2009/9/main" uri="{B025F937-C7B1-47D3-B67F-A62EFF666E3E}">
          <x14:id>{68B627D9-F237-484A-ADAD-65B78EA14FC1}</x14:id>
        </x:ext>
      </x:extLst>
    </x:cfRule>
  </x:conditionalFormatting>
  <x:conditionalFormatting sqref="B40:G40">
    <x:cfRule type="expression" dxfId="13" priority="3">
      <x:formula>$E$39&lt;0</x:formula>
    </x:cfRule>
  </x:conditionalFormatting>
  <x:conditionalFormatting sqref="M40:R40">
    <x:cfRule type="expression" dxfId="12" priority="4">
      <x:formula>$P$39&gt;0</x:formula>
    </x:cfRule>
  </x:conditionalFormatting>
  <x:conditionalFormatting sqref="I22:K22">
    <x:cfRule type="dataBar" priority="6">
      <x:dataBar>
        <x:cfvo type="min"/>
        <x:cfvo type="max"/>
        <x:color rgb="ff9b6cff"/>
      </x:dataBar>
      <x:extLst>
        <x:ext xmlns:x14="http://schemas.microsoft.com/office/spreadsheetml/2009/9/main" uri="{B025F937-C7B1-47D3-B67F-A62EFF666E3E}">
          <x14:id>{FBF9611F-FE48-4FE9-A043-9822533ADC1C}</x14:id>
        </x:ext>
      </x:extLst>
    </x:cfRule>
  </x:conditionalFormatting>
  <x:conditionalFormatting sqref="I23:K23">
    <x:cfRule type="dataBar" priority="6">
      <x:dataBar>
        <x:cfvo type="min"/>
        <x:cfvo type="max"/>
        <x:color rgb="ff55d6e8"/>
      </x:dataBar>
      <x:extLst>
        <x:ext xmlns:x14="http://schemas.microsoft.com/office/spreadsheetml/2009/9/main" uri="{B025F937-C7B1-47D3-B67F-A62EFF666E3E}">
          <x14:id>{670ACF7E-7599-4166-9644-B91F4B1BB709}</x14:id>
        </x:ext>
      </x:extLst>
    </x:cfRule>
  </x:conditionalFormatting>
  <x:conditionalFormatting sqref="I22:K22">
    <x:cfRule type="dataBar" priority="5">
      <x:dataBar>
        <x:cfvo type="min"/>
        <x:cfvo type="max"/>
        <x:color auto="1"/>
      </x:dataBar>
      <x:extLst>
        <x:ext xmlns:x14="http://schemas.microsoft.com/office/spreadsheetml/2009/9/main" uri="{B025F937-C7B1-47D3-B67F-A62EFF666E3E}">
          <x14:id>{B695D419-206E-4699-89D8-0A11F671A32A}</x14:id>
        </x:ext>
      </x:extLst>
    </x:cfRule>
  </x:conditionalFormatting>
  <x:conditionalFormatting sqref="I23:K23">
    <x:cfRule type="dataBar" priority="7">
      <x:dataBar>
        <x:cfvo type="min"/>
        <x:cfvo type="max"/>
        <x:color auto="1"/>
      </x:dataBar>
      <x:extLst>
        <x:ext xmlns:x14="http://schemas.microsoft.com/office/spreadsheetml/2009/9/main" uri="{B025F937-C7B1-47D3-B67F-A62EFF666E3E}">
          <x14:id>{D5B823CA-778E-4D4A-A913-4E03CEA7B1B3}</x14:id>
        </x:ext>
      </x:extLst>
    </x:cfRule>
  </x:conditionalFormatting>
  <x:dataValidations count="5">
    <x:dataValidation type="list" sqref="B5:B5">
      <x:formula1>$AA$100:$AA$142</x:formula1>
    </x:dataValidation>
    <x:dataValidation type="list" sqref="P5:P5">
      <x:formula1>$AB$100:$AB$405</x:formula1>
    </x:dataValidation>
    <x:dataValidation type="list" sqref="B33:B33 M33:M33">
      <x:formula1>$AC$100:$AC$103</x:formula1>
    </x:dataValidation>
    <x:dataValidation type="list" sqref="B50:B50">
      <x:formula1>$AE$100:$AE$103</x:formula1>
    </x:dataValidation>
    <x:dataValidation type="list" sqref="M50:M50">
      <x:formula1>$AD$100:$AD$131</x:formula1>
    </x:dataValidation>
  </x:dataValidation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A673A8-27F5-4D5D-80A4-959E31E134AC}">
            <x14:dataBar direction="leftToRight">
              <x14:cfvo type="min"/>
              <x14:cfvo type="max"/>
            </x14:dataBar>
          </x14:cfRule>
          <xm:sqref>I22:K22</xm:sqref>
        </x14:conditionalFormatting>
        <x14:conditionalFormatting xmlns:xm="http://schemas.microsoft.com/office/excel/2006/main">
          <x14:cfRule type="dataBar" id="{68B627D9-F237-484A-ADAD-65B78EA14FC1}">
            <x14:dataBar direction="leftToRight">
              <x14:cfvo type="min"/>
              <x14:cfvo type="max"/>
            </x14:dataBar>
          </x14:cfRule>
          <xm:sqref>I23:K23</xm:sqref>
        </x14:conditionalFormatting>
        <x14:conditionalFormatting xmlns:xm="http://schemas.microsoft.com/office/excel/2006/main">
          <x14:cfRule type="dataBar" id="{FBF9611F-FE48-4FE9-A043-9822533ADC1C}">
            <x14:dataBar direction="leftToRight">
              <x14:cfvo type="min"/>
              <x14:cfvo type="max"/>
            </x14:dataBar>
          </x14:cfRule>
          <xm:sqref>I22:K22</xm:sqref>
        </x14:conditionalFormatting>
        <x14:conditionalFormatting xmlns:xm="http://schemas.microsoft.com/office/excel/2006/main">
          <x14:cfRule type="dataBar" id="{670ACF7E-7599-4166-9644-B91F4B1BB709}">
            <x14:dataBar direction="leftToRight">
              <x14:cfvo type="min"/>
              <x14:cfvo type="max"/>
            </x14:dataBar>
          </x14:cfRule>
          <xm:sqref>I23:K23</xm:sqref>
        </x14:conditionalFormatting>
        <x14:conditionalFormatting xmlns:xm="http://schemas.microsoft.com/office/excel/2006/main">
          <x14:cfRule type="dataBar" id="{B695D419-206E-4699-89D8-0A11F671A32A}">
            <x14:dataBar direction="leftToRight">
              <x14:cfvo type="min"/>
              <x14:cfvo type="max"/>
            </x14:dataBar>
          </x14:cfRule>
          <xm:sqref>I22:K22</xm:sqref>
        </x14:conditionalFormatting>
        <x14:conditionalFormatting xmlns:xm="http://schemas.microsoft.com/office/excel/2006/main">
          <x14:cfRule type="dataBar" id="{D5B823CA-778E-4D4A-A913-4E03CEA7B1B3}">
            <x14:dataBar direction="leftToRight">
              <x14:cfvo type="min"/>
              <x14:cfvo type="max"/>
            </x14:dataBar>
          </x14:cfRule>
          <xm:sqref>I23:K23</xm:sqref>
        </x14:conditionalFormatting>
      </x14:conditionalFormattings>
    </x:ext>
  </x:extLst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시뮬레이터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82103</dc:creator>
  <cp:lastModifiedBy>82103</cp:lastModifiedBy>
  <cp:revision>1</cp:revision>
  <dcterms:created xsi:type="dcterms:W3CDTF">2026-08-10T02:38:21.031</dcterms:created>
  <dcterms:modified xsi:type="dcterms:W3CDTF">2026-08-10T02:38:37.759</dcterms:modified>
  <cp:version>1200.0100.01</cp:version>
</cp:coreProperties>
</file>
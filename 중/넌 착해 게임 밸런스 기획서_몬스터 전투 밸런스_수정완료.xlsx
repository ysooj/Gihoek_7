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istrator\Desktop\Gihoek_7\중\"/>
    </mc:Choice>
  </mc:AlternateContent>
  <xr:revisionPtr revIDLastSave="0" documentId="13_ncr:1_{720E9191-2FD7-45D3-93C6-7056FDCCB5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밸런스 문서" sheetId="1" r:id="rId1"/>
    <sheet name="밸런스 팩터" sheetId="2" r:id="rId2"/>
    <sheet name="작성 기준" sheetId="3" r:id="rId3"/>
    <sheet name="밸런스 곡선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4" l="1"/>
  <c r="D10" i="4"/>
  <c r="C10" i="4"/>
  <c r="D9" i="4"/>
  <c r="C9" i="4"/>
  <c r="D8" i="4"/>
  <c r="C8" i="4"/>
  <c r="D7" i="4"/>
  <c r="C7" i="4"/>
  <c r="D6" i="4"/>
  <c r="C6" i="4"/>
  <c r="J3" i="4"/>
  <c r="H3" i="4"/>
  <c r="F3" i="4"/>
  <c r="D3" i="4"/>
  <c r="B3" i="4"/>
  <c r="U124" i="1"/>
  <c r="S124" i="1"/>
  <c r="U123" i="1"/>
  <c r="S123" i="1"/>
  <c r="U122" i="1"/>
  <c r="S122" i="1"/>
  <c r="U121" i="1"/>
  <c r="S121" i="1"/>
  <c r="U120" i="1"/>
  <c r="S120" i="1"/>
  <c r="U119" i="1"/>
  <c r="S119" i="1"/>
  <c r="U118" i="1"/>
  <c r="S118" i="1"/>
  <c r="R118" i="1"/>
  <c r="U117" i="1"/>
  <c r="S117" i="1"/>
  <c r="U116" i="1"/>
  <c r="S116" i="1"/>
  <c r="U115" i="1"/>
  <c r="S115" i="1"/>
  <c r="U114" i="1"/>
  <c r="S114" i="1"/>
  <c r="U113" i="1"/>
  <c r="U112" i="1"/>
  <c r="S112" i="1"/>
  <c r="U111" i="1"/>
  <c r="S111" i="1"/>
  <c r="U110" i="1"/>
  <c r="S110" i="1"/>
  <c r="U109" i="1"/>
  <c r="S109" i="1"/>
  <c r="U108" i="1"/>
  <c r="S108" i="1"/>
  <c r="U107" i="1"/>
  <c r="S107" i="1"/>
  <c r="U106" i="1"/>
  <c r="S106" i="1"/>
  <c r="U105" i="1"/>
  <c r="S105" i="1"/>
  <c r="U104" i="1"/>
  <c r="S104" i="1"/>
  <c r="U103" i="1"/>
  <c r="S103" i="1"/>
  <c r="U102" i="1"/>
  <c r="S102" i="1"/>
  <c r="R102" i="1"/>
  <c r="U101" i="1"/>
  <c r="S101" i="1"/>
  <c r="U100" i="1"/>
  <c r="S100" i="1"/>
  <c r="U99" i="1"/>
  <c r="U98" i="1"/>
  <c r="S98" i="1"/>
  <c r="U97" i="1"/>
  <c r="U96" i="1"/>
  <c r="S96" i="1"/>
  <c r="U95" i="1"/>
  <c r="S95" i="1"/>
  <c r="U94" i="1"/>
  <c r="R94" i="1"/>
  <c r="S94" i="1" s="1"/>
  <c r="U93" i="1"/>
  <c r="S93" i="1"/>
  <c r="U92" i="1"/>
  <c r="S92" i="1"/>
  <c r="U91" i="1"/>
  <c r="U90" i="1"/>
  <c r="S90" i="1"/>
  <c r="U89" i="1"/>
  <c r="S89" i="1"/>
  <c r="U88" i="1"/>
  <c r="U87" i="1"/>
  <c r="S87" i="1"/>
  <c r="U86" i="1"/>
  <c r="S86" i="1"/>
  <c r="R86" i="1"/>
  <c r="U85" i="1"/>
  <c r="S85" i="1"/>
  <c r="U84" i="1"/>
  <c r="S84" i="1"/>
  <c r="U83" i="1"/>
  <c r="U82" i="1"/>
  <c r="S82" i="1"/>
  <c r="U81" i="1"/>
  <c r="S81" i="1"/>
  <c r="U80" i="1"/>
  <c r="S80" i="1"/>
  <c r="U79" i="1"/>
  <c r="S79" i="1"/>
  <c r="U78" i="1"/>
  <c r="S78" i="1"/>
  <c r="U77" i="1"/>
  <c r="S77" i="1"/>
  <c r="U76" i="1"/>
  <c r="S76" i="1"/>
  <c r="U75" i="1"/>
  <c r="U74" i="1"/>
  <c r="U73" i="1"/>
  <c r="S73" i="1"/>
  <c r="U72" i="1"/>
  <c r="U71" i="1"/>
  <c r="U70" i="1"/>
  <c r="U69" i="1"/>
  <c r="S69" i="1"/>
  <c r="U68" i="1"/>
  <c r="S68" i="1"/>
  <c r="U67" i="1"/>
  <c r="S67" i="1"/>
  <c r="U66" i="1"/>
  <c r="S66" i="1"/>
  <c r="U65" i="1"/>
  <c r="S65" i="1"/>
  <c r="U64" i="1"/>
  <c r="S64" i="1"/>
  <c r="U63" i="1"/>
  <c r="S63" i="1"/>
  <c r="U62" i="1"/>
  <c r="S62" i="1"/>
  <c r="R62" i="1"/>
  <c r="U61" i="1"/>
  <c r="S61" i="1"/>
  <c r="U60" i="1"/>
  <c r="S60" i="1"/>
  <c r="U59" i="1"/>
  <c r="S59" i="1"/>
  <c r="U58" i="1"/>
  <c r="S58" i="1"/>
  <c r="R58" i="1"/>
  <c r="U57" i="1"/>
  <c r="S57" i="1"/>
  <c r="U56" i="1"/>
  <c r="S56" i="1"/>
  <c r="U55" i="1"/>
  <c r="S55" i="1"/>
  <c r="U54" i="1"/>
  <c r="S54" i="1"/>
  <c r="U53" i="1"/>
  <c r="S53" i="1"/>
  <c r="U52" i="1"/>
  <c r="S52" i="1"/>
  <c r="U51" i="1"/>
  <c r="S51" i="1"/>
  <c r="U50" i="1"/>
  <c r="S50" i="1"/>
  <c r="U49" i="1"/>
  <c r="S49" i="1"/>
  <c r="U48" i="1"/>
  <c r="S48" i="1"/>
  <c r="U47" i="1"/>
  <c r="S47" i="1"/>
  <c r="U46" i="1"/>
  <c r="S46" i="1"/>
  <c r="R46" i="1"/>
  <c r="U45" i="1"/>
  <c r="S45" i="1"/>
  <c r="U44" i="1"/>
  <c r="S44" i="1"/>
  <c r="U43" i="1"/>
  <c r="S43" i="1"/>
  <c r="U42" i="1"/>
  <c r="S42" i="1"/>
  <c r="R42" i="1"/>
  <c r="U41" i="1"/>
  <c r="S41" i="1"/>
  <c r="U40" i="1"/>
  <c r="S40" i="1"/>
  <c r="U39" i="1"/>
  <c r="S39" i="1"/>
  <c r="U38" i="1"/>
  <c r="S38" i="1"/>
  <c r="U37" i="1"/>
  <c r="S37" i="1"/>
  <c r="U36" i="1"/>
  <c r="S36" i="1"/>
  <c r="U35" i="1"/>
  <c r="S35" i="1"/>
  <c r="U34" i="1"/>
  <c r="S34" i="1"/>
  <c r="U33" i="1"/>
  <c r="S33" i="1"/>
  <c r="U32" i="1"/>
  <c r="S32" i="1"/>
  <c r="U31" i="1"/>
  <c r="S31" i="1"/>
  <c r="U30" i="1"/>
  <c r="S30" i="1"/>
  <c r="R30" i="1"/>
  <c r="U29" i="1"/>
  <c r="S29" i="1"/>
  <c r="U28" i="1"/>
  <c r="S28" i="1"/>
  <c r="U27" i="1"/>
  <c r="S27" i="1"/>
  <c r="U26" i="1"/>
  <c r="S26" i="1"/>
  <c r="R26" i="1"/>
  <c r="U25" i="1"/>
  <c r="S25" i="1"/>
  <c r="U24" i="1"/>
  <c r="S24" i="1"/>
  <c r="R24" i="1"/>
  <c r="U23" i="1"/>
  <c r="S23" i="1"/>
  <c r="U22" i="1"/>
  <c r="S22" i="1"/>
  <c r="U21" i="1"/>
  <c r="S21" i="1"/>
  <c r="R21" i="1"/>
  <c r="U20" i="1"/>
  <c r="S20" i="1"/>
  <c r="R20" i="1"/>
  <c r="U19" i="1"/>
  <c r="S19" i="1"/>
  <c r="U18" i="1"/>
  <c r="S18" i="1"/>
  <c r="U17" i="1"/>
  <c r="S17" i="1"/>
  <c r="R17" i="1"/>
  <c r="U16" i="1"/>
  <c r="S16" i="1"/>
  <c r="R16" i="1"/>
  <c r="U15" i="1"/>
  <c r="S15" i="1"/>
  <c r="U14" i="1"/>
  <c r="S14" i="1"/>
  <c r="U13" i="1"/>
  <c r="S13" i="1"/>
  <c r="R13" i="1"/>
  <c r="U12" i="1"/>
  <c r="S12" i="1"/>
  <c r="R12" i="1"/>
  <c r="U11" i="1"/>
  <c r="S11" i="1"/>
  <c r="U10" i="1"/>
  <c r="S10" i="1"/>
  <c r="U9" i="1"/>
  <c r="S9" i="1"/>
  <c r="R9" i="1"/>
  <c r="U8" i="1"/>
  <c r="S8" i="1"/>
  <c r="R8" i="1"/>
  <c r="U7" i="1"/>
  <c r="S7" i="1"/>
  <c r="U6" i="1"/>
  <c r="S6" i="1"/>
  <c r="U5" i="1"/>
  <c r="S5" i="1"/>
  <c r="R5" i="1"/>
  <c r="U4" i="1"/>
  <c r="S4" i="1"/>
  <c r="R4" i="1"/>
  <c r="U3" i="1"/>
  <c r="S3" i="1"/>
  <c r="U2" i="1"/>
  <c r="S2" i="1"/>
  <c r="P2" i="1"/>
  <c r="P3" i="1" s="1"/>
  <c r="P4" i="1" s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P51" i="1" s="1"/>
  <c r="P52" i="1" s="1"/>
  <c r="P53" i="1" s="1"/>
  <c r="P54" i="1" s="1"/>
  <c r="P55" i="1" s="1"/>
  <c r="P56" i="1" s="1"/>
  <c r="P57" i="1" s="1"/>
  <c r="P58" i="1" s="1"/>
  <c r="P59" i="1" s="1"/>
  <c r="P60" i="1" s="1"/>
  <c r="P61" i="1" s="1"/>
  <c r="P62" i="1" s="1"/>
  <c r="P63" i="1" s="1"/>
  <c r="P64" i="1" s="1"/>
  <c r="P65" i="1" s="1"/>
  <c r="P66" i="1" s="1"/>
  <c r="P67" i="1" s="1"/>
  <c r="P68" i="1" s="1"/>
  <c r="P69" i="1" s="1"/>
  <c r="P70" i="1" s="1"/>
  <c r="P71" i="1" s="1"/>
  <c r="P72" i="1" s="1"/>
  <c r="P73" i="1" s="1"/>
  <c r="P74" i="1" s="1"/>
  <c r="P75" i="1" s="1"/>
  <c r="P76" i="1" s="1"/>
  <c r="P77" i="1" s="1"/>
  <c r="P78" i="1" s="1"/>
  <c r="P79" i="1" s="1"/>
  <c r="P80" i="1" s="1"/>
  <c r="P81" i="1" s="1"/>
  <c r="P82" i="1" s="1"/>
  <c r="P83" i="1" s="1"/>
  <c r="P84" i="1" s="1"/>
  <c r="P85" i="1" s="1"/>
  <c r="P86" i="1" s="1"/>
  <c r="P87" i="1" s="1"/>
  <c r="P88" i="1" s="1"/>
  <c r="P89" i="1" s="1"/>
  <c r="P90" i="1" s="1"/>
  <c r="P91" i="1" s="1"/>
  <c r="P92" i="1" s="1"/>
  <c r="P93" i="1" s="1"/>
  <c r="P94" i="1" s="1"/>
  <c r="P95" i="1" s="1"/>
  <c r="P96" i="1" s="1"/>
  <c r="P97" i="1" s="1"/>
  <c r="P98" i="1" s="1"/>
  <c r="P99" i="1" s="1"/>
  <c r="P100" i="1" s="1"/>
  <c r="P101" i="1" s="1"/>
  <c r="P102" i="1" s="1"/>
  <c r="P103" i="1" s="1"/>
  <c r="P104" i="1" s="1"/>
  <c r="P105" i="1" s="1"/>
  <c r="P106" i="1" s="1"/>
  <c r="P107" i="1" s="1"/>
  <c r="P108" i="1" s="1"/>
  <c r="P109" i="1" s="1"/>
  <c r="P110" i="1" s="1"/>
  <c r="P111" i="1" s="1"/>
  <c r="P112" i="1" s="1"/>
  <c r="P113" i="1" s="1"/>
  <c r="P114" i="1" s="1"/>
  <c r="P115" i="1" s="1"/>
  <c r="P116" i="1" s="1"/>
  <c r="P117" i="1" s="1"/>
  <c r="P118" i="1" s="1"/>
  <c r="P119" i="1" s="1"/>
  <c r="P120" i="1" s="1"/>
  <c r="P121" i="1" s="1"/>
  <c r="P122" i="1" s="1"/>
  <c r="P123" i="1" s="1"/>
  <c r="P124" i="1" s="1"/>
  <c r="N2" i="1"/>
  <c r="N3" i="1" s="1"/>
  <c r="N4" i="1" s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N103" i="1" s="1"/>
  <c r="N104" i="1" s="1"/>
  <c r="N105" i="1" s="1"/>
  <c r="N106" i="1" s="1"/>
  <c r="N107" i="1" s="1"/>
  <c r="N108" i="1" s="1"/>
  <c r="N109" i="1" s="1"/>
  <c r="N110" i="1" s="1"/>
  <c r="N111" i="1" s="1"/>
  <c r="N112" i="1" s="1"/>
  <c r="N113" i="1" s="1"/>
  <c r="N114" i="1" s="1"/>
  <c r="N115" i="1" s="1"/>
  <c r="N116" i="1" s="1"/>
  <c r="N117" i="1" s="1"/>
  <c r="N118" i="1" s="1"/>
  <c r="N119" i="1" s="1"/>
  <c r="N120" i="1" s="1"/>
  <c r="N121" i="1" s="1"/>
  <c r="N122" i="1" s="1"/>
  <c r="N123" i="1" s="1"/>
  <c r="N124" i="1" s="1"/>
  <c r="R34" i="1"/>
  <c r="R114" i="1" l="1"/>
  <c r="F23" i="4"/>
  <c r="F34" i="4"/>
  <c r="F30" i="4"/>
  <c r="F26" i="4"/>
  <c r="F22" i="4"/>
  <c r="F18" i="4"/>
  <c r="R121" i="1"/>
  <c r="R117" i="1"/>
  <c r="R113" i="1"/>
  <c r="S113" i="1" s="1"/>
  <c r="R109" i="1"/>
  <c r="R105" i="1"/>
  <c r="R101" i="1"/>
  <c r="R97" i="1"/>
  <c r="S97" i="1" s="1"/>
  <c r="R93" i="1"/>
  <c r="R89" i="1"/>
  <c r="R85" i="1"/>
  <c r="R81" i="1"/>
  <c r="R77" i="1"/>
  <c r="R73" i="1"/>
  <c r="R69" i="1"/>
  <c r="R65" i="1"/>
  <c r="R61" i="1"/>
  <c r="R57" i="1"/>
  <c r="R53" i="1"/>
  <c r="R49" i="1"/>
  <c r="R45" i="1"/>
  <c r="R41" i="1"/>
  <c r="R37" i="1"/>
  <c r="R33" i="1"/>
  <c r="R29" i="1"/>
  <c r="R25" i="1"/>
  <c r="F33" i="4"/>
  <c r="F29" i="4"/>
  <c r="F25" i="4"/>
  <c r="F21" i="4"/>
  <c r="F17" i="4"/>
  <c r="R124" i="1"/>
  <c r="R120" i="1"/>
  <c r="R116" i="1"/>
  <c r="R112" i="1"/>
  <c r="R108" i="1"/>
  <c r="R104" i="1"/>
  <c r="R100" i="1"/>
  <c r="R96" i="1"/>
  <c r="R92" i="1"/>
  <c r="R88" i="1"/>
  <c r="S88" i="1" s="1"/>
  <c r="R84" i="1"/>
  <c r="R80" i="1"/>
  <c r="R76" i="1"/>
  <c r="R72" i="1"/>
  <c r="S72" i="1" s="1"/>
  <c r="R68" i="1"/>
  <c r="R64" i="1"/>
  <c r="R60" i="1"/>
  <c r="R56" i="1"/>
  <c r="R52" i="1"/>
  <c r="R48" i="1"/>
  <c r="R44" i="1"/>
  <c r="R40" i="1"/>
  <c r="R36" i="1"/>
  <c r="R32" i="1"/>
  <c r="R28" i="1"/>
  <c r="F32" i="4"/>
  <c r="F28" i="4"/>
  <c r="F24" i="4"/>
  <c r="F20" i="4"/>
  <c r="F16" i="4"/>
  <c r="R123" i="1"/>
  <c r="R119" i="1"/>
  <c r="R115" i="1"/>
  <c r="R111" i="1"/>
  <c r="R107" i="1"/>
  <c r="R103" i="1"/>
  <c r="R99" i="1"/>
  <c r="S99" i="1" s="1"/>
  <c r="R95" i="1"/>
  <c r="R91" i="1"/>
  <c r="S91" i="1" s="1"/>
  <c r="R87" i="1"/>
  <c r="R83" i="1"/>
  <c r="S83" i="1" s="1"/>
  <c r="R79" i="1"/>
  <c r="R75" i="1"/>
  <c r="S75" i="1" s="1"/>
  <c r="R71" i="1"/>
  <c r="S71" i="1" s="1"/>
  <c r="R67" i="1"/>
  <c r="R63" i="1"/>
  <c r="R59" i="1"/>
  <c r="R55" i="1"/>
  <c r="R51" i="1"/>
  <c r="R47" i="1"/>
  <c r="R43" i="1"/>
  <c r="R39" i="1"/>
  <c r="R35" i="1"/>
  <c r="R31" i="1"/>
  <c r="R27" i="1"/>
  <c r="R2" i="1"/>
  <c r="R6" i="1"/>
  <c r="R10" i="1"/>
  <c r="R14" i="1"/>
  <c r="R18" i="1"/>
  <c r="R22" i="1"/>
  <c r="R38" i="1"/>
  <c r="R54" i="1"/>
  <c r="R70" i="1"/>
  <c r="S70" i="1" s="1"/>
  <c r="R74" i="1"/>
  <c r="S74" i="1" s="1"/>
  <c r="R82" i="1"/>
  <c r="R90" i="1"/>
  <c r="R98" i="1"/>
  <c r="R110" i="1"/>
  <c r="F27" i="4"/>
  <c r="R3" i="1"/>
  <c r="R7" i="1"/>
  <c r="R11" i="1"/>
  <c r="R15" i="1"/>
  <c r="R19" i="1"/>
  <c r="R23" i="1"/>
  <c r="R50" i="1"/>
  <c r="R66" i="1"/>
  <c r="R78" i="1"/>
  <c r="R106" i="1"/>
  <c r="R122" i="1"/>
  <c r="F15" i="4"/>
  <c r="F31" i="4"/>
</calcChain>
</file>

<file path=xl/sharedStrings.xml><?xml version="1.0" encoding="utf-8"?>
<sst xmlns="http://schemas.openxmlformats.org/spreadsheetml/2006/main" count="1341" uniqueCount="882">
  <si>
    <t>챕터</t>
  </si>
  <si>
    <t>콘텐츠 진행 순서</t>
  </si>
  <si>
    <t>플레이 난이도</t>
  </si>
  <si>
    <t>플레이 흥미도</t>
  </si>
  <si>
    <t>플레이 목표</t>
  </si>
  <si>
    <t>플레이 난관</t>
  </si>
  <si>
    <t>공략 방법</t>
  </si>
  <si>
    <t>체감 난이도</t>
  </si>
  <si>
    <t>수행 과제 수</t>
  </si>
  <si>
    <t>목표 달성 조건</t>
  </si>
  <si>
    <t>실패 결과</t>
  </si>
  <si>
    <t>예상 소요 시간</t>
  </si>
  <si>
    <t>난이도 조절 요소</t>
  </si>
  <si>
    <t>누적 플레이 시간</t>
  </si>
  <si>
    <t>스테이지</t>
  </si>
  <si>
    <t>콘텐츠 진행 포인트 누적</t>
  </si>
  <si>
    <t>X
콘텐츠 진행 포인트</t>
  </si>
  <si>
    <t>Y
레벨업을 위한 필요 경험치</t>
  </si>
  <si>
    <t>한마리 몬스터가 주는 경험치</t>
  </si>
  <si>
    <t>레벨 업을 위해 잡아야하는 몬스터 수</t>
  </si>
  <si>
    <t>밸런스 팩터</t>
  </si>
  <si>
    <t>게임 「넌 착해!」의 플레이 경험에 영향을 주는 주요 조정 요소를 원형으로 정리</t>
  </si>
  <si>
    <t>큰 원은 플레이 전반에 미치는 영향이 큰 핵심 팩터이며, 작은 원은 장면·미션 단위에서 조정하는 세부 팩터임</t>
  </si>
  <si>
    <t>밸런스 문서 작성 기준</t>
  </si>
  <si>
    <t>항목</t>
  </si>
  <si>
    <t>작성 방식</t>
  </si>
  <si>
    <t>값/형식</t>
  </si>
  <si>
    <t>우리 게임 적용 기준</t>
  </si>
  <si>
    <t>조작난이도</t>
  </si>
  <si>
    <t>플레이어가 실제 입력을 수행할 때 느끼는 손 조작의 어려움</t>
  </si>
  <si>
    <t>1~10 숫자</t>
  </si>
  <si>
    <t>1은 단순 확인·대화, 10은 빠른 보스 패턴과 복합 입력</t>
  </si>
  <si>
    <t>재미율</t>
  </si>
  <si>
    <t>기획자가 해당 구간이 이 정도로 재미있기를 기대하며 정하는 정성적 목표값</t>
  </si>
  <si>
    <t>탐색·긴장·감정·반전·성취를 모두 포함하며 실제 테스트값이 아님</t>
  </si>
  <si>
    <t>컨텐츠 제시순서</t>
  </si>
  <si>
    <t>게임 시작부터 엔딩까지 해금되는 모든 플레이 내용을 순서대로 기록</t>
  </si>
  <si>
    <t>1부터 연속 넘버링</t>
  </si>
  <si>
    <t>UI 미션뿐 아니라 이동·조사·대화·전투·업적성 행동·연출 확인까지 포함</t>
  </si>
  <si>
    <t>미션</t>
  </si>
  <si>
    <t>제목만 읽어도 플레이어가 무엇을 해야 하는지 보이도록 작성</t>
  </si>
  <si>
    <t>행동형 제목</t>
  </si>
  <si>
    <t>예: 신상 과자 진열대 찾기, 균열 괴물과 첫 전투 치르기</t>
  </si>
  <si>
    <t>방해요소</t>
  </si>
  <si>
    <t>목표를 바로 달성하지 못하게 만드는 맵·NPC·시간·정보·전투 요소</t>
  </si>
  <si>
    <t>구체적 서술</t>
  </si>
  <si>
    <t>비슷한 후보, 넓은 탐색 범위, 제한시간, 시야 차단, 감정적 압박 등</t>
  </si>
  <si>
    <t>방해요소 공략</t>
  </si>
  <si>
    <t>방해요소를 해결하기 위해 플레이어가 관찰·판단·조작해야 하는 내용</t>
  </si>
  <si>
    <t>구체적 플레이 절차</t>
  </si>
  <si>
    <t>이 표에서 가장 핵심적인 항목으로 작성</t>
  </si>
  <si>
    <t>방해요인의 난이도</t>
  </si>
  <si>
    <t>관찰·판단·공략의 어려움과 그 난이도를 만드는 요인을 함께 기록</t>
  </si>
  <si>
    <t>숫자/10 + 원인 설명</t>
  </si>
  <si>
    <t>후보 수, 맵 크기, 속도 차이, 제한시간, 패턴 수 등</t>
  </si>
  <si>
    <t>미션개수</t>
  </si>
  <si>
    <t>해당 행의 목표를 완료하기 위해 필요한 행동·대상·단계의 수</t>
  </si>
  <si>
    <t>정수</t>
  </si>
  <si>
    <t>수거 8개, 단서 5개, 대화 1회, 보스 패턴 6회 등</t>
  </si>
  <si>
    <t>성공 미션조건</t>
  </si>
  <si>
    <t>시스템이 완료를 판정할 수 있는 명확한 조건</t>
  </si>
  <si>
    <t>구체적 판정 조건</t>
  </si>
  <si>
    <t>목표 수량 달성, 트리거 진입, 보스 체력 0 등</t>
  </si>
  <si>
    <t>실패 미션조건</t>
  </si>
  <si>
    <t>실패가 존재하는 경우 재시작·페널티가 발생하는 조건</t>
  </si>
  <si>
    <t>구체적 판정 조건 또는 실패 없음</t>
  </si>
  <si>
    <t>추격 거리 초과, 체력 0, 제한시간 종료, 오답 누적 등</t>
  </si>
  <si>
    <t>예상 플레이타임</t>
  </si>
  <si>
    <t>초회 플레이어가 해당 콘텐츠를 완료하는 데 걸릴 것으로 예상하는 시간</t>
  </si>
  <si>
    <t>초/분</t>
  </si>
  <si>
    <t>이동거리·미션개수·대사량·재시도 가능성을 함께 고려</t>
  </si>
  <si>
    <t>난이도 보정 컨텐츠</t>
  </si>
  <si>
    <t>막힌 플레이어가 목표를 다시 파악하도록 돕는 힌트와 보정 장치</t>
  </si>
  <si>
    <t>필요한 경우 작성</t>
  </si>
  <si>
    <t>방향 표시, 반짝임, 속도 감소, 체크포인트, 오답 힌트 등</t>
  </si>
  <si>
    <t>이동속도 A</t>
  </si>
  <si>
    <t>플레이어 또는 해당 행에서 주체가 되는 캐릭터의 이동속도</t>
  </si>
  <si>
    <t>1~5 상대값</t>
  </si>
  <si>
    <t>1 매우 느림, 3 보통, 5 빠름. 이동이 핵심이 아닐 때는 공란</t>
  </si>
  <si>
    <t>이동속도 B</t>
  </si>
  <si>
    <t>추격 대상·동행 NPC·위협체 등 상대 캐릭터의 이동속도</t>
  </si>
  <si>
    <t>A와 B의 속도 차이가 추격·호위·회피 난이도를 결정</t>
  </si>
  <si>
    <t>문서 범위</t>
  </si>
  <si>
    <t>게임 시작부터 엔딩까지 모든 콘텐츠를 작성</t>
  </si>
  <si>
    <t>최소 50개 이상</t>
  </si>
  <si>
    <t>현재 문서에는 총 119개 콘텐츠를 기록</t>
  </si>
  <si>
    <t>전체 밸런스 곡선 요약</t>
  </si>
  <si>
    <t>총 콘텐츠 수</t>
  </si>
  <si>
    <t>평균 조작난이도</t>
  </si>
  <si>
    <t>평균 재미율</t>
  </si>
  <si>
    <t>최고 조작난이도</t>
  </si>
  <si>
    <t>최고 재미율</t>
  </si>
  <si>
    <t>구간</t>
  </si>
  <si>
    <t>콘텐츠 수</t>
  </si>
  <si>
    <t>최고 방해요인 난이도</t>
  </si>
  <si>
    <t>Q1 동생 심부름</t>
  </si>
  <si>
    <t>Q2 공원 청소</t>
  </si>
  <si>
    <t>Q3 재난 대응과 영웅화</t>
  </si>
  <si>
    <t>Q4 폐교 보스</t>
  </si>
  <si>
    <t>Q5 균열 탐색과 결말</t>
  </si>
  <si>
    <t>한마리 몬스터와 전투시간(초)</t>
  </si>
  <si>
    <t>레벨 업을 위한 전투시간(초)</t>
  </si>
  <si>
    <t>1 | 동생 심부름</t>
  </si>
  <si>
    <t>차한해의 과거 오프닝 감상</t>
  </si>
  <si>
    <t>입양 이후 가족 안에서 희생을 요구받아 온 과거를 보여주는 연출이 길게 이어져 플레이어가 핵심 정보를 놓칠 수 있음</t>
  </si>
  <si>
    <t>핵심 장면의 시선 유도와 짧은 자막을 통해 관계와 감정 변화를 이해함</t>
  </si>
  <si>
    <t>1 – 연출 길이와 정보량이 난이도를 결정함</t>
  </si>
  <si>
    <t>오프닝 재생이 끝나면 자동 완료</t>
  </si>
  <si>
    <t>-</t>
  </si>
  <si>
    <t>1분 30초</t>
  </si>
  <si>
    <t>스킵·다시 보기 기능 제공</t>
  </si>
  <si>
    <t>1-A | 집·튜토리얼</t>
  </si>
  <si>
    <t>빨래 개기</t>
  </si>
  <si>
    <t>조사 가능한 가구가 많아 조작 가능한 대상을 바로 알아보기 어려움</t>
  </si>
  <si>
    <t>주인공 주변의 상호작용 표시를 확인하고 조사 키를 누름</t>
  </si>
  <si>
    <t>1 – 상호작용 표시의 가시성과 조사 범위가 난이도를 결정함</t>
  </si>
  <si>
    <t>소파 옆 주인공에서 조사 입력 1회 완료</t>
  </si>
  <si>
    <t>20초</t>
  </si>
  <si>
    <t>첫 상호작용 대상에 반짝임 표시</t>
  </si>
  <si>
    <t>동생에게 심부름 지시 받기</t>
  </si>
  <si>
    <t>대화 속에 다음 목적지와 필요한 물품 정보가 섞여 있음</t>
  </si>
  <si>
    <t>강조되는 핵심 단어와 NPC의 요구를 확인하며 대화를 끝까지 진행함</t>
  </si>
  <si>
    <t>1 – 대사 길이·핵심 정보의 명확성·선택지 수가 난이도를 결정함</t>
  </si>
  <si>
    <t>신상 과자·헤어롤·팝콘 심부름에 관한 대화를 마지막 문장까지 진행</t>
  </si>
  <si>
    <t>1분</t>
  </si>
  <si>
    <t>대화 종료 후 핵심 내용을 화면 한쪽에 요약 표시</t>
  </si>
  <si>
    <t>이동 조작 안내 확인</t>
  </si>
  <si>
    <t>여러 조작을 한 번에 제시하면 입력 방법을 혼동할 수 있음</t>
  </si>
  <si>
    <t>화면에 표시되는 키를 순서대로 입력하고 각 동작의 결과를 확인함</t>
  </si>
  <si>
    <t>1 – 동시에 제시되는 조작 수와 입력 허용 시간이 난이도를 결정함</t>
  </si>
  <si>
    <t>상하좌우 이동과 조사 키를 안내 순서대로 모두 수행</t>
  </si>
  <si>
    <t>40초</t>
  </si>
  <si>
    <t>입력하지 않은 키 안내를 계속 유지</t>
  </si>
  <si>
    <t>현관으로 이동하기</t>
  </si>
  <si>
    <t>갈림길과 주변 상호작용 오브젝트 때문에 목적지 방향을 놓칠 수 있음</t>
  </si>
  <si>
    <t>표지판·미니맵·NPC 이동 방향을 확인하며 거실에서 현관문까지 이동함</t>
  </si>
  <si>
    <t>1 – 맵 크기·갈림길 수·목적지 표식의 가시성이 난이도를 결정함</t>
  </si>
  <si>
    <t>거실에서 현관문의 도착 트리거에 진입</t>
  </si>
  <si>
    <t>30초</t>
  </si>
  <si>
    <t>일정 시간 정체 시 목적지 방향 화살표 표시</t>
  </si>
  <si>
    <t>집 밖으로 나가기</t>
  </si>
  <si>
    <t>조사 대상이 배경 오브젝트와 비슷해 상호작용 가능 여부를 놓칠 수 있음</t>
  </si>
  <si>
    <t>현관문 가까이 이동한 뒤 상호작용 아이콘이 나타날 때 조사함</t>
  </si>
  <si>
    <t>1 – 조사 대상의 크기·배경과의 대비·상호작용 범위가 난이도를 결정함</t>
  </si>
  <si>
    <t>현관문 조사 완료</t>
  </si>
  <si>
    <t>상호작용 가능 범위를 넓히고 아이콘 표시</t>
  </si>
  <si>
    <t>편의점으로 이동하기</t>
  </si>
  <si>
    <t>표지판·미니맵·NPC 이동 방향을 확인하며 아파트에서 편의점까지 이동함</t>
  </si>
  <si>
    <t>2 – 맵 크기·갈림길 수·목적지 표식의 가시성이 난이도를 결정함</t>
  </si>
  <si>
    <t>아파트에서 편의점의 도착 트리거에 진입</t>
  </si>
  <si>
    <t>1분 15초</t>
  </si>
  <si>
    <t>1-B | 편의점</t>
  </si>
  <si>
    <t>신상 과자 진열대 찾기</t>
  </si>
  <si>
    <t>비슷한 오브젝트와 진열대가 많아 목표 대상을 한 번에 찾기 어려움</t>
  </si>
  <si>
    <t>구역별 표지와 상품 외형을 비교하며 편의점 안 신상 과자 진열대를 조사함</t>
  </si>
  <si>
    <t>3 – 후보 오브젝트 수·외형 유사도·탐색 범위가 난이도를 결정함</t>
  </si>
  <si>
    <t>편의점 안 신상 과자 진열대 발견 및 조사 완료</t>
  </si>
  <si>
    <t>30초 이상 미발견 시 목표 구역에 약한 반짝임 표시</t>
  </si>
  <si>
    <t>품절 안내 조사하기</t>
  </si>
  <si>
    <t>비어 있는 진열칸과 손글씨 품절 안내 가까이 이동한 뒤 상호작용 아이콘이 나타날 때 조사함</t>
  </si>
  <si>
    <t>2 – 조사 대상의 크기·배경과의 대비·상호작용 범위가 난이도를 결정함</t>
  </si>
  <si>
    <t>비어 있는 진열칸과 손글씨 품절 안내 조사 완료</t>
  </si>
  <si>
    <t>35초</t>
  </si>
  <si>
    <t>알바생 NPC와 대화하기</t>
  </si>
  <si>
    <t>2 – 대사 길이·핵심 정보의 명확성·선택지 수가 난이도를 결정함</t>
  </si>
  <si>
    <t>재입고 시간과 물류 트럭 정보에 관한 대화를 마지막 문장까지 진행</t>
  </si>
  <si>
    <t>다이소로 이동하기</t>
  </si>
  <si>
    <t>표지판·미니맵·NPC 이동 방향을 확인하며 편의점에서 다이소까지 이동함</t>
  </si>
  <si>
    <t>편의점에서 다이소의 도착 트리거에 진입</t>
  </si>
  <si>
    <t>1-C | 다이소</t>
  </si>
  <si>
    <t>헤어롤 진열대 찾기</t>
  </si>
  <si>
    <t>구역별 표지와 상품 외형을 비교하며 생활용품 코너의 헤어롤을 조사함</t>
  </si>
  <si>
    <t>생활용품 코너의 헤어롤 발견 및 조사 완료</t>
  </si>
  <si>
    <t>1분 50초</t>
  </si>
  <si>
    <t>헤어롤 구매하기</t>
  </si>
  <si>
    <t>구매 대상·수량·결제 순서를 잘못 선택할 수 있음</t>
  </si>
  <si>
    <t>요청받은 품목을 확인하고 상품 선택→계산대 상호작용→결제를 순서대로 진행함</t>
  </si>
  <si>
    <t>2 – 상품 후보 수·품목 유사도·구매 단계 수가 난이도를 결정함</t>
  </si>
  <si>
    <t>헤어롤 1개 구매 후 인벤토리에 등록</t>
  </si>
  <si>
    <t>잘못된 품목 구매 시 다시 선택해야 함</t>
  </si>
  <si>
    <t>50초</t>
  </si>
  <si>
    <t>요청 품목에 작은 임무 아이콘 표시</t>
  </si>
  <si>
    <t>영화관으로 이동하기</t>
  </si>
  <si>
    <t>표지판·미니맵·NPC 이동 방향을 확인하며 다이소에서 영화관까지 이동함</t>
  </si>
  <si>
    <t>다이소에서 영화관의 도착 트리거에 진입</t>
  </si>
  <si>
    <t>2분</t>
  </si>
  <si>
    <t>1-D | 영화관</t>
  </si>
  <si>
    <t>팝콘 구매하기</t>
  </si>
  <si>
    <t>동생이 지정한 팝콘 구매 후 인벤토리에 등록</t>
  </si>
  <si>
    <t>1분 20초</t>
  </si>
  <si>
    <t>편의점 물류 트럭 발견하기</t>
  </si>
  <si>
    <t>짧은 시간 동안 화면을 지나가는 대상이라 시선을 다른 곳에 두면 놓칠 수 있음</t>
  </si>
  <si>
    <t>카메라 이동과 NPC 시선을 따라 영화관 출구 앞을 지나가는 편의점 물류 트럭을 확인함</t>
  </si>
  <si>
    <t>2 – 대상 노출 시간·화면 내 이동속도·시선 유도 강도가 난이도를 결정함</t>
  </si>
  <si>
    <t>영화관 출구 앞을 지나가는 편의점 물류 트럭을 화면 안에서 확인</t>
  </si>
  <si>
    <t>대상을 놓치면 짧은 연출이 다시 재생됨</t>
  </si>
  <si>
    <t>25초</t>
  </si>
  <si>
    <t>대상 등장 직전 효과음과 화면 가장자리 표시</t>
  </si>
  <si>
    <t>편의점 물류 트럭 따라가기</t>
  </si>
  <si>
    <t>대상이 빠르게 이동하고 시민과 건물이 시야를 가려 추적이 끊길 수 있음</t>
  </si>
  <si>
    <t>목표 아이콘과 도로 방향을 보며 허용 거리 안에서 물류 트럭을 따라감</t>
  </si>
  <si>
    <t>6 – 플레이어와 대상의 속도 차이·허용 거리·시야 차단물이 난이도를 결정함</t>
  </si>
  <si>
    <t>허용 거리 안에서 추적 종료 지점 도착</t>
  </si>
  <si>
    <t>대상과 6초 이상 거리 초과 시 추격 구간 재시작</t>
  </si>
  <si>
    <t>실패 2회 후 대상 속도 감소 및 경로 화살표 표시</t>
  </si>
  <si>
    <t>1-E | 편의점 재입고</t>
  </si>
  <si>
    <t>신상 과자 오픈런 참가하기</t>
  </si>
  <si>
    <t>여러 NPC가 동시에 진열대로 이동해 접근 경로와 상호작용 위치가 막힘</t>
  </si>
  <si>
    <t>군중의 이동 방향을 예측하고 빈 공간으로 우회해 편의점 진열대 앞 군중에 접근함</t>
  </si>
  <si>
    <t>6 – 경쟁 NPC 수·충돌 범위·재고 수량·접근 가능 시간이 난이도를 결정함</t>
  </si>
  <si>
    <t>재고가 남아 있을 때 목표 상품 상호작용 성공</t>
  </si>
  <si>
    <t>재고가 모두 소진되면 직전 체크포인트에서 재시도</t>
  </si>
  <si>
    <t>1분 40초</t>
  </si>
  <si>
    <t>재시도 시 경쟁 NPC 수 1명 감소</t>
  </si>
  <si>
    <t>신상 과자 구매하기</t>
  </si>
  <si>
    <t>3/10 – 상품 후보 수·품목 유사도·구매 단계 수가 난이도를 결정함</t>
  </si>
  <si>
    <t>신상 과자 1봉 구매 후 인벤토리에 등록</t>
  </si>
  <si>
    <t>55초</t>
  </si>
  <si>
    <t>동생 연락 받기</t>
  </si>
  <si>
    <t>2/10 – 대사 길이·핵심 정보의 명확성·선택지 수가 난이도를 결정함</t>
  </si>
  <si>
    <t>중고 거래 물품 수령 요청에 관한 대화를 마지막 문장까지 진행</t>
  </si>
  <si>
    <t>1분 10초</t>
  </si>
  <si>
    <t>지하철역으로 이동하기</t>
  </si>
  <si>
    <t>표지판·미니맵·NPC 이동 방향을 확인하며 편의점에서 지하철역 개찰구까지 이동함</t>
  </si>
  <si>
    <t>2/10 – 맵 크기·갈림길 수·목적지 표식의 가시성이 난이도를 결정함</t>
  </si>
  <si>
    <t>편의점에서 지하철역 개찰구의 도착 트리거에 진입</t>
  </si>
  <si>
    <t>2분 30초</t>
  </si>
  <si>
    <t>1-F | 지하철역</t>
  </si>
  <si>
    <t>거래자 후보 3명 관찰하기</t>
  </si>
  <si>
    <t>중요한 단서가 여러 인물과 배경 오브젝트 사이에 분산되어 있음</t>
  </si>
  <si>
    <t>시선·행동·복장·주변 오브젝트를 순서대로 확인해 회색 후드 특징이 겹치는 세 명의 후보의 특징을 파악함</t>
  </si>
  <si>
    <t>5/10 – 관찰 대상 수·단서의 명확성·외형 유사도가 난이도를 결정함</t>
  </si>
  <si>
    <t>필수 관찰 대상 모두 조사</t>
  </si>
  <si>
    <t>필수 대상 위에 짧은 시선 유도 아이콘 표시</t>
  </si>
  <si>
    <t>중고 거래자 찾기</t>
  </si>
  <si>
    <t>후보들이 공통 특징을 가지고 있어 한 가지 단서만으로는 구별할 수 없음</t>
  </si>
  <si>
    <t>복장·소지품·대화 반응을 함께 비교해 대화 단서와 복장 단서가 일치하는 거래자를 선택함</t>
  </si>
  <si>
    <t>6/10 – 후보 수·공통 특징 수·추가 단서의 명확성이 난이도를 결정함</t>
  </si>
  <si>
    <t>올바른 거래자와 대화 시작</t>
  </si>
  <si>
    <t>오답 후보 선택 시 경계 대사가 출력되고 다시 선택</t>
  </si>
  <si>
    <t>오답 2회 후 확인하지 않은 단서 목록 표시</t>
  </si>
  <si>
    <t>중고 거래 완료하기</t>
  </si>
  <si>
    <t>2/10 – 상품 후보 수·품목 유사도·구매 단계 수가 난이도를 결정함</t>
  </si>
  <si>
    <t>동생이 부탁한 중고 물품 구매 후 인벤토리에 등록</t>
  </si>
  <si>
    <t>1분 5초</t>
  </si>
  <si>
    <t>집으로 돌아가는 길에 공원 진입하기</t>
  </si>
  <si>
    <t>표지판·미니맵·NPC 이동 방향을 확인하며 지하철역에서 축제 종료 공원까지 이동함</t>
  </si>
  <si>
    <t>지하철역에서 축제 종료 공원의 도착 트리거에 진입</t>
  </si>
  <si>
    <t>1-G | 공원 진입</t>
  </si>
  <si>
    <t>2 | 공원 청소</t>
  </si>
  <si>
    <t>축제 종료 현장 관찰하기</t>
  </si>
  <si>
    <t>시선·행동·복장·주변 오브젝트를 순서대로 확인해 떠나는 시민과 공원에 남은 쓰레기의 특징을 파악함</t>
  </si>
  <si>
    <t>3/10 – 관찰 대상 수·단서의 명확성·외형 유사도가 난이도를 결정함</t>
  </si>
  <si>
    <t>2-A | 공원 축제·청소</t>
  </si>
  <si>
    <t>아이가 쓰레기에 걸려 넘어질 뻔한 장면 목격하기</t>
  </si>
  <si>
    <t>짧은 연출 안에서 사건의 원인과 인물의 태도를 동시에 이해해야 함</t>
  </si>
  <si>
    <t>카메라가 강조하는 인물과 오브젝트를 보며 아이와 가족의 행동을 확인함</t>
  </si>
  <si>
    <t>1/10 – 연출 속도·동시에 제시되는 정보량이 난이도를 결정함</t>
  </si>
  <si>
    <t>사건 연출 종료</t>
  </si>
  <si>
    <t>핵심 오브젝트에 카메라 줌과 효과음 적용</t>
  </si>
  <si>
    <t>쓰레기를 치우기로 결정하기</t>
  </si>
  <si>
    <t>두 선택 모두 이후 상황에 영향을 주므로 감정적 판단 부담이 발생함</t>
  </si>
  <si>
    <t>현재 상황과 주인공의 독백을 확인한 뒤 공원을 지나갈지 쓰레기를 치울지 판단에 대한 행동을 결정함</t>
  </si>
  <si>
    <t>3/10 – 정보의 불완전성·결과 예측 가능성·감정적 부담이 난이도를 결정함</t>
  </si>
  <si>
    <t>선택지 1개 확정</t>
  </si>
  <si>
    <t>45초</t>
  </si>
  <si>
    <t>선택 직전 핵심 상황을 한 문장으로 다시 표시</t>
  </si>
  <si>
    <t>청소 도구 찾기</t>
  </si>
  <si>
    <t>구역별 표지와 상품 외형을 비교하며 공원 관리함의 집게와 봉투를 조사함</t>
  </si>
  <si>
    <t>3/10 – 후보 오브젝트 수·외형 유사도·탐색 범위가 난이도를 결정함</t>
  </si>
  <si>
    <t>공원 관리함의 집게와 봉투 발견 및 조사 완료</t>
  </si>
  <si>
    <t>1분 25초</t>
  </si>
  <si>
    <t>첫 쓰레기 줍기</t>
  </si>
  <si>
    <t>수거 대상과 배경 장식의 차이를 처음에는 구별하기 어려움</t>
  </si>
  <si>
    <t>반짝임 표시가 있는 산책로의 첫 쓰레기에 접근해 줍기 입력을 수행함</t>
  </si>
  <si>
    <t>2/10 – 대상 가시성·입력 단계 수가 난이도를 결정함</t>
  </si>
  <si>
    <t>안내된 수거 행동 3회 완료</t>
  </si>
  <si>
    <t>수거 대상 반짝임과 상호작용 범위를 크게 설정</t>
  </si>
  <si>
    <t>잔디 구역 쓰레기 수거하기</t>
  </si>
  <si>
    <t>쓰레기가 넓은 구역과 가려진 틈에 흩어져 있어 남은 대상을 찾기 어려움</t>
  </si>
  <si>
    <t>구역을 일정한 방향으로 순회하고 반짝임·잔여 개수 UI를 확인하며 잔디 구역 쓰레기 8개를 수거함</t>
  </si>
  <si>
    <t>4/10 – 목표 수량·배치 밀도·가림 오브젝트·탐색 범위가 난이도를 결정함</t>
  </si>
  <si>
    <t>잔디 구역 쓰레기 8개 전부 수거</t>
  </si>
  <si>
    <t>필수 수량을 채우지 못하면 다음 구역 진행 불가</t>
  </si>
  <si>
    <t>3분</t>
  </si>
  <si>
    <t>60초 이상 미발견 시 가장 가까운 미수거 대상 방향 표시</t>
  </si>
  <si>
    <t>산책로 쓰레기 수거하기</t>
  </si>
  <si>
    <t>구역을 일정한 방향으로 순회하고 반짝임·잔여 개수 UI를 확인하며 산책로 쓰레기 7개를 수거함</t>
  </si>
  <si>
    <t>산책로 쓰레기 7개 전부 수거</t>
  </si>
  <si>
    <t>2분 40초</t>
  </si>
  <si>
    <t>벤치 주변 쓰레기 수거하기</t>
  </si>
  <si>
    <t>구역을 일정한 방향으로 순회하고 반짝임·잔여 개수 UI를 확인하며 벤치와 가려진 틈의 쓰레기 6개를 수거함</t>
  </si>
  <si>
    <t>5/10 – 목표 수량·배치 밀도·가림 오브젝트·탐색 범위가 난이도를 결정함</t>
  </si>
  <si>
    <t>벤치와 가려진 틈의 쓰레기 6개 전부 수거</t>
  </si>
  <si>
    <t>한도윤과 대화하기</t>
  </si>
  <si>
    <t>혼자 청소하는 이유와 도움 제안에 관한 대화를 마지막 문장까지 진행</t>
  </si>
  <si>
    <t>한도윤과 구역 분담하기</t>
  </si>
  <si>
    <t>동료가 담당하는 구역과 플레이어 구역이 겹치면 불필요한 이동이 발생함</t>
  </si>
  <si>
    <t>대화에서 정한 담당 구역을 확인하고 서로 다른 공원 구역를 순서대로 처리함</t>
  </si>
  <si>
    <t>4/10 – 구역 수·동료 행동 예측 가능성·이동 동선이 난이도를 결정함</t>
  </si>
  <si>
    <t>플레이어 담당 구역의 목표 수량 달성</t>
  </si>
  <si>
    <t>2분 20초</t>
  </si>
  <si>
    <t>미니맵에 담당 구역을 서로 다른 테두리로 표시</t>
  </si>
  <si>
    <t>우정 반지 단서 발견하기</t>
  </si>
  <si>
    <t>작은 단서가 쓰레기와 배경에 섞여 있어 일반 수거물로 오인할 수 있음</t>
  </si>
  <si>
    <t>중학생이 잃어버린 반지의 흔적의 형태와 주변 대사를 확인하고 별도 조사함</t>
  </si>
  <si>
    <t>4/10 – 단서 크기·배경 대비·오인 가능성이 난이도를 결정함</t>
  </si>
  <si>
    <t>필수 단서 모두 조사</t>
  </si>
  <si>
    <t>단서를 버리려 하면 경고 후 행동 취소</t>
  </si>
  <si>
    <t>단서에 일반 쓰레기와 다른 약한 빛 효과 적용</t>
  </si>
  <si>
    <t>우정 반지 찾기</t>
  </si>
  <si>
    <t>목표물이 작고 수거 가능한 쓰레기 사이에 섞여 있어 탐색 부담이 큼</t>
  </si>
  <si>
    <t>마지막 목격 위치와 반짝임 주기를 이용해 쓰레기 사이에 섞인 작은 반지를 찾음</t>
  </si>
  <si>
    <t>6/10 – 목표물 크기·탐색 범위·가짜 후보 수가 난이도를 결정함</t>
  </si>
  <si>
    <t>쓰레기 사이에 섞인 작은 반지 발견 후 획득</t>
  </si>
  <si>
    <t>2분 50초</t>
  </si>
  <si>
    <t>90초 이상 미발견 시 탐색 범위를 단계적으로 축소</t>
  </si>
  <si>
    <t>중학생에게 반지 전달하기</t>
  </si>
  <si>
    <t>비슷한 복장의 NPC가 있어 물건의 주인을 잘못 선택할 수 있음</t>
  </si>
  <si>
    <t>의뢰 대사와 위치를 확인한 뒤 반지의 주인에게 전달함</t>
  </si>
  <si>
    <t>2/10 – NPC 후보 수·위치 이동 여부·의뢰 단서 명확성이 난이도를 결정함</t>
  </si>
  <si>
    <t>올바른 NPC에게 물품 전달</t>
  </si>
  <si>
    <t>오답 NPC 선택 시 전달이 취소되고 다시 선택</t>
  </si>
  <si>
    <t>의뢰 NPC 머리 위에 약한 대화 아이콘 표시</t>
  </si>
  <si>
    <t>남은 쓰레기 확인하기</t>
  </si>
  <si>
    <t>완료한 것처럼 보여도 남은 대상이나 오분류 항목이 존재할 수 있음</t>
  </si>
  <si>
    <t>잔여 수량과 각 구역 상태를 확인해 공원 미수거 구역과 남은 수량의 미완료 항목을 점검함</t>
  </si>
  <si>
    <t>4/10 – 검사 항목 수·오류 위치의 분산 정도가 난이도를 결정함</t>
  </si>
  <si>
    <t>잔여 수량 0 및 오류 항목 0</t>
  </si>
  <si>
    <t>조건 미달 시 완료 상호작용이 비활성화됨</t>
  </si>
  <si>
    <t>미완료 구역과 오류 수량을 별도 UI로 표시</t>
  </si>
  <si>
    <t>분리수거장으로 이동하기</t>
  </si>
  <si>
    <t>표지판·미니맵·NPC 이동 방향을 확인하며 공원에서 분리수거장까지 이동함</t>
  </si>
  <si>
    <t>공원에서 분리수거장의 도착 트리거에 진입</t>
  </si>
  <si>
    <t>2-B | 분리수거장</t>
  </si>
  <si>
    <t>일반쓰레기 분류하기</t>
  </si>
  <si>
    <t>외형이 비슷하거나 내용물이 남은 쓰레기는 분류 기준을 혼동하기 쉬움</t>
  </si>
  <si>
    <t>재질·오염 여부·남은 내용물을 확인하고 일반쓰레기 8개를 올바른 수거함에 넣음</t>
  </si>
  <si>
    <t>4/10 – 분류 종류 수·외형 유사도·오답 허용 횟수가 난이도를 결정함</t>
  </si>
  <si>
    <t>일반쓰레기 8개 전부 올바르게 분류</t>
  </si>
  <si>
    <t>오분류 5회 누적 시 해당 분류 단계 재시작</t>
  </si>
  <si>
    <t>오답 2회 후 분류 기준 그림 표시</t>
  </si>
  <si>
    <t>재활용품 분류하기</t>
  </si>
  <si>
    <t>재질·오염 여부·남은 내용물을 확인하고 플라스틱·캔·종이 10개를 올바른 수거함에 넣음</t>
  </si>
  <si>
    <t>6/10 – 분류 종류 수·외형 유사도·오답 허용 횟수가 난이도를 결정함</t>
  </si>
  <si>
    <t>플라스틱·캔·종이 10개 전부 올바르게 분류</t>
  </si>
  <si>
    <t>오염된 쓰레기 분류하기</t>
  </si>
  <si>
    <t>재질·오염 여부·남은 내용물을 확인하고 내용물이 남거나 오염된 쓰레기 6개를 올바른 수거함에 넣음</t>
  </si>
  <si>
    <t>7/10 – 분류 종류 수·외형 유사도·오답 허용 횟수가 난이도를 결정함</t>
  </si>
  <si>
    <t>내용물이 남거나 오염된 쓰레기 6개 전부 올바르게 분류</t>
  </si>
  <si>
    <t>분리수거 완료하기</t>
  </si>
  <si>
    <t>잔여 수량과 각 구역 상태를 확인해 모든 분류함과 오분류 여부의 미완료 항목을 점검함</t>
  </si>
  <si>
    <t>균열 발생을 목격하기</t>
  </si>
  <si>
    <t>카메라가 강조하는 인물과 오브젝트를 보며 분리수거장 바닥에서 열리는 도덕 균열를 확인함</t>
  </si>
  <si>
    <t>2-C | 균열 발생</t>
  </si>
  <si>
    <t>균열 구경하기</t>
  </si>
  <si>
    <t>시선·행동·복장·주변 오브젝트를 순서대로 확인해 균열의 빛·소리·주변 반응의 특징을 파악함</t>
  </si>
  <si>
    <t>4/10 – 관찰 대상 수·단서의 명확성·외형 유사도가 난이도를 결정함</t>
  </si>
  <si>
    <t>1분 35초</t>
  </si>
  <si>
    <t>집으로 귀가하기</t>
  </si>
  <si>
    <t>표지판·미니맵·NPC 이동 방향을 확인하며 공원에서 집까지 이동함</t>
  </si>
  <si>
    <t>공원에서 집의 도착 트리거에 진입</t>
  </si>
  <si>
    <t>2-D | 귀가·밤</t>
  </si>
  <si>
    <t>잠자기</t>
  </si>
  <si>
    <t>다음 날로 넘어가는 상호작용임을 알아차리지 못할 수 있음</t>
  </si>
  <si>
    <t>침대를 조사하고 휴식 확인 선택지를 선택함</t>
  </si>
  <si>
    <t>1/10 – 상호작용 대상의 명확성이 난이도를 결정함</t>
  </si>
  <si>
    <t>잠자기 확인 후 다음 장면 전환</t>
  </si>
  <si>
    <t>침대에 임무 아이콘 표시</t>
  </si>
  <si>
    <t>3 | 재난 대응</t>
  </si>
  <si>
    <t>새벽 재난 문자 확인하기</t>
  </si>
  <si>
    <t>재난 문자와 주변 효과음이 동시에 출력되어 핵심 행동을 놓칠 수 있음</t>
  </si>
  <si>
    <t>균열 인근 대피 안내의 대피 위치와 위험 지역을 먼저 확인함</t>
  </si>
  <si>
    <t>2/10 – 동시 정보량·경고 문구의 명확성이 난이도를 결정함</t>
  </si>
  <si>
    <t>재난 문자 핵심 항목 확인</t>
  </si>
  <si>
    <t>문자를 닫은 뒤 화면에 대피 목표를 고정 표시</t>
  </si>
  <si>
    <t>3-A | 아파트 재난</t>
  </si>
  <si>
    <t>가족 찾기</t>
  </si>
  <si>
    <t>3/10 – 대사 길이·핵심 정보의 명확성·선택지 수가 난이도를 결정함</t>
  </si>
  <si>
    <t>부모와 동생에 관한 대화를 마지막 문장까지 진행</t>
  </si>
  <si>
    <t>비상 물품 챙기기</t>
  </si>
  <si>
    <t>제한된 가방 칸 때문에 모든 물품을 챙길 수 없고 우선순위 판단이 필요함</t>
  </si>
  <si>
    <t>대피 상황에 필요한 물품을 비교해 가방·물·손전등·구급품 중 필수 물품를 선택함</t>
  </si>
  <si>
    <t>5/10 – 후보 물품 수·인벤토리 제한·필수 조합 수가 난이도를 결정함</t>
  </si>
  <si>
    <t>필수 물품이 포함된 상태로 준비 완료</t>
  </si>
  <si>
    <t>필수 물품이 없으면 확인 단계에서 진행 불가</t>
  </si>
  <si>
    <t>필수 물품 누락 시 용도 힌트 표시</t>
  </si>
  <si>
    <t>가족들 대피시키기</t>
  </si>
  <si>
    <t>가족마다 준비 속도가 다르고 정전된 집 안에서 필요한 물품을 찾느라 현관까지 동시에 모이기 어려움</t>
  </si>
  <si>
    <t>부모와 동생의 준비 상태를 확인하고 느린 가족을 기다리며 현관 밖 대피 대열에 차례로 합류시킴</t>
  </si>
  <si>
    <t>5/10 – 동행 인원·준비 시간 차이·어두운 시야·집결 거리의 차이가 난이도를 결정함</t>
  </si>
  <si>
    <t>부모와 동생 전원이 현관 밖 대피 대열에 합류</t>
  </si>
  <si>
    <t>가족 1명이라도 집 안에 남아 있으면 다음 구간 진행 불가</t>
  </si>
  <si>
    <t>준비가 끝나지 않은 가족의 위치와 필요한 행동을 화면 가장자리에 표시</t>
  </si>
  <si>
    <t>복도 괴물을 숨어서 지나가기</t>
  </si>
  <si>
    <t>첫 괴물이 좁은 복도를 순찰하며 시야 안의 움직임과 큰 소리에 반응해 정면으로 지나갈 수 없음</t>
  </si>
  <si>
    <t>가구와 벽 뒤에 몸을 숨기고 순찰 방향이 바뀌는 순간마다 다음 은폐 지점으로 이동함</t>
  </si>
  <si>
    <t>5/10 – 적 시야 범위·순찰 주기·은폐물 간격·발각 후 추적 시간이 난이도를 결정함</t>
  </si>
  <si>
    <t>괴물에게 발각되지 않거나 추적을 끊고 계단 입구 도착</t>
  </si>
  <si>
    <t>연속 발각 3회 또는 체력 0 시 복도 시작 지점 재시작</t>
  </si>
  <si>
    <t>첫 발각 후 괴물 이동속도를 낮추고 시야 범위와 다음 은폐 지점을 표시</t>
  </si>
  <si>
    <t>3-B | 아파트 대피</t>
  </si>
  <si>
    <t>이웃 주민 구조하기</t>
  </si>
  <si>
    <t>복도에 괴물이 남아 있는 동안 쓰러진 주민을 부축하면 이동속도가 느려지고 소음이 발생함</t>
  </si>
  <si>
    <t>괴물의 순찰이 멀어진 순간에 주민을 일으킨 뒤 은폐 지점마다 멈춰 안전을 확인하며 이동함</t>
  </si>
  <si>
    <t>6/10 – 구조 대상 이동속도·적 순찰 거리·소음 누적·은폐 지점 수가 난이도를 결정함</t>
  </si>
  <si>
    <t>쓰러진 이웃 주민을 가족이 대기하는 계단 입구까지 이동</t>
  </si>
  <si>
    <t>주민 체력 0 또는 괴물에게 붙잡히면 직전 은폐 지점 재시작</t>
  </si>
  <si>
    <t>주민 체력 경고와 괴물 순찰 방향을 화면 가장자리에 표시</t>
  </si>
  <si>
    <t>가족과 주민들을 건물 밖으로 내보내기</t>
  </si>
  <si>
    <t>여러 주민의 이동속도가 다르고 공포 상태인 NPC가 대피 대열에서 이탈할 수 있음</t>
  </si>
  <si>
    <t>가장 느린 주민에게 속도를 맞추고 위험 구간 전 집결 명령을 사용해 한 구간씩 이동함</t>
  </si>
  <si>
    <t>6/10 – 동행 인원·속도 편차·이탈 빈도·대피 경로 폭이 난이도를 결정함</t>
  </si>
  <si>
    <t>가족과 구조한 주민 전원이 아파트 외부 안전 지점 도착</t>
  </si>
  <si>
    <t>주민 1명이라도 위험 구역에 8초 이상 고립되면 직전 체크포인트 재시작</t>
  </si>
  <si>
    <t>이탈한 주민의 방향과 안전 경로를 표시하고 집결 명령 재사용 시간을 단축</t>
  </si>
  <si>
    <t>남은 주민을 확인하고 마지막으로 내려가기</t>
  </si>
  <si>
    <t>정전된 복도와 열린 세대가 남아 있어 모두 대피했는지 짧은 시간 안에 확인해야 함</t>
  </si>
  <si>
    <t>문 앞의 대피 표시와 주민의 응답을 확인하며 마지막 세대부터 출구 방향으로 빠르게 점검함</t>
  </si>
  <si>
    <t>4/10 – 확인 지점 수·시야 범위·제한시간·목표 표식의 가시성이 난이도를 결정함</t>
  </si>
  <si>
    <t>필수 세대 확인 후 주인공 혼자 1층 출구 앞 도착</t>
  </si>
  <si>
    <t>확인 지점을 누락하면 출구 상호작용이 비활성화됨</t>
  </si>
  <si>
    <t>미확인 세대 수와 가장 가까운 확인 지점 방향을 표시</t>
  </si>
  <si>
    <t>괴물의 두 번째 습격에서 살아남기</t>
  </si>
  <si>
    <t>출구 앞에서 괴물이 갑자기 돌진하고 주인공은 전투 방법을 배우지 않은 상태라 대응 선택지가 제한됨</t>
  </si>
  <si>
    <t>후퇴 입력 후 화면에 나타나는 긴급 상호작용을 수행하면 주인공이 반사적으로 손을 뻗고 괴물이 사라지는 연출로 이어짐</t>
  </si>
  <si>
    <t>3/10 – 돌진 예고 시간·긴급 입력 제한시간·연출 전환 속도가 난이도를 결정함</t>
  </si>
  <si>
    <t>긴급 상호작용 완료 후 괴물 소멸 연출 종료</t>
  </si>
  <si>
    <t>입력 실패 시 돌진 직전부터 재시작하며 두 번째 실패부터 입력 가능 시간을 늘림</t>
  </si>
  <si>
    <t>첫 실패 후 입력 버튼을 크게 표시하고 판정 시간을 1.5초 연장</t>
  </si>
  <si>
    <t>임시 대피소로 이동하기</t>
  </si>
  <si>
    <t>도로 곳곳에서 고등급자와 괴물의 전투가 벌어져 기존 이동 경로가 수시로 차단됨</t>
  </si>
  <si>
    <t>전투 경고 구역과 구조 요원의 유도선을 확인하며 전투가 멈춘 구간을 골라 이동함</t>
  </si>
  <si>
    <t>5/10 – 전투 구역 수·경로 변경 빈도·안전 통로 폭·목적지 거리가 난이도를 결정함</t>
  </si>
  <si>
    <t>아파트 구역에서 임시 대피소 입구 도착</t>
  </si>
  <si>
    <t>위험 구역에서 체력 0 시 가장 가까운 안전 지점 재시작</t>
  </si>
  <si>
    <t>위험 구역 진입 전 경고선을 표시하고 정체 시 우회 경로 화살표 제공</t>
  </si>
  <si>
    <t>3-C | 대피소 심부름</t>
  </si>
  <si>
    <t>임시 대피소에 등록하기</t>
  </si>
  <si>
    <t>대피 인원이 몰려 접수 창구와 가족 대기 구역을 혼동하기 쉬움</t>
  </si>
  <si>
    <t>안내 표지와 가족 이름을 확인해 접수·신원 확인·대기 구역 배정을 순서대로 진행함</t>
  </si>
  <si>
    <t>3/10 – 접수 단계 수·대기 인원·표지 가시성·이동 거리의 차이가 난이도를 결정함</t>
  </si>
  <si>
    <t>대피 등록 완료 후 가족의 대기 구역 확인</t>
  </si>
  <si>
    <t>필수 등록 항목 누락 시 대피소 내부 임무가 활성화되지 않음</t>
  </si>
  <si>
    <t>현재 접수 단계와 다음 창구 위치를 화면에 고정 표시</t>
  </si>
  <si>
    <t>부상자에게 의약품 전달하기</t>
  </si>
  <si>
    <t>부상 정도가 다른 주민들이 여러 구역에 있어 약품 종류와 전달 대상을 잘못 매칭할 수 있음</t>
  </si>
  <si>
    <t>의료진이 표시한 환자 번호와 약품 라벨을 비교해 가까운 구역부터 전달함</t>
  </si>
  <si>
    <t>4/10 – 전달 대상 수·약품 종류·구역 분산 정도·오전달 페널티가 난이도를 결정함</t>
  </si>
  <si>
    <t>지정된 부상자 4명에게 올바른 의약품 전달</t>
  </si>
  <si>
    <t>오전달 3회 시 마지막 전달 구간 재시작</t>
  </si>
  <si>
    <t>오전달 후 약품 라벨의 핵심 문구와 대상 번호를 강조</t>
  </si>
  <si>
    <t>대피소 주민들에게 식수 배분하기</t>
  </si>
  <si>
    <t>가족 단위와 개인 대피자의 배분 수량이 달라 남은 물을 잘못 계산하면 마지막 줄에 부족함이 발생함</t>
  </si>
  <si>
    <t>가구 인원과 배분 기준을 확인하고 인원이 많은 구역부터 필요한 수량을 계산해 전달함</t>
  </si>
  <si>
    <t>4/10 – 배분 대상 수·가구별 수량 차이·보유 수량·재이동 거리가 난이도를 결정함</t>
  </si>
  <si>
    <t>지정된 6개 대피 구역에 기준 수량만큼 식수 배분</t>
  </si>
  <si>
    <t>식수가 부족하면 배분 현황을 유지한 채 보급 창구에서 추가 수령</t>
  </si>
  <si>
    <t>남은 식수와 구역별 필요 수량을 체크리스트로 표시</t>
  </si>
  <si>
    <t>전투 구역 옆 발전기 부품 가져오기</t>
  </si>
  <si>
    <t>대피소 외곽에서 고등급자들이 괴물과 싸우고 있어 공격 범위가 이동 경로와 겹침</t>
  </si>
  <si>
    <t>고등급자의 공격 예고와 안전 신호를 확인하고 공격이 끝난 틈에 발전기 부품을 회수해 되돌아옴</t>
  </si>
  <si>
    <t>6/10 – 주변 전투 수·공격 범위·안전 시간·부품 무게로 인한 이동속도가 난이도를 결정함</t>
  </si>
  <si>
    <t>발전기 부품 3개를 회수해 대피소 관리인에게 전달</t>
  </si>
  <si>
    <t>체력 0 또는 부품을 든 상태에서 4회 피격 시 회수 지점 재시작</t>
  </si>
  <si>
    <t>3분 10초</t>
  </si>
  <si>
    <t>고등급자의 공격 범위를 바닥에 표시하고 부품 운반 중 회피 판정을 완화</t>
  </si>
  <si>
    <t>선의관리국 안내 듣기</t>
  </si>
  <si>
    <t>대피소 운영 설명과 선의 측정 절차가 한꺼번에 제시되어 핵심 목적을 놓칠 수 있음</t>
  </si>
  <si>
    <t>강조되는 핵심 단어를 확인하며 측정 목적·등급 기준·전투 인력 선발 절차를 순서대로 파악함</t>
  </si>
  <si>
    <t>3/10 – 안내 정보량·전문 용어 수·핵심 문구의 명확성이 난이도를 결정함</t>
  </si>
  <si>
    <t>선의 측정과 등급제에 관한 필수 안내 전부 확인</t>
  </si>
  <si>
    <t>안내 종료 후 핵심 내용을 세 줄로 요약해 기록 메뉴에 저장</t>
  </si>
  <si>
    <t>3-D | 선의 측정·영웅화</t>
  </si>
  <si>
    <t>선의 측정 받기</t>
  </si>
  <si>
    <t>장치 반응과 안내 문구가 평소와 달라 오류인지 실제 결과인지 판단하기 어려움</t>
  </si>
  <si>
    <t>안내에 따라 손을 올리고 측정 단계와 장치 반응을 확인하며 절차를 끝까지 진행함</t>
  </si>
  <si>
    <t>4/10 – 측정 단계 수·대기 시간·장치 반응의 명확성·중단 페널티가 난이도를 결정함</t>
  </si>
  <si>
    <t>첫 선의 측정 절차 완료</t>
  </si>
  <si>
    <t>중간 이탈 시 측정 단계 처음부터 재진행</t>
  </si>
  <si>
    <t>현재 측정 단계와 남은 시간을 표시</t>
  </si>
  <si>
    <t>무한대 수치를 재측정하기</t>
  </si>
  <si>
    <t>여러 장비가 동일한 비정상 수치를 보여 관리국 직원의 질문과 재측정 절차가 반복됨</t>
  </si>
  <si>
    <t>직원의 지시에 따라 다른 장치와 손을 바꿔 측정하고 모든 결과가 같은지 확인함</t>
  </si>
  <si>
    <t>5/10 – 재측정 횟수·장치 차이·질문 수·비정상 결과 설명의 명확성이 난이도를 결정함</t>
  </si>
  <si>
    <t>서로 다른 측정 장치의 재측정 절차 전부 완료</t>
  </si>
  <si>
    <t>중간 이탈 시 현재 장치의 측정만 다시 진행</t>
  </si>
  <si>
    <t>2분 10초</t>
  </si>
  <si>
    <t>장치별 측정 결과를 화면 한쪽에 누적 표시</t>
  </si>
  <si>
    <t>영웅화 보도와 시민 반응 확인하기</t>
  </si>
  <si>
    <t>생방송 화면·관리국 설명·시민 반응이 동시에 제시되어 주인공이 대상화되는 과정을 놓치기 쉬움</t>
  </si>
  <si>
    <t>방송의 핵심 문구와 주변 인물의 반응을 순서대로 확인해 무한대 수치가 공개되는 흐름을 파악함</t>
  </si>
  <si>
    <t>3/10 – 동시 정보량·필수 관찰 대상 수·장면 전환 속도가 난이도를 결정함</t>
  </si>
  <si>
    <t>필수 방송 장면과 시민 반응 전부 확인</t>
  </si>
  <si>
    <t>필수 확인 대상을 목록으로 표시하고 핵심 보도 문구의 노출 시간을 늘림</t>
  </si>
  <si>
    <t>영웅 대우와 전투 지원 제안 받기</t>
  </si>
  <si>
    <t>호화 숙소와 전용 지원 같은 혜택 안에 반복 출동과 행동 제한 조건이 포함되어 있음</t>
  </si>
  <si>
    <t>제공되는 혜택과 출동 의무를 항목별로 비교하며 제안의 실제 의미를 파악함</t>
  </si>
  <si>
    <t>4/10 – 조건 문구의 간접성·혜택 수·의무 조항 수·감정적 부담이 난이도를 결정함</t>
  </si>
  <si>
    <t>지원 조건과 전투 출동 의무에 관한 대화 종료</t>
  </si>
  <si>
    <t>혜택과 의무 조건을 서로 다른 항목으로 분리 표시</t>
  </si>
  <si>
    <t>첫 합동 토벌 임무 수락하기</t>
  </si>
  <si>
    <t>임무 브리핑에 목표 괴물·파티 역할·후퇴 조건·민간인 보호 규칙이 한 번에 제시됨</t>
  </si>
  <si>
    <t>자신의 역할과 파티원의 담당 구역을 확인하고 임무 순서를 체크리스트로 정리함</t>
  </si>
  <si>
    <t>4/10 – 브리핑 정보량·파티원 수·역할 차이·실패 조건 수가 난이도를 결정함</t>
  </si>
  <si>
    <t>합동 토벌의 필수 브리핑 항목 확인 후 임무 수락</t>
  </si>
  <si>
    <t>필수 역할을 확인하지 않으면 출동 준비 완료 불가</t>
  </si>
  <si>
    <t>수락 후 파티 역할과 전투 순서를 화면에 고정 표시</t>
  </si>
  <si>
    <t>3-E | 고등급자 합동 전투</t>
  </si>
  <si>
    <t>하급 괴물 무리와 첫 합동 전투하기</t>
  </si>
  <si>
    <t>공격·회피·회복 조작을 처음 익히는 동시에 파티원의 이동과 공격 대상을 확인해야 함</t>
  </si>
  <si>
    <t>방어 역할의 동료가 공격을 끌어낸 뒤 한 마리씩 표식을 맞춰 집중 공격하고 공격 예고 때 회피함</t>
  </si>
  <si>
    <t>7/10 – 적 수·공격 빈도·회피 타이밍·파티원 위치·회복 수단이 난이도를 결정함</t>
  </si>
  <si>
    <t>하급 괴물 3마리 전부 처치 및 파티원 생존</t>
  </si>
  <si>
    <t>주인공 체력 0 또는 파티 전멸 시 전투 시작 지점 재시작</t>
  </si>
  <si>
    <t>3분 30초</t>
  </si>
  <si>
    <t>첫 괴물의 공격 예고 시간을 늘리고 집중 공격 대상 아이콘을 표시</t>
  </si>
  <si>
    <t>도심 골목의 중급 괴물과 합동 전투하기</t>
  </si>
  <si>
    <t>근접형과 원거리형 괴물이 좁은 골목 양쪽을 막아 한 방향만 회피하면 포위됨</t>
  </si>
  <si>
    <t>원거리형을 먼저 끊고 동료의 방어 범위 안에서 근접형의 돌진을 유도한 뒤 빈틈에 공격함</t>
  </si>
  <si>
    <t>8/10 – 적 유형 조합·통로 폭·돌진 속도·원거리 공격 빈도가 난이도를 결정함</t>
  </si>
  <si>
    <t>중급 괴물 2마리 처치 후 골목 안전 확보</t>
  </si>
  <si>
    <t>파티 전멸 또는 민간인 대피선이 파괴되면 전투 재시작</t>
  </si>
  <si>
    <t>4분</t>
  </si>
  <si>
    <t>첫 실패 후 원거리 공격 예고선과 안전 구역을 더 오래 표시</t>
  </si>
  <si>
    <t>시민 구조 중 증원 괴물 막기</t>
  </si>
  <si>
    <t>시민 대피와 전투가 동시에 진행되어 괴물을 빠르게 처치하지 못하면 구조 대상이 공격받음</t>
  </si>
  <si>
    <t>동료 둘은 시민을 유도하게 두고 주인공은 접근하는 괴물의 이동 경로를 끊어 순서대로 처치함</t>
  </si>
  <si>
    <t>8/10 – 적 수·시민 이동속도·방어 구역 크기·증원 간격이 난이도를 결정함</t>
  </si>
  <si>
    <t>증원 괴물 4마리 처치 및 시민 전원 안전 지점 도착</t>
  </si>
  <si>
    <t>시민 1명 체력 0 또는 파티 전멸 시 체크포인트 재시작</t>
  </si>
  <si>
    <t>4분 20초</t>
  </si>
  <si>
    <t>위험한 시민 방향과 다음 증원 위치를 화면 가장자리에 표시</t>
  </si>
  <si>
    <t>고등급자들의 출동 기피를 확인하기</t>
  </si>
  <si>
    <t>동료들이 선의 수치 하락을 괴물 처치의 결과로 믿으며 서로 임무를 미루는 대화가 간접적으로 제시됨</t>
  </si>
  <si>
    <t>출동 기록·선의 측정 결과·동료 대화를 비교해 파티가 해체되고 주인공에게 임무가 몰리는 이유를 파악함</t>
  </si>
  <si>
    <t>5/10 – 정보 분산 정도·대사 속 숨은 의도·기록 항목 수·감정적 부담이 난이도를 결정함</t>
  </si>
  <si>
    <t>출동 기피와 선의 수치 하락에 관한 필수 기록·대화 확인</t>
  </si>
  <si>
    <t>확인한 기록과 동료별 발언을 비교할 수 있는 요약 창 제공</t>
  </si>
  <si>
    <t>첫 단독 괴물 토벌하기</t>
  </si>
  <si>
    <t>파티의 방어와 회복 지원 없이 서로 다른 공격 패턴의 괴물을 혼자 상대해야 함</t>
  </si>
  <si>
    <t>지형의 좁은 통로로 적을 분리하고 원거리형부터 처치한 뒤 회복 자원을 아껴 사용함</t>
  </si>
  <si>
    <t>8/10 – 적 수·유형 조합·회복 자원·지형 활용도·지원 부재가 난이도를 결정함</t>
  </si>
  <si>
    <t>괴물 3마리 전부 처치하고 주인공 생존</t>
  </si>
  <si>
    <t>체력 0 시 단독 토벌 시작 지점 재시작</t>
  </si>
  <si>
    <t>4분 10초</t>
  </si>
  <si>
    <t>첫 단독 임무에 한해 회복 아이템 1개 추가 지급과 적 분리 경로 표시</t>
  </si>
  <si>
    <t>3-F | 단독 출동·자아 마모</t>
  </si>
  <si>
    <t>연속 단독 출동에서 괴물 무리 처치하기</t>
  </si>
  <si>
    <t>휴식 없이 이어진 출동으로 회복 자원이 부족하고 근접형·원거리형·돌진형 괴물이 연속으로 등장함</t>
  </si>
  <si>
    <t>원거리형을 우선 제거하고 장애물로 돌진형을 막은 뒤 웨이브 사이에만 회복해 자원을 유지함</t>
  </si>
  <si>
    <t>9/10 – 적 수·웨이브 간격·유형 조합·회복 제한·누적 피로가 난이도를 결정함</t>
  </si>
  <si>
    <t>괴물 5마리 전부 처치 후 자아 마모도 변화 연출 확인</t>
  </si>
  <si>
    <t>체력 0 시 현재 웨이브 재시작하며 민간인 피해 누적 시 임무 평가 감소</t>
  </si>
  <si>
    <t>5분 30초</t>
  </si>
  <si>
    <t>반복 실패 시 현재 웨이브의 적 체력을 낮추고 회복 자원 1개 추가</t>
  </si>
  <si>
    <t>4 | 폐교 탐색</t>
  </si>
  <si>
    <t>폐교 조사 명령 받기</t>
  </si>
  <si>
    <t>관리국의 공식 목표와 주인공이 느끼는 개인적 목적이 다름</t>
  </si>
  <si>
    <t>대화와 자료를 확인해 폐교 균열 조사와 실종자 수색의 공식 목표와 숨은 위험을 구분함</t>
  </si>
  <si>
    <t>3/10 – 목표 간 충돌 정도·브리핑 정보량이 난이도를 결정함</t>
  </si>
  <si>
    <t>명령 브리핑 종료</t>
  </si>
  <si>
    <t>브리핑 종료 후 공식 목표와 개인 목표를 분리 표시</t>
  </si>
  <si>
    <t>4-A | 출동 준비</t>
  </si>
  <si>
    <t>조사 장비 수령하기</t>
  </si>
  <si>
    <t>장비 칸이 제한되어 탐색과 전투 장비를 모두 챙길 수 없음</t>
  </si>
  <si>
    <t>예상 위험에 맞춰 손전등·회복품·탐지기·전투 장비 중 필수 장비를 선택함</t>
  </si>
  <si>
    <t>4/10 – 장비 후보 수·슬롯 제한·역할 중복이 난이도를 결정함</t>
  </si>
  <si>
    <t>필수 장비가 포함된 상태로 준비 완료</t>
  </si>
  <si>
    <t>필수 장비 누락 시 출발 불가</t>
  </si>
  <si>
    <t>장비 역할과 추천 조합 표시</t>
  </si>
  <si>
    <t>고등급자 파티에 합류하기</t>
  </si>
  <si>
    <t>동료마다 역할과 행동 우선순위가 달라 협력 방식을 이해해야 함</t>
  </si>
  <si>
    <t>대화를 통해 역할이 다른 고등급자 3명의 역할과 지원 조건을 확인함</t>
  </si>
  <si>
    <t>4/10 – 파티원 수·역할 차이·지원 조건 수가 난이도를 결정함</t>
  </si>
  <si>
    <t>모든 파티원 소개 및 역할 확인</t>
  </si>
  <si>
    <t>전투 UI에 역할 아이콘 고정 표시</t>
  </si>
  <si>
    <t>폐교 정문에 도착하기</t>
  </si>
  <si>
    <t>목적지 주변에 잘못된 진입로와 위험 오브젝트가 배치되어 있음</t>
  </si>
  <si>
    <t>탐지기와 표지물을 확인하며 폐교 정문의 안전한 진입로로 이동함</t>
  </si>
  <si>
    <t>4/10 – 진입로 수·위험 구역 범위·탐지기 명확성이 난이도를 결정함</t>
  </si>
  <si>
    <t>목적지 도착</t>
  </si>
  <si>
    <t>위험 지역 진입 후 체력 0 시 체크포인트 재시작</t>
  </si>
  <si>
    <t>안전 진입로에 탐지기 반응 강화</t>
  </si>
  <si>
    <t>4-B | 폐교 정문</t>
  </si>
  <si>
    <t>정문 봉인 해제하기</t>
  </si>
  <si>
    <t>여러 장치와 열쇠 조건을 올바른 순서로 충족해야 함</t>
  </si>
  <si>
    <t>주변 단서와 장치 반응을 확인해 균열 문양 4개를 순서대로 해제함</t>
  </si>
  <si>
    <t>6/10 – 단계 수·단서 위치·오답 초기화 범위가 난이도를 결정함</t>
  </si>
  <si>
    <t>모든 봉인 조건 해제</t>
  </si>
  <si>
    <t>오답 입력 5회 시 장치 초기화</t>
  </si>
  <si>
    <t>오답 후 잘못된 단계만 표시</t>
  </si>
  <si>
    <t>본관 1층 탐색하기</t>
  </si>
  <si>
    <t>방 구조가 반복되고 일부 길이 연결되어 현재 위치를 잃기 쉬움</t>
  </si>
  <si>
    <t>지도에 방문 구역을 표시하며 교실·교무실·복도를 한 방향으로 탐색함</t>
  </si>
  <si>
    <t>6/10 – 방 수·연결 구조·지도 정보량이 난이도를 결정함</t>
  </si>
  <si>
    <t>필수 구역과 상호작용 대상 모두 확인</t>
  </si>
  <si>
    <t>방문한 문과 미방문 문을 아이콘으로 구분</t>
  </si>
  <si>
    <t>4-C | 폐교 본관 1층</t>
  </si>
  <si>
    <t>환영체 회피하기</t>
  </si>
  <si>
    <t>적이 소리에 반응하고 시야 밖에서도 이동해 안전 구간을 예측하기 어려움</t>
  </si>
  <si>
    <t>적 이동 소리와 순찰 경로를 확인해 소리에 반응하는 환영체를 피하며 이동함</t>
  </si>
  <si>
    <t>7/10 – 적 감지 범위·순찰 주기·은폐물 간격이 난이도를 결정함</t>
  </si>
  <si>
    <t>발각되지 않거나 추적을 끊고 종료 지점 도착</t>
  </si>
  <si>
    <t>연속 발각 3회 또는 체력 0 시 체크포인트 재시작</t>
  </si>
  <si>
    <t>실패 후 적 청각 범위 감소</t>
  </si>
  <si>
    <t>본관 1층 환영체 무리 처치하기</t>
  </si>
  <si>
    <t>환영체가 교실 문과 사물함 사이를 순간 이동하며 파티원을 분산시켜 한 대상을 집중 공격하기 어려움</t>
  </si>
  <si>
    <t>환영체가 실체화되는 순간을 기다리고 파티원 표식에 맞춰 한 마리씩 집중 공격함</t>
  </si>
  <si>
    <t>8/10 – 적 수·순간 이동 주기·실체화 시간·파티 간 거리가 난이도를 결정함</t>
  </si>
  <si>
    <t>환영체 4마리 전부 처치 및 파티원 생존</t>
  </si>
  <si>
    <t>파티 전멸 또는 필수 동료 체력 0 시 구간 재시작</t>
  </si>
  <si>
    <t>첫 실체화 시간을 길게 유지하고 집중 공격 대상 아이콘 표시</t>
  </si>
  <si>
    <t>교실 기억 단서 수집하기</t>
  </si>
  <si>
    <t>필수 단서가 여러 방에 흩어져 있고 일부는 환영 연출 뒤에 숨겨짐</t>
  </si>
  <si>
    <t>방문 기록과 단서 목록을 확인하며 친구의 과거를 보여주는 기억 단서 5개를 수집함</t>
  </si>
  <si>
    <t>6/10 – 단서 수·방 분산 정도·환영 연출 길이가 난이도를 결정함</t>
  </si>
  <si>
    <t>필수 기억 단서 전부 수집</t>
  </si>
  <si>
    <t>단서 부족 시 다음 퍼즐 활성화 불가</t>
  </si>
  <si>
    <t>3분 20초</t>
  </si>
  <si>
    <t>미수집 단서가 있는 방에 지도 표시</t>
  </si>
  <si>
    <t>컴퓨터 잠금 퍼즐 해결하기</t>
  </si>
  <si>
    <t>여러 단서를 조합해 입력 순서나 의미를 추론해야 함</t>
  </si>
  <si>
    <t>수집한 기록을 비교하고 교실 단서를 순서대로 입력하는 잠금 장치의 규칙에 맞게 단계별로 입력함</t>
  </si>
  <si>
    <t>7/10 – 단서 수·추론 단계·오답 페널티·초기화 범위가 난이도를 결정함</t>
  </si>
  <si>
    <t>정답 순서 완성</t>
  </si>
  <si>
    <t>오답 누적 시 퍼즐 단계 일부 초기화</t>
  </si>
  <si>
    <t>오답 3회 후 사용하지 않은 단서 강조</t>
  </si>
  <si>
    <t>본관 2층으로 이동하기</t>
  </si>
  <si>
    <t>좁은 통로·어두운 조명·장애물로 이동 경로가 제한됨</t>
  </si>
  <si>
    <t>손전등과 안전한 발판을 확인하며 붕괴된 계단를 통과함</t>
  </si>
  <si>
    <t>5/10 – 통로 폭·시야 범위·장애물 간격이 난이도를 결정함</t>
  </si>
  <si>
    <t>다음 층 도착 트리거 진입</t>
  </si>
  <si>
    <t>낙하 또는 장애물 피격 3회 시 구간 재시작</t>
  </si>
  <si>
    <t>안전 발판 테두리와 체크포인트 제공</t>
  </si>
  <si>
    <t>4-D | 폐교 본관 2층</t>
  </si>
  <si>
    <t>학교폭력 흔적 조사하기</t>
  </si>
  <si>
    <t>시선·행동·복장·주변 오브젝트를 순서대로 확인해 낙서·찢어진 공책·잠긴 사물함의 특징을 파악함</t>
  </si>
  <si>
    <t>6/10 – 관찰 대상 수·단서의 명확성·외형 유사도가 난이도를 결정함</t>
  </si>
  <si>
    <t>학교폭력 흔적을 지키는 환영체 처치하기</t>
  </si>
  <si>
    <t>환영체가 단서 주변을 방패처럼 이용해 무작정 공격하면 조사 오브젝트가 훼손됨</t>
  </si>
  <si>
    <t>환영체를 단서에서 떨어뜨린 뒤 범위 공격을 제한하고 약점이 드러날 때 정밀 공격함</t>
  </si>
  <si>
    <t>8/10 – 적 수·단서 위치·공격 범위·오브젝트 내구도·유인 거리가 난이도를 결정함</t>
  </si>
  <si>
    <t>환영체 3마리 처치 및 핵심 단서 3개 보존</t>
  </si>
  <si>
    <t>핵심 단서 전부 훼손 또는 파티 전멸 시 체크포인트 재시작</t>
  </si>
  <si>
    <t>단서 근처 공격 시 경고 테두리와 공격 취소 여유 제공</t>
  </si>
  <si>
    <t>선택의 분기 퍼즐 해결하기</t>
  </si>
  <si>
    <t>수집한 기록을 비교하고 서로 다른 기억 문을 선택하는 퍼즐의 규칙에 맞게 단계별로 입력함</t>
  </si>
  <si>
    <t>8/10 – 단서 수·추론 단계·오답 페널티·초기화 범위가 난이도를 결정함</t>
  </si>
  <si>
    <t>아군 환영 구분하기</t>
  </si>
  <si>
    <t>환영이 동료의 외형과 목소리를 복제해 단순 외형만으로 구분할 수 없음</t>
  </si>
  <si>
    <t>이전 대화와 행동 습관을 비교해 동료와 똑같이 행동하는 환영을 판별함</t>
  </si>
  <si>
    <t>8/10 – 후보 수·복제 정확도·행동 단서의 명확성이 난이도를 결정함</t>
  </si>
  <si>
    <t>진짜 동료 전원 선택</t>
  </si>
  <si>
    <t>환영 선택 시 전투 또는 체력 감소 발생</t>
  </si>
  <si>
    <t>오답 후 구분 가능한 행동 단서 1개 표시</t>
  </si>
  <si>
    <t>아군으로 위장한 환영체 처치하기</t>
  </si>
  <si>
    <t>환영체가 동료의 외형·목소리·전투 행동을 복제해 공격 대상을 잘못 선택할 위험이 큼</t>
  </si>
  <si>
    <t>이전 대화와 역할 아이콘의 불일치를 확인해 가짜를 표시한 뒤 파티와 동시에 공격함</t>
  </si>
  <si>
    <t>8/10 – 복제 정확도·판별 시간·가짜 수·오인 공격 페널티가 난이도를 결정함</t>
  </si>
  <si>
    <t>진짜 동료를 보호하며 위장 환영체 3마리 처치</t>
  </si>
  <si>
    <t>진짜 동료 오인 공격 3회 또는 파티 전멸 시 구간 재시작</t>
  </si>
  <si>
    <t>오인 공격 후 환영체가 복제하지 못한 행동 단서 1개 강조</t>
  </si>
  <si>
    <t>본관 3층으로 이동하기</t>
  </si>
  <si>
    <t>손전등과 안전한 발판을 확인하며 환영이 반복되는 계단를 통과함</t>
  </si>
  <si>
    <t>6/10 – 통로 폭·시야 범위·장애물 간격이 난이도를 결정함</t>
  </si>
  <si>
    <t>4-E | 폐교 본관 3층</t>
  </si>
  <si>
    <t>친구의 목소리 추적하기</t>
  </si>
  <si>
    <t>반사음과 가짜 목소리 때문에 실제 방향을 잘못 판단할 수 있음</t>
  </si>
  <si>
    <t>소리 크기 변화와 파티원의 반응을 비교하며 복도마다 방향이 달라지는 목소리를 추적함</t>
  </si>
  <si>
    <t>7/10 – 가짜 신호 수·방향 변화 빈도·이동 거리의 차이가 난이도를 결정함</t>
  </si>
  <si>
    <t>올바른 강당 방향 도착</t>
  </si>
  <si>
    <t>가짜 경로 끝에 도달하면 추가 환영 전투 발생</t>
  </si>
  <si>
    <t>정체 45초 후 실제 방향의 음량을 강화</t>
  </si>
  <si>
    <t>친구의 목소리를 따라가며 매복 괴물 처치하기</t>
  </si>
  <si>
    <t>가짜 목소리가 전투 구역으로 유도하고 좁은 복도 양쪽에서 괴물이 동시에 나타남</t>
  </si>
  <si>
    <t>목소리 방향보다 파티 반응과 바닥 흔적을 확인하고 후방 적부터 제거해 퇴로를 확보함</t>
  </si>
  <si>
    <t>8/10 – 매복 방향 수·적 수·통로 폭·가짜 신호 빈도·후퇴 공간이 난이도를 결정함</t>
  </si>
  <si>
    <t>매복 괴물 4마리 처치 후 강당 방향 도착</t>
  </si>
  <si>
    <t>파티 전멸 또는 후퇴로가 막힌 상태에서 체력 0 시 재시작</t>
  </si>
  <si>
    <t>첫 매복 때 후방 경고음과 안전 지점을 표시</t>
  </si>
  <si>
    <t>강당 열쇠 찾기</t>
  </si>
  <si>
    <t>구역별 표지와 상품 외형을 비교하며 관리실·음악실·방송실의 열쇠 후보를 조사함</t>
  </si>
  <si>
    <t>7/10 – 후보 오브젝트 수·외형 유사도·탐색 범위가 난이도를 결정함</t>
  </si>
  <si>
    <t>관리실·음악실·방송실의 열쇠 후보 발견 및 조사 완료</t>
  </si>
  <si>
    <t>강당에 진입하기</t>
  </si>
  <si>
    <t>주변 단서와 장치 반응을 확인해 봉인된 강당 출입문를 순서대로 해제함</t>
  </si>
  <si>
    <t>5/10 – 단계 수·단서 위치·오답 초기화 범위가 난이도를 결정함</t>
  </si>
  <si>
    <t>괴물형 보스 1페이즈 공략하기</t>
  </si>
  <si>
    <t>넓은 공격 범위와 소환 패턴이 겹쳐 이동 공간이 빠르게 줄어듦</t>
  </si>
  <si>
    <t>공격 예고를 보고 안전 구역으로 이동한 뒤 소환체부터 제거하며 친구의 괴물형 보스를 공략함</t>
  </si>
  <si>
    <t>9/10 – 패턴 수·공격 범위·소환체 수·안전 구역 크기가 난이도를 결정함</t>
  </si>
  <si>
    <t>보스 체력 50% 이하 도달</t>
  </si>
  <si>
    <t>주인공 또는 필수 동료 전멸 시 페이즈 재시작</t>
  </si>
  <si>
    <t>5분 10초</t>
  </si>
  <si>
    <t>3회 실패 후 공격 예고 시간 증가</t>
  </si>
  <si>
    <t>4-F | 폐교 강당·보스전</t>
  </si>
  <si>
    <t>기억 개입 패턴 공략하기</t>
  </si>
  <si>
    <t>가짜 기억과 실제 전투 화면이 겹쳐 입력 대상과 회피 방향을 혼동함</t>
  </si>
  <si>
    <t>기억 속 모순 단서를 찾아 가짜 기억을 강제로 재생하는 패턴를 끊고 실제 공격 타이밍에 회피함</t>
  </si>
  <si>
    <t>9/10 – 동시 정보량·모순 단서 수·입력 제한시간이 난이도를 결정함</t>
  </si>
  <si>
    <t>기억 개입 패턴 전부 해제</t>
  </si>
  <si>
    <t>오답 선택 누적 시 죄책감 수치와 피격 위험 증가</t>
  </si>
  <si>
    <t>실패 후 모순 단서 노출 시간을 늘림</t>
  </si>
  <si>
    <t>인간형 보스 2페이즈 공략하기</t>
  </si>
  <si>
    <t>빠른 공격과 선택 강요 패턴이 연속으로 이어져 회복할 시간이 부족함</t>
  </si>
  <si>
    <t>거리 유지와 방어를 우선하고 선택 패턴이 끝난 직후 빠른 근접 공격과 선택 강요 패턴를 공격함</t>
  </si>
  <si>
    <t>10/10 – 공격 속도·연속 패턴 수·회복 가능 시간·선택 제한시간이 난이도를 결정함</t>
  </si>
  <si>
    <t>보스 체력 0 또는 인간형 상태 해제</t>
  </si>
  <si>
    <t>파티 전멸 시 2페이즈 시작 지점 재시작</t>
  </si>
  <si>
    <t>5분 50초</t>
  </si>
  <si>
    <t>반복 실패 시 회복 아이템 1개 추가</t>
  </si>
  <si>
    <t>죄책감 축적 패턴 버티기</t>
  </si>
  <si>
    <t>공격 회피만으로 해결되지 않고 이전 선택에 따라 누적 수치가 달라짐</t>
  </si>
  <si>
    <t>안전 행동을 유지하고 올바른 기억 선택으로 피격보다 선택 실패로 쌓이는 죄책감의 누적을 낮춤</t>
  </si>
  <si>
    <t>9/10 – 누적 속도·감소 수단·제한시간·체력 회복량이 난이도를 결정함</t>
  </si>
  <si>
    <t>제한시간 동안 생존하고 죄책감 수치 기준 이하 유지</t>
  </si>
  <si>
    <t>죄책감 최대치 또는 체력 0 시 재시작</t>
  </si>
  <si>
    <t>3분 50초</t>
  </si>
  <si>
    <t>누적 수치가 높을 때 감소 가능한 선택을 강조</t>
  </si>
  <si>
    <t>친구에게 다가가기</t>
  </si>
  <si>
    <t>보스가 공격을 멈추더라도 잔류 패턴과 화면 왜곡이 계속됨</t>
  </si>
  <si>
    <t>잔류 공격 사이의 빈틈을 이용해 공격을 멈춘 친구에게 단계적으로 접근함</t>
  </si>
  <si>
    <t>8/10 – 잔류 패턴 수·안전 구간 길이·필요 접근 횟수가 난이도를 결정함</t>
  </si>
  <si>
    <t>보스 앞 상호작용 지점 도착</t>
  </si>
  <si>
    <t>잔류 공격에 4회 피격 시 구간 재시작</t>
  </si>
  <si>
    <t>접근 실패 후 안전 지점 표시</t>
  </si>
  <si>
    <t>친구를 포옹하기</t>
  </si>
  <si>
    <t>전투에서 사용하던 공격 입력과 반대되는 행동을 선택해야 함</t>
  </si>
  <si>
    <t>주인공의 기억과 친구의 상태를 확인하고 처치 대신 포옹하는 선택를 선택함</t>
  </si>
  <si>
    <t>5/10 – 기존 조작 습관과 선택의 감정적 부담이 난이도를 결정함</t>
  </si>
  <si>
    <t>포옹 상호작용 완료</t>
  </si>
  <si>
    <t>공격 선택 시 다른 결말 분기로 전환</t>
  </si>
  <si>
    <t>상호작용 직전 공격 버튼 안내를 숨기고 선택 문구 강조</t>
  </si>
  <si>
    <t>친구를 인간으로 복원하기</t>
  </si>
  <si>
    <t>복원 과정 중 친구의 상태와 주인공의 선의 수치를 동시에 유지해야 함</t>
  </si>
  <si>
    <t>안내되는 타이밍에 상호작용해 선의가 고갈된 친구의 변이 수치를 단계적으로 낮춤</t>
  </si>
  <si>
    <t>4/10 – 입력 타이밍·유지 시간·실패 시 초기화 범위가 난이도를 결정함</t>
  </si>
  <si>
    <t>복원 게이지 100% 달성</t>
  </si>
  <si>
    <t>중단 게이지 최대 시 복원 단계 재시작</t>
  </si>
  <si>
    <t>입력 타이밍 범위를 넓히고 단계 체크포인트 제공</t>
  </si>
  <si>
    <t>폐교에서 탈출하기</t>
  </si>
  <si>
    <t>붕괴로 기존 길이 막히고 동료와 함께 제한시간 안에 탈출해야 함</t>
  </si>
  <si>
    <t>새로 열린 우회로를 따라가며 붕괴하는 폐교에서 파티원을 기다림</t>
  </si>
  <si>
    <t>7/10 – 제한시간·우회로 길이·동행 인원·붕괴 주기가 난이도를 결정함</t>
  </si>
  <si>
    <t>모든 생존 파티원이 출구 도착</t>
  </si>
  <si>
    <t>제한시간 종료 또는 파티원 전멸 시 재시작</t>
  </si>
  <si>
    <t>실패 후 붕괴 주기 완화 및 우회로 표시</t>
  </si>
  <si>
    <t>4-G | 폐교 탈출·귀환</t>
  </si>
  <si>
    <t>관리국에 귀환 보고하기</t>
  </si>
  <si>
    <t>완료 정보와 새로 발견한 사실 중 무엇을 보고해야 하는지 구분해야 함</t>
  </si>
  <si>
    <t>임무 결과·인원·특이사항을 확인하고 친구 복원 사실과 균열 정보를 순서대로 보고함</t>
  </si>
  <si>
    <t>3/10 – 보고 항목 수·정보 분산 정도가 난이도를 결정함</t>
  </si>
  <si>
    <t>필수 보고 항목 모두 선택</t>
  </si>
  <si>
    <t>누락 항목이 있으면 보고 완료 불가</t>
  </si>
  <si>
    <t>미보고 항목을 체크리스트로 표시</t>
  </si>
  <si>
    <t>5 | 균열의 진실</t>
  </si>
  <si>
    <t>균열의 진실</t>
  </si>
  <si>
    <t>공식 명령과 주인공의 생존 가능성이 충돌해 목표를 단순히 받아들이기 어려움</t>
  </si>
  <si>
    <t>자료와 대화를 확인해 주인공만 진입 가능한 대형 균열의 목적과 위험을 이해함</t>
  </si>
  <si>
    <t>3/10 – 정보 비대칭·목표 충돌 정도가 난이도를 결정함</t>
  </si>
  <si>
    <t>최종 브리핑 종료</t>
  </si>
  <si>
    <t>명령의 공개 정보와 숨겨진 조건을 구분해 표시</t>
  </si>
  <si>
    <t>5-A | 대형 균열 외부</t>
  </si>
  <si>
    <t>강제 출동 압박 견디기</t>
  </si>
  <si>
    <t>여러 인물이 서로 다른 이유로 같은 희생을 요구해 감정적 압박이 커짐</t>
  </si>
  <si>
    <t>각 인물의 요구와 주인공의 상태를 비교하며 가족·관리국·시민의 희생 요구의 의미를 판단함</t>
  </si>
  <si>
    <t>6/10 – 요구 인물 수·대사 강도·선택지의 감정적 부담이 난이도를 결정함</t>
  </si>
  <si>
    <t>압박 대화 전부 확인</t>
  </si>
  <si>
    <t>대화 사이에 독백과 상태 확인 시간을 제공</t>
  </si>
  <si>
    <t>균열 중심부로 이동하기</t>
  </si>
  <si>
    <t>표지판·미니맵·NPC 이동 방향을 확인하며 도시에서 대형 균열 중심까지 이동함</t>
  </si>
  <si>
    <t>6/10 – 맵 크기·갈림길 수·목적지 표식의 가시성이 난이도를 결정함</t>
  </si>
  <si>
    <t>도시에서 대형 균열 중심의 도착 트리거에 진입</t>
  </si>
  <si>
    <t>균열 내부에 진입하기</t>
  </si>
  <si>
    <t>공간 왜곡으로 이동 방향과 상호작용 위치가 계속 바뀜</t>
  </si>
  <si>
    <t>고정된 빛 표식과 바닥 파동을 기준으로 왜곡된 진입 통로의 통로를 통과함</t>
  </si>
  <si>
    <t>7/10 – 화면 왜곡 강도·안전 표식 수·통로 폭이 난이도를 결정함</t>
  </si>
  <si>
    <t>균열 내부 첫 구역 도착</t>
  </si>
  <si>
    <t>왜곡 구역 낙하 3회 시 체크포인트 재시작</t>
  </si>
  <si>
    <t>실패 후 고정 표식의 밝기 증가</t>
  </si>
  <si>
    <t>5-B | 균열 내부</t>
  </si>
  <si>
    <t>선의 조각 수집하기</t>
  </si>
  <si>
    <t>자원이 움직이는 지형과 위험 구역에 분산되어 수집 동선이 길어짐</t>
  </si>
  <si>
    <t>위험 주기를 피하며 가까운 순서로 균열 내부에 흩어진 선의 조각 8개를 수집함</t>
  </si>
  <si>
    <t>7/10 – 목표 수량·배치 거리·위험 주기·이동 지형이 난이도를 결정함</t>
  </si>
  <si>
    <t>필수 자원 전부 수집</t>
  </si>
  <si>
    <t>필수 수량 미달 시 심층부 통로 활성화 불가</t>
  </si>
  <si>
    <t>3분 40초</t>
  </si>
  <si>
    <t>남은 자원의 대략적 방향과 거리 표시</t>
  </si>
  <si>
    <t>과거 기억 재생하기</t>
  </si>
  <si>
    <t>현재와 과거 장면이 교차해 사건의 시간 순서를 혼동할 수 있음</t>
  </si>
  <si>
    <t>반복되는 사물과 대사를 기준으로 주인공의 탄생과 가족의 기억의 순서를 맞춤</t>
  </si>
  <si>
    <t>5/10 – 장면 수·시간 순서의 복잡도·인물 수가 난이도를 결정함</t>
  </si>
  <si>
    <t>필수 기억 장면 모두 확인</t>
  </si>
  <si>
    <t>기억 장면마다 시간 표식과 인물 관계 아이콘 표시</t>
  </si>
  <si>
    <t>가짜 가족 환영 돌파하기</t>
  </si>
  <si>
    <t>칭찬과 비난이 번갈아 제시되어 올바른 길보다 감정적 반응을 유도함</t>
  </si>
  <si>
    <t>말의 내용보다 행동과 기억의 모순을 확인해 칭찬과 비난을 반복하는 가족 환영을 무시하고 진행함</t>
  </si>
  <si>
    <t>9/10 – 환영 수·가짜 단서의 설득력·자아 마모도 누적량이 난이도를 결정함</t>
  </si>
  <si>
    <t>환영 구역 종료 지점 도착</t>
  </si>
  <si>
    <t>잘못된 환영 선택 누적 시 자아 마모도 증가</t>
  </si>
  <si>
    <t>실패 후 모순되는 대사의 일부 강조</t>
  </si>
  <si>
    <t>균열 수호체 전투 치르기</t>
  </si>
  <si>
    <t>다단계 패턴·환경 공격·자아 마모도 관리가 동시에 요구됨</t>
  </si>
  <si>
    <t>안전 구역을 확보하고 약점 노출 때 집중 공격해 균열 심층부 수호체를 처치함</t>
  </si>
  <si>
    <t>10/10 – 패턴 수·동시 관리 자원·안전 구역 크기·체크포인트 간격이 난이도를 결정함</t>
  </si>
  <si>
    <t>보스 체력 0 및 주인공 생존</t>
  </si>
  <si>
    <t>체력 0 또는 자아 마모도 최대 시 전투 재시작</t>
  </si>
  <si>
    <t>6분</t>
  </si>
  <si>
    <t>반복 실패 시 체크포인트 세분화와 회복 자원 추가</t>
  </si>
  <si>
    <t>균열 심층부로 이동하기</t>
  </si>
  <si>
    <t>통로가 붕괴하고 화면 왜곡이 심해져 이동 경로를 오래 유지할 수 없음</t>
  </si>
  <si>
    <t>붕괴 예고와 고정 표식을 보며 붕괴하는 균열 통로까지 짧은 구간 단위로 이동함</t>
  </si>
  <si>
    <t>7/10 – 붕괴 속도·통로 폭·왜곡 강도·체크포인트 간격이 난이도를 결정함</t>
  </si>
  <si>
    <t>심층부 도착</t>
  </si>
  <si>
    <t>낙하 또는 제한시간 종료 시 직전 지점 재시작</t>
  </si>
  <si>
    <t>구간별 체크포인트와 안전 발판 강조</t>
  </si>
  <si>
    <t>5-C | 균열 심층부</t>
  </si>
  <si>
    <t>출생의 진실 확인하기</t>
  </si>
  <si>
    <t>기존에 알고 있던 세계 규칙과 반대되는 정보가 연속으로 제시됨</t>
  </si>
  <si>
    <t>기록·기억·균열 반응을 비교해 차한해가 균열에서 태어난 존재라는 기록의 사실 관계를 확인함</t>
  </si>
  <si>
    <t>4/10 – 새 정보량·기존 정보와의 충돌 정도가 난이도를 결정함</t>
  </si>
  <si>
    <t>필수 진실 기록 전부 확인</t>
  </si>
  <si>
    <t>핵심 사실을 단계별로 요약해 기록 메뉴에 저장</t>
  </si>
  <si>
    <t>한도윤과 마지막 통신하기</t>
  </si>
  <si>
    <t>통신이 끊기고 잡음이 섞여 상대의 의도를 정확히 듣기 어려움</t>
  </si>
  <si>
    <t>반복되는 핵심 문구를 확인하며 귀환을 요청하는 한도윤의 마지막 대화를 진행함</t>
  </si>
  <si>
    <t>5/10 – 잡음 강도·대사 길이·감정적 부담이 난이도를 결정함</t>
  </si>
  <si>
    <t>통신 종료</t>
  </si>
  <si>
    <t>핵심 대사 자막을 화면에 오래 유지</t>
  </si>
  <si>
    <t>소멸 선택지 확인하기</t>
  </si>
  <si>
    <t>어떤 선택도 완전한 보상이 없고 플레이어가 결말을 직접 확정해야 함</t>
  </si>
  <si>
    <t>지금까지 수집한 정보와 관계 변화를 확인해 자신의 소멸과 균열 소멸의 관계를 결정함</t>
  </si>
  <si>
    <t>8/10 – 결과의 비가역성·정보량·감정적 부담이 난이도를 결정함</t>
  </si>
  <si>
    <t>최종 선택지 확정</t>
  </si>
  <si>
    <t>선택 전 저장 및 주요 결과 요약 제공</t>
  </si>
  <si>
    <t>마지막 기억 회수하기</t>
  </si>
  <si>
    <t>기억 조각이 위험 구역과 멀리 떨어져 있어 수집 순서가 중요함</t>
  </si>
  <si>
    <t>가장 안전한 경로를 정하고 주인공이 지키고 싶었던 사람들의 기억 5개를 회수함</t>
  </si>
  <si>
    <t>7/10 – 목표 수·동선 길이·위험 구역 밀도·자아 마모도 증가량이 난이도를 결정함</t>
  </si>
  <si>
    <t>필수 기억 전부 회수</t>
  </si>
  <si>
    <t>자아 마모도 최대 시 직전 체크포인트 재시작</t>
  </si>
  <si>
    <t>남은 기억 방향과 안전 경로를 단계적으로 표시</t>
  </si>
  <si>
    <t>균열 핵에 접근하기</t>
  </si>
  <si>
    <t>핵의 충격파가 일정 주기로 넓어져 접근 가능한 시간이 짧음</t>
  </si>
  <si>
    <t>충격파 예고를 보고 안전 지점에서 대기한 뒤 주기적으로 충격파를 내보내는 균열 핵에 단계적으로 접근함</t>
  </si>
  <si>
    <t>9/10 – 충격파 주기·안전 지점 거리·필요 접근 횟수가 난이도를 결정함</t>
  </si>
  <si>
    <t>균열 핵 상호작용 지점 도착</t>
  </si>
  <si>
    <t>충격파 5회 피격 또는 체력 0 시 재시작</t>
  </si>
  <si>
    <t>실패 후 충격파 예고 시간 증가</t>
  </si>
  <si>
    <t>균열 핵과 동기화하기</t>
  </si>
  <si>
    <t>두 게이지가 서로 반대로 움직여 하나만 맞추면 다른 값이 벗어남</t>
  </si>
  <si>
    <t>입력 강도와 타이밍을 조절해 선의와 자아 마모도를 맞추는 입력의 두 수치를 목표 범위에 유지함</t>
  </si>
  <si>
    <t>9/10 – 게이지 이동속도·목표 범위·동시 입력 수·초기화 범위가 난이도를 결정함</t>
  </si>
  <si>
    <t>동기화 게이지 100% 달성</t>
  </si>
  <si>
    <t>불안정 수치 최대 시 동기화 단계 재시작</t>
  </si>
  <si>
    <t>실패 후 목표 범위 확대와 중간 체크포인트 제공</t>
  </si>
  <si>
    <t>최종 선택 실행하기</t>
  </si>
  <si>
    <t>최종 선택을 실행하면 되돌릴 수 없다는 사실이 강한 심리적 부담을 줌</t>
  </si>
  <si>
    <t>확인 문구와 지금까지의 결과를 검토한 뒤 균열과 함께 소멸하는 선택를 실행함</t>
  </si>
  <si>
    <t>7/10 – 선택의 비가역성과 감정적 부담이 난이도를 결정함</t>
  </si>
  <si>
    <t>최종 행동 확인 입력 완료</t>
  </si>
  <si>
    <t>이중 확인과 자동 저장 제공</t>
  </si>
  <si>
    <t>5-D | 최종 선택·후일담</t>
  </si>
  <si>
    <t>균열과 몬스터 소멸 확인하기</t>
  </si>
  <si>
    <t>여러 지역과 인물의 변화를 짧은 장면 안에서 연결해 이해해야 함</t>
  </si>
  <si>
    <t>장면 순서와 반복되는 상징을 보며 도시 곳곳의 균열과 괴물의 결과를 확인함</t>
  </si>
  <si>
    <t>3/10 – 등장 인물 수·장면 전환 속도·결과 연결성이 난이도를 결정함</t>
  </si>
  <si>
    <t>후일담 장면 전부 재생</t>
  </si>
  <si>
    <t>인물별 이름과 이전 선택 결과를 함께 표시</t>
  </si>
  <si>
    <t>생존자들의 후일담 확인하기</t>
  </si>
  <si>
    <t>장면 순서와 반복되는 상징을 보며 가족·한도윤·친구·시민의 변화의 결과를 확인함</t>
  </si>
  <si>
    <t>2/10 – 등장 인물 수·장면 전환 속도·결과 연결성이 난이도를 결정함</t>
  </si>
  <si>
    <t>엔딩 크레딧 감상하기</t>
  </si>
  <si>
    <t>긴 크레딧 중 추가 장면과 기록이 삽입되어 놓칠 수 있음</t>
  </si>
  <si>
    <t>크레딧 사이의 주요 장면과 엔딩 크레딧를 확인하며 마지막까지 감상함</t>
  </si>
  <si>
    <t>1/10 – 추가 장면의 노출 시간과 배치 간격이 난이도를 결정함</t>
  </si>
  <si>
    <t>크레딧 종료</t>
  </si>
  <si>
    <t>일시정지·배속·다시 보기 기능 제공</t>
  </si>
  <si>
    <t>X 콘텐츠 진행 포인트</t>
  </si>
  <si>
    <t>Y 레벨업을 위한 필요 경험치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</si>
</sst>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[h]&quot;시간 &quot;m&quot;분 &quot;s&quot;초&quot;"/>
  </numFmts>
  <fonts count="6">
    <font>
      <sz val="11"/>
      <color rgb="FF000000"/>
      <name val="Carlito"/>
    </font>
    <font>
      <sz val="11"/>
      <color rgb="FF000000"/>
      <name val="Carlito"/>
    </font>
    <font>
      <b/>
      <sz val="16"/>
      <color rgb="FF000000"/>
      <name val="Carlito"/>
    </font>
    <font>
      <sz val="10"/>
      <color rgb="FF000000"/>
      <name val="Carlito"/>
    </font>
    <font>
      <sz val="10"/>
      <color rgb="FF000000"/>
      <name val="맑은 고딕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FFFFF"/>
      </patternFill>
    </fill>
  </fills>
  <borders count="15">
    <border>
      <left/>
      <right/>
      <top/>
      <bottom/>
      <diagonal/>
    </border>
    <border>
      <left style="thin">
        <color rgb="FFC8D1DC"/>
      </left>
      <right/>
      <top style="thin">
        <color rgb="FFC8D1DC"/>
      </top>
      <bottom/>
      <diagonal/>
    </border>
    <border>
      <left/>
      <right/>
      <top style="thin">
        <color rgb="FFC8D1DC"/>
      </top>
      <bottom/>
      <diagonal/>
    </border>
    <border>
      <left/>
      <right style="thin">
        <color rgb="FFC8D1DC"/>
      </right>
      <top style="thin">
        <color rgb="FFC8D1DC"/>
      </top>
      <bottom/>
      <diagonal/>
    </border>
    <border>
      <left style="thin">
        <color rgb="FFC8D1DC"/>
      </left>
      <right/>
      <top/>
      <bottom/>
      <diagonal/>
    </border>
    <border>
      <left/>
      <right style="thin">
        <color rgb="FFC8D1DC"/>
      </right>
      <top/>
      <bottom/>
      <diagonal/>
    </border>
    <border>
      <left style="thin">
        <color rgb="FFC8D1DC"/>
      </left>
      <right/>
      <top/>
      <bottom style="thin">
        <color rgb="FFC8D1DC"/>
      </bottom>
      <diagonal/>
    </border>
    <border>
      <left/>
      <right/>
      <top/>
      <bottom style="thin">
        <color rgb="FFC8D1DC"/>
      </bottom>
      <diagonal/>
    </border>
    <border>
      <left/>
      <right style="thin">
        <color rgb="FFC8D1DC"/>
      </right>
      <top/>
      <bottom style="thin">
        <color rgb="FFC8D1DC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C8D1DC"/>
      </right>
      <top style="thin">
        <color rgb="FFC8D1DC"/>
      </top>
      <bottom/>
      <diagonal/>
    </border>
    <border>
      <left/>
      <right style="thin">
        <color rgb="FFC8D1DC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>
      <alignment vertical="center"/>
    </xf>
  </cellStyleXfs>
  <cellXfs count="45">
    <xf numFmtId="0" fontId="0" fillId="0" borderId="0" xfId="0" applyAlignment="1"/>
    <xf numFmtId="0" fontId="1" fillId="0" borderId="0" xfId="1" applyAlignment="1">
      <alignment vertical="top" wrapText="1"/>
    </xf>
    <xf numFmtId="0" fontId="1" fillId="0" borderId="1" xfId="1" applyBorder="1" applyAlignment="1">
      <alignment vertical="top" wrapText="1"/>
    </xf>
    <xf numFmtId="0" fontId="1" fillId="0" borderId="2" xfId="1" applyBorder="1" applyAlignment="1">
      <alignment vertical="top" wrapText="1"/>
    </xf>
    <xf numFmtId="0" fontId="1" fillId="0" borderId="3" xfId="1" applyBorder="1" applyAlignment="1">
      <alignment vertical="top" wrapText="1"/>
    </xf>
    <xf numFmtId="0" fontId="1" fillId="0" borderId="4" xfId="1" applyBorder="1" applyAlignment="1">
      <alignment vertical="top" wrapText="1"/>
    </xf>
    <xf numFmtId="0" fontId="1" fillId="0" borderId="5" xfId="1" applyBorder="1" applyAlignment="1">
      <alignment vertical="top" wrapText="1"/>
    </xf>
    <xf numFmtId="0" fontId="1" fillId="0" borderId="6" xfId="1" applyBorder="1" applyAlignment="1">
      <alignment vertical="top" wrapText="1"/>
    </xf>
    <xf numFmtId="0" fontId="1" fillId="0" borderId="7" xfId="1" applyBorder="1" applyAlignment="1">
      <alignment vertical="top" wrapText="1"/>
    </xf>
    <xf numFmtId="0" fontId="1" fillId="0" borderId="8" xfId="1" applyBorder="1" applyAlignment="1">
      <alignment vertical="top" wrapText="1"/>
    </xf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4" xfId="1" applyBorder="1"/>
    <xf numFmtId="0" fontId="1" fillId="0" borderId="0" xfId="1"/>
    <xf numFmtId="0" fontId="1" fillId="0" borderId="5" xfId="1" applyBorder="1"/>
    <xf numFmtId="0" fontId="1" fillId="0" borderId="6" xfId="1" applyBorder="1"/>
    <xf numFmtId="0" fontId="1" fillId="0" borderId="7" xfId="1" applyBorder="1"/>
    <xf numFmtId="0" fontId="1" fillId="0" borderId="8" xfId="1" applyBorder="1"/>
    <xf numFmtId="176" fontId="1" fillId="0" borderId="2" xfId="1" applyNumberFormat="1" applyBorder="1"/>
    <xf numFmtId="176" fontId="1" fillId="0" borderId="0" xfId="1" applyNumberFormat="1"/>
    <xf numFmtId="176" fontId="1" fillId="0" borderId="7" xfId="1" applyNumberFormat="1" applyBorder="1"/>
    <xf numFmtId="0" fontId="2" fillId="2" borderId="0" xfId="2" applyFont="1" applyFill="1" applyAlignment="1"/>
    <xf numFmtId="0" fontId="1" fillId="0" borderId="0" xfId="2" applyAlignment="1"/>
    <xf numFmtId="0" fontId="3" fillId="2" borderId="0" xfId="2" applyFont="1" applyFill="1" applyAlignment="1">
      <alignment wrapText="1"/>
    </xf>
    <xf numFmtId="0" fontId="1" fillId="0" borderId="9" xfId="1" applyBorder="1" applyAlignment="1">
      <alignment vertical="center" wrapText="1"/>
    </xf>
    <xf numFmtId="0" fontId="1" fillId="0" borderId="10" xfId="1" applyBorder="1" applyAlignment="1">
      <alignment vertical="center" wrapText="1"/>
    </xf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1" fontId="0" fillId="3" borderId="0" xfId="0" applyNumberFormat="1" applyFill="1" applyAlignment="1"/>
    <xf numFmtId="0" fontId="0" fillId="3" borderId="0" xfId="0" applyFill="1" applyAlignment="1">
      <alignment wrapText="1"/>
    </xf>
    <xf numFmtId="2" fontId="0" fillId="3" borderId="0" xfId="0" applyNumberFormat="1" applyFill="1" applyAlignment="1"/>
    <xf numFmtId="177" fontId="0" fillId="0" borderId="0" xfId="0" applyNumberFormat="1" applyAlignment="1"/>
    <xf numFmtId="177" fontId="3" fillId="2" borderId="11" xfId="0" applyNumberFormat="1" applyFont="1" applyFill="1" applyBorder="1" applyAlignment="1">
      <alignment wrapText="1"/>
    </xf>
    <xf numFmtId="0" fontId="4" fillId="0" borderId="12" xfId="0" applyFont="1" applyBorder="1" applyAlignment="1">
      <alignment vertical="center" wrapText="1"/>
    </xf>
    <xf numFmtId="0" fontId="4" fillId="0" borderId="11" xfId="0" applyFont="1" applyFill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4" fillId="0" borderId="14" xfId="0" applyFont="1" applyFill="1" applyBorder="1" applyAlignment="1">
      <alignment vertical="center"/>
    </xf>
    <xf numFmtId="0" fontId="4" fillId="0" borderId="14" xfId="0" applyFont="1" applyFill="1" applyBorder="1" applyAlignment="1">
      <alignment horizontal="left" vertical="center"/>
    </xf>
    <xf numFmtId="177" fontId="4" fillId="0" borderId="14" xfId="0" applyNumberFormat="1" applyFont="1" applyFill="1" applyBorder="1" applyAlignment="1">
      <alignment vertical="center"/>
    </xf>
    <xf numFmtId="1" fontId="4" fillId="0" borderId="14" xfId="0" applyNumberFormat="1" applyFont="1" applyFill="1" applyBorder="1" applyAlignment="1">
      <alignment vertical="center"/>
    </xf>
    <xf numFmtId="2" fontId="4" fillId="0" borderId="14" xfId="0" applyNumberFormat="1" applyFont="1" applyFill="1" applyBorder="1" applyAlignment="1">
      <alignment vertical="center"/>
    </xf>
    <xf numFmtId="0" fontId="4" fillId="2" borderId="14" xfId="0" applyFont="1" applyFill="1" applyBorder="1" applyAlignment="1">
      <alignment vertical="center" wrapText="1"/>
    </xf>
  </cellXfs>
  <cellStyles count="3">
    <cellStyle name="Normal" xfId="1" xr:uid="{00000000-0005-0000-0000-000001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b="0" i="0" u="none"/>
              <a:t>게임 시작부터 엔딩까지의 조작난이도·재미율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조작난이도</c:v>
          </c:tx>
          <c:marker>
            <c:symbol val="diamond"/>
            <c:size val="7"/>
          </c:marker>
          <c:cat>
            <c:numRef>
              <c:f>'밸런스 곡선'!$A$15:$A$137</c:f>
              <c:numCache>
                <c:formatCode>0</c:formatCode>
                <c:ptCount val="1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</c:numCache>
            </c:numRef>
          </c:cat>
          <c:val>
            <c:numRef>
              <c:f>'밸런스 곡선'!$B$15:$B$137</c:f>
              <c:numCache>
                <c:formatCode>0</c:formatCode>
                <c:ptCount val="12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5</c:v>
                </c:pt>
                <c:pt idx="17">
                  <c:v>4</c:v>
                </c:pt>
                <c:pt idx="18">
                  <c:v>2</c:v>
                </c:pt>
                <c:pt idx="19">
                  <c:v>1</c:v>
                </c:pt>
                <c:pt idx="20">
                  <c:v>2</c:v>
                </c:pt>
                <c:pt idx="21">
                  <c:v>2</c:v>
                </c:pt>
                <c:pt idx="22">
                  <c:v>3</c:v>
                </c:pt>
                <c:pt idx="23">
                  <c:v>1</c:v>
                </c:pt>
                <c:pt idx="24">
                  <c:v>2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2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3</c:v>
                </c:pt>
                <c:pt idx="33">
                  <c:v>1</c:v>
                </c:pt>
                <c:pt idx="34">
                  <c:v>2</c:v>
                </c:pt>
                <c:pt idx="35">
                  <c:v>2</c:v>
                </c:pt>
                <c:pt idx="36">
                  <c:v>3</c:v>
                </c:pt>
                <c:pt idx="37">
                  <c:v>1</c:v>
                </c:pt>
                <c:pt idx="38">
                  <c:v>1</c:v>
                </c:pt>
                <c:pt idx="39">
                  <c:v>2</c:v>
                </c:pt>
                <c:pt idx="40">
                  <c:v>2</c:v>
                </c:pt>
                <c:pt idx="41">
                  <c:v>3</c:v>
                </c:pt>
                <c:pt idx="42">
                  <c:v>3</c:v>
                </c:pt>
                <c:pt idx="43">
                  <c:v>2</c:v>
                </c:pt>
                <c:pt idx="44">
                  <c:v>1</c:v>
                </c:pt>
                <c:pt idx="45">
                  <c:v>2</c:v>
                </c:pt>
                <c:pt idx="46">
                  <c:v>2</c:v>
                </c:pt>
                <c:pt idx="47">
                  <c:v>1</c:v>
                </c:pt>
                <c:pt idx="48">
                  <c:v>1</c:v>
                </c:pt>
                <c:pt idx="49">
                  <c:v>2</c:v>
                </c:pt>
                <c:pt idx="50">
                  <c:v>3</c:v>
                </c:pt>
                <c:pt idx="51">
                  <c:v>4</c:v>
                </c:pt>
                <c:pt idx="52">
                  <c:v>5</c:v>
                </c:pt>
                <c:pt idx="53">
                  <c:v>5</c:v>
                </c:pt>
                <c:pt idx="54">
                  <c:v>4</c:v>
                </c:pt>
                <c:pt idx="55">
                  <c:v>2</c:v>
                </c:pt>
                <c:pt idx="56">
                  <c:v>2</c:v>
                </c:pt>
                <c:pt idx="57">
                  <c:v>4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4</c:v>
                </c:pt>
                <c:pt idx="62">
                  <c:v>1</c:v>
                </c:pt>
                <c:pt idx="63">
                  <c:v>2</c:v>
                </c:pt>
                <c:pt idx="64">
                  <c:v>2</c:v>
                </c:pt>
                <c:pt idx="65">
                  <c:v>1</c:v>
                </c:pt>
                <c:pt idx="66">
                  <c:v>2</c:v>
                </c:pt>
                <c:pt idx="67">
                  <c:v>2</c:v>
                </c:pt>
                <c:pt idx="68">
                  <c:v>6</c:v>
                </c:pt>
                <c:pt idx="69">
                  <c:v>7</c:v>
                </c:pt>
                <c:pt idx="70">
                  <c:v>7</c:v>
                </c:pt>
                <c:pt idx="71">
                  <c:v>2</c:v>
                </c:pt>
                <c:pt idx="72">
                  <c:v>7</c:v>
                </c:pt>
                <c:pt idx="73">
                  <c:v>8</c:v>
                </c:pt>
                <c:pt idx="74">
                  <c:v>1</c:v>
                </c:pt>
                <c:pt idx="75">
                  <c:v>2</c:v>
                </c:pt>
                <c:pt idx="76">
                  <c:v>2</c:v>
                </c:pt>
                <c:pt idx="77">
                  <c:v>3</c:v>
                </c:pt>
                <c:pt idx="78">
                  <c:v>3</c:v>
                </c:pt>
                <c:pt idx="79">
                  <c:v>4</c:v>
                </c:pt>
                <c:pt idx="80">
                  <c:v>6</c:v>
                </c:pt>
                <c:pt idx="81">
                  <c:v>7</c:v>
                </c:pt>
                <c:pt idx="82">
                  <c:v>3</c:v>
                </c:pt>
                <c:pt idx="83">
                  <c:v>5</c:v>
                </c:pt>
                <c:pt idx="84">
                  <c:v>4</c:v>
                </c:pt>
                <c:pt idx="85">
                  <c:v>3</c:v>
                </c:pt>
                <c:pt idx="86">
                  <c:v>7</c:v>
                </c:pt>
                <c:pt idx="87">
                  <c:v>6</c:v>
                </c:pt>
                <c:pt idx="88">
                  <c:v>4</c:v>
                </c:pt>
                <c:pt idx="89">
                  <c:v>7</c:v>
                </c:pt>
                <c:pt idx="90">
                  <c:v>4</c:v>
                </c:pt>
                <c:pt idx="91">
                  <c:v>5</c:v>
                </c:pt>
                <c:pt idx="92">
                  <c:v>7</c:v>
                </c:pt>
                <c:pt idx="93">
                  <c:v>4</c:v>
                </c:pt>
                <c:pt idx="94">
                  <c:v>2</c:v>
                </c:pt>
                <c:pt idx="95">
                  <c:v>8</c:v>
                </c:pt>
                <c:pt idx="96">
                  <c:v>8</c:v>
                </c:pt>
                <c:pt idx="97">
                  <c:v>9</c:v>
                </c:pt>
                <c:pt idx="98">
                  <c:v>10</c:v>
                </c:pt>
                <c:pt idx="99">
                  <c:v>7</c:v>
                </c:pt>
                <c:pt idx="100">
                  <c:v>1</c:v>
                </c:pt>
                <c:pt idx="101">
                  <c:v>2</c:v>
                </c:pt>
                <c:pt idx="102">
                  <c:v>6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5</c:v>
                </c:pt>
                <c:pt idx="107">
                  <c:v>6</c:v>
                </c:pt>
                <c:pt idx="108">
                  <c:v>5</c:v>
                </c:pt>
                <c:pt idx="109">
                  <c:v>2</c:v>
                </c:pt>
                <c:pt idx="110">
                  <c:v>7</c:v>
                </c:pt>
                <c:pt idx="111">
                  <c:v>9</c:v>
                </c:pt>
                <c:pt idx="112">
                  <c:v>6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4</c:v>
                </c:pt>
                <c:pt idx="117">
                  <c:v>7</c:v>
                </c:pt>
                <c:pt idx="118">
                  <c:v>6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39-4E1D-A725-5EBC61F480C3}"/>
            </c:ext>
          </c:extLst>
        </c:ser>
        <c:ser>
          <c:idx val="1"/>
          <c:order val="1"/>
          <c:tx>
            <c:v>재미율</c:v>
          </c:tx>
          <c:marker>
            <c:symbol val="square"/>
            <c:size val="7"/>
          </c:marker>
          <c:cat>
            <c:numRef>
              <c:f>'밸런스 곡선'!$A$15:$A$137</c:f>
              <c:numCache>
                <c:formatCode>0</c:formatCode>
                <c:ptCount val="1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</c:numCache>
            </c:numRef>
          </c:cat>
          <c:val>
            <c:numRef>
              <c:f>'밸런스 곡선'!$C$15:$C$137</c:f>
              <c:numCache>
                <c:formatCode>0</c:formatCode>
                <c:ptCount val="123"/>
                <c:pt idx="0">
                  <c:v>8</c:v>
                </c:pt>
                <c:pt idx="1">
                  <c:v>3</c:v>
                </c:pt>
                <c:pt idx="2">
                  <c:v>5</c:v>
                </c:pt>
                <c:pt idx="3">
                  <c:v>3</c:v>
                </c:pt>
                <c:pt idx="4">
                  <c:v>3</c:v>
                </c:pt>
                <c:pt idx="5">
                  <c:v>5</c:v>
                </c:pt>
                <c:pt idx="6">
                  <c:v>5</c:v>
                </c:pt>
                <c:pt idx="7">
                  <c:v>6</c:v>
                </c:pt>
                <c:pt idx="8">
                  <c:v>5</c:v>
                </c:pt>
                <c:pt idx="9">
                  <c:v>6</c:v>
                </c:pt>
                <c:pt idx="10">
                  <c:v>5</c:v>
                </c:pt>
                <c:pt idx="11">
                  <c:v>6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7</c:v>
                </c:pt>
                <c:pt idx="16">
                  <c:v>8</c:v>
                </c:pt>
                <c:pt idx="17">
                  <c:v>7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7</c:v>
                </c:pt>
                <c:pt idx="22">
                  <c:v>8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6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6</c:v>
                </c:pt>
                <c:pt idx="31">
                  <c:v>6</c:v>
                </c:pt>
                <c:pt idx="32">
                  <c:v>6</c:v>
                </c:pt>
                <c:pt idx="33">
                  <c:v>5</c:v>
                </c:pt>
                <c:pt idx="34">
                  <c:v>5</c:v>
                </c:pt>
                <c:pt idx="35">
                  <c:v>6</c:v>
                </c:pt>
                <c:pt idx="36">
                  <c:v>7</c:v>
                </c:pt>
                <c:pt idx="37">
                  <c:v>8</c:v>
                </c:pt>
                <c:pt idx="38">
                  <c:v>5</c:v>
                </c:pt>
                <c:pt idx="39">
                  <c:v>6</c:v>
                </c:pt>
                <c:pt idx="40">
                  <c:v>6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9</c:v>
                </c:pt>
                <c:pt idx="45">
                  <c:v>9</c:v>
                </c:pt>
                <c:pt idx="46">
                  <c:v>5</c:v>
                </c:pt>
                <c:pt idx="47">
                  <c:v>5</c:v>
                </c:pt>
                <c:pt idx="48">
                  <c:v>6</c:v>
                </c:pt>
                <c:pt idx="49">
                  <c:v>8</c:v>
                </c:pt>
                <c:pt idx="50">
                  <c:v>7</c:v>
                </c:pt>
                <c:pt idx="51">
                  <c:v>9</c:v>
                </c:pt>
                <c:pt idx="52">
                  <c:v>8</c:v>
                </c:pt>
                <c:pt idx="53">
                  <c:v>8</c:v>
                </c:pt>
                <c:pt idx="54">
                  <c:v>8</c:v>
                </c:pt>
                <c:pt idx="55">
                  <c:v>7</c:v>
                </c:pt>
                <c:pt idx="56">
                  <c:v>9</c:v>
                </c:pt>
                <c:pt idx="57">
                  <c:v>8</c:v>
                </c:pt>
                <c:pt idx="58">
                  <c:v>8</c:v>
                </c:pt>
                <c:pt idx="59">
                  <c:v>7</c:v>
                </c:pt>
                <c:pt idx="60">
                  <c:v>7</c:v>
                </c:pt>
                <c:pt idx="61">
                  <c:v>8</c:v>
                </c:pt>
                <c:pt idx="62">
                  <c:v>8</c:v>
                </c:pt>
                <c:pt idx="63">
                  <c:v>8</c:v>
                </c:pt>
                <c:pt idx="64">
                  <c:v>9</c:v>
                </c:pt>
                <c:pt idx="65">
                  <c:v>9</c:v>
                </c:pt>
                <c:pt idx="66">
                  <c:v>8</c:v>
                </c:pt>
                <c:pt idx="67">
                  <c:v>8</c:v>
                </c:pt>
                <c:pt idx="68">
                  <c:v>9</c:v>
                </c:pt>
                <c:pt idx="69">
                  <c:v>9</c:v>
                </c:pt>
                <c:pt idx="70">
                  <c:v>9</c:v>
                </c:pt>
                <c:pt idx="71">
                  <c:v>8</c:v>
                </c:pt>
                <c:pt idx="72">
                  <c:v>9</c:v>
                </c:pt>
                <c:pt idx="73">
                  <c:v>9</c:v>
                </c:pt>
                <c:pt idx="74">
                  <c:v>7</c:v>
                </c:pt>
                <c:pt idx="75">
                  <c:v>6</c:v>
                </c:pt>
                <c:pt idx="76">
                  <c:v>7</c:v>
                </c:pt>
                <c:pt idx="77">
                  <c:v>7</c:v>
                </c:pt>
                <c:pt idx="78">
                  <c:v>7</c:v>
                </c:pt>
                <c:pt idx="79">
                  <c:v>8</c:v>
                </c:pt>
                <c:pt idx="80">
                  <c:v>9</c:v>
                </c:pt>
                <c:pt idx="81">
                  <c:v>9</c:v>
                </c:pt>
                <c:pt idx="82">
                  <c:v>8</c:v>
                </c:pt>
                <c:pt idx="83">
                  <c:v>8</c:v>
                </c:pt>
                <c:pt idx="84">
                  <c:v>7</c:v>
                </c:pt>
                <c:pt idx="85">
                  <c:v>8</c:v>
                </c:pt>
                <c:pt idx="86">
                  <c:v>9</c:v>
                </c:pt>
                <c:pt idx="87">
                  <c:v>8</c:v>
                </c:pt>
                <c:pt idx="88">
                  <c:v>7</c:v>
                </c:pt>
                <c:pt idx="89">
                  <c:v>9</c:v>
                </c:pt>
                <c:pt idx="90">
                  <c:v>7</c:v>
                </c:pt>
                <c:pt idx="91">
                  <c:v>7</c:v>
                </c:pt>
                <c:pt idx="92">
                  <c:v>9</c:v>
                </c:pt>
                <c:pt idx="93">
                  <c:v>8</c:v>
                </c:pt>
                <c:pt idx="94">
                  <c:v>8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  <c:pt idx="101">
                  <c:v>10</c:v>
                </c:pt>
                <c:pt idx="102">
                  <c:v>9</c:v>
                </c:pt>
                <c:pt idx="103">
                  <c:v>8</c:v>
                </c:pt>
                <c:pt idx="104">
                  <c:v>8</c:v>
                </c:pt>
                <c:pt idx="105">
                  <c:v>9</c:v>
                </c:pt>
                <c:pt idx="106">
                  <c:v>9</c:v>
                </c:pt>
                <c:pt idx="107">
                  <c:v>10</c:v>
                </c:pt>
                <c:pt idx="108">
                  <c:v>9</c:v>
                </c:pt>
                <c:pt idx="109">
                  <c:v>10</c:v>
                </c:pt>
                <c:pt idx="110">
                  <c:v>10</c:v>
                </c:pt>
                <c:pt idx="111">
                  <c:v>10</c:v>
                </c:pt>
                <c:pt idx="112">
                  <c:v>10</c:v>
                </c:pt>
                <c:pt idx="113">
                  <c:v>10</c:v>
                </c:pt>
                <c:pt idx="114">
                  <c:v>10</c:v>
                </c:pt>
                <c:pt idx="115">
                  <c:v>10</c:v>
                </c:pt>
                <c:pt idx="116">
                  <c:v>10</c:v>
                </c:pt>
                <c:pt idx="117">
                  <c:v>10</c:v>
                </c:pt>
                <c:pt idx="118">
                  <c:v>10</c:v>
                </c:pt>
                <c:pt idx="119">
                  <c:v>10</c:v>
                </c:pt>
                <c:pt idx="120">
                  <c:v>10</c:v>
                </c:pt>
                <c:pt idx="121">
                  <c:v>9</c:v>
                </c:pt>
                <c:pt idx="122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39-4E1D-A725-5EBC61F480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tickMarkSkip val="1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필요 경험치</c:v>
          </c:tx>
          <c:cat>
            <c:numRef>
              <c:f>'밸런스 곡선'!$E$15:$E$34</c:f>
              <c:numCache>
                <c:formatCode>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'밸런스 곡선'!$F$15:$F$34</c:f>
              <c:numCache>
                <c:formatCode>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7D-442E-A069-9714B1EFEA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X 콘텐츠 진행 포인트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Y 레벨업을 위한 필요 경험치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21</xdr:row>
      <xdr:rowOff>0</xdr:rowOff>
    </xdr:from>
    <xdr:to>
      <xdr:col>27</xdr:col>
      <xdr:colOff>266700</xdr:colOff>
      <xdr:row>32</xdr:row>
      <xdr:rowOff>152400</xdr:rowOff>
    </xdr:to>
    <xdr:sp macro="" textlink="">
      <xdr:nvSpPr>
        <xdr:cNvPr id="2" name="밸런스팩터_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Grp="1"/>
        </xdr:cNvSpPr>
      </xdr:nvSpPr>
      <xdr:spPr>
        <a:xfrm>
          <a:off x="13854545" y="9455727"/>
          <a:ext cx="5385954" cy="5264727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650" b="1">
              <a:solidFill>
                <a:srgbClr val="000000"/>
              </a:solidFill>
              <a:latin typeface="Carlito"/>
              <a:ea typeface="Carlito"/>
              <a:cs typeface="Carlito"/>
            </a:rPr>
            <a:t>퀘스트 동선</a:t>
          </a:r>
          <a:endParaRPr/>
        </a:p>
        <a:p>
          <a:pPr algn="ctr">
            <a:lnSpc>
              <a:spcPct val="100000"/>
            </a:lnSpc>
            <a:buNone/>
          </a:pPr>
          <a:r>
            <a:rPr sz="1650" b="1">
              <a:solidFill>
                <a:srgbClr val="000000"/>
              </a:solidFill>
              <a:latin typeface="Carlito"/>
              <a:ea typeface="Carlito"/>
              <a:cs typeface="Carlito"/>
            </a:rPr>
            <a:t>레벨디자인</a:t>
          </a:r>
          <a:endParaRPr/>
        </a:p>
        <a:p>
          <a:pPr algn="ctr">
            <a:lnSpc>
              <a:spcPct val="100000"/>
            </a:lnSpc>
            <a:buNone/>
          </a:pPr>
          <a:r>
            <a:rPr sz="1650" b="1">
              <a:solidFill>
                <a:srgbClr val="000000"/>
              </a:solidFill>
              <a:latin typeface="Carlito"/>
              <a:ea typeface="Carlito"/>
              <a:cs typeface="Carlito"/>
            </a:rPr>
            <a:t>오브젝트 배치</a:t>
          </a:r>
          <a:endParaRPr/>
        </a:p>
      </xdr:txBody>
    </xdr:sp>
    <xdr:clientData/>
  </xdr:twoCellAnchor>
  <xdr:twoCellAnchor editAs="oneCell">
    <xdr:from>
      <xdr:col>14</xdr:col>
      <xdr:colOff>190500</xdr:colOff>
      <xdr:row>29</xdr:row>
      <xdr:rowOff>19050</xdr:rowOff>
    </xdr:from>
    <xdr:to>
      <xdr:col>20</xdr:col>
      <xdr:colOff>323850</xdr:colOff>
      <xdr:row>38</xdr:row>
      <xdr:rowOff>152400</xdr:rowOff>
    </xdr:to>
    <xdr:sp macro="" textlink="">
      <xdr:nvSpPr>
        <xdr:cNvPr id="3" name="밸런스팩터_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Grp="1"/>
        </xdr:cNvSpPr>
      </xdr:nvSpPr>
      <xdr:spPr>
        <a:xfrm>
          <a:off x="10079181" y="13092545"/>
          <a:ext cx="4416136" cy="4329545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공원 쓰레기</a:t>
          </a:r>
          <a:endParaRPr/>
        </a:p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개수·배치</a:t>
          </a:r>
          <a:endParaRPr/>
        </a:p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분리수거 규칙</a:t>
          </a:r>
          <a:endParaRPr/>
        </a:p>
      </xdr:txBody>
    </xdr:sp>
    <xdr:clientData/>
  </xdr:twoCellAnchor>
  <xdr:twoCellAnchor editAs="oneCell">
    <xdr:from>
      <xdr:col>28</xdr:col>
      <xdr:colOff>171449</xdr:colOff>
      <xdr:row>22</xdr:row>
      <xdr:rowOff>57150</xdr:rowOff>
    </xdr:from>
    <xdr:to>
      <xdr:col>34</xdr:col>
      <xdr:colOff>304800</xdr:colOff>
      <xdr:row>31</xdr:row>
      <xdr:rowOff>190500</xdr:rowOff>
    </xdr:to>
    <xdr:sp macro="" textlink="">
      <xdr:nvSpPr>
        <xdr:cNvPr id="4" name="밸런스팩터_0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Grp="1"/>
        </xdr:cNvSpPr>
      </xdr:nvSpPr>
      <xdr:spPr>
        <a:xfrm>
          <a:off x="19742728" y="10027227"/>
          <a:ext cx="4416136" cy="4312227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선의 감소량</a:t>
          </a:r>
          <a:endParaRPr/>
        </a:p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자아 마모도</a:t>
          </a:r>
          <a:endParaRPr/>
        </a:p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회복 수단</a:t>
          </a:r>
          <a:endParaRPr/>
        </a:p>
      </xdr:txBody>
    </xdr:sp>
    <xdr:clientData/>
  </xdr:twoCellAnchor>
  <xdr:twoCellAnchor editAs="oneCell">
    <xdr:from>
      <xdr:col>27</xdr:col>
      <xdr:colOff>142875</xdr:colOff>
      <xdr:row>12</xdr:row>
      <xdr:rowOff>76200</xdr:rowOff>
    </xdr:from>
    <xdr:to>
      <xdr:col>33</xdr:col>
      <xdr:colOff>133350</xdr:colOff>
      <xdr:row>21</xdr:row>
      <xdr:rowOff>66675</xdr:rowOff>
    </xdr:to>
    <xdr:sp macro="" textlink="">
      <xdr:nvSpPr>
        <xdr:cNvPr id="5" name="밸런스팩터_0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Grp="1"/>
        </xdr:cNvSpPr>
      </xdr:nvSpPr>
      <xdr:spPr>
        <a:xfrm>
          <a:off x="18980726" y="5559136"/>
          <a:ext cx="4139045" cy="4035136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몬스터 개수</a:t>
          </a:r>
          <a:endParaRPr/>
        </a:p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배치</a:t>
          </a:r>
          <a:endParaRPr/>
        </a:p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공격 판정</a:t>
          </a:r>
          <a:endParaRPr/>
        </a:p>
      </xdr:txBody>
    </xdr:sp>
    <xdr:clientData/>
  </xdr:twoCellAnchor>
  <xdr:twoCellAnchor editAs="oneCell">
    <xdr:from>
      <xdr:col>13</xdr:col>
      <xdr:colOff>19050</xdr:colOff>
      <xdr:row>19</xdr:row>
      <xdr:rowOff>180975</xdr:rowOff>
    </xdr:from>
    <xdr:to>
      <xdr:col>18</xdr:col>
      <xdr:colOff>257175</xdr:colOff>
      <xdr:row>28</xdr:row>
      <xdr:rowOff>76200</xdr:rowOff>
    </xdr:to>
    <xdr:sp macro="" textlink="">
      <xdr:nvSpPr>
        <xdr:cNvPr id="6" name="밸런스팩터_0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Grp="1"/>
        </xdr:cNvSpPr>
      </xdr:nvSpPr>
      <xdr:spPr>
        <a:xfrm>
          <a:off x="9040091" y="8918863"/>
          <a:ext cx="3948545" cy="3844636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275" b="1">
              <a:solidFill>
                <a:srgbClr val="000000"/>
              </a:solidFill>
              <a:latin typeface="Carlito"/>
              <a:ea typeface="Carlito"/>
              <a:cs typeface="Carlito"/>
            </a:rPr>
            <a:t>이벤트 템포</a:t>
          </a:r>
          <a:endParaRPr/>
        </a:p>
      </xdr:txBody>
    </xdr:sp>
    <xdr:clientData/>
  </xdr:twoCellAnchor>
  <xdr:twoCellAnchor editAs="oneCell">
    <xdr:from>
      <xdr:col>23</xdr:col>
      <xdr:colOff>0</xdr:colOff>
      <xdr:row>8</xdr:row>
      <xdr:rowOff>0</xdr:rowOff>
    </xdr:from>
    <xdr:to>
      <xdr:col>27</xdr:col>
      <xdr:colOff>57150</xdr:colOff>
      <xdr:row>14</xdr:row>
      <xdr:rowOff>57150</xdr:rowOff>
    </xdr:to>
    <xdr:sp macro="" textlink="">
      <xdr:nvSpPr>
        <xdr:cNvPr id="7" name="밸런스팩터_0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Grp="1"/>
        </xdr:cNvSpPr>
      </xdr:nvSpPr>
      <xdr:spPr>
        <a:xfrm>
          <a:off x="15932728" y="3602182"/>
          <a:ext cx="2892136" cy="2822863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PC 이동</a:t>
          </a:r>
          <a:endParaRPr/>
        </a:p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속도</a:t>
          </a:r>
          <a:endParaRPr/>
        </a:p>
      </xdr:txBody>
    </xdr:sp>
    <xdr:clientData/>
  </xdr:twoCellAnchor>
  <xdr:twoCellAnchor editAs="oneCell">
    <xdr:from>
      <xdr:col>30</xdr:col>
      <xdr:colOff>209550</xdr:colOff>
      <xdr:row>6</xdr:row>
      <xdr:rowOff>95250</xdr:rowOff>
    </xdr:from>
    <xdr:to>
      <xdr:col>34</xdr:col>
      <xdr:colOff>123824</xdr:colOff>
      <xdr:row>12</xdr:row>
      <xdr:rowOff>9525</xdr:rowOff>
    </xdr:to>
    <xdr:sp macro="" textlink="">
      <xdr:nvSpPr>
        <xdr:cNvPr id="8" name="밸런스팩터_0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Grp="1"/>
        </xdr:cNvSpPr>
      </xdr:nvSpPr>
      <xdr:spPr>
        <a:xfrm>
          <a:off x="21197454" y="2892136"/>
          <a:ext cx="2597727" cy="2528454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달리기 속도</a:t>
          </a:r>
          <a:endParaRPr/>
        </a:p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지속시간</a:t>
          </a:r>
          <a:endParaRPr/>
        </a:p>
      </xdr:txBody>
    </xdr:sp>
    <xdr:clientData/>
  </xdr:twoCellAnchor>
  <xdr:twoCellAnchor editAs="oneCell">
    <xdr:from>
      <xdr:col>36</xdr:col>
      <xdr:colOff>19050</xdr:colOff>
      <xdr:row>6</xdr:row>
      <xdr:rowOff>157225</xdr:rowOff>
    </xdr:from>
    <xdr:to>
      <xdr:col>40</xdr:col>
      <xdr:colOff>28575</xdr:colOff>
      <xdr:row>12</xdr:row>
      <xdr:rowOff>171449</xdr:rowOff>
    </xdr:to>
    <xdr:sp macro="" textlink="">
      <xdr:nvSpPr>
        <xdr:cNvPr id="9" name="밸런스팩터_0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>
          <a:spLocks noGrp="1"/>
        </xdr:cNvSpPr>
      </xdr:nvSpPr>
      <xdr:spPr>
        <a:xfrm>
          <a:off x="24972818" y="3013363"/>
          <a:ext cx="2788227" cy="2736272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425" b="1">
              <a:solidFill>
                <a:srgbClr val="000000"/>
              </a:solidFill>
              <a:latin typeface="Carlito"/>
              <a:ea typeface="Carlito"/>
              <a:cs typeface="Carlito"/>
            </a:rPr>
            <a:t>맵</a:t>
          </a:r>
          <a:endParaRPr/>
        </a:p>
        <a:p>
          <a:pPr algn="ctr">
            <a:lnSpc>
              <a:spcPct val="100000"/>
            </a:lnSpc>
            <a:buNone/>
          </a:pPr>
          <a:r>
            <a:rPr sz="1425" b="1">
              <a:solidFill>
                <a:srgbClr val="000000"/>
              </a:solidFill>
              <a:latin typeface="Carlito"/>
              <a:ea typeface="Carlito"/>
              <a:cs typeface="Carlito"/>
            </a:rPr>
            <a:t>크기</a:t>
          </a:r>
          <a:endParaRPr/>
        </a:p>
      </xdr:txBody>
    </xdr:sp>
    <xdr:clientData/>
  </xdr:twoCellAnchor>
  <xdr:twoCellAnchor editAs="oneCell">
    <xdr:from>
      <xdr:col>11</xdr:col>
      <xdr:colOff>209550</xdr:colOff>
      <xdr:row>3</xdr:row>
      <xdr:rowOff>157225</xdr:rowOff>
    </xdr:from>
    <xdr:to>
      <xdr:col>15</xdr:col>
      <xdr:colOff>171449</xdr:colOff>
      <xdr:row>9</xdr:row>
      <xdr:rowOff>123824</xdr:rowOff>
    </xdr:to>
    <xdr:sp macro="" textlink="">
      <xdr:nvSpPr>
        <xdr:cNvPr id="10" name="밸런스팩터_0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>
          <a:spLocks noGrp="1"/>
        </xdr:cNvSpPr>
      </xdr:nvSpPr>
      <xdr:spPr>
        <a:xfrm>
          <a:off x="8035636" y="1662545"/>
          <a:ext cx="2701636" cy="2632363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카메라 시야</a:t>
          </a:r>
          <a:endParaRPr/>
        </a:p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가시성</a:t>
          </a:r>
          <a:endParaRPr/>
        </a:p>
      </xdr:txBody>
    </xdr:sp>
    <xdr:clientData/>
  </xdr:twoCellAnchor>
  <xdr:twoCellAnchor editAs="oneCell">
    <xdr:from>
      <xdr:col>9</xdr:col>
      <xdr:colOff>0</xdr:colOff>
      <xdr:row>18</xdr:row>
      <xdr:rowOff>38100</xdr:rowOff>
    </xdr:from>
    <xdr:to>
      <xdr:col>12</xdr:col>
      <xdr:colOff>304800</xdr:colOff>
      <xdr:row>24</xdr:row>
      <xdr:rowOff>0</xdr:rowOff>
    </xdr:to>
    <xdr:sp macro="" textlink="">
      <xdr:nvSpPr>
        <xdr:cNvPr id="11" name="밸런스팩터_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>
          <a:spLocks noGrp="1"/>
        </xdr:cNvSpPr>
      </xdr:nvSpPr>
      <xdr:spPr>
        <a:xfrm>
          <a:off x="6234545" y="8174182"/>
          <a:ext cx="2684318" cy="2632363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트리거</a:t>
          </a:r>
          <a:endParaRPr/>
        </a:p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위치</a:t>
          </a:r>
          <a:endParaRPr/>
        </a:p>
      </xdr:txBody>
    </xdr:sp>
    <xdr:clientData/>
  </xdr:twoCellAnchor>
  <xdr:twoCellAnchor editAs="oneCell">
    <xdr:from>
      <xdr:col>10</xdr:col>
      <xdr:colOff>0</xdr:colOff>
      <xdr:row>26</xdr:row>
      <xdr:rowOff>142875</xdr:rowOff>
    </xdr:from>
    <xdr:to>
      <xdr:col>13</xdr:col>
      <xdr:colOff>304800</xdr:colOff>
      <xdr:row>32</xdr:row>
      <xdr:rowOff>104775</xdr:rowOff>
    </xdr:to>
    <xdr:sp macro="" textlink="">
      <xdr:nvSpPr>
        <xdr:cNvPr id="12" name="밸런스팩터_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Grp="1"/>
        </xdr:cNvSpPr>
      </xdr:nvSpPr>
      <xdr:spPr>
        <a:xfrm>
          <a:off x="6927272" y="12001500"/>
          <a:ext cx="2684318" cy="2615045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200" b="1">
              <a:solidFill>
                <a:srgbClr val="000000"/>
              </a:solidFill>
              <a:latin typeface="Carlito"/>
              <a:ea typeface="Carlito"/>
              <a:cs typeface="Carlito"/>
            </a:rPr>
            <a:t>상호작용</a:t>
          </a:r>
          <a:endParaRPr/>
        </a:p>
        <a:p>
          <a:pPr algn="ctr">
            <a:lnSpc>
              <a:spcPct val="100000"/>
            </a:lnSpc>
            <a:buNone/>
          </a:pPr>
          <a:r>
            <a:rPr sz="1200" b="1">
              <a:solidFill>
                <a:srgbClr val="000000"/>
              </a:solidFill>
              <a:latin typeface="Carlito"/>
              <a:ea typeface="Carlito"/>
              <a:cs typeface="Carlito"/>
            </a:rPr>
            <a:t>범위</a:t>
          </a:r>
          <a:endParaRPr/>
        </a:p>
      </xdr:txBody>
    </xdr:sp>
    <xdr:clientData/>
  </xdr:twoCellAnchor>
  <xdr:twoCellAnchor editAs="oneCell">
    <xdr:from>
      <xdr:col>16</xdr:col>
      <xdr:colOff>0</xdr:colOff>
      <xdr:row>6</xdr:row>
      <xdr:rowOff>0</xdr:rowOff>
    </xdr:from>
    <xdr:to>
      <xdr:col>19</xdr:col>
      <xdr:colOff>304800</xdr:colOff>
      <xdr:row>11</xdr:row>
      <xdr:rowOff>190500</xdr:rowOff>
    </xdr:to>
    <xdr:sp macro="" textlink="">
      <xdr:nvSpPr>
        <xdr:cNvPr id="13" name="밸런스팩터_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Grp="1"/>
        </xdr:cNvSpPr>
      </xdr:nvSpPr>
      <xdr:spPr>
        <a:xfrm>
          <a:off x="11083636" y="2701636"/>
          <a:ext cx="2684318" cy="2632363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200" b="1">
              <a:solidFill>
                <a:srgbClr val="000000"/>
              </a:solidFill>
              <a:latin typeface="Carlito"/>
              <a:ea typeface="Carlito"/>
              <a:cs typeface="Carlito"/>
            </a:rPr>
            <a:t>목표 표시</a:t>
          </a:r>
          <a:endParaRPr/>
        </a:p>
        <a:p>
          <a:pPr algn="ctr">
            <a:lnSpc>
              <a:spcPct val="100000"/>
            </a:lnSpc>
            <a:buNone/>
          </a:pPr>
          <a:r>
            <a:rPr sz="1200" b="1">
              <a:solidFill>
                <a:srgbClr val="000000"/>
              </a:solidFill>
              <a:latin typeface="Carlito"/>
              <a:ea typeface="Carlito"/>
              <a:cs typeface="Carlito"/>
            </a:rPr>
            <a:t>힌트량</a:t>
          </a:r>
          <a:endParaRPr/>
        </a:p>
      </xdr:txBody>
    </xdr:sp>
    <xdr:clientData/>
  </xdr:twoCellAnchor>
  <xdr:twoCellAnchor editAs="oneCell">
    <xdr:from>
      <xdr:col>12</xdr:col>
      <xdr:colOff>228600</xdr:colOff>
      <xdr:row>13</xdr:row>
      <xdr:rowOff>142875</xdr:rowOff>
    </xdr:from>
    <xdr:to>
      <xdr:col>16</xdr:col>
      <xdr:colOff>47625</xdr:colOff>
      <xdr:row>18</xdr:row>
      <xdr:rowOff>190500</xdr:rowOff>
    </xdr:to>
    <xdr:sp macro="" textlink="">
      <xdr:nvSpPr>
        <xdr:cNvPr id="14" name="밸런스팩터_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>
          <a:spLocks noGrp="1"/>
        </xdr:cNvSpPr>
      </xdr:nvSpPr>
      <xdr:spPr>
        <a:xfrm>
          <a:off x="8763000" y="6147954"/>
          <a:ext cx="2407227" cy="2337954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275" b="1">
              <a:solidFill>
                <a:srgbClr val="000000"/>
              </a:solidFill>
              <a:latin typeface="Carlito"/>
              <a:ea typeface="Carlito"/>
              <a:cs typeface="Carlito"/>
            </a:rPr>
            <a:t>NPC</a:t>
          </a:r>
          <a:endParaRPr/>
        </a:p>
        <a:p>
          <a:pPr algn="ctr">
            <a:lnSpc>
              <a:spcPct val="100000"/>
            </a:lnSpc>
            <a:buNone/>
          </a:pPr>
          <a:r>
            <a:rPr sz="1275" b="1">
              <a:solidFill>
                <a:srgbClr val="000000"/>
              </a:solidFill>
              <a:latin typeface="Carlito"/>
              <a:ea typeface="Carlito"/>
              <a:cs typeface="Carlito"/>
            </a:rPr>
            <a:t>밀도</a:t>
          </a:r>
          <a:endParaRPr/>
        </a:p>
      </xdr:txBody>
    </xdr:sp>
    <xdr:clientData/>
  </xdr:twoCellAnchor>
  <xdr:twoCellAnchor editAs="oneCell">
    <xdr:from>
      <xdr:col>11</xdr:col>
      <xdr:colOff>95250</xdr:colOff>
      <xdr:row>35</xdr:row>
      <xdr:rowOff>76200</xdr:rowOff>
    </xdr:from>
    <xdr:to>
      <xdr:col>14</xdr:col>
      <xdr:colOff>304800</xdr:colOff>
      <xdr:row>40</xdr:row>
      <xdr:rowOff>171449</xdr:rowOff>
    </xdr:to>
    <xdr:sp macro="" textlink="">
      <xdr:nvSpPr>
        <xdr:cNvPr id="15" name="밸런스팩터_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>
          <a:spLocks noGrp="1"/>
        </xdr:cNvSpPr>
      </xdr:nvSpPr>
      <xdr:spPr>
        <a:xfrm>
          <a:off x="7810500" y="15915409"/>
          <a:ext cx="2493818" cy="2441863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미니게임</a:t>
          </a:r>
          <a:endParaRPr/>
        </a:p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제한 시간</a:t>
          </a:r>
          <a:endParaRPr/>
        </a:p>
      </xdr:txBody>
    </xdr:sp>
    <xdr:clientData/>
  </xdr:twoCellAnchor>
  <xdr:twoCellAnchor editAs="oneCell">
    <xdr:from>
      <xdr:col>21</xdr:col>
      <xdr:colOff>123824</xdr:colOff>
      <xdr:row>33</xdr:row>
      <xdr:rowOff>76200</xdr:rowOff>
    </xdr:from>
    <xdr:to>
      <xdr:col>24</xdr:col>
      <xdr:colOff>333375</xdr:colOff>
      <xdr:row>38</xdr:row>
      <xdr:rowOff>171449</xdr:rowOff>
    </xdr:to>
    <xdr:sp macro="" textlink="">
      <xdr:nvSpPr>
        <xdr:cNvPr id="16" name="밸런스팩터_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>
          <a:spLocks noGrp="1"/>
        </xdr:cNvSpPr>
      </xdr:nvSpPr>
      <xdr:spPr>
        <a:xfrm>
          <a:off x="14789728" y="15014864"/>
          <a:ext cx="2493818" cy="2441863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미션 실패</a:t>
          </a:r>
          <a:endParaRPr/>
        </a:p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패널티</a:t>
          </a:r>
          <a:endParaRPr/>
        </a:p>
      </xdr:txBody>
    </xdr:sp>
    <xdr:clientData/>
  </xdr:twoCellAnchor>
  <xdr:twoCellAnchor editAs="oneCell">
    <xdr:from>
      <xdr:col>23</xdr:col>
      <xdr:colOff>104775</xdr:colOff>
      <xdr:row>15</xdr:row>
      <xdr:rowOff>76200</xdr:rowOff>
    </xdr:from>
    <xdr:to>
      <xdr:col>26</xdr:col>
      <xdr:colOff>314325</xdr:colOff>
      <xdr:row>20</xdr:row>
      <xdr:rowOff>171449</xdr:rowOff>
    </xdr:to>
    <xdr:sp macro="" textlink="">
      <xdr:nvSpPr>
        <xdr:cNvPr id="17" name="밸런스팩터_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>
          <a:spLocks noGrp="1"/>
        </xdr:cNvSpPr>
      </xdr:nvSpPr>
      <xdr:spPr>
        <a:xfrm>
          <a:off x="16140545" y="6909954"/>
          <a:ext cx="2493818" cy="2441863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칭찬·보상</a:t>
          </a:r>
          <a:endParaRPr/>
        </a:p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빈도</a:t>
          </a:r>
          <a:endParaRPr/>
        </a:p>
      </xdr:txBody>
    </xdr:sp>
    <xdr:clientData/>
  </xdr:twoCellAnchor>
  <xdr:twoCellAnchor editAs="oneCell">
    <xdr:from>
      <xdr:col>20</xdr:col>
      <xdr:colOff>76200</xdr:colOff>
      <xdr:row>4</xdr:row>
      <xdr:rowOff>0</xdr:rowOff>
    </xdr:from>
    <xdr:to>
      <xdr:col>23</xdr:col>
      <xdr:colOff>285750</xdr:colOff>
      <xdr:row>9</xdr:row>
      <xdr:rowOff>95250</xdr:rowOff>
    </xdr:to>
    <xdr:sp macro="" textlink="">
      <xdr:nvSpPr>
        <xdr:cNvPr id="18" name="밸런스팩터_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>
          <a:spLocks noGrp="1"/>
        </xdr:cNvSpPr>
      </xdr:nvSpPr>
      <xdr:spPr>
        <a:xfrm>
          <a:off x="14010409" y="1801091"/>
          <a:ext cx="2493818" cy="2441863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체크포인트</a:t>
          </a:r>
          <a:endParaRPr/>
        </a:p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간격</a:t>
          </a:r>
          <a:endParaRPr/>
        </a:p>
      </xdr:txBody>
    </xdr:sp>
    <xdr:clientData/>
  </xdr:twoCellAnchor>
  <xdr:twoCellAnchor editAs="oneCell">
    <xdr:from>
      <xdr:col>26</xdr:col>
      <xdr:colOff>0</xdr:colOff>
      <xdr:row>40</xdr:row>
      <xdr:rowOff>76200</xdr:rowOff>
    </xdr:from>
    <xdr:to>
      <xdr:col>29</xdr:col>
      <xdr:colOff>209550</xdr:colOff>
      <xdr:row>45</xdr:row>
      <xdr:rowOff>171449</xdr:rowOff>
    </xdr:to>
    <xdr:sp macro="" textlink="">
      <xdr:nvSpPr>
        <xdr:cNvPr id="19" name="밸런스팩터_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>
          <a:spLocks noGrp="1"/>
        </xdr:cNvSpPr>
      </xdr:nvSpPr>
      <xdr:spPr>
        <a:xfrm>
          <a:off x="18010910" y="18166772"/>
          <a:ext cx="2493818" cy="2441863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선택지</a:t>
          </a:r>
          <a:endParaRPr/>
        </a:p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영향도</a:t>
          </a:r>
          <a:endParaRPr/>
        </a:p>
      </xdr:txBody>
    </xdr:sp>
    <xdr:clientData/>
  </xdr:twoCellAnchor>
  <xdr:twoCellAnchor editAs="oneCell">
    <xdr:from>
      <xdr:col>34</xdr:col>
      <xdr:colOff>19050</xdr:colOff>
      <xdr:row>13</xdr:row>
      <xdr:rowOff>104775</xdr:rowOff>
    </xdr:from>
    <xdr:to>
      <xdr:col>37</xdr:col>
      <xdr:colOff>276225</xdr:colOff>
      <xdr:row>19</xdr:row>
      <xdr:rowOff>19050</xdr:rowOff>
    </xdr:to>
    <xdr:sp macro="" textlink="">
      <xdr:nvSpPr>
        <xdr:cNvPr id="20" name="밸런스팩터_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>
          <a:spLocks noGrp="1"/>
        </xdr:cNvSpPr>
      </xdr:nvSpPr>
      <xdr:spPr>
        <a:xfrm>
          <a:off x="23587362" y="6061364"/>
          <a:ext cx="2597727" cy="2528454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보스 패턴</a:t>
          </a:r>
          <a:endParaRPr/>
        </a:p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속도</a:t>
          </a:r>
          <a:endParaRPr/>
        </a:p>
      </xdr:txBody>
    </xdr:sp>
    <xdr:clientData/>
  </xdr:twoCellAnchor>
  <xdr:twoCellAnchor editAs="oneCell">
    <xdr:from>
      <xdr:col>14</xdr:col>
      <xdr:colOff>180975</xdr:colOff>
      <xdr:row>38</xdr:row>
      <xdr:rowOff>209550</xdr:rowOff>
    </xdr:from>
    <xdr:to>
      <xdr:col>18</xdr:col>
      <xdr:colOff>47625</xdr:colOff>
      <xdr:row>44</xdr:row>
      <xdr:rowOff>76200</xdr:rowOff>
    </xdr:to>
    <xdr:sp macro="" textlink="">
      <xdr:nvSpPr>
        <xdr:cNvPr id="21" name="밸런스팩터_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>
          <a:spLocks noGrp="1"/>
        </xdr:cNvSpPr>
      </xdr:nvSpPr>
      <xdr:spPr>
        <a:xfrm>
          <a:off x="10061864" y="17526000"/>
          <a:ext cx="2493818" cy="2441863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200" b="1">
              <a:solidFill>
                <a:srgbClr val="000000"/>
              </a:solidFill>
              <a:latin typeface="Carlito"/>
              <a:ea typeface="Carlito"/>
              <a:cs typeface="Carlito"/>
            </a:rPr>
            <a:t>퍼즐</a:t>
          </a:r>
          <a:endParaRPr/>
        </a:p>
        <a:p>
          <a:pPr algn="ctr">
            <a:lnSpc>
              <a:spcPct val="100000"/>
            </a:lnSpc>
            <a:buNone/>
          </a:pPr>
          <a:r>
            <a:rPr sz="1200" b="1">
              <a:solidFill>
                <a:srgbClr val="000000"/>
              </a:solidFill>
              <a:latin typeface="Carlito"/>
              <a:ea typeface="Carlito"/>
              <a:cs typeface="Carlito"/>
            </a:rPr>
            <a:t>힌트량</a:t>
          </a:r>
          <a:endParaRPr/>
        </a:p>
      </xdr:txBody>
    </xdr:sp>
    <xdr:clientData/>
  </xdr:twoCellAnchor>
  <xdr:twoCellAnchor editAs="oneCell">
    <xdr:from>
      <xdr:col>34</xdr:col>
      <xdr:colOff>266700</xdr:colOff>
      <xdr:row>19</xdr:row>
      <xdr:rowOff>209550</xdr:rowOff>
    </xdr:from>
    <xdr:to>
      <xdr:col>38</xdr:col>
      <xdr:colOff>133350</xdr:colOff>
      <xdr:row>25</xdr:row>
      <xdr:rowOff>76200</xdr:rowOff>
    </xdr:to>
    <xdr:sp macro="" textlink="">
      <xdr:nvSpPr>
        <xdr:cNvPr id="22" name="밸런스팩터_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>
          <a:spLocks noGrp="1"/>
        </xdr:cNvSpPr>
      </xdr:nvSpPr>
      <xdr:spPr>
        <a:xfrm>
          <a:off x="24089590" y="8970818"/>
          <a:ext cx="2493818" cy="2441863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균열 발생</a:t>
          </a:r>
          <a:endParaRPr/>
        </a:p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타이밍</a:t>
          </a:r>
          <a:endParaRPr/>
        </a:p>
      </xdr:txBody>
    </xdr:sp>
    <xdr:clientData/>
  </xdr:twoCellAnchor>
  <xdr:twoCellAnchor editAs="oneCell">
    <xdr:from>
      <xdr:col>5</xdr:col>
      <xdr:colOff>104775</xdr:colOff>
      <xdr:row>9</xdr:row>
      <xdr:rowOff>157225</xdr:rowOff>
    </xdr:from>
    <xdr:to>
      <xdr:col>8</xdr:col>
      <xdr:colOff>266700</xdr:colOff>
      <xdr:row>14</xdr:row>
      <xdr:rowOff>209550</xdr:rowOff>
    </xdr:to>
    <xdr:sp macro="" textlink="">
      <xdr:nvSpPr>
        <xdr:cNvPr id="23" name="밸런스팩터_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>
          <a:spLocks noGrp="1"/>
        </xdr:cNvSpPr>
      </xdr:nvSpPr>
      <xdr:spPr>
        <a:xfrm>
          <a:off x="3671454" y="4364181"/>
          <a:ext cx="2407227" cy="2355272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975" b="1">
              <a:solidFill>
                <a:srgbClr val="000000"/>
              </a:solidFill>
              <a:latin typeface="Carlito"/>
              <a:ea typeface="Carlito"/>
              <a:cs typeface="Carlito"/>
            </a:rPr>
            <a:t>회색 후드 NPC</a:t>
          </a:r>
          <a:endParaRPr/>
        </a:p>
        <a:p>
          <a:pPr algn="ctr">
            <a:lnSpc>
              <a:spcPct val="100000"/>
            </a:lnSpc>
            <a:buNone/>
          </a:pPr>
          <a:r>
            <a:rPr sz="975" b="1">
              <a:solidFill>
                <a:srgbClr val="000000"/>
              </a:solidFill>
              <a:latin typeface="Carlito"/>
              <a:ea typeface="Carlito"/>
              <a:cs typeface="Carlito"/>
            </a:rPr>
            <a:t>구분 난도</a:t>
          </a:r>
          <a:endParaRPr/>
        </a:p>
      </xdr:txBody>
    </xdr:sp>
    <xdr:clientData/>
  </xdr:twoCellAnchor>
  <xdr:twoCellAnchor editAs="oneCell">
    <xdr:from>
      <xdr:col>5</xdr:col>
      <xdr:colOff>180975</xdr:colOff>
      <xdr:row>22</xdr:row>
      <xdr:rowOff>38100</xdr:rowOff>
    </xdr:from>
    <xdr:to>
      <xdr:col>9</xdr:col>
      <xdr:colOff>47625</xdr:colOff>
      <xdr:row>27</xdr:row>
      <xdr:rowOff>133350</xdr:rowOff>
    </xdr:to>
    <xdr:sp macro="" textlink="">
      <xdr:nvSpPr>
        <xdr:cNvPr id="24" name="밸런스팩터_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>
          <a:spLocks noGrp="1"/>
        </xdr:cNvSpPr>
      </xdr:nvSpPr>
      <xdr:spPr>
        <a:xfrm>
          <a:off x="3827318" y="9975273"/>
          <a:ext cx="2493818" cy="2441863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편의점 재고</a:t>
          </a:r>
          <a:endParaRPr/>
        </a:p>
        <a:p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연출 타이밍</a:t>
          </a:r>
          <a:endParaRPr/>
        </a:p>
      </xdr:txBody>
    </xdr:sp>
    <xdr:clientData/>
  </xdr:twoCellAnchor>
  <xdr:twoCellAnchor editAs="oneCell">
    <xdr:from>
      <xdr:col>5</xdr:col>
      <xdr:colOff>19050</xdr:colOff>
      <xdr:row>16</xdr:row>
      <xdr:rowOff>19050</xdr:rowOff>
    </xdr:from>
    <xdr:to>
      <xdr:col>8</xdr:col>
      <xdr:colOff>228600</xdr:colOff>
      <xdr:row>21</xdr:row>
      <xdr:rowOff>114300</xdr:rowOff>
    </xdr:to>
    <xdr:sp macro="" textlink="">
      <xdr:nvSpPr>
        <xdr:cNvPr id="25" name="밸런스팩터_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>
          <a:spLocks noGrp="1"/>
        </xdr:cNvSpPr>
      </xdr:nvSpPr>
      <xdr:spPr>
        <a:xfrm>
          <a:off x="3498272" y="7239000"/>
          <a:ext cx="2493818" cy="2441863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물류 트럭</a:t>
          </a:r>
          <a:endParaRPr/>
        </a:p>
        <a:p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이동 속도</a:t>
          </a:r>
          <a:endParaRPr/>
        </a:p>
      </xdr:txBody>
    </xdr:sp>
    <xdr:clientData/>
  </xdr:twoCellAnchor>
  <xdr:twoCellAnchor editAs="oneCell">
    <xdr:from>
      <xdr:col>9</xdr:col>
      <xdr:colOff>228600</xdr:colOff>
      <xdr:row>9</xdr:row>
      <xdr:rowOff>180975</xdr:rowOff>
    </xdr:from>
    <xdr:to>
      <xdr:col>13</xdr:col>
      <xdr:colOff>0</xdr:colOff>
      <xdr:row>14</xdr:row>
      <xdr:rowOff>180975</xdr:rowOff>
    </xdr:to>
    <xdr:sp macro="" textlink="">
      <xdr:nvSpPr>
        <xdr:cNvPr id="26" name="밸런스팩터_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>
          <a:spLocks noGrp="1"/>
        </xdr:cNvSpPr>
      </xdr:nvSpPr>
      <xdr:spPr>
        <a:xfrm>
          <a:off x="6684818" y="4416136"/>
          <a:ext cx="2320636" cy="2251363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오픈런</a:t>
          </a:r>
          <a:endParaRPr/>
        </a:p>
        <a:p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경쟁</a:t>
          </a:r>
          <a:endParaRPr/>
        </a:p>
      </xdr:txBody>
    </xdr:sp>
    <xdr:clientData/>
  </xdr:twoCellAnchor>
  <xdr:twoCellAnchor editAs="oneCell">
    <xdr:from>
      <xdr:col>24</xdr:col>
      <xdr:colOff>57150</xdr:colOff>
      <xdr:row>2</xdr:row>
      <xdr:rowOff>38100</xdr:rowOff>
    </xdr:from>
    <xdr:to>
      <xdr:col>27</xdr:col>
      <xdr:colOff>219075</xdr:colOff>
      <xdr:row>7</xdr:row>
      <xdr:rowOff>85724</xdr:rowOff>
    </xdr:to>
    <xdr:sp macro="" textlink="">
      <xdr:nvSpPr>
        <xdr:cNvPr id="27" name="밸런스팩터_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>
          <a:spLocks noGrp="1"/>
        </xdr:cNvSpPr>
      </xdr:nvSpPr>
      <xdr:spPr>
        <a:xfrm>
          <a:off x="16746681" y="969818"/>
          <a:ext cx="2389909" cy="2355272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사운드·시각</a:t>
          </a:r>
          <a:endParaRPr/>
        </a:p>
        <a:p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경고 강도</a:t>
          </a:r>
          <a:endParaRPr/>
        </a:p>
      </xdr:txBody>
    </xdr:sp>
    <xdr:clientData/>
  </xdr:twoCellAnchor>
  <xdr:twoCellAnchor editAs="oneCell">
    <xdr:from>
      <xdr:col>25</xdr:col>
      <xdr:colOff>142875</xdr:colOff>
      <xdr:row>31</xdr:row>
      <xdr:rowOff>28575</xdr:rowOff>
    </xdr:from>
    <xdr:to>
      <xdr:col>31</xdr:col>
      <xdr:colOff>38100</xdr:colOff>
      <xdr:row>39</xdr:row>
      <xdr:rowOff>152400</xdr:rowOff>
    </xdr:to>
    <xdr:sp macro="" textlink="">
      <xdr:nvSpPr>
        <xdr:cNvPr id="28" name="밸런스팩터_05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>
          <a:spLocks noGrp="1"/>
        </xdr:cNvSpPr>
      </xdr:nvSpPr>
      <xdr:spPr>
        <a:xfrm>
          <a:off x="17595272" y="14010409"/>
          <a:ext cx="3948545" cy="3861954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275" b="1">
              <a:solidFill>
                <a:srgbClr val="000000"/>
              </a:solidFill>
              <a:latin typeface="Carlito"/>
              <a:ea typeface="Carlito"/>
              <a:cs typeface="Carlito"/>
            </a:rPr>
            <a:t>대화 길이</a:t>
          </a:r>
          <a:endParaRPr/>
        </a:p>
      </xdr:txBody>
    </xdr:sp>
    <xdr:clientData/>
  </xdr:twoCellAnchor>
  <xdr:twoCellAnchor editAs="oneCell">
    <xdr:from>
      <xdr:col>17</xdr:col>
      <xdr:colOff>95250</xdr:colOff>
      <xdr:row>12</xdr:row>
      <xdr:rowOff>66675</xdr:rowOff>
    </xdr:from>
    <xdr:to>
      <xdr:col>22</xdr:col>
      <xdr:colOff>328675</xdr:colOff>
      <xdr:row>20</xdr:row>
      <xdr:rowOff>190500</xdr:rowOff>
    </xdr:to>
    <xdr:sp macro="" textlink="">
      <xdr:nvSpPr>
        <xdr:cNvPr id="29" name="밸런스팩터_05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>
          <a:spLocks noGrp="1"/>
        </xdr:cNvSpPr>
      </xdr:nvSpPr>
      <xdr:spPr>
        <a:xfrm>
          <a:off x="11966864" y="5541818"/>
          <a:ext cx="3931227" cy="3844636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275" b="1">
              <a:solidFill>
                <a:srgbClr val="000000"/>
              </a:solidFill>
              <a:latin typeface="Carlito"/>
              <a:ea typeface="Carlito"/>
              <a:cs typeface="Carlito"/>
            </a:rPr>
            <a:t>연출 밀도</a:t>
          </a: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16</xdr:col>
      <xdr:colOff>0</xdr:colOff>
      <xdr:row>23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0</xdr:rowOff>
    </xdr:from>
    <xdr:to>
      <xdr:col>17</xdr:col>
      <xdr:colOff>0</xdr:colOff>
      <xdr:row>46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5"/>
  <sheetViews>
    <sheetView tabSelected="1" topLeftCell="F5" zoomScale="55" zoomScaleNormal="55" workbookViewId="0">
      <selection activeCell="X8" sqref="X8"/>
    </sheetView>
  </sheetViews>
  <sheetFormatPr defaultColWidth="9" defaultRowHeight="13.5"/>
  <cols>
    <col min="1" max="1" width="13.875" style="36" customWidth="1"/>
    <col min="2" max="3" width="13.125" style="36" customWidth="1"/>
    <col min="4" max="4" width="13.375" style="36" customWidth="1"/>
    <col min="5" max="5" width="42" style="36" customWidth="1"/>
    <col min="6" max="6" width="38" style="36" customWidth="1"/>
    <col min="7" max="7" width="29.25" style="36" customWidth="1"/>
    <col min="8" max="8" width="28.125" style="36" customWidth="1"/>
    <col min="9" max="9" width="11.875" style="36" customWidth="1"/>
    <col min="10" max="10" width="15" style="36" customWidth="1"/>
    <col min="11" max="11" width="39.625" style="36" customWidth="1"/>
    <col min="12" max="12" width="18.625" style="36" customWidth="1"/>
    <col min="13" max="13" width="20.875" style="36" customWidth="1"/>
    <col min="14" max="14" width="18.75" style="36" customWidth="1"/>
    <col min="15" max="17" width="18.875" style="36" customWidth="1"/>
    <col min="18" max="18" width="19.5" style="36" customWidth="1"/>
    <col min="19" max="19" width="21.75" style="36" customWidth="1"/>
    <col min="20" max="20" width="19.5" style="36" customWidth="1"/>
    <col min="21" max="23" width="18.875" style="36" customWidth="1"/>
    <col min="24" max="24" width="10.5" style="36" customWidth="1"/>
    <col min="25" max="25" width="12.125" style="36" customWidth="1"/>
    <col min="26" max="16384" width="9" style="36"/>
  </cols>
  <sheetData>
    <row r="1" spans="1:25" ht="42" customHeight="1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4" t="s">
        <v>8</v>
      </c>
      <c r="J1" s="44" t="s">
        <v>9</v>
      </c>
      <c r="K1" s="44" t="s">
        <v>10</v>
      </c>
      <c r="L1" s="44" t="s">
        <v>11</v>
      </c>
      <c r="M1" s="44" t="s">
        <v>12</v>
      </c>
      <c r="N1" s="44" t="s">
        <v>13</v>
      </c>
      <c r="O1" s="44" t="s">
        <v>14</v>
      </c>
      <c r="P1" s="44" t="s">
        <v>15</v>
      </c>
      <c r="Q1" s="44" t="s">
        <v>16</v>
      </c>
      <c r="R1" s="44" t="s">
        <v>17</v>
      </c>
      <c r="S1" s="44" t="s">
        <v>18</v>
      </c>
      <c r="T1" s="44" t="s">
        <v>100</v>
      </c>
      <c r="U1" s="44" t="s">
        <v>101</v>
      </c>
      <c r="V1" s="44" t="s">
        <v>19</v>
      </c>
      <c r="W1" s="37"/>
      <c r="X1" s="37"/>
      <c r="Y1" s="37"/>
    </row>
    <row r="2" spans="1:25" ht="81.95" customHeight="1">
      <c r="A2" s="39" t="s">
        <v>102</v>
      </c>
      <c r="B2" s="40">
        <v>1</v>
      </c>
      <c r="C2" s="40">
        <v>1</v>
      </c>
      <c r="D2" s="40">
        <v>8</v>
      </c>
      <c r="E2" s="39" t="s">
        <v>103</v>
      </c>
      <c r="F2" s="39" t="s">
        <v>104</v>
      </c>
      <c r="G2" s="39" t="s">
        <v>105</v>
      </c>
      <c r="H2" s="40" t="s">
        <v>106</v>
      </c>
      <c r="I2" s="40">
        <v>1</v>
      </c>
      <c r="J2" s="39" t="s">
        <v>107</v>
      </c>
      <c r="K2" s="39" t="s">
        <v>108</v>
      </c>
      <c r="L2" s="40" t="s">
        <v>109</v>
      </c>
      <c r="M2" s="40" t="s">
        <v>110</v>
      </c>
      <c r="N2" s="41">
        <f>(IFERROR(VALUE(LEFT(L2,FIND("분",L2)-1))*60,0)+IFERROR(VALUE(TRIM(MID(L2,IFERROR(FIND("분",L2),0)+1,FIND("초",L2)-IFERROR(FIND("분",L2),0)-1))),0))/86400</f>
        <v>1.0416666666666667E-3</v>
      </c>
      <c r="O2" s="39" t="s">
        <v>111</v>
      </c>
      <c r="P2" s="42" t="e">
        <f>#REF!+Q2</f>
        <v>#REF!</v>
      </c>
      <c r="Q2" s="42">
        <v>3</v>
      </c>
      <c r="R2" s="43" t="e">
        <f>ROUND(#REF!*Q2*Q2+#REF!*Q2,2)</f>
        <v>#REF!</v>
      </c>
      <c r="S2" s="43" t="str">
        <f t="shared" ref="S2:S33" si="0">IF(OR(V2="",V2=0),"",ROUND(R2/V2,2))</f>
        <v/>
      </c>
      <c r="T2" s="42"/>
      <c r="U2" s="42" t="str">
        <f t="shared" ref="U2:U33" si="1">IF(OR(T2="",V2="",V2=0),"",T2*V2)</f>
        <v/>
      </c>
      <c r="V2" s="42"/>
      <c r="W2" s="37"/>
      <c r="X2" s="37"/>
      <c r="Y2" s="37"/>
    </row>
    <row r="3" spans="1:25" ht="81.95" customHeight="1">
      <c r="A3" s="39" t="s">
        <v>102</v>
      </c>
      <c r="B3" s="40">
        <v>2</v>
      </c>
      <c r="C3" s="40">
        <v>1</v>
      </c>
      <c r="D3" s="40">
        <v>3</v>
      </c>
      <c r="E3" s="39" t="s">
        <v>112</v>
      </c>
      <c r="F3" s="39" t="s">
        <v>113</v>
      </c>
      <c r="G3" s="39" t="s">
        <v>114</v>
      </c>
      <c r="H3" s="40" t="s">
        <v>115</v>
      </c>
      <c r="I3" s="40">
        <v>1</v>
      </c>
      <c r="J3" s="39" t="s">
        <v>116</v>
      </c>
      <c r="K3" s="39" t="s">
        <v>108</v>
      </c>
      <c r="L3" s="40" t="s">
        <v>117</v>
      </c>
      <c r="M3" s="40" t="s">
        <v>118</v>
      </c>
      <c r="N3" s="41">
        <f>N2+(IFERROR(VALUE(LEFT(L3,FIND("분",L3)-1))*60,0)+IFERROR(VALUE(TRIM(MID(L3,IFERROR(FIND("분",L3),0)+1,FIND("초",L3)-IFERROR(FIND("분",L3),0)-1))),0))/86400</f>
        <v>1.2731481481481483E-3</v>
      </c>
      <c r="O3" s="39" t="s">
        <v>111</v>
      </c>
      <c r="P3" s="42" t="e">
        <f t="shared" ref="P3:P34" si="2">P2+Q3</f>
        <v>#REF!</v>
      </c>
      <c r="Q3" s="42">
        <v>2</v>
      </c>
      <c r="R3" s="43" t="e">
        <f>ROUND(#REF!*Q3*Q3+#REF!*Q3,2)</f>
        <v>#REF!</v>
      </c>
      <c r="S3" s="43" t="str">
        <f t="shared" si="0"/>
        <v/>
      </c>
      <c r="T3" s="42"/>
      <c r="U3" s="42" t="str">
        <f t="shared" si="1"/>
        <v/>
      </c>
      <c r="V3" s="42"/>
      <c r="W3" s="37"/>
      <c r="X3" s="37"/>
      <c r="Y3" s="37"/>
    </row>
    <row r="4" spans="1:25" ht="81.95" customHeight="1">
      <c r="A4" s="39" t="s">
        <v>102</v>
      </c>
      <c r="B4" s="40">
        <v>3</v>
      </c>
      <c r="C4" s="40">
        <v>1</v>
      </c>
      <c r="D4" s="40">
        <v>5</v>
      </c>
      <c r="E4" s="39" t="s">
        <v>119</v>
      </c>
      <c r="F4" s="39" t="s">
        <v>120</v>
      </c>
      <c r="G4" s="39" t="s">
        <v>121</v>
      </c>
      <c r="H4" s="40" t="s">
        <v>122</v>
      </c>
      <c r="I4" s="40">
        <v>1</v>
      </c>
      <c r="J4" s="39" t="s">
        <v>123</v>
      </c>
      <c r="K4" s="39" t="s">
        <v>108</v>
      </c>
      <c r="L4" s="40" t="s">
        <v>124</v>
      </c>
      <c r="M4" s="40" t="s">
        <v>125</v>
      </c>
      <c r="N4" s="41">
        <f t="shared" ref="N4:N34" si="3">N3+(IFERROR(VALUE(LEFT(L4,FIND("분",L4)-1))*60,0)+IFERROR(VALUE(TRIM(MID(L4,IFERROR(FIND("분",L4),0)+1,FIND("초",L4)-IFERROR(FIND("분",L4),0)-1))),0))/86400</f>
        <v>1.9675925925925928E-3</v>
      </c>
      <c r="O4" s="39" t="s">
        <v>111</v>
      </c>
      <c r="P4" s="42" t="e">
        <f t="shared" si="2"/>
        <v>#REF!</v>
      </c>
      <c r="Q4" s="42">
        <v>4</v>
      </c>
      <c r="R4" s="43" t="e">
        <f>ROUND(#REF!*Q4*Q4+#REF!*Q4,2)</f>
        <v>#REF!</v>
      </c>
      <c r="S4" s="43" t="str">
        <f t="shared" si="0"/>
        <v/>
      </c>
      <c r="T4" s="42"/>
      <c r="U4" s="42" t="str">
        <f t="shared" si="1"/>
        <v/>
      </c>
      <c r="V4" s="42"/>
      <c r="W4" s="37"/>
      <c r="X4" s="37"/>
      <c r="Y4" s="37"/>
    </row>
    <row r="5" spans="1:25" ht="81.95" customHeight="1">
      <c r="A5" s="39" t="s">
        <v>102</v>
      </c>
      <c r="B5" s="40">
        <v>4</v>
      </c>
      <c r="C5" s="40">
        <v>1</v>
      </c>
      <c r="D5" s="40">
        <v>3</v>
      </c>
      <c r="E5" s="39" t="s">
        <v>126</v>
      </c>
      <c r="F5" s="39" t="s">
        <v>127</v>
      </c>
      <c r="G5" s="39" t="s">
        <v>128</v>
      </c>
      <c r="H5" s="40" t="s">
        <v>129</v>
      </c>
      <c r="I5" s="40">
        <v>4</v>
      </c>
      <c r="J5" s="39" t="s">
        <v>130</v>
      </c>
      <c r="K5" s="39" t="s">
        <v>108</v>
      </c>
      <c r="L5" s="40" t="s">
        <v>131</v>
      </c>
      <c r="M5" s="40" t="s">
        <v>132</v>
      </c>
      <c r="N5" s="41">
        <f t="shared" si="3"/>
        <v>2.4305555555555556E-3</v>
      </c>
      <c r="O5" s="39" t="s">
        <v>111</v>
      </c>
      <c r="P5" s="42" t="e">
        <f t="shared" si="2"/>
        <v>#REF!</v>
      </c>
      <c r="Q5" s="42">
        <v>3</v>
      </c>
      <c r="R5" s="43" t="e">
        <f>ROUND(#REF!*Q5*Q5+#REF!*Q5,2)</f>
        <v>#REF!</v>
      </c>
      <c r="S5" s="43" t="str">
        <f t="shared" si="0"/>
        <v/>
      </c>
      <c r="T5" s="42"/>
      <c r="U5" s="42" t="str">
        <f t="shared" si="1"/>
        <v/>
      </c>
      <c r="V5" s="42"/>
      <c r="W5" s="37"/>
      <c r="X5" s="37"/>
      <c r="Y5" s="37"/>
    </row>
    <row r="6" spans="1:25" ht="81.95" customHeight="1">
      <c r="A6" s="39" t="s">
        <v>102</v>
      </c>
      <c r="B6" s="40">
        <v>5</v>
      </c>
      <c r="C6" s="40">
        <v>1</v>
      </c>
      <c r="D6" s="40">
        <v>3</v>
      </c>
      <c r="E6" s="39" t="s">
        <v>133</v>
      </c>
      <c r="F6" s="39" t="s">
        <v>134</v>
      </c>
      <c r="G6" s="39" t="s">
        <v>135</v>
      </c>
      <c r="H6" s="40" t="s">
        <v>136</v>
      </c>
      <c r="I6" s="40">
        <v>1</v>
      </c>
      <c r="J6" s="39" t="s">
        <v>137</v>
      </c>
      <c r="K6" s="39" t="s">
        <v>108</v>
      </c>
      <c r="L6" s="40" t="s">
        <v>138</v>
      </c>
      <c r="M6" s="40" t="s">
        <v>139</v>
      </c>
      <c r="N6" s="41">
        <f t="shared" si="3"/>
        <v>2.7777777777777779E-3</v>
      </c>
      <c r="O6" s="39" t="s">
        <v>111</v>
      </c>
      <c r="P6" s="42" t="e">
        <f t="shared" si="2"/>
        <v>#REF!</v>
      </c>
      <c r="Q6" s="42">
        <v>3</v>
      </c>
      <c r="R6" s="43" t="e">
        <f>ROUND(#REF!*Q6*Q6+#REF!*Q6,2)</f>
        <v>#REF!</v>
      </c>
      <c r="S6" s="43" t="str">
        <f t="shared" si="0"/>
        <v/>
      </c>
      <c r="T6" s="42"/>
      <c r="U6" s="42" t="str">
        <f t="shared" si="1"/>
        <v/>
      </c>
      <c r="V6" s="42"/>
      <c r="W6" s="37"/>
      <c r="X6" s="37"/>
      <c r="Y6" s="37"/>
    </row>
    <row r="7" spans="1:25" ht="81.95" customHeight="1">
      <c r="A7" s="39" t="s">
        <v>102</v>
      </c>
      <c r="B7" s="40">
        <v>6</v>
      </c>
      <c r="C7" s="40">
        <v>1</v>
      </c>
      <c r="D7" s="40">
        <v>5</v>
      </c>
      <c r="E7" s="39" t="s">
        <v>140</v>
      </c>
      <c r="F7" s="39" t="s">
        <v>141</v>
      </c>
      <c r="G7" s="39" t="s">
        <v>142</v>
      </c>
      <c r="H7" s="40" t="s">
        <v>143</v>
      </c>
      <c r="I7" s="40">
        <v>1</v>
      </c>
      <c r="J7" s="39" t="s">
        <v>144</v>
      </c>
      <c r="K7" s="39" t="s">
        <v>108</v>
      </c>
      <c r="L7" s="40" t="s">
        <v>117</v>
      </c>
      <c r="M7" s="40" t="s">
        <v>145</v>
      </c>
      <c r="N7" s="41">
        <f t="shared" si="3"/>
        <v>3.0092592592592593E-3</v>
      </c>
      <c r="O7" s="39" t="s">
        <v>111</v>
      </c>
      <c r="P7" s="42" t="e">
        <f t="shared" si="2"/>
        <v>#REF!</v>
      </c>
      <c r="Q7" s="42">
        <v>3</v>
      </c>
      <c r="R7" s="43" t="e">
        <f>ROUND(#REF!*Q7*Q7+#REF!*Q7,2)</f>
        <v>#REF!</v>
      </c>
      <c r="S7" s="43" t="str">
        <f t="shared" si="0"/>
        <v/>
      </c>
      <c r="T7" s="42"/>
      <c r="U7" s="42" t="str">
        <f t="shared" si="1"/>
        <v/>
      </c>
      <c r="V7" s="42"/>
      <c r="W7" s="37"/>
      <c r="X7" s="37"/>
      <c r="Y7" s="37"/>
    </row>
    <row r="8" spans="1:25" ht="81.95" customHeight="1">
      <c r="A8" s="39" t="s">
        <v>102</v>
      </c>
      <c r="B8" s="40">
        <v>7</v>
      </c>
      <c r="C8" s="40">
        <v>2</v>
      </c>
      <c r="D8" s="40">
        <v>5</v>
      </c>
      <c r="E8" s="39" t="s">
        <v>146</v>
      </c>
      <c r="F8" s="39" t="s">
        <v>134</v>
      </c>
      <c r="G8" s="39" t="s">
        <v>147</v>
      </c>
      <c r="H8" s="40" t="s">
        <v>148</v>
      </c>
      <c r="I8" s="40">
        <v>1</v>
      </c>
      <c r="J8" s="39" t="s">
        <v>149</v>
      </c>
      <c r="K8" s="39" t="s">
        <v>108</v>
      </c>
      <c r="L8" s="40" t="s">
        <v>150</v>
      </c>
      <c r="M8" s="40" t="s">
        <v>139</v>
      </c>
      <c r="N8" s="41">
        <f t="shared" si="3"/>
        <v>3.8773148148148148E-3</v>
      </c>
      <c r="O8" s="39" t="s">
        <v>151</v>
      </c>
      <c r="P8" s="42" t="e">
        <f t="shared" si="2"/>
        <v>#REF!</v>
      </c>
      <c r="Q8" s="42">
        <v>5</v>
      </c>
      <c r="R8" s="43" t="e">
        <f>ROUND(#REF!*Q8*Q8+#REF!*Q8,2)</f>
        <v>#REF!</v>
      </c>
      <c r="S8" s="43" t="str">
        <f t="shared" si="0"/>
        <v/>
      </c>
      <c r="T8" s="42"/>
      <c r="U8" s="42" t="str">
        <f t="shared" si="1"/>
        <v/>
      </c>
      <c r="V8" s="42"/>
      <c r="W8" s="37"/>
      <c r="X8" s="37"/>
      <c r="Y8" s="37"/>
    </row>
    <row r="9" spans="1:25" ht="81.95" customHeight="1">
      <c r="A9" s="39" t="s">
        <v>102</v>
      </c>
      <c r="B9" s="40">
        <v>8</v>
      </c>
      <c r="C9" s="40">
        <v>2</v>
      </c>
      <c r="D9" s="40">
        <v>6</v>
      </c>
      <c r="E9" s="39" t="s">
        <v>152</v>
      </c>
      <c r="F9" s="39" t="s">
        <v>153</v>
      </c>
      <c r="G9" s="39" t="s">
        <v>154</v>
      </c>
      <c r="H9" s="40" t="s">
        <v>155</v>
      </c>
      <c r="I9" s="40">
        <v>4</v>
      </c>
      <c r="J9" s="39" t="s">
        <v>156</v>
      </c>
      <c r="K9" s="39" t="s">
        <v>108</v>
      </c>
      <c r="L9" s="40" t="s">
        <v>109</v>
      </c>
      <c r="M9" s="40" t="s">
        <v>157</v>
      </c>
      <c r="N9" s="41">
        <f t="shared" si="3"/>
        <v>4.9189814814814816E-3</v>
      </c>
      <c r="O9" s="39" t="s">
        <v>151</v>
      </c>
      <c r="P9" s="42" t="e">
        <f t="shared" si="2"/>
        <v>#REF!</v>
      </c>
      <c r="Q9" s="42">
        <v>6</v>
      </c>
      <c r="R9" s="43" t="e">
        <f>ROUND(#REF!*Q9*Q9+#REF!*Q9,2)</f>
        <v>#REF!</v>
      </c>
      <c r="S9" s="43" t="str">
        <f t="shared" si="0"/>
        <v/>
      </c>
      <c r="T9" s="42"/>
      <c r="U9" s="42" t="str">
        <f t="shared" si="1"/>
        <v/>
      </c>
      <c r="V9" s="42"/>
      <c r="W9" s="37"/>
      <c r="X9" s="37"/>
      <c r="Y9" s="37"/>
    </row>
    <row r="10" spans="1:25" ht="81.95" customHeight="1">
      <c r="A10" s="39" t="s">
        <v>102</v>
      </c>
      <c r="B10" s="40">
        <v>9</v>
      </c>
      <c r="C10" s="40">
        <v>1</v>
      </c>
      <c r="D10" s="40">
        <v>5</v>
      </c>
      <c r="E10" s="39" t="s">
        <v>158</v>
      </c>
      <c r="F10" s="39" t="s">
        <v>141</v>
      </c>
      <c r="G10" s="39" t="s">
        <v>159</v>
      </c>
      <c r="H10" s="40" t="s">
        <v>160</v>
      </c>
      <c r="I10" s="40">
        <v>2</v>
      </c>
      <c r="J10" s="39" t="s">
        <v>161</v>
      </c>
      <c r="K10" s="39" t="s">
        <v>108</v>
      </c>
      <c r="L10" s="40" t="s">
        <v>162</v>
      </c>
      <c r="M10" s="40" t="s">
        <v>145</v>
      </c>
      <c r="N10" s="41">
        <f t="shared" si="3"/>
        <v>5.324074074074074E-3</v>
      </c>
      <c r="O10" s="39" t="s">
        <v>151</v>
      </c>
      <c r="P10" s="42" t="e">
        <f t="shared" si="2"/>
        <v>#REF!</v>
      </c>
      <c r="Q10" s="42">
        <v>4</v>
      </c>
      <c r="R10" s="43" t="e">
        <f>ROUND(#REF!*Q10*Q10+#REF!*Q10,2)</f>
        <v>#REF!</v>
      </c>
      <c r="S10" s="43" t="str">
        <f t="shared" si="0"/>
        <v/>
      </c>
      <c r="T10" s="42"/>
      <c r="U10" s="42" t="str">
        <f t="shared" si="1"/>
        <v/>
      </c>
      <c r="V10" s="42"/>
      <c r="W10" s="37"/>
      <c r="X10" s="37"/>
      <c r="Y10" s="37"/>
    </row>
    <row r="11" spans="1:25" ht="81.95" customHeight="1">
      <c r="A11" s="39" t="s">
        <v>102</v>
      </c>
      <c r="B11" s="40">
        <v>10</v>
      </c>
      <c r="C11" s="40">
        <v>1</v>
      </c>
      <c r="D11" s="40">
        <v>6</v>
      </c>
      <c r="E11" s="39" t="s">
        <v>163</v>
      </c>
      <c r="F11" s="39" t="s">
        <v>120</v>
      </c>
      <c r="G11" s="39" t="s">
        <v>121</v>
      </c>
      <c r="H11" s="40" t="s">
        <v>164</v>
      </c>
      <c r="I11" s="40">
        <v>1</v>
      </c>
      <c r="J11" s="39" t="s">
        <v>165</v>
      </c>
      <c r="K11" s="39" t="s">
        <v>108</v>
      </c>
      <c r="L11" s="40" t="s">
        <v>150</v>
      </c>
      <c r="M11" s="40" t="s">
        <v>125</v>
      </c>
      <c r="N11" s="41">
        <f t="shared" si="3"/>
        <v>6.192129629629629E-3</v>
      </c>
      <c r="O11" s="39" t="s">
        <v>151</v>
      </c>
      <c r="P11" s="42" t="e">
        <f t="shared" si="2"/>
        <v>#REF!</v>
      </c>
      <c r="Q11" s="42">
        <v>5</v>
      </c>
      <c r="R11" s="43" t="e">
        <f>ROUND(#REF!*Q11*Q11+#REF!*Q11,2)</f>
        <v>#REF!</v>
      </c>
      <c r="S11" s="43" t="str">
        <f t="shared" si="0"/>
        <v/>
      </c>
      <c r="T11" s="42"/>
      <c r="U11" s="42" t="str">
        <f t="shared" si="1"/>
        <v/>
      </c>
      <c r="V11" s="42"/>
      <c r="W11" s="37"/>
      <c r="X11" s="37"/>
      <c r="Y11" s="37"/>
    </row>
    <row r="12" spans="1:25" ht="81.95" customHeight="1">
      <c r="A12" s="39" t="s">
        <v>102</v>
      </c>
      <c r="B12" s="40">
        <v>11</v>
      </c>
      <c r="C12" s="40">
        <v>2</v>
      </c>
      <c r="D12" s="40">
        <v>5</v>
      </c>
      <c r="E12" s="39" t="s">
        <v>166</v>
      </c>
      <c r="F12" s="39" t="s">
        <v>134</v>
      </c>
      <c r="G12" s="39" t="s">
        <v>167</v>
      </c>
      <c r="H12" s="40" t="s">
        <v>148</v>
      </c>
      <c r="I12" s="40">
        <v>1</v>
      </c>
      <c r="J12" s="39" t="s">
        <v>168</v>
      </c>
      <c r="K12" s="39" t="s">
        <v>108</v>
      </c>
      <c r="L12" s="40" t="s">
        <v>109</v>
      </c>
      <c r="M12" s="40" t="s">
        <v>139</v>
      </c>
      <c r="N12" s="41">
        <f t="shared" si="3"/>
        <v>7.2337962962962955E-3</v>
      </c>
      <c r="O12" s="39" t="s">
        <v>169</v>
      </c>
      <c r="P12" s="42" t="e">
        <f t="shared" si="2"/>
        <v>#REF!</v>
      </c>
      <c r="Q12" s="42">
        <v>6</v>
      </c>
      <c r="R12" s="43" t="e">
        <f>ROUND(#REF!*Q12*Q12+#REF!*Q12,2)</f>
        <v>#REF!</v>
      </c>
      <c r="S12" s="43" t="str">
        <f t="shared" si="0"/>
        <v/>
      </c>
      <c r="T12" s="42"/>
      <c r="U12" s="42" t="str">
        <f t="shared" si="1"/>
        <v/>
      </c>
      <c r="V12" s="42"/>
      <c r="W12" s="37"/>
      <c r="X12" s="37"/>
      <c r="Y12" s="37"/>
    </row>
    <row r="13" spans="1:25" ht="81.95" customHeight="1">
      <c r="A13" s="39" t="s">
        <v>102</v>
      </c>
      <c r="B13" s="40">
        <v>12</v>
      </c>
      <c r="C13" s="40">
        <v>2</v>
      </c>
      <c r="D13" s="40">
        <v>6</v>
      </c>
      <c r="E13" s="39" t="s">
        <v>170</v>
      </c>
      <c r="F13" s="39" t="s">
        <v>153</v>
      </c>
      <c r="G13" s="39" t="s">
        <v>171</v>
      </c>
      <c r="H13" s="40" t="s">
        <v>155</v>
      </c>
      <c r="I13" s="40">
        <v>5</v>
      </c>
      <c r="J13" s="39" t="s">
        <v>172</v>
      </c>
      <c r="K13" s="39" t="s">
        <v>108</v>
      </c>
      <c r="L13" s="40" t="s">
        <v>173</v>
      </c>
      <c r="M13" s="40" t="s">
        <v>157</v>
      </c>
      <c r="N13" s="41">
        <f t="shared" si="3"/>
        <v>8.5069444444444437E-3</v>
      </c>
      <c r="O13" s="39" t="s">
        <v>169</v>
      </c>
      <c r="P13" s="42" t="e">
        <f t="shared" si="2"/>
        <v>#REF!</v>
      </c>
      <c r="Q13" s="42">
        <v>7</v>
      </c>
      <c r="R13" s="43" t="e">
        <f>ROUND(#REF!*Q13*Q13+#REF!*Q13,2)</f>
        <v>#REF!</v>
      </c>
      <c r="S13" s="43" t="str">
        <f t="shared" si="0"/>
        <v/>
      </c>
      <c r="T13" s="42"/>
      <c r="U13" s="42" t="str">
        <f t="shared" si="1"/>
        <v/>
      </c>
      <c r="V13" s="42"/>
      <c r="W13" s="37"/>
      <c r="X13" s="37"/>
      <c r="Y13" s="37"/>
    </row>
    <row r="14" spans="1:25" ht="81.95" customHeight="1">
      <c r="A14" s="39" t="s">
        <v>102</v>
      </c>
      <c r="B14" s="40">
        <v>13</v>
      </c>
      <c r="C14" s="40">
        <v>1</v>
      </c>
      <c r="D14" s="40">
        <v>5</v>
      </c>
      <c r="E14" s="39" t="s">
        <v>174</v>
      </c>
      <c r="F14" s="39" t="s">
        <v>175</v>
      </c>
      <c r="G14" s="39" t="s">
        <v>176</v>
      </c>
      <c r="H14" s="40" t="s">
        <v>177</v>
      </c>
      <c r="I14" s="40">
        <v>3</v>
      </c>
      <c r="J14" s="39" t="s">
        <v>178</v>
      </c>
      <c r="K14" s="39" t="s">
        <v>179</v>
      </c>
      <c r="L14" s="40" t="s">
        <v>180</v>
      </c>
      <c r="M14" s="40" t="s">
        <v>181</v>
      </c>
      <c r="N14" s="41">
        <f t="shared" si="3"/>
        <v>9.0856481481481483E-3</v>
      </c>
      <c r="O14" s="39" t="s">
        <v>169</v>
      </c>
      <c r="P14" s="42" t="e">
        <f t="shared" si="2"/>
        <v>#REF!</v>
      </c>
      <c r="Q14" s="42">
        <v>4</v>
      </c>
      <c r="R14" s="43" t="e">
        <f>ROUND(#REF!*Q14*Q14+#REF!*Q14,2)</f>
        <v>#REF!</v>
      </c>
      <c r="S14" s="43" t="str">
        <f t="shared" si="0"/>
        <v/>
      </c>
      <c r="T14" s="42"/>
      <c r="U14" s="42" t="str">
        <f t="shared" si="1"/>
        <v/>
      </c>
      <c r="V14" s="42"/>
      <c r="W14" s="37"/>
      <c r="X14" s="37"/>
      <c r="Y14" s="37"/>
    </row>
    <row r="15" spans="1:25" ht="81.95" customHeight="1">
      <c r="A15" s="39" t="s">
        <v>102</v>
      </c>
      <c r="B15" s="40">
        <v>14</v>
      </c>
      <c r="C15" s="40">
        <v>2</v>
      </c>
      <c r="D15" s="40">
        <v>5</v>
      </c>
      <c r="E15" s="39" t="s">
        <v>182</v>
      </c>
      <c r="F15" s="39" t="s">
        <v>134</v>
      </c>
      <c r="G15" s="39" t="s">
        <v>183</v>
      </c>
      <c r="H15" s="40" t="s">
        <v>148</v>
      </c>
      <c r="I15" s="40">
        <v>1</v>
      </c>
      <c r="J15" s="39" t="s">
        <v>184</v>
      </c>
      <c r="K15" s="39" t="s">
        <v>108</v>
      </c>
      <c r="L15" s="40" t="s">
        <v>185</v>
      </c>
      <c r="M15" s="40" t="s">
        <v>139</v>
      </c>
      <c r="N15" s="41">
        <f t="shared" si="3"/>
        <v>1.0474537037037037E-2</v>
      </c>
      <c r="O15" s="39" t="s">
        <v>186</v>
      </c>
      <c r="P15" s="42" t="e">
        <f t="shared" si="2"/>
        <v>#REF!</v>
      </c>
      <c r="Q15" s="42">
        <v>7</v>
      </c>
      <c r="R15" s="43" t="e">
        <f>ROUND(#REF!*Q15*Q15+#REF!*Q15,2)</f>
        <v>#REF!</v>
      </c>
      <c r="S15" s="43" t="str">
        <f t="shared" si="0"/>
        <v/>
      </c>
      <c r="T15" s="42"/>
      <c r="U15" s="42" t="str">
        <f t="shared" si="1"/>
        <v/>
      </c>
      <c r="V15" s="42"/>
      <c r="W15" s="37"/>
      <c r="X15" s="37"/>
      <c r="Y15" s="37"/>
    </row>
    <row r="16" spans="1:25" ht="81.95" customHeight="1">
      <c r="A16" s="39" t="s">
        <v>102</v>
      </c>
      <c r="B16" s="40">
        <v>15</v>
      </c>
      <c r="C16" s="40">
        <v>2</v>
      </c>
      <c r="D16" s="40">
        <v>5</v>
      </c>
      <c r="E16" s="39" t="s">
        <v>187</v>
      </c>
      <c r="F16" s="39" t="s">
        <v>175</v>
      </c>
      <c r="G16" s="39" t="s">
        <v>176</v>
      </c>
      <c r="H16" s="40" t="s">
        <v>177</v>
      </c>
      <c r="I16" s="40">
        <v>3</v>
      </c>
      <c r="J16" s="39" t="s">
        <v>188</v>
      </c>
      <c r="K16" s="39" t="s">
        <v>179</v>
      </c>
      <c r="L16" s="40" t="s">
        <v>189</v>
      </c>
      <c r="M16" s="40" t="s">
        <v>181</v>
      </c>
      <c r="N16" s="41">
        <f t="shared" si="3"/>
        <v>1.1400462962962963E-2</v>
      </c>
      <c r="O16" s="39" t="s">
        <v>186</v>
      </c>
      <c r="P16" s="42" t="e">
        <f t="shared" si="2"/>
        <v>#REF!</v>
      </c>
      <c r="Q16" s="42">
        <v>6</v>
      </c>
      <c r="R16" s="43" t="e">
        <f>ROUND(#REF!*Q16*Q16+#REF!*Q16,2)</f>
        <v>#REF!</v>
      </c>
      <c r="S16" s="43" t="str">
        <f t="shared" si="0"/>
        <v/>
      </c>
      <c r="T16" s="42"/>
      <c r="U16" s="42" t="str">
        <f t="shared" si="1"/>
        <v/>
      </c>
      <c r="V16" s="42"/>
      <c r="W16" s="37"/>
      <c r="X16" s="37"/>
      <c r="Y16" s="37"/>
    </row>
    <row r="17" spans="1:25" ht="81.95" customHeight="1">
      <c r="A17" s="39" t="s">
        <v>102</v>
      </c>
      <c r="B17" s="40">
        <v>16</v>
      </c>
      <c r="C17" s="40">
        <v>1</v>
      </c>
      <c r="D17" s="40">
        <v>7</v>
      </c>
      <c r="E17" s="39" t="s">
        <v>190</v>
      </c>
      <c r="F17" s="39" t="s">
        <v>191</v>
      </c>
      <c r="G17" s="39" t="s">
        <v>192</v>
      </c>
      <c r="H17" s="40" t="s">
        <v>193</v>
      </c>
      <c r="I17" s="40">
        <v>1</v>
      </c>
      <c r="J17" s="39" t="s">
        <v>194</v>
      </c>
      <c r="K17" s="39" t="s">
        <v>195</v>
      </c>
      <c r="L17" s="40" t="s">
        <v>196</v>
      </c>
      <c r="M17" s="40" t="s">
        <v>197</v>
      </c>
      <c r="N17" s="41">
        <f t="shared" si="3"/>
        <v>1.1689814814814814E-2</v>
      </c>
      <c r="O17" s="39" t="s">
        <v>186</v>
      </c>
      <c r="P17" s="42" t="e">
        <f t="shared" si="2"/>
        <v>#REF!</v>
      </c>
      <c r="Q17" s="42">
        <v>4</v>
      </c>
      <c r="R17" s="43" t="e">
        <f>ROUND(#REF!*Q17*Q17+#REF!*Q17,2)</f>
        <v>#REF!</v>
      </c>
      <c r="S17" s="43" t="str">
        <f t="shared" si="0"/>
        <v/>
      </c>
      <c r="T17" s="42"/>
      <c r="U17" s="42" t="str">
        <f t="shared" si="1"/>
        <v/>
      </c>
      <c r="V17" s="42"/>
      <c r="W17" s="37"/>
      <c r="X17" s="37"/>
      <c r="Y17" s="37"/>
    </row>
    <row r="18" spans="1:25" ht="81.95" customHeight="1">
      <c r="A18" s="39" t="s">
        <v>102</v>
      </c>
      <c r="B18" s="40">
        <v>17</v>
      </c>
      <c r="C18" s="40">
        <v>5</v>
      </c>
      <c r="D18" s="40">
        <v>8</v>
      </c>
      <c r="E18" s="39" t="s">
        <v>198</v>
      </c>
      <c r="F18" s="39" t="s">
        <v>199</v>
      </c>
      <c r="G18" s="39" t="s">
        <v>200</v>
      </c>
      <c r="H18" s="40" t="s">
        <v>201</v>
      </c>
      <c r="I18" s="40">
        <v>1</v>
      </c>
      <c r="J18" s="39" t="s">
        <v>202</v>
      </c>
      <c r="K18" s="39" t="s">
        <v>203</v>
      </c>
      <c r="L18" s="40" t="s">
        <v>185</v>
      </c>
      <c r="M18" s="40" t="s">
        <v>204</v>
      </c>
      <c r="N18" s="41">
        <f t="shared" si="3"/>
        <v>1.3078703703703703E-2</v>
      </c>
      <c r="O18" s="39" t="s">
        <v>205</v>
      </c>
      <c r="P18" s="42" t="e">
        <f t="shared" si="2"/>
        <v>#REF!</v>
      </c>
      <c r="Q18" s="42">
        <v>9</v>
      </c>
      <c r="R18" s="43" t="e">
        <f>ROUND(#REF!*Q18*Q18+#REF!*Q18,2)</f>
        <v>#REF!</v>
      </c>
      <c r="S18" s="43" t="str">
        <f t="shared" si="0"/>
        <v/>
      </c>
      <c r="T18" s="42"/>
      <c r="U18" s="42" t="str">
        <f t="shared" si="1"/>
        <v/>
      </c>
      <c r="V18" s="42"/>
      <c r="W18" s="37"/>
      <c r="X18" s="37"/>
      <c r="Y18" s="37"/>
    </row>
    <row r="19" spans="1:25" ht="81.95" customHeight="1">
      <c r="A19" s="39" t="s">
        <v>102</v>
      </c>
      <c r="B19" s="40">
        <v>18</v>
      </c>
      <c r="C19" s="40">
        <v>4</v>
      </c>
      <c r="D19" s="40">
        <v>7</v>
      </c>
      <c r="E19" s="39" t="s">
        <v>206</v>
      </c>
      <c r="F19" s="39" t="s">
        <v>207</v>
      </c>
      <c r="G19" s="39" t="s">
        <v>208</v>
      </c>
      <c r="H19" s="40" t="s">
        <v>209</v>
      </c>
      <c r="I19" s="40">
        <v>4</v>
      </c>
      <c r="J19" s="39" t="s">
        <v>210</v>
      </c>
      <c r="K19" s="39" t="s">
        <v>211</v>
      </c>
      <c r="L19" s="40" t="s">
        <v>212</v>
      </c>
      <c r="M19" s="40" t="s">
        <v>213</v>
      </c>
      <c r="N19" s="41">
        <f t="shared" si="3"/>
        <v>1.4236111111111111E-2</v>
      </c>
      <c r="O19" s="39" t="s">
        <v>205</v>
      </c>
      <c r="P19" s="42" t="e">
        <f t="shared" si="2"/>
        <v>#REF!</v>
      </c>
      <c r="Q19" s="42">
        <v>8</v>
      </c>
      <c r="R19" s="43" t="e">
        <f>ROUND(#REF!*Q19*Q19+#REF!*Q19,2)</f>
        <v>#REF!</v>
      </c>
      <c r="S19" s="43" t="str">
        <f t="shared" si="0"/>
        <v/>
      </c>
      <c r="T19" s="42"/>
      <c r="U19" s="42" t="str">
        <f t="shared" si="1"/>
        <v/>
      </c>
      <c r="V19" s="42"/>
      <c r="W19" s="37"/>
      <c r="X19" s="37"/>
      <c r="Y19" s="37"/>
    </row>
    <row r="20" spans="1:25" ht="81.95" customHeight="1">
      <c r="A20" s="39" t="s">
        <v>102</v>
      </c>
      <c r="B20" s="40">
        <v>19</v>
      </c>
      <c r="C20" s="40">
        <v>2</v>
      </c>
      <c r="D20" s="40">
        <v>5</v>
      </c>
      <c r="E20" s="39" t="s">
        <v>214</v>
      </c>
      <c r="F20" s="39" t="s">
        <v>175</v>
      </c>
      <c r="G20" s="39" t="s">
        <v>176</v>
      </c>
      <c r="H20" s="40" t="s">
        <v>215</v>
      </c>
      <c r="I20" s="40">
        <v>3</v>
      </c>
      <c r="J20" s="39" t="s">
        <v>216</v>
      </c>
      <c r="K20" s="39" t="s">
        <v>179</v>
      </c>
      <c r="L20" s="40" t="s">
        <v>217</v>
      </c>
      <c r="M20" s="40" t="s">
        <v>181</v>
      </c>
      <c r="N20" s="41">
        <f t="shared" si="3"/>
        <v>1.4872685185185185E-2</v>
      </c>
      <c r="O20" s="39" t="s">
        <v>205</v>
      </c>
      <c r="P20" s="42" t="e">
        <f t="shared" si="2"/>
        <v>#REF!</v>
      </c>
      <c r="Q20" s="42">
        <v>5</v>
      </c>
      <c r="R20" s="43" t="e">
        <f>ROUND(#REF!*Q20*Q20+#REF!*Q20,2)</f>
        <v>#REF!</v>
      </c>
      <c r="S20" s="43" t="str">
        <f t="shared" si="0"/>
        <v/>
      </c>
      <c r="T20" s="42"/>
      <c r="U20" s="42" t="str">
        <f t="shared" si="1"/>
        <v/>
      </c>
      <c r="V20" s="42"/>
      <c r="W20" s="37"/>
      <c r="X20" s="37"/>
      <c r="Y20" s="37"/>
    </row>
    <row r="21" spans="1:25" ht="81.95" customHeight="1">
      <c r="A21" s="39" t="s">
        <v>102</v>
      </c>
      <c r="B21" s="40">
        <v>20</v>
      </c>
      <c r="C21" s="40">
        <v>1</v>
      </c>
      <c r="D21" s="40">
        <v>5</v>
      </c>
      <c r="E21" s="39" t="s">
        <v>218</v>
      </c>
      <c r="F21" s="39" t="s">
        <v>120</v>
      </c>
      <c r="G21" s="39" t="s">
        <v>121</v>
      </c>
      <c r="H21" s="40" t="s">
        <v>219</v>
      </c>
      <c r="I21" s="40">
        <v>1</v>
      </c>
      <c r="J21" s="39" t="s">
        <v>220</v>
      </c>
      <c r="K21" s="39" t="s">
        <v>108</v>
      </c>
      <c r="L21" s="40" t="s">
        <v>221</v>
      </c>
      <c r="M21" s="40" t="s">
        <v>125</v>
      </c>
      <c r="N21" s="41">
        <f t="shared" si="3"/>
        <v>1.5682870370370371E-2</v>
      </c>
      <c r="O21" s="39" t="s">
        <v>205</v>
      </c>
      <c r="P21" s="42" t="e">
        <f t="shared" si="2"/>
        <v>#REF!</v>
      </c>
      <c r="Q21" s="42">
        <v>5</v>
      </c>
      <c r="R21" s="43" t="e">
        <f>ROUND(#REF!*Q21*Q21+#REF!*Q21,2)</f>
        <v>#REF!</v>
      </c>
      <c r="S21" s="43" t="str">
        <f t="shared" si="0"/>
        <v/>
      </c>
      <c r="T21" s="42"/>
      <c r="U21" s="42" t="str">
        <f t="shared" si="1"/>
        <v/>
      </c>
      <c r="V21" s="42"/>
      <c r="W21" s="37"/>
      <c r="X21" s="37"/>
      <c r="Y21" s="37"/>
    </row>
    <row r="22" spans="1:25" ht="81.95" customHeight="1">
      <c r="A22" s="39" t="s">
        <v>102</v>
      </c>
      <c r="B22" s="40">
        <v>21</v>
      </c>
      <c r="C22" s="40">
        <v>2</v>
      </c>
      <c r="D22" s="40">
        <v>5</v>
      </c>
      <c r="E22" s="39" t="s">
        <v>222</v>
      </c>
      <c r="F22" s="39" t="s">
        <v>134</v>
      </c>
      <c r="G22" s="39" t="s">
        <v>223</v>
      </c>
      <c r="H22" s="40" t="s">
        <v>224</v>
      </c>
      <c r="I22" s="40">
        <v>1</v>
      </c>
      <c r="J22" s="39" t="s">
        <v>225</v>
      </c>
      <c r="K22" s="39" t="s">
        <v>108</v>
      </c>
      <c r="L22" s="40" t="s">
        <v>226</v>
      </c>
      <c r="M22" s="40" t="s">
        <v>139</v>
      </c>
      <c r="N22" s="41">
        <f t="shared" si="3"/>
        <v>1.7418981481481483E-2</v>
      </c>
      <c r="O22" s="39" t="s">
        <v>227</v>
      </c>
      <c r="P22" s="42" t="e">
        <f t="shared" si="2"/>
        <v>#REF!</v>
      </c>
      <c r="Q22" s="42">
        <v>7</v>
      </c>
      <c r="R22" s="43" t="e">
        <f>ROUND(#REF!*Q22*Q22+#REF!*Q22,2)</f>
        <v>#REF!</v>
      </c>
      <c r="S22" s="43" t="str">
        <f t="shared" si="0"/>
        <v/>
      </c>
      <c r="T22" s="42"/>
      <c r="U22" s="42" t="str">
        <f t="shared" si="1"/>
        <v/>
      </c>
      <c r="V22" s="42"/>
      <c r="W22" s="37"/>
      <c r="X22" s="37"/>
      <c r="Y22" s="37"/>
    </row>
    <row r="23" spans="1:25" ht="81.95" customHeight="1">
      <c r="A23" s="39" t="s">
        <v>102</v>
      </c>
      <c r="B23" s="40">
        <v>22</v>
      </c>
      <c r="C23" s="40">
        <v>2</v>
      </c>
      <c r="D23" s="40">
        <v>7</v>
      </c>
      <c r="E23" s="39" t="s">
        <v>228</v>
      </c>
      <c r="F23" s="39" t="s">
        <v>229</v>
      </c>
      <c r="G23" s="39" t="s">
        <v>230</v>
      </c>
      <c r="H23" s="40" t="s">
        <v>231</v>
      </c>
      <c r="I23" s="40">
        <v>3</v>
      </c>
      <c r="J23" s="39" t="s">
        <v>232</v>
      </c>
      <c r="K23" s="39" t="s">
        <v>108</v>
      </c>
      <c r="L23" s="40" t="s">
        <v>109</v>
      </c>
      <c r="M23" s="40" t="s">
        <v>233</v>
      </c>
      <c r="N23" s="41">
        <f t="shared" si="3"/>
        <v>1.846064814814815E-2</v>
      </c>
      <c r="O23" s="39" t="s">
        <v>227</v>
      </c>
      <c r="P23" s="42" t="e">
        <f t="shared" si="2"/>
        <v>#REF!</v>
      </c>
      <c r="Q23" s="42">
        <v>7</v>
      </c>
      <c r="R23" s="43" t="e">
        <f>ROUND(#REF!*Q23*Q23+#REF!*Q23,2)</f>
        <v>#REF!</v>
      </c>
      <c r="S23" s="43" t="str">
        <f t="shared" si="0"/>
        <v/>
      </c>
      <c r="T23" s="42"/>
      <c r="U23" s="42" t="str">
        <f t="shared" si="1"/>
        <v/>
      </c>
      <c r="V23" s="42"/>
      <c r="W23" s="37"/>
      <c r="X23" s="37"/>
      <c r="Y23" s="37"/>
    </row>
    <row r="24" spans="1:25" ht="81.95" customHeight="1">
      <c r="A24" s="39" t="s">
        <v>102</v>
      </c>
      <c r="B24" s="40">
        <v>23</v>
      </c>
      <c r="C24" s="40">
        <v>3</v>
      </c>
      <c r="D24" s="40">
        <v>8</v>
      </c>
      <c r="E24" s="39" t="s">
        <v>234</v>
      </c>
      <c r="F24" s="39" t="s">
        <v>235</v>
      </c>
      <c r="G24" s="39" t="s">
        <v>236</v>
      </c>
      <c r="H24" s="40" t="s">
        <v>237</v>
      </c>
      <c r="I24" s="40">
        <v>4</v>
      </c>
      <c r="J24" s="39" t="s">
        <v>238</v>
      </c>
      <c r="K24" s="39" t="s">
        <v>239</v>
      </c>
      <c r="L24" s="40" t="s">
        <v>185</v>
      </c>
      <c r="M24" s="40" t="s">
        <v>240</v>
      </c>
      <c r="N24" s="41">
        <f t="shared" si="3"/>
        <v>1.9849537037037037E-2</v>
      </c>
      <c r="O24" s="39" t="s">
        <v>227</v>
      </c>
      <c r="P24" s="42" t="e">
        <f t="shared" si="2"/>
        <v>#REF!</v>
      </c>
      <c r="Q24" s="42">
        <v>9</v>
      </c>
      <c r="R24" s="43" t="e">
        <f>ROUND(#REF!*Q24*Q24+#REF!*Q24,2)</f>
        <v>#REF!</v>
      </c>
      <c r="S24" s="43" t="str">
        <f t="shared" si="0"/>
        <v/>
      </c>
      <c r="T24" s="42"/>
      <c r="U24" s="42" t="str">
        <f t="shared" si="1"/>
        <v/>
      </c>
      <c r="V24" s="42"/>
      <c r="W24" s="37"/>
      <c r="X24" s="37"/>
      <c r="Y24" s="37"/>
    </row>
    <row r="25" spans="1:25" ht="81.95" customHeight="1">
      <c r="A25" s="39" t="s">
        <v>102</v>
      </c>
      <c r="B25" s="40">
        <v>24</v>
      </c>
      <c r="C25" s="40">
        <v>1</v>
      </c>
      <c r="D25" s="40">
        <v>5</v>
      </c>
      <c r="E25" s="39" t="s">
        <v>241</v>
      </c>
      <c r="F25" s="39" t="s">
        <v>175</v>
      </c>
      <c r="G25" s="39" t="s">
        <v>176</v>
      </c>
      <c r="H25" s="40" t="s">
        <v>242</v>
      </c>
      <c r="I25" s="40">
        <v>3</v>
      </c>
      <c r="J25" s="39" t="s">
        <v>243</v>
      </c>
      <c r="K25" s="39" t="s">
        <v>179</v>
      </c>
      <c r="L25" s="40" t="s">
        <v>244</v>
      </c>
      <c r="M25" s="40" t="s">
        <v>181</v>
      </c>
      <c r="N25" s="41">
        <f t="shared" si="3"/>
        <v>2.060185185185185E-2</v>
      </c>
      <c r="O25" s="39" t="s">
        <v>227</v>
      </c>
      <c r="P25" s="42" t="e">
        <f t="shared" si="2"/>
        <v>#REF!</v>
      </c>
      <c r="Q25" s="42">
        <v>5</v>
      </c>
      <c r="R25" s="43" t="e">
        <f>ROUND(#REF!*Q25*Q25+#REF!*Q25,2)</f>
        <v>#REF!</v>
      </c>
      <c r="S25" s="43" t="str">
        <f t="shared" si="0"/>
        <v/>
      </c>
      <c r="T25" s="42"/>
      <c r="U25" s="42" t="str">
        <f t="shared" si="1"/>
        <v/>
      </c>
      <c r="V25" s="42"/>
      <c r="W25" s="37"/>
      <c r="X25" s="37"/>
      <c r="Y25" s="37"/>
    </row>
    <row r="26" spans="1:25" ht="81.95" customHeight="1">
      <c r="A26" s="39" t="s">
        <v>102</v>
      </c>
      <c r="B26" s="40">
        <v>25</v>
      </c>
      <c r="C26" s="40">
        <v>2</v>
      </c>
      <c r="D26" s="40">
        <v>5</v>
      </c>
      <c r="E26" s="39" t="s">
        <v>245</v>
      </c>
      <c r="F26" s="39" t="s">
        <v>134</v>
      </c>
      <c r="G26" s="39" t="s">
        <v>246</v>
      </c>
      <c r="H26" s="40" t="s">
        <v>224</v>
      </c>
      <c r="I26" s="40">
        <v>1</v>
      </c>
      <c r="J26" s="39" t="s">
        <v>247</v>
      </c>
      <c r="K26" s="39" t="s">
        <v>108</v>
      </c>
      <c r="L26" s="40" t="s">
        <v>173</v>
      </c>
      <c r="M26" s="40" t="s">
        <v>139</v>
      </c>
      <c r="N26" s="41">
        <f t="shared" si="3"/>
        <v>2.1874999999999999E-2</v>
      </c>
      <c r="O26" s="39" t="s">
        <v>248</v>
      </c>
      <c r="P26" s="42" t="e">
        <f t="shared" si="2"/>
        <v>#REF!</v>
      </c>
      <c r="Q26" s="42">
        <v>6</v>
      </c>
      <c r="R26" s="43" t="e">
        <f>ROUND(#REF!*Q26*Q26+#REF!*Q26,2)</f>
        <v>#REF!</v>
      </c>
      <c r="S26" s="43" t="str">
        <f t="shared" si="0"/>
        <v/>
      </c>
      <c r="T26" s="42"/>
      <c r="U26" s="42" t="str">
        <f t="shared" si="1"/>
        <v/>
      </c>
      <c r="V26" s="42"/>
      <c r="W26" s="37"/>
      <c r="X26" s="37"/>
      <c r="Y26" s="37"/>
    </row>
    <row r="27" spans="1:25" ht="81.95" customHeight="1">
      <c r="A27" s="39" t="s">
        <v>249</v>
      </c>
      <c r="B27" s="40">
        <v>26</v>
      </c>
      <c r="C27" s="40">
        <v>1</v>
      </c>
      <c r="D27" s="40">
        <v>5</v>
      </c>
      <c r="E27" s="39" t="s">
        <v>250</v>
      </c>
      <c r="F27" s="39" t="s">
        <v>229</v>
      </c>
      <c r="G27" s="39" t="s">
        <v>251</v>
      </c>
      <c r="H27" s="40" t="s">
        <v>252</v>
      </c>
      <c r="I27" s="40">
        <v>4</v>
      </c>
      <c r="J27" s="39" t="s">
        <v>232</v>
      </c>
      <c r="K27" s="39" t="s">
        <v>108</v>
      </c>
      <c r="L27" s="40" t="s">
        <v>150</v>
      </c>
      <c r="M27" s="40" t="s">
        <v>233</v>
      </c>
      <c r="N27" s="41">
        <f t="shared" si="3"/>
        <v>2.2743055555555555E-2</v>
      </c>
      <c r="O27" s="39" t="s">
        <v>253</v>
      </c>
      <c r="P27" s="42" t="e">
        <f t="shared" si="2"/>
        <v>#REF!</v>
      </c>
      <c r="Q27" s="42">
        <v>5</v>
      </c>
      <c r="R27" s="43" t="e">
        <f>ROUND(#REF!*Q27*Q27+#REF!*Q27,2)</f>
        <v>#REF!</v>
      </c>
      <c r="S27" s="43" t="str">
        <f t="shared" si="0"/>
        <v/>
      </c>
      <c r="T27" s="42"/>
      <c r="U27" s="42" t="str">
        <f t="shared" si="1"/>
        <v/>
      </c>
      <c r="V27" s="42"/>
      <c r="W27" s="37"/>
      <c r="X27" s="37"/>
      <c r="Y27" s="37"/>
    </row>
    <row r="28" spans="1:25" ht="81.95" customHeight="1">
      <c r="A28" s="39" t="s">
        <v>249</v>
      </c>
      <c r="B28" s="40">
        <v>27</v>
      </c>
      <c r="C28" s="40">
        <v>1</v>
      </c>
      <c r="D28" s="40">
        <v>6</v>
      </c>
      <c r="E28" s="39" t="s">
        <v>254</v>
      </c>
      <c r="F28" s="39" t="s">
        <v>255</v>
      </c>
      <c r="G28" s="39" t="s">
        <v>256</v>
      </c>
      <c r="H28" s="40" t="s">
        <v>257</v>
      </c>
      <c r="I28" s="40">
        <v>1</v>
      </c>
      <c r="J28" s="39" t="s">
        <v>258</v>
      </c>
      <c r="K28" s="39" t="s">
        <v>108</v>
      </c>
      <c r="L28" s="40" t="s">
        <v>162</v>
      </c>
      <c r="M28" s="40" t="s">
        <v>259</v>
      </c>
      <c r="N28" s="41">
        <f t="shared" si="3"/>
        <v>2.3148148148148147E-2</v>
      </c>
      <c r="O28" s="39" t="s">
        <v>253</v>
      </c>
      <c r="P28" s="42" t="e">
        <f t="shared" si="2"/>
        <v>#REF!</v>
      </c>
      <c r="Q28" s="42">
        <v>4</v>
      </c>
      <c r="R28" s="43" t="e">
        <f>ROUND(#REF!*Q28*Q28+#REF!*Q28,2)</f>
        <v>#REF!</v>
      </c>
      <c r="S28" s="43" t="str">
        <f t="shared" si="0"/>
        <v/>
      </c>
      <c r="T28" s="42"/>
      <c r="U28" s="42" t="str">
        <f t="shared" si="1"/>
        <v/>
      </c>
      <c r="V28" s="42"/>
      <c r="W28" s="37"/>
      <c r="X28" s="37"/>
      <c r="Y28" s="37"/>
    </row>
    <row r="29" spans="1:25" ht="81.95" customHeight="1">
      <c r="A29" s="39" t="s">
        <v>249</v>
      </c>
      <c r="B29" s="40">
        <v>28</v>
      </c>
      <c r="C29" s="40">
        <v>1</v>
      </c>
      <c r="D29" s="40">
        <v>5</v>
      </c>
      <c r="E29" s="39" t="s">
        <v>260</v>
      </c>
      <c r="F29" s="39" t="s">
        <v>261</v>
      </c>
      <c r="G29" s="39" t="s">
        <v>262</v>
      </c>
      <c r="H29" s="40" t="s">
        <v>263</v>
      </c>
      <c r="I29" s="40">
        <v>1</v>
      </c>
      <c r="J29" s="39" t="s">
        <v>264</v>
      </c>
      <c r="K29" s="39" t="s">
        <v>108</v>
      </c>
      <c r="L29" s="40" t="s">
        <v>265</v>
      </c>
      <c r="M29" s="40" t="s">
        <v>266</v>
      </c>
      <c r="N29" s="41">
        <f t="shared" si="3"/>
        <v>2.3668981481481482E-2</v>
      </c>
      <c r="O29" s="39" t="s">
        <v>253</v>
      </c>
      <c r="P29" s="42" t="e">
        <f t="shared" si="2"/>
        <v>#REF!</v>
      </c>
      <c r="Q29" s="42">
        <v>4</v>
      </c>
      <c r="R29" s="43" t="e">
        <f>ROUND(#REF!*Q29*Q29+#REF!*Q29,2)</f>
        <v>#REF!</v>
      </c>
      <c r="S29" s="43" t="str">
        <f t="shared" si="0"/>
        <v/>
      </c>
      <c r="T29" s="42"/>
      <c r="U29" s="42" t="str">
        <f t="shared" si="1"/>
        <v/>
      </c>
      <c r="V29" s="42"/>
      <c r="W29" s="37"/>
      <c r="X29" s="37"/>
      <c r="Y29" s="37"/>
    </row>
    <row r="30" spans="1:25" ht="81.95" customHeight="1">
      <c r="A30" s="39" t="s">
        <v>249</v>
      </c>
      <c r="B30" s="40">
        <v>29</v>
      </c>
      <c r="C30" s="40">
        <v>2</v>
      </c>
      <c r="D30" s="40">
        <v>5</v>
      </c>
      <c r="E30" s="39" t="s">
        <v>267</v>
      </c>
      <c r="F30" s="39" t="s">
        <v>153</v>
      </c>
      <c r="G30" s="39" t="s">
        <v>268</v>
      </c>
      <c r="H30" s="40" t="s">
        <v>269</v>
      </c>
      <c r="I30" s="40">
        <v>4</v>
      </c>
      <c r="J30" s="39" t="s">
        <v>270</v>
      </c>
      <c r="K30" s="39" t="s">
        <v>108</v>
      </c>
      <c r="L30" s="40" t="s">
        <v>271</v>
      </c>
      <c r="M30" s="40" t="s">
        <v>157</v>
      </c>
      <c r="N30" s="41">
        <f t="shared" si="3"/>
        <v>2.4652777777777777E-2</v>
      </c>
      <c r="O30" s="39" t="s">
        <v>253</v>
      </c>
      <c r="P30" s="42" t="e">
        <f t="shared" si="2"/>
        <v>#REF!</v>
      </c>
      <c r="Q30" s="42">
        <v>6</v>
      </c>
      <c r="R30" s="43" t="e">
        <f>ROUND(#REF!*Q30*Q30+#REF!*Q30,2)</f>
        <v>#REF!</v>
      </c>
      <c r="S30" s="43" t="str">
        <f t="shared" si="0"/>
        <v/>
      </c>
      <c r="T30" s="42"/>
      <c r="U30" s="42" t="str">
        <f t="shared" si="1"/>
        <v/>
      </c>
      <c r="V30" s="42"/>
      <c r="W30" s="37"/>
      <c r="X30" s="37"/>
      <c r="Y30" s="37"/>
    </row>
    <row r="31" spans="1:25" ht="81.95" customHeight="1">
      <c r="A31" s="39" t="s">
        <v>249</v>
      </c>
      <c r="B31" s="40">
        <v>30</v>
      </c>
      <c r="C31" s="40">
        <v>1</v>
      </c>
      <c r="D31" s="40">
        <v>5</v>
      </c>
      <c r="E31" s="39" t="s">
        <v>272</v>
      </c>
      <c r="F31" s="39" t="s">
        <v>273</v>
      </c>
      <c r="G31" s="39" t="s">
        <v>274</v>
      </c>
      <c r="H31" s="40" t="s">
        <v>275</v>
      </c>
      <c r="I31" s="40">
        <v>3</v>
      </c>
      <c r="J31" s="39" t="s">
        <v>276</v>
      </c>
      <c r="K31" s="39" t="s">
        <v>108</v>
      </c>
      <c r="L31" s="40" t="s">
        <v>217</v>
      </c>
      <c r="M31" s="40" t="s">
        <v>277</v>
      </c>
      <c r="N31" s="41">
        <f t="shared" si="3"/>
        <v>2.5289351851851851E-2</v>
      </c>
      <c r="O31" s="39" t="s">
        <v>253</v>
      </c>
      <c r="P31" s="42" t="e">
        <f t="shared" si="2"/>
        <v>#REF!</v>
      </c>
      <c r="Q31" s="42">
        <v>4</v>
      </c>
      <c r="R31" s="43" t="e">
        <f>ROUND(#REF!*Q31*Q31+#REF!*Q31,2)</f>
        <v>#REF!</v>
      </c>
      <c r="S31" s="43" t="str">
        <f t="shared" si="0"/>
        <v/>
      </c>
      <c r="T31" s="42"/>
      <c r="U31" s="42" t="str">
        <f t="shared" si="1"/>
        <v/>
      </c>
      <c r="V31" s="42"/>
      <c r="W31" s="37"/>
      <c r="X31" s="37"/>
      <c r="Y31" s="37"/>
    </row>
    <row r="32" spans="1:25" ht="81.95" customHeight="1">
      <c r="A32" s="39" t="s">
        <v>249</v>
      </c>
      <c r="B32" s="40">
        <v>31</v>
      </c>
      <c r="C32" s="40">
        <v>2</v>
      </c>
      <c r="D32" s="40">
        <v>6</v>
      </c>
      <c r="E32" s="39" t="s">
        <v>278</v>
      </c>
      <c r="F32" s="39" t="s">
        <v>279</v>
      </c>
      <c r="G32" s="39" t="s">
        <v>280</v>
      </c>
      <c r="H32" s="40" t="s">
        <v>281</v>
      </c>
      <c r="I32" s="40">
        <v>8</v>
      </c>
      <c r="J32" s="39" t="s">
        <v>282</v>
      </c>
      <c r="K32" s="39" t="s">
        <v>283</v>
      </c>
      <c r="L32" s="40" t="s">
        <v>284</v>
      </c>
      <c r="M32" s="40" t="s">
        <v>285</v>
      </c>
      <c r="N32" s="41">
        <f t="shared" si="3"/>
        <v>2.7372685185185184E-2</v>
      </c>
      <c r="O32" s="39" t="s">
        <v>253</v>
      </c>
      <c r="P32" s="42" t="e">
        <f t="shared" si="2"/>
        <v>#REF!</v>
      </c>
      <c r="Q32" s="42">
        <v>9</v>
      </c>
      <c r="R32" s="43" t="e">
        <f>ROUND(#REF!*Q32*Q32+#REF!*Q32,2)</f>
        <v>#REF!</v>
      </c>
      <c r="S32" s="43" t="str">
        <f t="shared" si="0"/>
        <v/>
      </c>
      <c r="T32" s="42"/>
      <c r="U32" s="42" t="str">
        <f t="shared" si="1"/>
        <v/>
      </c>
      <c r="V32" s="42"/>
      <c r="W32" s="37"/>
      <c r="X32" s="37"/>
      <c r="Y32" s="37"/>
    </row>
    <row r="33" spans="1:25" ht="81.95" customHeight="1">
      <c r="A33" s="39" t="s">
        <v>249</v>
      </c>
      <c r="B33" s="40">
        <v>32</v>
      </c>
      <c r="C33" s="40">
        <v>2</v>
      </c>
      <c r="D33" s="40">
        <v>6</v>
      </c>
      <c r="E33" s="39" t="s">
        <v>286</v>
      </c>
      <c r="F33" s="39" t="s">
        <v>279</v>
      </c>
      <c r="G33" s="39" t="s">
        <v>287</v>
      </c>
      <c r="H33" s="40" t="s">
        <v>281</v>
      </c>
      <c r="I33" s="40">
        <v>7</v>
      </c>
      <c r="J33" s="39" t="s">
        <v>288</v>
      </c>
      <c r="K33" s="39" t="s">
        <v>283</v>
      </c>
      <c r="L33" s="40" t="s">
        <v>289</v>
      </c>
      <c r="M33" s="40" t="s">
        <v>285</v>
      </c>
      <c r="N33" s="41">
        <f t="shared" si="3"/>
        <v>2.9224537037037035E-2</v>
      </c>
      <c r="O33" s="39" t="s">
        <v>253</v>
      </c>
      <c r="P33" s="42" t="e">
        <f t="shared" si="2"/>
        <v>#REF!</v>
      </c>
      <c r="Q33" s="42">
        <v>9</v>
      </c>
      <c r="R33" s="43" t="e">
        <f>ROUND(#REF!*Q33*Q33+#REF!*Q33,2)</f>
        <v>#REF!</v>
      </c>
      <c r="S33" s="43" t="str">
        <f t="shared" si="0"/>
        <v/>
      </c>
      <c r="T33" s="42"/>
      <c r="U33" s="42" t="str">
        <f t="shared" si="1"/>
        <v/>
      </c>
      <c r="V33" s="42"/>
      <c r="W33" s="37"/>
      <c r="X33" s="37"/>
      <c r="Y33" s="37"/>
    </row>
    <row r="34" spans="1:25" ht="81.95" customHeight="1">
      <c r="A34" s="39" t="s">
        <v>249</v>
      </c>
      <c r="B34" s="40">
        <v>33</v>
      </c>
      <c r="C34" s="40">
        <v>3</v>
      </c>
      <c r="D34" s="40">
        <v>6</v>
      </c>
      <c r="E34" s="39" t="s">
        <v>290</v>
      </c>
      <c r="F34" s="39" t="s">
        <v>279</v>
      </c>
      <c r="G34" s="39" t="s">
        <v>291</v>
      </c>
      <c r="H34" s="40" t="s">
        <v>292</v>
      </c>
      <c r="I34" s="40">
        <v>6</v>
      </c>
      <c r="J34" s="39" t="s">
        <v>293</v>
      </c>
      <c r="K34" s="39" t="s">
        <v>283</v>
      </c>
      <c r="L34" s="40" t="s">
        <v>226</v>
      </c>
      <c r="M34" s="40" t="s">
        <v>285</v>
      </c>
      <c r="N34" s="41">
        <f t="shared" si="3"/>
        <v>3.0960648148148147E-2</v>
      </c>
      <c r="O34" s="39" t="s">
        <v>253</v>
      </c>
      <c r="P34" s="42" t="e">
        <f t="shared" si="2"/>
        <v>#REF!</v>
      </c>
      <c r="Q34" s="42">
        <v>9</v>
      </c>
      <c r="R34" s="43" t="e">
        <f>ROUND(#REF!*Q34*Q34+#REF!*Q34,2)</f>
        <v>#REF!</v>
      </c>
      <c r="S34" s="43" t="str">
        <f t="shared" ref="S34:S65" si="4">IF(OR(V34="",V34=0),"",ROUND(R34/V34,2))</f>
        <v/>
      </c>
      <c r="T34" s="42"/>
      <c r="U34" s="42" t="str">
        <f t="shared" ref="U34:U65" si="5">IF(OR(T34="",V34="",V34=0),"",T34*V34)</f>
        <v/>
      </c>
      <c r="V34" s="42"/>
      <c r="W34" s="37"/>
      <c r="X34" s="37"/>
      <c r="Y34" s="37"/>
    </row>
    <row r="35" spans="1:25" ht="81.95" customHeight="1">
      <c r="A35" s="39" t="s">
        <v>249</v>
      </c>
      <c r="B35" s="40">
        <v>34</v>
      </c>
      <c r="C35" s="40">
        <v>1</v>
      </c>
      <c r="D35" s="40">
        <v>5</v>
      </c>
      <c r="E35" s="39" t="s">
        <v>294</v>
      </c>
      <c r="F35" s="39" t="s">
        <v>120</v>
      </c>
      <c r="G35" s="39" t="s">
        <v>121</v>
      </c>
      <c r="H35" s="40" t="s">
        <v>219</v>
      </c>
      <c r="I35" s="40">
        <v>1</v>
      </c>
      <c r="J35" s="39" t="s">
        <v>295</v>
      </c>
      <c r="K35" s="39" t="s">
        <v>108</v>
      </c>
      <c r="L35" s="40" t="s">
        <v>109</v>
      </c>
      <c r="M35" s="40" t="s">
        <v>125</v>
      </c>
      <c r="N35" s="41">
        <f t="shared" ref="N35:N66" si="6">N34+(IFERROR(VALUE(LEFT(L35,FIND("분",L35)-1))*60,0)+IFERROR(VALUE(TRIM(MID(L35,IFERROR(FIND("분",L35),0)+1,FIND("초",L35)-IFERROR(FIND("분",L35),0)-1))),0))/86400</f>
        <v>3.2002314814814817E-2</v>
      </c>
      <c r="O35" s="39" t="s">
        <v>253</v>
      </c>
      <c r="P35" s="42" t="e">
        <f t="shared" ref="P35:P66" si="7">P34+Q35</f>
        <v>#REF!</v>
      </c>
      <c r="Q35" s="42">
        <v>5</v>
      </c>
      <c r="R35" s="43" t="e">
        <f>ROUND(#REF!*Q35*Q35+#REF!*Q35,2)</f>
        <v>#REF!</v>
      </c>
      <c r="S35" s="43" t="str">
        <f t="shared" si="4"/>
        <v/>
      </c>
      <c r="T35" s="42"/>
      <c r="U35" s="42" t="str">
        <f t="shared" si="5"/>
        <v/>
      </c>
      <c r="V35" s="42"/>
      <c r="W35" s="37"/>
      <c r="X35" s="37"/>
      <c r="Y35" s="37"/>
    </row>
    <row r="36" spans="1:25" ht="81.95" customHeight="1">
      <c r="A36" s="39" t="s">
        <v>249</v>
      </c>
      <c r="B36" s="40">
        <v>35</v>
      </c>
      <c r="C36" s="40">
        <v>2</v>
      </c>
      <c r="D36" s="40">
        <v>5</v>
      </c>
      <c r="E36" s="39" t="s">
        <v>296</v>
      </c>
      <c r="F36" s="39" t="s">
        <v>297</v>
      </c>
      <c r="G36" s="39" t="s">
        <v>298</v>
      </c>
      <c r="H36" s="40" t="s">
        <v>299</v>
      </c>
      <c r="I36" s="40">
        <v>4</v>
      </c>
      <c r="J36" s="39" t="s">
        <v>300</v>
      </c>
      <c r="K36" s="39" t="s">
        <v>108</v>
      </c>
      <c r="L36" s="40" t="s">
        <v>301</v>
      </c>
      <c r="M36" s="40" t="s">
        <v>302</v>
      </c>
      <c r="N36" s="41">
        <f t="shared" si="6"/>
        <v>3.3622685185185186E-2</v>
      </c>
      <c r="O36" s="39" t="s">
        <v>253</v>
      </c>
      <c r="P36" s="42" t="e">
        <f t="shared" si="7"/>
        <v>#REF!</v>
      </c>
      <c r="Q36" s="42">
        <v>8</v>
      </c>
      <c r="R36" s="43" t="e">
        <f>ROUND(#REF!*Q36*Q36+#REF!*Q36,2)</f>
        <v>#REF!</v>
      </c>
      <c r="S36" s="43" t="str">
        <f t="shared" si="4"/>
        <v/>
      </c>
      <c r="T36" s="42"/>
      <c r="U36" s="42" t="str">
        <f t="shared" si="5"/>
        <v/>
      </c>
      <c r="V36" s="42"/>
      <c r="W36" s="37"/>
      <c r="X36" s="37"/>
      <c r="Y36" s="37"/>
    </row>
    <row r="37" spans="1:25" ht="81.95" customHeight="1">
      <c r="A37" s="39" t="s">
        <v>249</v>
      </c>
      <c r="B37" s="40">
        <v>36</v>
      </c>
      <c r="C37" s="40">
        <v>2</v>
      </c>
      <c r="D37" s="40">
        <v>6</v>
      </c>
      <c r="E37" s="39" t="s">
        <v>303</v>
      </c>
      <c r="F37" s="39" t="s">
        <v>304</v>
      </c>
      <c r="G37" s="39" t="s">
        <v>305</v>
      </c>
      <c r="H37" s="40" t="s">
        <v>306</v>
      </c>
      <c r="I37" s="40">
        <v>3</v>
      </c>
      <c r="J37" s="39" t="s">
        <v>307</v>
      </c>
      <c r="K37" s="39" t="s">
        <v>308</v>
      </c>
      <c r="L37" s="40" t="s">
        <v>150</v>
      </c>
      <c r="M37" s="40" t="s">
        <v>309</v>
      </c>
      <c r="N37" s="41">
        <f t="shared" si="6"/>
        <v>3.4490740740740738E-2</v>
      </c>
      <c r="O37" s="39" t="s">
        <v>253</v>
      </c>
      <c r="P37" s="42" t="e">
        <f t="shared" si="7"/>
        <v>#REF!</v>
      </c>
      <c r="Q37" s="42">
        <v>6</v>
      </c>
      <c r="R37" s="43" t="e">
        <f>ROUND(#REF!*Q37*Q37+#REF!*Q37,2)</f>
        <v>#REF!</v>
      </c>
      <c r="S37" s="43" t="str">
        <f t="shared" si="4"/>
        <v/>
      </c>
      <c r="T37" s="42"/>
      <c r="U37" s="42" t="str">
        <f t="shared" si="5"/>
        <v/>
      </c>
      <c r="V37" s="42"/>
      <c r="W37" s="37"/>
      <c r="X37" s="37"/>
      <c r="Y37" s="37"/>
    </row>
    <row r="38" spans="1:25" ht="81.95" customHeight="1">
      <c r="A38" s="39" t="s">
        <v>249</v>
      </c>
      <c r="B38" s="40">
        <v>37</v>
      </c>
      <c r="C38" s="40">
        <v>3</v>
      </c>
      <c r="D38" s="40">
        <v>7</v>
      </c>
      <c r="E38" s="39" t="s">
        <v>310</v>
      </c>
      <c r="F38" s="39" t="s">
        <v>311</v>
      </c>
      <c r="G38" s="39" t="s">
        <v>312</v>
      </c>
      <c r="H38" s="40" t="s">
        <v>313</v>
      </c>
      <c r="I38" s="40">
        <v>5</v>
      </c>
      <c r="J38" s="39" t="s">
        <v>314</v>
      </c>
      <c r="K38" s="39" t="s">
        <v>108</v>
      </c>
      <c r="L38" s="40" t="s">
        <v>315</v>
      </c>
      <c r="M38" s="40" t="s">
        <v>316</v>
      </c>
      <c r="N38" s="41">
        <f t="shared" si="6"/>
        <v>3.6458333333333329E-2</v>
      </c>
      <c r="O38" s="39" t="s">
        <v>253</v>
      </c>
      <c r="P38" s="42" t="e">
        <f t="shared" si="7"/>
        <v>#REF!</v>
      </c>
      <c r="Q38" s="42">
        <v>10</v>
      </c>
      <c r="R38" s="43" t="e">
        <f>ROUND(#REF!*Q38*Q38+#REF!*Q38,2)</f>
        <v>#REF!</v>
      </c>
      <c r="S38" s="43" t="str">
        <f t="shared" si="4"/>
        <v/>
      </c>
      <c r="T38" s="42"/>
      <c r="U38" s="42" t="str">
        <f t="shared" si="5"/>
        <v/>
      </c>
      <c r="V38" s="42"/>
      <c r="W38" s="37"/>
      <c r="X38" s="37"/>
      <c r="Y38" s="37"/>
    </row>
    <row r="39" spans="1:25" ht="81.95" customHeight="1">
      <c r="A39" s="39" t="s">
        <v>249</v>
      </c>
      <c r="B39" s="40">
        <v>38</v>
      </c>
      <c r="C39" s="40">
        <v>1</v>
      </c>
      <c r="D39" s="40">
        <v>8</v>
      </c>
      <c r="E39" s="39" t="s">
        <v>317</v>
      </c>
      <c r="F39" s="39" t="s">
        <v>318</v>
      </c>
      <c r="G39" s="39" t="s">
        <v>319</v>
      </c>
      <c r="H39" s="40" t="s">
        <v>320</v>
      </c>
      <c r="I39" s="40">
        <v>2</v>
      </c>
      <c r="J39" s="39" t="s">
        <v>321</v>
      </c>
      <c r="K39" s="39" t="s">
        <v>322</v>
      </c>
      <c r="L39" s="40" t="s">
        <v>221</v>
      </c>
      <c r="M39" s="40" t="s">
        <v>323</v>
      </c>
      <c r="N39" s="41">
        <f t="shared" si="6"/>
        <v>3.7268518518518513E-2</v>
      </c>
      <c r="O39" s="39" t="s">
        <v>253</v>
      </c>
      <c r="P39" s="42" t="e">
        <f t="shared" si="7"/>
        <v>#REF!</v>
      </c>
      <c r="Q39" s="42">
        <v>6</v>
      </c>
      <c r="R39" s="43" t="e">
        <f>ROUND(#REF!*Q39*Q39+#REF!*Q39,2)</f>
        <v>#REF!</v>
      </c>
      <c r="S39" s="43" t="str">
        <f t="shared" si="4"/>
        <v/>
      </c>
      <c r="T39" s="42"/>
      <c r="U39" s="42" t="str">
        <f t="shared" si="5"/>
        <v/>
      </c>
      <c r="V39" s="42"/>
      <c r="W39" s="37"/>
      <c r="X39" s="37"/>
      <c r="Y39" s="37"/>
    </row>
    <row r="40" spans="1:25" ht="81.95" customHeight="1">
      <c r="A40" s="39" t="s">
        <v>249</v>
      </c>
      <c r="B40" s="40">
        <v>39</v>
      </c>
      <c r="C40" s="40">
        <v>1</v>
      </c>
      <c r="D40" s="40">
        <v>5</v>
      </c>
      <c r="E40" s="39" t="s">
        <v>324</v>
      </c>
      <c r="F40" s="39" t="s">
        <v>325</v>
      </c>
      <c r="G40" s="39" t="s">
        <v>326</v>
      </c>
      <c r="H40" s="40" t="s">
        <v>327</v>
      </c>
      <c r="I40" s="40">
        <v>4</v>
      </c>
      <c r="J40" s="39" t="s">
        <v>328</v>
      </c>
      <c r="K40" s="39" t="s">
        <v>329</v>
      </c>
      <c r="L40" s="40" t="s">
        <v>109</v>
      </c>
      <c r="M40" s="40" t="s">
        <v>330</v>
      </c>
      <c r="N40" s="41">
        <f t="shared" si="6"/>
        <v>3.8310185185185183E-2</v>
      </c>
      <c r="O40" s="39" t="s">
        <v>253</v>
      </c>
      <c r="P40" s="42" t="e">
        <f t="shared" si="7"/>
        <v>#REF!</v>
      </c>
      <c r="Q40" s="42">
        <v>6</v>
      </c>
      <c r="R40" s="43" t="e">
        <f>ROUND(#REF!*Q40*Q40+#REF!*Q40,2)</f>
        <v>#REF!</v>
      </c>
      <c r="S40" s="43" t="str">
        <f t="shared" si="4"/>
        <v/>
      </c>
      <c r="T40" s="42"/>
      <c r="U40" s="42" t="str">
        <f t="shared" si="5"/>
        <v/>
      </c>
      <c r="V40" s="42"/>
      <c r="W40" s="37"/>
      <c r="X40" s="37"/>
      <c r="Y40" s="37"/>
    </row>
    <row r="41" spans="1:25" ht="81.95" customHeight="1">
      <c r="A41" s="39" t="s">
        <v>249</v>
      </c>
      <c r="B41" s="40">
        <v>40</v>
      </c>
      <c r="C41" s="40">
        <v>2</v>
      </c>
      <c r="D41" s="40">
        <v>6</v>
      </c>
      <c r="E41" s="39" t="s">
        <v>331</v>
      </c>
      <c r="F41" s="39" t="s">
        <v>134</v>
      </c>
      <c r="G41" s="39" t="s">
        <v>332</v>
      </c>
      <c r="H41" s="40" t="s">
        <v>224</v>
      </c>
      <c r="I41" s="40">
        <v>1</v>
      </c>
      <c r="J41" s="39" t="s">
        <v>333</v>
      </c>
      <c r="K41" s="39" t="s">
        <v>108</v>
      </c>
      <c r="L41" s="40" t="s">
        <v>150</v>
      </c>
      <c r="M41" s="40" t="s">
        <v>139</v>
      </c>
      <c r="N41" s="41">
        <f t="shared" si="6"/>
        <v>3.9178240740740736E-2</v>
      </c>
      <c r="O41" s="39" t="s">
        <v>334</v>
      </c>
      <c r="P41" s="42" t="e">
        <f t="shared" si="7"/>
        <v>#REF!</v>
      </c>
      <c r="Q41" s="42">
        <v>6</v>
      </c>
      <c r="R41" s="43" t="e">
        <f>ROUND(#REF!*Q41*Q41+#REF!*Q41,2)</f>
        <v>#REF!</v>
      </c>
      <c r="S41" s="43" t="str">
        <f t="shared" si="4"/>
        <v/>
      </c>
      <c r="T41" s="42"/>
      <c r="U41" s="42" t="str">
        <f t="shared" si="5"/>
        <v/>
      </c>
      <c r="V41" s="42"/>
      <c r="W41" s="37"/>
      <c r="X41" s="37"/>
      <c r="Y41" s="37"/>
    </row>
    <row r="42" spans="1:25" ht="81.95" customHeight="1">
      <c r="A42" s="39" t="s">
        <v>249</v>
      </c>
      <c r="B42" s="40">
        <v>41</v>
      </c>
      <c r="C42" s="40">
        <v>2</v>
      </c>
      <c r="D42" s="40">
        <v>6</v>
      </c>
      <c r="E42" s="39" t="s">
        <v>335</v>
      </c>
      <c r="F42" s="39" t="s">
        <v>336</v>
      </c>
      <c r="G42" s="39" t="s">
        <v>337</v>
      </c>
      <c r="H42" s="40" t="s">
        <v>338</v>
      </c>
      <c r="I42" s="40">
        <v>8</v>
      </c>
      <c r="J42" s="39" t="s">
        <v>339</v>
      </c>
      <c r="K42" s="39" t="s">
        <v>340</v>
      </c>
      <c r="L42" s="40" t="s">
        <v>301</v>
      </c>
      <c r="M42" s="40" t="s">
        <v>341</v>
      </c>
      <c r="N42" s="41">
        <f t="shared" si="6"/>
        <v>4.0798611111111105E-2</v>
      </c>
      <c r="O42" s="39" t="s">
        <v>334</v>
      </c>
      <c r="P42" s="42" t="e">
        <f t="shared" si="7"/>
        <v>#REF!</v>
      </c>
      <c r="Q42" s="42">
        <v>8</v>
      </c>
      <c r="R42" s="43" t="e">
        <f>ROUND(#REF!*Q42*Q42+#REF!*Q42,2)</f>
        <v>#REF!</v>
      </c>
      <c r="S42" s="43" t="str">
        <f t="shared" si="4"/>
        <v/>
      </c>
      <c r="T42" s="42"/>
      <c r="U42" s="42" t="str">
        <f t="shared" si="5"/>
        <v/>
      </c>
      <c r="V42" s="42"/>
      <c r="W42" s="37"/>
      <c r="X42" s="37"/>
      <c r="Y42" s="37"/>
    </row>
    <row r="43" spans="1:25" ht="81.95" customHeight="1">
      <c r="A43" s="39" t="s">
        <v>249</v>
      </c>
      <c r="B43" s="40">
        <v>42</v>
      </c>
      <c r="C43" s="40">
        <v>3</v>
      </c>
      <c r="D43" s="40">
        <v>7</v>
      </c>
      <c r="E43" s="39" t="s">
        <v>342</v>
      </c>
      <c r="F43" s="39" t="s">
        <v>336</v>
      </c>
      <c r="G43" s="39" t="s">
        <v>343</v>
      </c>
      <c r="H43" s="40" t="s">
        <v>344</v>
      </c>
      <c r="I43" s="40">
        <v>10</v>
      </c>
      <c r="J43" s="39" t="s">
        <v>345</v>
      </c>
      <c r="K43" s="39" t="s">
        <v>340</v>
      </c>
      <c r="L43" s="40" t="s">
        <v>284</v>
      </c>
      <c r="M43" s="40" t="s">
        <v>341</v>
      </c>
      <c r="N43" s="41">
        <f t="shared" si="6"/>
        <v>4.2881944444444438E-2</v>
      </c>
      <c r="O43" s="39" t="s">
        <v>334</v>
      </c>
      <c r="P43" s="42" t="e">
        <f t="shared" si="7"/>
        <v>#REF!</v>
      </c>
      <c r="Q43" s="42">
        <v>10</v>
      </c>
      <c r="R43" s="43" t="e">
        <f>ROUND(#REF!*Q43*Q43+#REF!*Q43,2)</f>
        <v>#REF!</v>
      </c>
      <c r="S43" s="43" t="str">
        <f t="shared" si="4"/>
        <v/>
      </c>
      <c r="T43" s="42"/>
      <c r="U43" s="42" t="str">
        <f t="shared" si="5"/>
        <v/>
      </c>
      <c r="V43" s="42"/>
      <c r="W43" s="37"/>
      <c r="X43" s="37"/>
      <c r="Y43" s="37"/>
    </row>
    <row r="44" spans="1:25" ht="81.95" customHeight="1">
      <c r="A44" s="39" t="s">
        <v>249</v>
      </c>
      <c r="B44" s="40">
        <v>43</v>
      </c>
      <c r="C44" s="40">
        <v>3</v>
      </c>
      <c r="D44" s="40">
        <v>7</v>
      </c>
      <c r="E44" s="39" t="s">
        <v>346</v>
      </c>
      <c r="F44" s="39" t="s">
        <v>336</v>
      </c>
      <c r="G44" s="39" t="s">
        <v>347</v>
      </c>
      <c r="H44" s="40" t="s">
        <v>348</v>
      </c>
      <c r="I44" s="40">
        <v>6</v>
      </c>
      <c r="J44" s="39" t="s">
        <v>349</v>
      </c>
      <c r="K44" s="39" t="s">
        <v>340</v>
      </c>
      <c r="L44" s="40" t="s">
        <v>289</v>
      </c>
      <c r="M44" s="40" t="s">
        <v>341</v>
      </c>
      <c r="N44" s="41">
        <f t="shared" si="6"/>
        <v>4.4733796296296292E-2</v>
      </c>
      <c r="O44" s="39" t="s">
        <v>334</v>
      </c>
      <c r="P44" s="42" t="e">
        <f t="shared" si="7"/>
        <v>#REF!</v>
      </c>
      <c r="Q44" s="42">
        <v>10</v>
      </c>
      <c r="R44" s="43" t="e">
        <f>ROUND(#REF!*Q44*Q44+#REF!*Q44,2)</f>
        <v>#REF!</v>
      </c>
      <c r="S44" s="43" t="str">
        <f t="shared" si="4"/>
        <v/>
      </c>
      <c r="T44" s="42"/>
      <c r="U44" s="42" t="str">
        <f t="shared" si="5"/>
        <v/>
      </c>
      <c r="V44" s="42"/>
      <c r="W44" s="37"/>
      <c r="X44" s="37"/>
      <c r="Y44" s="37"/>
    </row>
    <row r="45" spans="1:25" ht="81.95" customHeight="1">
      <c r="A45" s="39" t="s">
        <v>249</v>
      </c>
      <c r="B45" s="40">
        <v>44</v>
      </c>
      <c r="C45" s="40">
        <v>2</v>
      </c>
      <c r="D45" s="40">
        <v>7</v>
      </c>
      <c r="E45" s="39" t="s">
        <v>350</v>
      </c>
      <c r="F45" s="39" t="s">
        <v>325</v>
      </c>
      <c r="G45" s="39" t="s">
        <v>351</v>
      </c>
      <c r="H45" s="40" t="s">
        <v>327</v>
      </c>
      <c r="I45" s="40">
        <v>3</v>
      </c>
      <c r="J45" s="39" t="s">
        <v>328</v>
      </c>
      <c r="K45" s="39" t="s">
        <v>329</v>
      </c>
      <c r="L45" s="40" t="s">
        <v>221</v>
      </c>
      <c r="M45" s="40" t="s">
        <v>330</v>
      </c>
      <c r="N45" s="41">
        <f t="shared" si="6"/>
        <v>4.5543981481481477E-2</v>
      </c>
      <c r="O45" s="39" t="s">
        <v>334</v>
      </c>
      <c r="P45" s="42" t="e">
        <f t="shared" si="7"/>
        <v>#REF!</v>
      </c>
      <c r="Q45" s="42">
        <v>6</v>
      </c>
      <c r="R45" s="43" t="e">
        <f>ROUND(#REF!*Q45*Q45+#REF!*Q45,2)</f>
        <v>#REF!</v>
      </c>
      <c r="S45" s="43" t="str">
        <f t="shared" si="4"/>
        <v/>
      </c>
      <c r="T45" s="42"/>
      <c r="U45" s="42" t="str">
        <f t="shared" si="5"/>
        <v/>
      </c>
      <c r="V45" s="42"/>
      <c r="W45" s="37"/>
      <c r="X45" s="37"/>
      <c r="Y45" s="37"/>
    </row>
    <row r="46" spans="1:25" ht="81.95" customHeight="1">
      <c r="A46" s="39" t="s">
        <v>249</v>
      </c>
      <c r="B46" s="40">
        <v>45</v>
      </c>
      <c r="C46" s="40">
        <v>1</v>
      </c>
      <c r="D46" s="40">
        <v>9</v>
      </c>
      <c r="E46" s="39" t="s">
        <v>352</v>
      </c>
      <c r="F46" s="39" t="s">
        <v>255</v>
      </c>
      <c r="G46" s="39" t="s">
        <v>353</v>
      </c>
      <c r="H46" s="40" t="s">
        <v>257</v>
      </c>
      <c r="I46" s="40">
        <v>1</v>
      </c>
      <c r="J46" s="39" t="s">
        <v>258</v>
      </c>
      <c r="K46" s="39" t="s">
        <v>108</v>
      </c>
      <c r="L46" s="40" t="s">
        <v>180</v>
      </c>
      <c r="M46" s="40" t="s">
        <v>259</v>
      </c>
      <c r="N46" s="41">
        <f t="shared" si="6"/>
        <v>4.6122685185185183E-2</v>
      </c>
      <c r="O46" s="39" t="s">
        <v>354</v>
      </c>
      <c r="P46" s="42" t="e">
        <f t="shared" si="7"/>
        <v>#REF!</v>
      </c>
      <c r="Q46" s="42">
        <v>6</v>
      </c>
      <c r="R46" s="43" t="e">
        <f>ROUND(#REF!*Q46*Q46+#REF!*Q46,2)</f>
        <v>#REF!</v>
      </c>
      <c r="S46" s="43" t="str">
        <f t="shared" si="4"/>
        <v/>
      </c>
      <c r="T46" s="42"/>
      <c r="U46" s="42" t="str">
        <f t="shared" si="5"/>
        <v/>
      </c>
      <c r="V46" s="42"/>
      <c r="W46" s="37"/>
      <c r="X46" s="37"/>
      <c r="Y46" s="37"/>
    </row>
    <row r="47" spans="1:25" ht="81.95" customHeight="1">
      <c r="A47" s="39" t="s">
        <v>249</v>
      </c>
      <c r="B47" s="40">
        <v>46</v>
      </c>
      <c r="C47" s="40">
        <v>2</v>
      </c>
      <c r="D47" s="40">
        <v>9</v>
      </c>
      <c r="E47" s="39" t="s">
        <v>355</v>
      </c>
      <c r="F47" s="39" t="s">
        <v>229</v>
      </c>
      <c r="G47" s="39" t="s">
        <v>356</v>
      </c>
      <c r="H47" s="40" t="s">
        <v>357</v>
      </c>
      <c r="I47" s="40">
        <v>3</v>
      </c>
      <c r="J47" s="39" t="s">
        <v>232</v>
      </c>
      <c r="K47" s="39" t="s">
        <v>108</v>
      </c>
      <c r="L47" s="40" t="s">
        <v>358</v>
      </c>
      <c r="M47" s="40" t="s">
        <v>233</v>
      </c>
      <c r="N47" s="41">
        <f t="shared" si="6"/>
        <v>4.7222222222222221E-2</v>
      </c>
      <c r="O47" s="39" t="s">
        <v>354</v>
      </c>
      <c r="P47" s="42" t="e">
        <f t="shared" si="7"/>
        <v>#REF!</v>
      </c>
      <c r="Q47" s="42">
        <v>8</v>
      </c>
      <c r="R47" s="43" t="e">
        <f>ROUND(#REF!*Q47*Q47+#REF!*Q47,2)</f>
        <v>#REF!</v>
      </c>
      <c r="S47" s="43" t="str">
        <f t="shared" si="4"/>
        <v/>
      </c>
      <c r="T47" s="42"/>
      <c r="U47" s="42" t="str">
        <f t="shared" si="5"/>
        <v/>
      </c>
      <c r="V47" s="42"/>
      <c r="W47" s="37"/>
      <c r="X47" s="37"/>
      <c r="Y47" s="37"/>
    </row>
    <row r="48" spans="1:25" ht="81.95" customHeight="1">
      <c r="A48" s="39" t="s">
        <v>249</v>
      </c>
      <c r="B48" s="40">
        <v>47</v>
      </c>
      <c r="C48" s="40">
        <v>2</v>
      </c>
      <c r="D48" s="40">
        <v>5</v>
      </c>
      <c r="E48" s="39" t="s">
        <v>359</v>
      </c>
      <c r="F48" s="39" t="s">
        <v>134</v>
      </c>
      <c r="G48" s="39" t="s">
        <v>360</v>
      </c>
      <c r="H48" s="40" t="s">
        <v>224</v>
      </c>
      <c r="I48" s="40">
        <v>1</v>
      </c>
      <c r="J48" s="39" t="s">
        <v>361</v>
      </c>
      <c r="K48" s="39" t="s">
        <v>108</v>
      </c>
      <c r="L48" s="40" t="s">
        <v>185</v>
      </c>
      <c r="M48" s="40" t="s">
        <v>139</v>
      </c>
      <c r="N48" s="41">
        <f t="shared" si="6"/>
        <v>4.8611111111111112E-2</v>
      </c>
      <c r="O48" s="39" t="s">
        <v>362</v>
      </c>
      <c r="P48" s="42" t="e">
        <f t="shared" si="7"/>
        <v>#REF!</v>
      </c>
      <c r="Q48" s="42">
        <v>7</v>
      </c>
      <c r="R48" s="43" t="e">
        <f>ROUND(#REF!*Q48*Q48+#REF!*Q48,2)</f>
        <v>#REF!</v>
      </c>
      <c r="S48" s="43" t="str">
        <f t="shared" si="4"/>
        <v/>
      </c>
      <c r="T48" s="42"/>
      <c r="U48" s="42" t="str">
        <f t="shared" si="5"/>
        <v/>
      </c>
      <c r="V48" s="42"/>
      <c r="W48" s="37"/>
      <c r="X48" s="37"/>
      <c r="Y48" s="37"/>
    </row>
    <row r="49" spans="1:25" ht="81.95" customHeight="1">
      <c r="A49" s="39" t="s">
        <v>249</v>
      </c>
      <c r="B49" s="40">
        <v>48</v>
      </c>
      <c r="C49" s="40">
        <v>1</v>
      </c>
      <c r="D49" s="40">
        <v>5</v>
      </c>
      <c r="E49" s="39" t="s">
        <v>363</v>
      </c>
      <c r="F49" s="39" t="s">
        <v>364</v>
      </c>
      <c r="G49" s="39" t="s">
        <v>365</v>
      </c>
      <c r="H49" s="40" t="s">
        <v>366</v>
      </c>
      <c r="I49" s="40">
        <v>1</v>
      </c>
      <c r="J49" s="39" t="s">
        <v>367</v>
      </c>
      <c r="K49" s="39" t="s">
        <v>108</v>
      </c>
      <c r="L49" s="40" t="s">
        <v>162</v>
      </c>
      <c r="M49" s="40" t="s">
        <v>368</v>
      </c>
      <c r="N49" s="41">
        <f t="shared" si="6"/>
        <v>4.9016203703703708E-2</v>
      </c>
      <c r="O49" s="39" t="s">
        <v>362</v>
      </c>
      <c r="P49" s="42" t="e">
        <f t="shared" si="7"/>
        <v>#REF!</v>
      </c>
      <c r="Q49" s="42">
        <v>4</v>
      </c>
      <c r="R49" s="43" t="e">
        <f>ROUND(#REF!*Q49*Q49+#REF!*Q49,2)</f>
        <v>#REF!</v>
      </c>
      <c r="S49" s="43" t="str">
        <f t="shared" si="4"/>
        <v/>
      </c>
      <c r="T49" s="42"/>
      <c r="U49" s="42" t="str">
        <f t="shared" si="5"/>
        <v/>
      </c>
      <c r="V49" s="42"/>
      <c r="W49" s="37"/>
      <c r="X49" s="37"/>
      <c r="Y49" s="37"/>
    </row>
    <row r="50" spans="1:25" ht="81.95" customHeight="1">
      <c r="A50" s="39" t="s">
        <v>369</v>
      </c>
      <c r="B50" s="40">
        <v>49</v>
      </c>
      <c r="C50" s="40">
        <v>1</v>
      </c>
      <c r="D50" s="40">
        <v>6</v>
      </c>
      <c r="E50" s="39" t="s">
        <v>370</v>
      </c>
      <c r="F50" s="39" t="s">
        <v>371</v>
      </c>
      <c r="G50" s="39" t="s">
        <v>372</v>
      </c>
      <c r="H50" s="40" t="s">
        <v>373</v>
      </c>
      <c r="I50" s="40">
        <v>2</v>
      </c>
      <c r="J50" s="39" t="s">
        <v>374</v>
      </c>
      <c r="K50" s="39" t="s">
        <v>108</v>
      </c>
      <c r="L50" s="40" t="s">
        <v>131</v>
      </c>
      <c r="M50" s="40" t="s">
        <v>375</v>
      </c>
      <c r="N50" s="41">
        <f t="shared" si="6"/>
        <v>4.9479166666666671E-2</v>
      </c>
      <c r="O50" s="39" t="s">
        <v>376</v>
      </c>
      <c r="P50" s="42" t="e">
        <f t="shared" si="7"/>
        <v>#REF!</v>
      </c>
      <c r="Q50" s="42">
        <v>4</v>
      </c>
      <c r="R50" s="43" t="e">
        <f>ROUND(#REF!*Q50*Q50+#REF!*Q50,2)</f>
        <v>#REF!</v>
      </c>
      <c r="S50" s="43" t="str">
        <f t="shared" si="4"/>
        <v/>
      </c>
      <c r="T50" s="42"/>
      <c r="U50" s="42" t="str">
        <f t="shared" si="5"/>
        <v/>
      </c>
      <c r="V50" s="42"/>
      <c r="W50" s="37"/>
      <c r="X50" s="37"/>
      <c r="Y50" s="37"/>
    </row>
    <row r="51" spans="1:25" ht="81.95" customHeight="1">
      <c r="A51" s="39" t="s">
        <v>369</v>
      </c>
      <c r="B51" s="40">
        <v>50</v>
      </c>
      <c r="C51" s="40">
        <v>2</v>
      </c>
      <c r="D51" s="40">
        <v>8</v>
      </c>
      <c r="E51" s="39" t="s">
        <v>377</v>
      </c>
      <c r="F51" s="39" t="s">
        <v>120</v>
      </c>
      <c r="G51" s="39" t="s">
        <v>121</v>
      </c>
      <c r="H51" s="40" t="s">
        <v>378</v>
      </c>
      <c r="I51" s="40">
        <v>3</v>
      </c>
      <c r="J51" s="39" t="s">
        <v>379</v>
      </c>
      <c r="K51" s="39" t="s">
        <v>108</v>
      </c>
      <c r="L51" s="40" t="s">
        <v>221</v>
      </c>
      <c r="M51" s="40" t="s">
        <v>125</v>
      </c>
      <c r="N51" s="41">
        <f t="shared" si="6"/>
        <v>5.0289351851851856E-2</v>
      </c>
      <c r="O51" s="39" t="s">
        <v>376</v>
      </c>
      <c r="P51" s="42" t="e">
        <f t="shared" si="7"/>
        <v>#REF!</v>
      </c>
      <c r="Q51" s="42">
        <v>7</v>
      </c>
      <c r="R51" s="43" t="e">
        <f>ROUND(#REF!*Q51*Q51+#REF!*Q51,2)</f>
        <v>#REF!</v>
      </c>
      <c r="S51" s="43" t="str">
        <f t="shared" si="4"/>
        <v/>
      </c>
      <c r="T51" s="42"/>
      <c r="U51" s="42" t="str">
        <f t="shared" si="5"/>
        <v/>
      </c>
      <c r="V51" s="42"/>
      <c r="W51" s="37"/>
      <c r="X51" s="37"/>
      <c r="Y51" s="37"/>
    </row>
    <row r="52" spans="1:25" ht="81.95" customHeight="1">
      <c r="A52" s="39" t="s">
        <v>369</v>
      </c>
      <c r="B52" s="40">
        <v>51</v>
      </c>
      <c r="C52" s="40">
        <v>3</v>
      </c>
      <c r="D52" s="40">
        <v>7</v>
      </c>
      <c r="E52" s="39" t="s">
        <v>380</v>
      </c>
      <c r="F52" s="39" t="s">
        <v>381</v>
      </c>
      <c r="G52" s="39" t="s">
        <v>382</v>
      </c>
      <c r="H52" s="40" t="s">
        <v>383</v>
      </c>
      <c r="I52" s="40">
        <v>5</v>
      </c>
      <c r="J52" s="39" t="s">
        <v>384</v>
      </c>
      <c r="K52" s="39" t="s">
        <v>385</v>
      </c>
      <c r="L52" s="40" t="s">
        <v>185</v>
      </c>
      <c r="M52" s="40" t="s">
        <v>386</v>
      </c>
      <c r="N52" s="41">
        <f t="shared" si="6"/>
        <v>5.1678240740740747E-2</v>
      </c>
      <c r="O52" s="39" t="s">
        <v>376</v>
      </c>
      <c r="P52" s="42" t="e">
        <f t="shared" si="7"/>
        <v>#REF!</v>
      </c>
      <c r="Q52" s="42">
        <v>8</v>
      </c>
      <c r="R52" s="43" t="e">
        <f>ROUND(#REF!*Q52*Q52+#REF!*Q52,2)</f>
        <v>#REF!</v>
      </c>
      <c r="S52" s="43" t="str">
        <f t="shared" si="4"/>
        <v/>
      </c>
      <c r="T52" s="42"/>
      <c r="U52" s="42" t="str">
        <f t="shared" si="5"/>
        <v/>
      </c>
      <c r="V52" s="42"/>
      <c r="W52" s="37"/>
      <c r="X52" s="37"/>
      <c r="Y52" s="37"/>
    </row>
    <row r="53" spans="1:25" ht="81.95" customHeight="1">
      <c r="A53" s="39" t="s">
        <v>369</v>
      </c>
      <c r="B53" s="40">
        <v>52</v>
      </c>
      <c r="C53" s="40">
        <v>4</v>
      </c>
      <c r="D53" s="40">
        <v>9</v>
      </c>
      <c r="E53" s="39" t="s">
        <v>387</v>
      </c>
      <c r="F53" s="39" t="s">
        <v>388</v>
      </c>
      <c r="G53" s="39" t="s">
        <v>389</v>
      </c>
      <c r="H53" s="40" t="s">
        <v>390</v>
      </c>
      <c r="I53" s="40">
        <v>3</v>
      </c>
      <c r="J53" s="39" t="s">
        <v>391</v>
      </c>
      <c r="K53" s="39" t="s">
        <v>392</v>
      </c>
      <c r="L53" s="40" t="s">
        <v>289</v>
      </c>
      <c r="M53" s="40" t="s">
        <v>393</v>
      </c>
      <c r="N53" s="41">
        <f t="shared" si="6"/>
        <v>5.3530092592592601E-2</v>
      </c>
      <c r="O53" s="39" t="s">
        <v>376</v>
      </c>
      <c r="P53" s="42" t="e">
        <f t="shared" si="7"/>
        <v>#REF!</v>
      </c>
      <c r="Q53" s="42">
        <v>10</v>
      </c>
      <c r="R53" s="43" t="e">
        <f>ROUND(#REF!*Q53*Q53+#REF!*Q53,2)</f>
        <v>#REF!</v>
      </c>
      <c r="S53" s="43" t="str">
        <f t="shared" si="4"/>
        <v/>
      </c>
      <c r="T53" s="42"/>
      <c r="U53" s="42" t="str">
        <f t="shared" si="5"/>
        <v/>
      </c>
      <c r="V53" s="42"/>
      <c r="W53" s="37"/>
      <c r="X53" s="37"/>
      <c r="Y53" s="37"/>
    </row>
    <row r="54" spans="1:25" ht="81.95" customHeight="1">
      <c r="A54" s="39" t="s">
        <v>369</v>
      </c>
      <c r="B54" s="40">
        <v>53</v>
      </c>
      <c r="C54" s="40">
        <v>5</v>
      </c>
      <c r="D54" s="40">
        <v>8</v>
      </c>
      <c r="E54" s="39" t="s">
        <v>394</v>
      </c>
      <c r="F54" s="39" t="s">
        <v>395</v>
      </c>
      <c r="G54" s="39" t="s">
        <v>396</v>
      </c>
      <c r="H54" s="40" t="s">
        <v>397</v>
      </c>
      <c r="I54" s="40">
        <v>4</v>
      </c>
      <c r="J54" s="39" t="s">
        <v>398</v>
      </c>
      <c r="K54" s="39" t="s">
        <v>399</v>
      </c>
      <c r="L54" s="40" t="s">
        <v>226</v>
      </c>
      <c r="M54" s="40" t="s">
        <v>400</v>
      </c>
      <c r="N54" s="41">
        <f t="shared" si="6"/>
        <v>5.5266203703703713E-2</v>
      </c>
      <c r="O54" s="39" t="s">
        <v>401</v>
      </c>
      <c r="P54" s="42" t="e">
        <f t="shared" si="7"/>
        <v>#REF!</v>
      </c>
      <c r="Q54" s="42">
        <v>8</v>
      </c>
      <c r="R54" s="43" t="e">
        <f>ROUND(#REF!*Q54*Q54+#REF!*Q54,2)</f>
        <v>#REF!</v>
      </c>
      <c r="S54" s="43" t="str">
        <f t="shared" si="4"/>
        <v/>
      </c>
      <c r="T54" s="42"/>
      <c r="U54" s="42" t="str">
        <f t="shared" si="5"/>
        <v/>
      </c>
      <c r="V54" s="42"/>
      <c r="W54" s="37"/>
      <c r="X54" s="37"/>
      <c r="Y54" s="37"/>
    </row>
    <row r="55" spans="1:25" ht="81.95" customHeight="1">
      <c r="A55" s="39" t="s">
        <v>369</v>
      </c>
      <c r="B55" s="40">
        <v>54</v>
      </c>
      <c r="C55" s="40">
        <v>5</v>
      </c>
      <c r="D55" s="40">
        <v>8</v>
      </c>
      <c r="E55" s="39" t="s">
        <v>402</v>
      </c>
      <c r="F55" s="39" t="s">
        <v>403</v>
      </c>
      <c r="G55" s="39" t="s">
        <v>404</v>
      </c>
      <c r="H55" s="40" t="s">
        <v>405</v>
      </c>
      <c r="I55" s="40">
        <v>3</v>
      </c>
      <c r="J55" s="39" t="s">
        <v>406</v>
      </c>
      <c r="K55" s="39" t="s">
        <v>407</v>
      </c>
      <c r="L55" s="40" t="s">
        <v>284</v>
      </c>
      <c r="M55" s="40" t="s">
        <v>408</v>
      </c>
      <c r="N55" s="41">
        <f t="shared" si="6"/>
        <v>5.7349537037037046E-2</v>
      </c>
      <c r="O55" s="39" t="s">
        <v>401</v>
      </c>
      <c r="P55" s="42" t="e">
        <f t="shared" si="7"/>
        <v>#REF!</v>
      </c>
      <c r="Q55" s="42">
        <v>9</v>
      </c>
      <c r="R55" s="43" t="e">
        <f>ROUND(#REF!*Q55*Q55+#REF!*Q55,2)</f>
        <v>#REF!</v>
      </c>
      <c r="S55" s="43" t="str">
        <f t="shared" si="4"/>
        <v/>
      </c>
      <c r="T55" s="42"/>
      <c r="U55" s="42" t="str">
        <f t="shared" si="5"/>
        <v/>
      </c>
      <c r="V55" s="42"/>
      <c r="W55" s="37"/>
      <c r="X55" s="37"/>
      <c r="Y55" s="37"/>
    </row>
    <row r="56" spans="1:25" ht="81.95" customHeight="1">
      <c r="A56" s="39" t="s">
        <v>369</v>
      </c>
      <c r="B56" s="40">
        <v>55</v>
      </c>
      <c r="C56" s="40">
        <v>4</v>
      </c>
      <c r="D56" s="40">
        <v>8</v>
      </c>
      <c r="E56" s="39" t="s">
        <v>409</v>
      </c>
      <c r="F56" s="39" t="s">
        <v>410</v>
      </c>
      <c r="G56" s="39" t="s">
        <v>411</v>
      </c>
      <c r="H56" s="40" t="s">
        <v>412</v>
      </c>
      <c r="I56" s="40">
        <v>5</v>
      </c>
      <c r="J56" s="39" t="s">
        <v>413</v>
      </c>
      <c r="K56" s="39" t="s">
        <v>414</v>
      </c>
      <c r="L56" s="40" t="s">
        <v>284</v>
      </c>
      <c r="M56" s="40" t="s">
        <v>415</v>
      </c>
      <c r="N56" s="41">
        <f t="shared" si="6"/>
        <v>5.9432870370370379E-2</v>
      </c>
      <c r="O56" s="39" t="s">
        <v>401</v>
      </c>
      <c r="P56" s="42" t="e">
        <f t="shared" si="7"/>
        <v>#REF!</v>
      </c>
      <c r="Q56" s="42">
        <v>8</v>
      </c>
      <c r="R56" s="43" t="e">
        <f>ROUND(#REF!*Q56*Q56+#REF!*Q56,2)</f>
        <v>#REF!</v>
      </c>
      <c r="S56" s="43" t="str">
        <f t="shared" si="4"/>
        <v/>
      </c>
      <c r="T56" s="42"/>
      <c r="U56" s="42" t="str">
        <f t="shared" si="5"/>
        <v/>
      </c>
      <c r="V56" s="42"/>
      <c r="W56" s="37"/>
      <c r="X56" s="37"/>
      <c r="Y56" s="37"/>
    </row>
    <row r="57" spans="1:25" ht="81.95" customHeight="1">
      <c r="A57" s="39" t="s">
        <v>369</v>
      </c>
      <c r="B57" s="40">
        <v>56</v>
      </c>
      <c r="C57" s="40">
        <v>2</v>
      </c>
      <c r="D57" s="40">
        <v>7</v>
      </c>
      <c r="E57" s="39" t="s">
        <v>416</v>
      </c>
      <c r="F57" s="39" t="s">
        <v>417</v>
      </c>
      <c r="G57" s="39" t="s">
        <v>418</v>
      </c>
      <c r="H57" s="40" t="s">
        <v>419</v>
      </c>
      <c r="I57" s="40">
        <v>4</v>
      </c>
      <c r="J57" s="39" t="s">
        <v>420</v>
      </c>
      <c r="K57" s="39" t="s">
        <v>421</v>
      </c>
      <c r="L57" s="40" t="s">
        <v>212</v>
      </c>
      <c r="M57" s="40" t="s">
        <v>422</v>
      </c>
      <c r="N57" s="41">
        <f t="shared" si="6"/>
        <v>6.0590277777777785E-2</v>
      </c>
      <c r="O57" s="39" t="s">
        <v>401</v>
      </c>
      <c r="P57" s="42" t="e">
        <f t="shared" si="7"/>
        <v>#REF!</v>
      </c>
      <c r="Q57" s="42">
        <v>6</v>
      </c>
      <c r="R57" s="43" t="e">
        <f>ROUND(#REF!*Q57*Q57+#REF!*Q57,2)</f>
        <v>#REF!</v>
      </c>
      <c r="S57" s="43" t="str">
        <f t="shared" si="4"/>
        <v/>
      </c>
      <c r="T57" s="42"/>
      <c r="U57" s="42" t="str">
        <f t="shared" si="5"/>
        <v/>
      </c>
      <c r="V57" s="42"/>
      <c r="W57" s="37"/>
      <c r="X57" s="37"/>
      <c r="Y57" s="37"/>
    </row>
    <row r="58" spans="1:25" ht="81.95" customHeight="1">
      <c r="A58" s="39" t="s">
        <v>369</v>
      </c>
      <c r="B58" s="40">
        <v>57</v>
      </c>
      <c r="C58" s="40">
        <v>2</v>
      </c>
      <c r="D58" s="40">
        <v>9</v>
      </c>
      <c r="E58" s="39" t="s">
        <v>423</v>
      </c>
      <c r="F58" s="39" t="s">
        <v>424</v>
      </c>
      <c r="G58" s="39" t="s">
        <v>425</v>
      </c>
      <c r="H58" s="40" t="s">
        <v>426</v>
      </c>
      <c r="I58" s="40">
        <v>1</v>
      </c>
      <c r="J58" s="39" t="s">
        <v>427</v>
      </c>
      <c r="K58" s="39" t="s">
        <v>428</v>
      </c>
      <c r="L58" s="40" t="s">
        <v>265</v>
      </c>
      <c r="M58" s="40" t="s">
        <v>429</v>
      </c>
      <c r="N58" s="41">
        <f t="shared" si="6"/>
        <v>6.1111111111111116E-2</v>
      </c>
      <c r="O58" s="39" t="s">
        <v>401</v>
      </c>
      <c r="P58" s="42" t="e">
        <f t="shared" si="7"/>
        <v>#REF!</v>
      </c>
      <c r="Q58" s="42">
        <v>10</v>
      </c>
      <c r="R58" s="43" t="e">
        <f>ROUND(#REF!*Q58*Q58+#REF!*Q58,2)</f>
        <v>#REF!</v>
      </c>
      <c r="S58" s="43" t="str">
        <f t="shared" si="4"/>
        <v/>
      </c>
      <c r="T58" s="42"/>
      <c r="U58" s="42" t="str">
        <f t="shared" si="5"/>
        <v/>
      </c>
      <c r="V58" s="42"/>
      <c r="W58" s="37"/>
      <c r="X58" s="37"/>
      <c r="Y58" s="37"/>
    </row>
    <row r="59" spans="1:25" ht="81.95" customHeight="1">
      <c r="A59" s="39" t="s">
        <v>369</v>
      </c>
      <c r="B59" s="40">
        <v>58</v>
      </c>
      <c r="C59" s="40">
        <v>4</v>
      </c>
      <c r="D59" s="40">
        <v>8</v>
      </c>
      <c r="E59" s="39" t="s">
        <v>430</v>
      </c>
      <c r="F59" s="39" t="s">
        <v>431</v>
      </c>
      <c r="G59" s="39" t="s">
        <v>432</v>
      </c>
      <c r="H59" s="40" t="s">
        <v>433</v>
      </c>
      <c r="I59" s="40">
        <v>1</v>
      </c>
      <c r="J59" s="39" t="s">
        <v>434</v>
      </c>
      <c r="K59" s="39" t="s">
        <v>435</v>
      </c>
      <c r="L59" s="40" t="s">
        <v>226</v>
      </c>
      <c r="M59" s="40" t="s">
        <v>436</v>
      </c>
      <c r="N59" s="41">
        <f t="shared" si="6"/>
        <v>6.2847222222222221E-2</v>
      </c>
      <c r="O59" s="39" t="s">
        <v>437</v>
      </c>
      <c r="P59" s="42" t="e">
        <f t="shared" si="7"/>
        <v>#REF!</v>
      </c>
      <c r="Q59" s="42">
        <v>7</v>
      </c>
      <c r="R59" s="43" t="e">
        <f>ROUND(#REF!*Q59*Q59+#REF!*Q59,2)</f>
        <v>#REF!</v>
      </c>
      <c r="S59" s="43" t="str">
        <f t="shared" si="4"/>
        <v/>
      </c>
      <c r="T59" s="42"/>
      <c r="U59" s="42" t="str">
        <f t="shared" si="5"/>
        <v/>
      </c>
      <c r="V59" s="42"/>
      <c r="W59" s="37"/>
      <c r="X59" s="37"/>
      <c r="Y59" s="37"/>
    </row>
    <row r="60" spans="1:25" ht="81.95" customHeight="1">
      <c r="A60" s="39" t="s">
        <v>369</v>
      </c>
      <c r="B60" s="40">
        <v>59</v>
      </c>
      <c r="C60" s="40">
        <v>2</v>
      </c>
      <c r="D60" s="40">
        <v>8</v>
      </c>
      <c r="E60" s="39" t="s">
        <v>438</v>
      </c>
      <c r="F60" s="39" t="s">
        <v>439</v>
      </c>
      <c r="G60" s="39" t="s">
        <v>440</v>
      </c>
      <c r="H60" s="40" t="s">
        <v>441</v>
      </c>
      <c r="I60" s="40">
        <v>3</v>
      </c>
      <c r="J60" s="39" t="s">
        <v>442</v>
      </c>
      <c r="K60" s="39" t="s">
        <v>443</v>
      </c>
      <c r="L60" s="40" t="s">
        <v>212</v>
      </c>
      <c r="M60" s="40" t="s">
        <v>444</v>
      </c>
      <c r="N60" s="41">
        <f t="shared" si="6"/>
        <v>6.4004629629629634E-2</v>
      </c>
      <c r="O60" s="39" t="s">
        <v>437</v>
      </c>
      <c r="P60" s="42" t="e">
        <f t="shared" si="7"/>
        <v>#REF!</v>
      </c>
      <c r="Q60" s="42">
        <v>7</v>
      </c>
      <c r="R60" s="43" t="e">
        <f>ROUND(#REF!*Q60*Q60+#REF!*Q60,2)</f>
        <v>#REF!</v>
      </c>
      <c r="S60" s="43" t="str">
        <f t="shared" si="4"/>
        <v/>
      </c>
      <c r="T60" s="42"/>
      <c r="U60" s="42" t="str">
        <f t="shared" si="5"/>
        <v/>
      </c>
      <c r="V60" s="42"/>
      <c r="W60" s="37"/>
      <c r="X60" s="37"/>
      <c r="Y60" s="37"/>
    </row>
    <row r="61" spans="1:25" ht="81.95" customHeight="1">
      <c r="A61" s="39" t="s">
        <v>369</v>
      </c>
      <c r="B61" s="40">
        <v>60</v>
      </c>
      <c r="C61" s="40">
        <v>2</v>
      </c>
      <c r="D61" s="40">
        <v>7</v>
      </c>
      <c r="E61" s="39" t="s">
        <v>445</v>
      </c>
      <c r="F61" s="39" t="s">
        <v>446</v>
      </c>
      <c r="G61" s="39" t="s">
        <v>447</v>
      </c>
      <c r="H61" s="40" t="s">
        <v>448</v>
      </c>
      <c r="I61" s="40">
        <v>4</v>
      </c>
      <c r="J61" s="39" t="s">
        <v>449</v>
      </c>
      <c r="K61" s="39" t="s">
        <v>450</v>
      </c>
      <c r="L61" s="40" t="s">
        <v>185</v>
      </c>
      <c r="M61" s="40" t="s">
        <v>451</v>
      </c>
      <c r="N61" s="41">
        <f t="shared" si="6"/>
        <v>6.5393518518518517E-2</v>
      </c>
      <c r="O61" s="39" t="s">
        <v>437</v>
      </c>
      <c r="P61" s="42" t="e">
        <f t="shared" si="7"/>
        <v>#REF!</v>
      </c>
      <c r="Q61" s="42">
        <v>7</v>
      </c>
      <c r="R61" s="43" t="e">
        <f>ROUND(#REF!*Q61*Q61+#REF!*Q61,2)</f>
        <v>#REF!</v>
      </c>
      <c r="S61" s="43" t="str">
        <f t="shared" si="4"/>
        <v/>
      </c>
      <c r="T61" s="42"/>
      <c r="U61" s="42" t="str">
        <f t="shared" si="5"/>
        <v/>
      </c>
      <c r="V61" s="42"/>
      <c r="W61" s="37"/>
      <c r="X61" s="37"/>
      <c r="Y61" s="37"/>
    </row>
    <row r="62" spans="1:25" ht="81.95" customHeight="1">
      <c r="A62" s="39" t="s">
        <v>369</v>
      </c>
      <c r="B62" s="40">
        <v>61</v>
      </c>
      <c r="C62" s="40">
        <v>2</v>
      </c>
      <c r="D62" s="40">
        <v>7</v>
      </c>
      <c r="E62" s="39" t="s">
        <v>452</v>
      </c>
      <c r="F62" s="39" t="s">
        <v>453</v>
      </c>
      <c r="G62" s="39" t="s">
        <v>454</v>
      </c>
      <c r="H62" s="40" t="s">
        <v>455</v>
      </c>
      <c r="I62" s="40">
        <v>6</v>
      </c>
      <c r="J62" s="39" t="s">
        <v>456</v>
      </c>
      <c r="K62" s="39" t="s">
        <v>457</v>
      </c>
      <c r="L62" s="40" t="s">
        <v>301</v>
      </c>
      <c r="M62" s="40" t="s">
        <v>458</v>
      </c>
      <c r="N62" s="41">
        <f t="shared" si="6"/>
        <v>6.7013888888888887E-2</v>
      </c>
      <c r="O62" s="39" t="s">
        <v>437</v>
      </c>
      <c r="P62" s="42" t="e">
        <f t="shared" si="7"/>
        <v>#REF!</v>
      </c>
      <c r="Q62" s="42">
        <v>7</v>
      </c>
      <c r="R62" s="43" t="e">
        <f>ROUND(#REF!*Q62*Q62+#REF!*Q62,2)</f>
        <v>#REF!</v>
      </c>
      <c r="S62" s="43" t="str">
        <f t="shared" si="4"/>
        <v/>
      </c>
      <c r="T62" s="42"/>
      <c r="U62" s="42" t="str">
        <f t="shared" si="5"/>
        <v/>
      </c>
      <c r="V62" s="42"/>
      <c r="W62" s="37"/>
      <c r="X62" s="37"/>
      <c r="Y62" s="37"/>
    </row>
    <row r="63" spans="1:25" ht="81.95" customHeight="1">
      <c r="A63" s="39" t="s">
        <v>369</v>
      </c>
      <c r="B63" s="40">
        <v>62</v>
      </c>
      <c r="C63" s="40">
        <v>4</v>
      </c>
      <c r="D63" s="40">
        <v>8</v>
      </c>
      <c r="E63" s="39" t="s">
        <v>459</v>
      </c>
      <c r="F63" s="39" t="s">
        <v>460</v>
      </c>
      <c r="G63" s="39" t="s">
        <v>461</v>
      </c>
      <c r="H63" s="40" t="s">
        <v>462</v>
      </c>
      <c r="I63" s="40">
        <v>3</v>
      </c>
      <c r="J63" s="39" t="s">
        <v>463</v>
      </c>
      <c r="K63" s="39" t="s">
        <v>464</v>
      </c>
      <c r="L63" s="40" t="s">
        <v>465</v>
      </c>
      <c r="M63" s="40" t="s">
        <v>466</v>
      </c>
      <c r="N63" s="41">
        <f t="shared" si="6"/>
        <v>6.9212962962962962E-2</v>
      </c>
      <c r="O63" s="39" t="s">
        <v>437</v>
      </c>
      <c r="P63" s="42" t="e">
        <f t="shared" si="7"/>
        <v>#REF!</v>
      </c>
      <c r="Q63" s="42">
        <v>9</v>
      </c>
      <c r="R63" s="43" t="e">
        <f>ROUND(#REF!*Q63*Q63+#REF!*Q63,2)</f>
        <v>#REF!</v>
      </c>
      <c r="S63" s="43" t="str">
        <f t="shared" si="4"/>
        <v/>
      </c>
      <c r="T63" s="42"/>
      <c r="U63" s="42" t="str">
        <f t="shared" si="5"/>
        <v/>
      </c>
      <c r="V63" s="42"/>
      <c r="W63" s="37"/>
      <c r="X63" s="37"/>
      <c r="Y63" s="37"/>
    </row>
    <row r="64" spans="1:25" ht="81.95" customHeight="1">
      <c r="A64" s="39" t="s">
        <v>369</v>
      </c>
      <c r="B64" s="40">
        <v>63</v>
      </c>
      <c r="C64" s="40">
        <v>1</v>
      </c>
      <c r="D64" s="40">
        <v>8</v>
      </c>
      <c r="E64" s="39" t="s">
        <v>467</v>
      </c>
      <c r="F64" s="39" t="s">
        <v>468</v>
      </c>
      <c r="G64" s="39" t="s">
        <v>469</v>
      </c>
      <c r="H64" s="40" t="s">
        <v>470</v>
      </c>
      <c r="I64" s="40">
        <v>3</v>
      </c>
      <c r="J64" s="39" t="s">
        <v>471</v>
      </c>
      <c r="K64" s="39" t="s">
        <v>108</v>
      </c>
      <c r="L64" s="40" t="s">
        <v>173</v>
      </c>
      <c r="M64" s="40" t="s">
        <v>472</v>
      </c>
      <c r="N64" s="41">
        <f t="shared" si="6"/>
        <v>7.048611111111111E-2</v>
      </c>
      <c r="O64" s="39" t="s">
        <v>473</v>
      </c>
      <c r="P64" s="42" t="e">
        <f t="shared" si="7"/>
        <v>#REF!</v>
      </c>
      <c r="Q64" s="42">
        <v>6</v>
      </c>
      <c r="R64" s="43" t="e">
        <f>ROUND(#REF!*Q64*Q64+#REF!*Q64,2)</f>
        <v>#REF!</v>
      </c>
      <c r="S64" s="43" t="str">
        <f t="shared" si="4"/>
        <v/>
      </c>
      <c r="T64" s="42"/>
      <c r="U64" s="42" t="str">
        <f t="shared" si="5"/>
        <v/>
      </c>
      <c r="V64" s="42"/>
      <c r="W64" s="37"/>
      <c r="X64" s="37"/>
      <c r="Y64" s="37"/>
    </row>
    <row r="65" spans="1:25" ht="81.95" customHeight="1">
      <c r="A65" s="39" t="s">
        <v>369</v>
      </c>
      <c r="B65" s="40">
        <v>64</v>
      </c>
      <c r="C65" s="40">
        <v>2</v>
      </c>
      <c r="D65" s="40">
        <v>8</v>
      </c>
      <c r="E65" s="39" t="s">
        <v>474</v>
      </c>
      <c r="F65" s="39" t="s">
        <v>475</v>
      </c>
      <c r="G65" s="39" t="s">
        <v>476</v>
      </c>
      <c r="H65" s="40" t="s">
        <v>477</v>
      </c>
      <c r="I65" s="40">
        <v>3</v>
      </c>
      <c r="J65" s="39" t="s">
        <v>478</v>
      </c>
      <c r="K65" s="39" t="s">
        <v>479</v>
      </c>
      <c r="L65" s="40" t="s">
        <v>212</v>
      </c>
      <c r="M65" s="40" t="s">
        <v>480</v>
      </c>
      <c r="N65" s="41">
        <f t="shared" si="6"/>
        <v>7.1643518518518523E-2</v>
      </c>
      <c r="O65" s="39" t="s">
        <v>473</v>
      </c>
      <c r="P65" s="42" t="e">
        <f t="shared" si="7"/>
        <v>#REF!</v>
      </c>
      <c r="Q65" s="42">
        <v>8</v>
      </c>
      <c r="R65" s="43" t="e">
        <f>ROUND(#REF!*Q65*Q65+#REF!*Q65,2)</f>
        <v>#REF!</v>
      </c>
      <c r="S65" s="43" t="str">
        <f t="shared" si="4"/>
        <v/>
      </c>
      <c r="T65" s="42"/>
      <c r="U65" s="42" t="str">
        <f t="shared" si="5"/>
        <v/>
      </c>
      <c r="V65" s="42"/>
      <c r="W65" s="37"/>
      <c r="X65" s="37"/>
      <c r="Y65" s="37"/>
    </row>
    <row r="66" spans="1:25" ht="81.95" customHeight="1">
      <c r="A66" s="39" t="s">
        <v>369</v>
      </c>
      <c r="B66" s="40">
        <v>65</v>
      </c>
      <c r="C66" s="40">
        <v>2</v>
      </c>
      <c r="D66" s="40">
        <v>9</v>
      </c>
      <c r="E66" s="39" t="s">
        <v>481</v>
      </c>
      <c r="F66" s="39" t="s">
        <v>482</v>
      </c>
      <c r="G66" s="39" t="s">
        <v>483</v>
      </c>
      <c r="H66" s="40" t="s">
        <v>484</v>
      </c>
      <c r="I66" s="40">
        <v>4</v>
      </c>
      <c r="J66" s="39" t="s">
        <v>485</v>
      </c>
      <c r="K66" s="39" t="s">
        <v>486</v>
      </c>
      <c r="L66" s="40" t="s">
        <v>487</v>
      </c>
      <c r="M66" s="40" t="s">
        <v>488</v>
      </c>
      <c r="N66" s="41">
        <f t="shared" si="6"/>
        <v>7.3148148148148157E-2</v>
      </c>
      <c r="O66" s="39" t="s">
        <v>473</v>
      </c>
      <c r="P66" s="42" t="e">
        <f t="shared" si="7"/>
        <v>#REF!</v>
      </c>
      <c r="Q66" s="42">
        <v>8</v>
      </c>
      <c r="R66" s="43" t="e">
        <f>ROUND(#REF!*Q66*Q66+#REF!*Q66,2)</f>
        <v>#REF!</v>
      </c>
      <c r="S66" s="43" t="str">
        <f t="shared" ref="S66:S97" si="8">IF(OR(V66="",V66=0),"",ROUND(R66/V66,2))</f>
        <v/>
      </c>
      <c r="T66" s="42"/>
      <c r="U66" s="42" t="str">
        <f t="shared" ref="U66:U97" si="9">IF(OR(T66="",V66="",V66=0),"",T66*V66)</f>
        <v/>
      </c>
      <c r="V66" s="42"/>
      <c r="W66" s="37"/>
      <c r="X66" s="37"/>
      <c r="Y66" s="37"/>
    </row>
    <row r="67" spans="1:25" ht="81.95" customHeight="1">
      <c r="A67" s="39" t="s">
        <v>369</v>
      </c>
      <c r="B67" s="40">
        <v>66</v>
      </c>
      <c r="C67" s="40">
        <v>1</v>
      </c>
      <c r="D67" s="40">
        <v>9</v>
      </c>
      <c r="E67" s="39" t="s">
        <v>489</v>
      </c>
      <c r="F67" s="39" t="s">
        <v>490</v>
      </c>
      <c r="G67" s="39" t="s">
        <v>491</v>
      </c>
      <c r="H67" s="40" t="s">
        <v>492</v>
      </c>
      <c r="I67" s="40">
        <v>4</v>
      </c>
      <c r="J67" s="39" t="s">
        <v>493</v>
      </c>
      <c r="K67" s="39" t="s">
        <v>108</v>
      </c>
      <c r="L67" s="40" t="s">
        <v>185</v>
      </c>
      <c r="M67" s="40" t="s">
        <v>494</v>
      </c>
      <c r="N67" s="41">
        <f t="shared" ref="N67:N98" si="10">N66+(IFERROR(VALUE(LEFT(L67,FIND("분",L67)-1))*60,0)+IFERROR(VALUE(TRIM(MID(L67,IFERROR(FIND("분",L67),0)+1,FIND("초",L67)-IFERROR(FIND("분",L67),0)-1))),0))/86400</f>
        <v>7.4537037037037041E-2</v>
      </c>
      <c r="O67" s="39" t="s">
        <v>473</v>
      </c>
      <c r="P67" s="42" t="e">
        <f t="shared" ref="P67:P98" si="11">P66+Q67</f>
        <v>#REF!</v>
      </c>
      <c r="Q67" s="42">
        <v>7</v>
      </c>
      <c r="R67" s="43" t="e">
        <f>ROUND(#REF!*Q67*Q67+#REF!*Q67,2)</f>
        <v>#REF!</v>
      </c>
      <c r="S67" s="43" t="str">
        <f t="shared" si="8"/>
        <v/>
      </c>
      <c r="T67" s="42"/>
      <c r="U67" s="42" t="str">
        <f t="shared" si="9"/>
        <v/>
      </c>
      <c r="V67" s="42"/>
      <c r="W67" s="37"/>
      <c r="X67" s="37"/>
      <c r="Y67" s="37"/>
    </row>
    <row r="68" spans="1:25" ht="81.95" customHeight="1">
      <c r="A68" s="39" t="s">
        <v>369</v>
      </c>
      <c r="B68" s="40">
        <v>67</v>
      </c>
      <c r="C68" s="40">
        <v>2</v>
      </c>
      <c r="D68" s="40">
        <v>8</v>
      </c>
      <c r="E68" s="39" t="s">
        <v>495</v>
      </c>
      <c r="F68" s="39" t="s">
        <v>496</v>
      </c>
      <c r="G68" s="39" t="s">
        <v>497</v>
      </c>
      <c r="H68" s="40" t="s">
        <v>498</v>
      </c>
      <c r="I68" s="40">
        <v>3</v>
      </c>
      <c r="J68" s="39" t="s">
        <v>499</v>
      </c>
      <c r="K68" s="39" t="s">
        <v>108</v>
      </c>
      <c r="L68" s="40" t="s">
        <v>185</v>
      </c>
      <c r="M68" s="40" t="s">
        <v>500</v>
      </c>
      <c r="N68" s="41">
        <f t="shared" si="10"/>
        <v>7.5925925925925924E-2</v>
      </c>
      <c r="O68" s="39" t="s">
        <v>473</v>
      </c>
      <c r="P68" s="42" t="e">
        <f t="shared" si="11"/>
        <v>#REF!</v>
      </c>
      <c r="Q68" s="42">
        <v>6</v>
      </c>
      <c r="R68" s="43" t="e">
        <f>ROUND(#REF!*Q68*Q68+#REF!*Q68,2)</f>
        <v>#REF!</v>
      </c>
      <c r="S68" s="43" t="str">
        <f t="shared" si="8"/>
        <v/>
      </c>
      <c r="T68" s="42"/>
      <c r="U68" s="42" t="str">
        <f t="shared" si="9"/>
        <v/>
      </c>
      <c r="V68" s="42"/>
      <c r="W68" s="37"/>
      <c r="X68" s="37"/>
      <c r="Y68" s="37"/>
    </row>
    <row r="69" spans="1:25" ht="81.95" customHeight="1">
      <c r="A69" s="39" t="s">
        <v>369</v>
      </c>
      <c r="B69" s="40">
        <v>68</v>
      </c>
      <c r="C69" s="40">
        <v>2</v>
      </c>
      <c r="D69" s="40">
        <v>8</v>
      </c>
      <c r="E69" s="39" t="s">
        <v>501</v>
      </c>
      <c r="F69" s="39" t="s">
        <v>502</v>
      </c>
      <c r="G69" s="39" t="s">
        <v>503</v>
      </c>
      <c r="H69" s="40" t="s">
        <v>504</v>
      </c>
      <c r="I69" s="40">
        <v>4</v>
      </c>
      <c r="J69" s="39" t="s">
        <v>505</v>
      </c>
      <c r="K69" s="39" t="s">
        <v>506</v>
      </c>
      <c r="L69" s="40" t="s">
        <v>173</v>
      </c>
      <c r="M69" s="40" t="s">
        <v>507</v>
      </c>
      <c r="N69" s="41">
        <f t="shared" si="10"/>
        <v>7.7199074074074073E-2</v>
      </c>
      <c r="O69" s="39" t="s">
        <v>508</v>
      </c>
      <c r="P69" s="42" t="e">
        <f t="shared" si="11"/>
        <v>#REF!</v>
      </c>
      <c r="Q69" s="42">
        <v>7</v>
      </c>
      <c r="R69" s="43" t="e">
        <f>ROUND(#REF!*Q69*Q69+#REF!*Q69,2)</f>
        <v>#REF!</v>
      </c>
      <c r="S69" s="43" t="str">
        <f t="shared" si="8"/>
        <v/>
      </c>
      <c r="T69" s="42"/>
      <c r="U69" s="42" t="str">
        <f t="shared" si="9"/>
        <v/>
      </c>
      <c r="V69" s="42"/>
      <c r="W69" s="37"/>
      <c r="X69" s="37"/>
      <c r="Y69" s="37"/>
    </row>
    <row r="70" spans="1:25" ht="81.95" customHeight="1">
      <c r="A70" s="39" t="s">
        <v>369</v>
      </c>
      <c r="B70" s="40">
        <v>69</v>
      </c>
      <c r="C70" s="40">
        <v>6</v>
      </c>
      <c r="D70" s="40">
        <v>9</v>
      </c>
      <c r="E70" s="39" t="s">
        <v>509</v>
      </c>
      <c r="F70" s="39" t="s">
        <v>510</v>
      </c>
      <c r="G70" s="39" t="s">
        <v>511</v>
      </c>
      <c r="H70" s="40" t="s">
        <v>512</v>
      </c>
      <c r="I70" s="40">
        <v>3</v>
      </c>
      <c r="J70" s="39" t="s">
        <v>513</v>
      </c>
      <c r="K70" s="39" t="s">
        <v>514</v>
      </c>
      <c r="L70" s="40" t="s">
        <v>515</v>
      </c>
      <c r="M70" s="40" t="s">
        <v>516</v>
      </c>
      <c r="N70" s="41">
        <f t="shared" si="10"/>
        <v>7.9629629629629634E-2</v>
      </c>
      <c r="O70" s="39" t="s">
        <v>508</v>
      </c>
      <c r="P70" s="42" t="e">
        <f t="shared" si="11"/>
        <v>#REF!</v>
      </c>
      <c r="Q70" s="42">
        <v>11</v>
      </c>
      <c r="R70" s="43" t="e">
        <f>ROUND(#REF!*Q70*Q70+#REF!*Q70,2)</f>
        <v>#REF!</v>
      </c>
      <c r="S70" s="43" t="e">
        <f t="shared" si="8"/>
        <v>#REF!</v>
      </c>
      <c r="T70" s="42">
        <v>45</v>
      </c>
      <c r="U70" s="42">
        <f t="shared" si="9"/>
        <v>135</v>
      </c>
      <c r="V70" s="42">
        <v>3</v>
      </c>
      <c r="W70" s="37"/>
      <c r="X70" s="37"/>
      <c r="Y70" s="37"/>
    </row>
    <row r="71" spans="1:25" ht="81.95" customHeight="1">
      <c r="A71" s="39" t="s">
        <v>369</v>
      </c>
      <c r="B71" s="40">
        <v>70</v>
      </c>
      <c r="C71" s="40">
        <v>7</v>
      </c>
      <c r="D71" s="40">
        <v>9</v>
      </c>
      <c r="E71" s="39" t="s">
        <v>517</v>
      </c>
      <c r="F71" s="39" t="s">
        <v>518</v>
      </c>
      <c r="G71" s="39" t="s">
        <v>519</v>
      </c>
      <c r="H71" s="40" t="s">
        <v>520</v>
      </c>
      <c r="I71" s="40">
        <v>2</v>
      </c>
      <c r="J71" s="39" t="s">
        <v>521</v>
      </c>
      <c r="K71" s="39" t="s">
        <v>522</v>
      </c>
      <c r="L71" s="40" t="s">
        <v>523</v>
      </c>
      <c r="M71" s="40" t="s">
        <v>524</v>
      </c>
      <c r="N71" s="41">
        <f t="shared" si="10"/>
        <v>8.2407407407407415E-2</v>
      </c>
      <c r="O71" s="39" t="s">
        <v>508</v>
      </c>
      <c r="P71" s="42" t="e">
        <f t="shared" si="11"/>
        <v>#REF!</v>
      </c>
      <c r="Q71" s="42">
        <v>12</v>
      </c>
      <c r="R71" s="43" t="e">
        <f>ROUND(#REF!*Q71*Q71+#REF!*Q71,2)</f>
        <v>#REF!</v>
      </c>
      <c r="S71" s="43" t="e">
        <f t="shared" ref="S71:S109" si="12">IF(OR(V71="",V71=0),"",ROUND(R71/V71,2))</f>
        <v>#REF!</v>
      </c>
      <c r="T71" s="42">
        <v>75</v>
      </c>
      <c r="U71" s="42">
        <f t="shared" ref="U71:U109" si="13">IF(OR(T71="",V71="",V71=0),"",T71*V71)</f>
        <v>150</v>
      </c>
      <c r="V71" s="42">
        <v>2</v>
      </c>
      <c r="W71" s="37"/>
      <c r="X71" s="37"/>
      <c r="Y71" s="37"/>
    </row>
    <row r="72" spans="1:25" ht="81.95" customHeight="1">
      <c r="A72" s="39" t="s">
        <v>369</v>
      </c>
      <c r="B72" s="40">
        <v>71</v>
      </c>
      <c r="C72" s="40">
        <v>7</v>
      </c>
      <c r="D72" s="40">
        <v>9</v>
      </c>
      <c r="E72" s="39" t="s">
        <v>525</v>
      </c>
      <c r="F72" s="39" t="s">
        <v>526</v>
      </c>
      <c r="G72" s="39" t="s">
        <v>527</v>
      </c>
      <c r="H72" s="40" t="s">
        <v>528</v>
      </c>
      <c r="I72" s="40">
        <v>4</v>
      </c>
      <c r="J72" s="39" t="s">
        <v>529</v>
      </c>
      <c r="K72" s="39" t="s">
        <v>530</v>
      </c>
      <c r="L72" s="40" t="s">
        <v>531</v>
      </c>
      <c r="M72" s="40" t="s">
        <v>532</v>
      </c>
      <c r="N72" s="41">
        <f t="shared" si="10"/>
        <v>8.5416666666666669E-2</v>
      </c>
      <c r="O72" s="39" t="s">
        <v>508</v>
      </c>
      <c r="P72" s="42" t="e">
        <f t="shared" si="11"/>
        <v>#REF!</v>
      </c>
      <c r="Q72" s="42">
        <v>13</v>
      </c>
      <c r="R72" s="43" t="e">
        <f>ROUND(#REF!*Q72*Q72+#REF!*Q72,2)</f>
        <v>#REF!</v>
      </c>
      <c r="S72" s="43" t="e">
        <f t="shared" ref="S72:S87" si="14">IF(OR(V72="",V72=0),"",ROUND(R72/V72,2))</f>
        <v>#REF!</v>
      </c>
      <c r="T72" s="42">
        <v>50</v>
      </c>
      <c r="U72" s="42">
        <f t="shared" ref="U72:U87" si="15">IF(OR(T72="",V72="",V72=0),"",T72*V72)</f>
        <v>200</v>
      </c>
      <c r="V72" s="42">
        <v>4</v>
      </c>
      <c r="W72" s="37"/>
      <c r="X72" s="37"/>
      <c r="Y72" s="37"/>
    </row>
    <row r="73" spans="1:25" ht="81.95" customHeight="1">
      <c r="A73" s="39" t="s">
        <v>369</v>
      </c>
      <c r="B73" s="40">
        <v>72</v>
      </c>
      <c r="C73" s="40">
        <v>2</v>
      </c>
      <c r="D73" s="40">
        <v>8</v>
      </c>
      <c r="E73" s="39" t="s">
        <v>533</v>
      </c>
      <c r="F73" s="39" t="s">
        <v>534</v>
      </c>
      <c r="G73" s="39" t="s">
        <v>535</v>
      </c>
      <c r="H73" s="40" t="s">
        <v>536</v>
      </c>
      <c r="I73" s="40">
        <v>4</v>
      </c>
      <c r="J73" s="39" t="s">
        <v>537</v>
      </c>
      <c r="K73" s="39" t="s">
        <v>108</v>
      </c>
      <c r="L73" s="40" t="s">
        <v>487</v>
      </c>
      <c r="M73" s="40" t="s">
        <v>538</v>
      </c>
      <c r="N73" s="41">
        <f t="shared" si="10"/>
        <v>8.6921296296296302E-2</v>
      </c>
      <c r="O73" s="39" t="s">
        <v>508</v>
      </c>
      <c r="P73" s="42" t="e">
        <f t="shared" si="11"/>
        <v>#REF!</v>
      </c>
      <c r="Q73" s="42">
        <v>6</v>
      </c>
      <c r="R73" s="43" t="e">
        <f>ROUND(#REF!*Q73*Q73+#REF!*Q73,2)</f>
        <v>#REF!</v>
      </c>
      <c r="S73" s="43" t="str">
        <f t="shared" si="14"/>
        <v/>
      </c>
      <c r="T73" s="42"/>
      <c r="U73" s="42" t="str">
        <f t="shared" si="15"/>
        <v/>
      </c>
      <c r="V73" s="42"/>
      <c r="W73" s="37"/>
      <c r="X73" s="37"/>
      <c r="Y73" s="37"/>
    </row>
    <row r="74" spans="1:25" ht="81.95" customHeight="1">
      <c r="A74" s="39" t="s">
        <v>369</v>
      </c>
      <c r="B74" s="40">
        <v>73</v>
      </c>
      <c r="C74" s="40">
        <v>7</v>
      </c>
      <c r="D74" s="40">
        <v>9</v>
      </c>
      <c r="E74" s="39" t="s">
        <v>539</v>
      </c>
      <c r="F74" s="39" t="s">
        <v>540</v>
      </c>
      <c r="G74" s="39" t="s">
        <v>541</v>
      </c>
      <c r="H74" s="40" t="s">
        <v>542</v>
      </c>
      <c r="I74" s="40">
        <v>3</v>
      </c>
      <c r="J74" s="39" t="s">
        <v>543</v>
      </c>
      <c r="K74" s="39" t="s">
        <v>544</v>
      </c>
      <c r="L74" s="40" t="s">
        <v>545</v>
      </c>
      <c r="M74" s="40" t="s">
        <v>546</v>
      </c>
      <c r="N74" s="41">
        <f t="shared" si="10"/>
        <v>8.981481481481482E-2</v>
      </c>
      <c r="O74" s="39" t="s">
        <v>547</v>
      </c>
      <c r="P74" s="42" t="e">
        <f t="shared" si="11"/>
        <v>#REF!</v>
      </c>
      <c r="Q74" s="42">
        <v>13</v>
      </c>
      <c r="R74" s="43" t="e">
        <f>ROUND(#REF!*Q74*Q74+#REF!*Q74,2)</f>
        <v>#REF!</v>
      </c>
      <c r="S74" s="43" t="e">
        <f t="shared" si="14"/>
        <v>#REF!</v>
      </c>
      <c r="T74" s="42">
        <v>70</v>
      </c>
      <c r="U74" s="42">
        <f t="shared" si="15"/>
        <v>210</v>
      </c>
      <c r="V74" s="42">
        <v>3</v>
      </c>
      <c r="W74" s="37"/>
      <c r="X74" s="37"/>
      <c r="Y74" s="37"/>
    </row>
    <row r="75" spans="1:25" ht="81.95" customHeight="1">
      <c r="A75" s="39" t="s">
        <v>369</v>
      </c>
      <c r="B75" s="40">
        <v>74</v>
      </c>
      <c r="C75" s="40">
        <v>8</v>
      </c>
      <c r="D75" s="40">
        <v>9</v>
      </c>
      <c r="E75" s="39" t="s">
        <v>548</v>
      </c>
      <c r="F75" s="39" t="s">
        <v>549</v>
      </c>
      <c r="G75" s="39" t="s">
        <v>550</v>
      </c>
      <c r="H75" s="40" t="s">
        <v>551</v>
      </c>
      <c r="I75" s="40">
        <v>5</v>
      </c>
      <c r="J75" s="39" t="s">
        <v>552</v>
      </c>
      <c r="K75" s="39" t="s">
        <v>553</v>
      </c>
      <c r="L75" s="40" t="s">
        <v>554</v>
      </c>
      <c r="M75" s="40" t="s">
        <v>555</v>
      </c>
      <c r="N75" s="41">
        <f t="shared" si="10"/>
        <v>9.3634259259259264E-2</v>
      </c>
      <c r="O75" s="39" t="s">
        <v>547</v>
      </c>
      <c r="P75" s="42" t="e">
        <f t="shared" si="11"/>
        <v>#REF!</v>
      </c>
      <c r="Q75" s="42">
        <v>12</v>
      </c>
      <c r="R75" s="43" t="e">
        <f>ROUND(#REF!*Q75*Q75+#REF!*Q75,2)</f>
        <v>#REF!</v>
      </c>
      <c r="S75" s="43" t="e">
        <f t="shared" si="14"/>
        <v>#REF!</v>
      </c>
      <c r="T75" s="42">
        <v>55</v>
      </c>
      <c r="U75" s="42">
        <f t="shared" si="15"/>
        <v>275</v>
      </c>
      <c r="V75" s="42">
        <v>5</v>
      </c>
      <c r="W75" s="37"/>
      <c r="X75" s="37"/>
      <c r="Y75" s="37"/>
    </row>
    <row r="76" spans="1:25" ht="81.95" customHeight="1">
      <c r="A76" s="39" t="s">
        <v>556</v>
      </c>
      <c r="B76" s="40">
        <v>75</v>
      </c>
      <c r="C76" s="40">
        <v>1</v>
      </c>
      <c r="D76" s="40">
        <v>7</v>
      </c>
      <c r="E76" s="39" t="s">
        <v>557</v>
      </c>
      <c r="F76" s="39" t="s">
        <v>558</v>
      </c>
      <c r="G76" s="39" t="s">
        <v>559</v>
      </c>
      <c r="H76" s="40" t="s">
        <v>560</v>
      </c>
      <c r="I76" s="40">
        <v>2</v>
      </c>
      <c r="J76" s="39" t="s">
        <v>561</v>
      </c>
      <c r="K76" s="39" t="s">
        <v>108</v>
      </c>
      <c r="L76" s="40" t="s">
        <v>212</v>
      </c>
      <c r="M76" s="40" t="s">
        <v>562</v>
      </c>
      <c r="N76" s="41">
        <f t="shared" si="10"/>
        <v>9.4791666666666677E-2</v>
      </c>
      <c r="O76" s="39" t="s">
        <v>563</v>
      </c>
      <c r="P76" s="42" t="e">
        <f t="shared" si="11"/>
        <v>#REF!</v>
      </c>
      <c r="Q76" s="42">
        <v>7</v>
      </c>
      <c r="R76" s="43" t="e">
        <f>ROUND(#REF!*Q76*Q76+#REF!*Q76,2)</f>
        <v>#REF!</v>
      </c>
      <c r="S76" s="43" t="str">
        <f t="shared" si="14"/>
        <v/>
      </c>
      <c r="T76" s="42"/>
      <c r="U76" s="42" t="str">
        <f t="shared" si="15"/>
        <v/>
      </c>
      <c r="V76" s="42"/>
      <c r="W76" s="37"/>
      <c r="X76" s="37"/>
      <c r="Y76" s="37"/>
    </row>
    <row r="77" spans="1:25" ht="81.95" customHeight="1">
      <c r="A77" s="39" t="s">
        <v>556</v>
      </c>
      <c r="B77" s="40">
        <v>76</v>
      </c>
      <c r="C77" s="40">
        <v>2</v>
      </c>
      <c r="D77" s="40">
        <v>6</v>
      </c>
      <c r="E77" s="39" t="s">
        <v>564</v>
      </c>
      <c r="F77" s="39" t="s">
        <v>565</v>
      </c>
      <c r="G77" s="39" t="s">
        <v>566</v>
      </c>
      <c r="H77" s="40" t="s">
        <v>567</v>
      </c>
      <c r="I77" s="40">
        <v>5</v>
      </c>
      <c r="J77" s="39" t="s">
        <v>568</v>
      </c>
      <c r="K77" s="39" t="s">
        <v>569</v>
      </c>
      <c r="L77" s="40" t="s">
        <v>212</v>
      </c>
      <c r="M77" s="40" t="s">
        <v>570</v>
      </c>
      <c r="N77" s="41">
        <f t="shared" si="10"/>
        <v>9.5949074074074089E-2</v>
      </c>
      <c r="O77" s="39" t="s">
        <v>563</v>
      </c>
      <c r="P77" s="42" t="e">
        <f t="shared" si="11"/>
        <v>#REF!</v>
      </c>
      <c r="Q77" s="42">
        <v>6</v>
      </c>
      <c r="R77" s="43" t="e">
        <f>ROUND(#REF!*Q77*Q77+#REF!*Q77,2)</f>
        <v>#REF!</v>
      </c>
      <c r="S77" s="43" t="str">
        <f t="shared" si="14"/>
        <v/>
      </c>
      <c r="T77" s="42"/>
      <c r="U77" s="42" t="str">
        <f t="shared" si="15"/>
        <v/>
      </c>
      <c r="V77" s="42"/>
      <c r="W77" s="37"/>
      <c r="X77" s="37"/>
      <c r="Y77" s="37"/>
    </row>
    <row r="78" spans="1:25" ht="81.95" customHeight="1">
      <c r="A78" s="39" t="s">
        <v>556</v>
      </c>
      <c r="B78" s="40">
        <v>77</v>
      </c>
      <c r="C78" s="40">
        <v>2</v>
      </c>
      <c r="D78" s="40">
        <v>7</v>
      </c>
      <c r="E78" s="39" t="s">
        <v>571</v>
      </c>
      <c r="F78" s="39" t="s">
        <v>572</v>
      </c>
      <c r="G78" s="39" t="s">
        <v>573</v>
      </c>
      <c r="H78" s="40" t="s">
        <v>574</v>
      </c>
      <c r="I78" s="40">
        <v>4</v>
      </c>
      <c r="J78" s="39" t="s">
        <v>575</v>
      </c>
      <c r="K78" s="39" t="s">
        <v>108</v>
      </c>
      <c r="L78" s="40" t="s">
        <v>185</v>
      </c>
      <c r="M78" s="40" t="s">
        <v>576</v>
      </c>
      <c r="N78" s="41">
        <f t="shared" si="10"/>
        <v>9.7337962962962973E-2</v>
      </c>
      <c r="O78" s="39" t="s">
        <v>563</v>
      </c>
      <c r="P78" s="42" t="e">
        <f t="shared" si="11"/>
        <v>#REF!</v>
      </c>
      <c r="Q78" s="42">
        <v>7</v>
      </c>
      <c r="R78" s="43" t="e">
        <f>ROUND(#REF!*Q78*Q78+#REF!*Q78,2)</f>
        <v>#REF!</v>
      </c>
      <c r="S78" s="43" t="str">
        <f t="shared" si="14"/>
        <v/>
      </c>
      <c r="T78" s="42"/>
      <c r="U78" s="42" t="str">
        <f t="shared" si="15"/>
        <v/>
      </c>
      <c r="V78" s="42"/>
      <c r="W78" s="37"/>
      <c r="X78" s="37"/>
      <c r="Y78" s="37"/>
    </row>
    <row r="79" spans="1:25" ht="81.95" customHeight="1">
      <c r="A79" s="39" t="s">
        <v>556</v>
      </c>
      <c r="B79" s="40">
        <v>78</v>
      </c>
      <c r="C79" s="40">
        <v>3</v>
      </c>
      <c r="D79" s="40">
        <v>7</v>
      </c>
      <c r="E79" s="39" t="s">
        <v>577</v>
      </c>
      <c r="F79" s="39" t="s">
        <v>578</v>
      </c>
      <c r="G79" s="39" t="s">
        <v>579</v>
      </c>
      <c r="H79" s="40" t="s">
        <v>580</v>
      </c>
      <c r="I79" s="40">
        <v>1</v>
      </c>
      <c r="J79" s="39" t="s">
        <v>581</v>
      </c>
      <c r="K79" s="39" t="s">
        <v>582</v>
      </c>
      <c r="L79" s="40" t="s">
        <v>487</v>
      </c>
      <c r="M79" s="40" t="s">
        <v>583</v>
      </c>
      <c r="N79" s="41">
        <f t="shared" si="10"/>
        <v>9.8842592592592607E-2</v>
      </c>
      <c r="O79" s="39" t="s">
        <v>584</v>
      </c>
      <c r="P79" s="42" t="e">
        <f t="shared" si="11"/>
        <v>#REF!</v>
      </c>
      <c r="Q79" s="42">
        <v>8</v>
      </c>
      <c r="R79" s="43" t="e">
        <f>ROUND(#REF!*Q79*Q79+#REF!*Q79,2)</f>
        <v>#REF!</v>
      </c>
      <c r="S79" s="43" t="str">
        <f t="shared" si="14"/>
        <v/>
      </c>
      <c r="T79" s="42"/>
      <c r="U79" s="42" t="str">
        <f t="shared" si="15"/>
        <v/>
      </c>
      <c r="V79" s="42"/>
      <c r="W79" s="37"/>
      <c r="X79" s="37"/>
      <c r="Y79" s="37"/>
    </row>
    <row r="80" spans="1:25" ht="81.95" customHeight="1">
      <c r="A80" s="39" t="s">
        <v>556</v>
      </c>
      <c r="B80" s="40">
        <v>79</v>
      </c>
      <c r="C80" s="40">
        <v>3</v>
      </c>
      <c r="D80" s="40">
        <v>7</v>
      </c>
      <c r="E80" s="39" t="s">
        <v>585</v>
      </c>
      <c r="F80" s="39" t="s">
        <v>586</v>
      </c>
      <c r="G80" s="39" t="s">
        <v>587</v>
      </c>
      <c r="H80" s="40" t="s">
        <v>588</v>
      </c>
      <c r="I80" s="40">
        <v>4</v>
      </c>
      <c r="J80" s="39" t="s">
        <v>589</v>
      </c>
      <c r="K80" s="39" t="s">
        <v>590</v>
      </c>
      <c r="L80" s="40" t="s">
        <v>226</v>
      </c>
      <c r="M80" s="40" t="s">
        <v>591</v>
      </c>
      <c r="N80" s="41">
        <f t="shared" si="10"/>
        <v>0.10057870370370371</v>
      </c>
      <c r="O80" s="39" t="s">
        <v>584</v>
      </c>
      <c r="P80" s="42" t="e">
        <f t="shared" si="11"/>
        <v>#REF!</v>
      </c>
      <c r="Q80" s="42">
        <v>9</v>
      </c>
      <c r="R80" s="43" t="e">
        <f>ROUND(#REF!*Q80*Q80+#REF!*Q80,2)</f>
        <v>#REF!</v>
      </c>
      <c r="S80" s="43" t="str">
        <f t="shared" si="14"/>
        <v/>
      </c>
      <c r="T80" s="42"/>
      <c r="U80" s="42" t="str">
        <f t="shared" si="15"/>
        <v/>
      </c>
      <c r="V80" s="42"/>
      <c r="W80" s="37"/>
      <c r="X80" s="37"/>
      <c r="Y80" s="37"/>
    </row>
    <row r="81" spans="1:25" ht="81.95" customHeight="1">
      <c r="A81" s="39" t="s">
        <v>556</v>
      </c>
      <c r="B81" s="40">
        <v>80</v>
      </c>
      <c r="C81" s="40">
        <v>4</v>
      </c>
      <c r="D81" s="40">
        <v>8</v>
      </c>
      <c r="E81" s="39" t="s">
        <v>592</v>
      </c>
      <c r="F81" s="39" t="s">
        <v>593</v>
      </c>
      <c r="G81" s="39" t="s">
        <v>594</v>
      </c>
      <c r="H81" s="40" t="s">
        <v>595</v>
      </c>
      <c r="I81" s="40">
        <v>6</v>
      </c>
      <c r="J81" s="39" t="s">
        <v>596</v>
      </c>
      <c r="K81" s="39" t="s">
        <v>108</v>
      </c>
      <c r="L81" s="40" t="s">
        <v>515</v>
      </c>
      <c r="M81" s="40" t="s">
        <v>597</v>
      </c>
      <c r="N81" s="41">
        <f t="shared" si="10"/>
        <v>0.10300925925925927</v>
      </c>
      <c r="O81" s="39" t="s">
        <v>598</v>
      </c>
      <c r="P81" s="42" t="e">
        <f t="shared" si="11"/>
        <v>#REF!</v>
      </c>
      <c r="Q81" s="42">
        <v>10</v>
      </c>
      <c r="R81" s="43" t="e">
        <f>ROUND(#REF!*Q81*Q81+#REF!*Q81,2)</f>
        <v>#REF!</v>
      </c>
      <c r="S81" s="43" t="str">
        <f t="shared" si="14"/>
        <v/>
      </c>
      <c r="T81" s="42"/>
      <c r="U81" s="42" t="str">
        <f t="shared" si="15"/>
        <v/>
      </c>
      <c r="V81" s="42"/>
      <c r="W81" s="37"/>
      <c r="X81" s="37"/>
      <c r="Y81" s="37"/>
    </row>
    <row r="82" spans="1:25" ht="81.95" customHeight="1">
      <c r="A82" s="39" t="s">
        <v>556</v>
      </c>
      <c r="B82" s="40">
        <v>81</v>
      </c>
      <c r="C82" s="40">
        <v>6</v>
      </c>
      <c r="D82" s="40">
        <v>9</v>
      </c>
      <c r="E82" s="39" t="s">
        <v>599</v>
      </c>
      <c r="F82" s="39" t="s">
        <v>600</v>
      </c>
      <c r="G82" s="39" t="s">
        <v>601</v>
      </c>
      <c r="H82" s="40" t="s">
        <v>602</v>
      </c>
      <c r="I82" s="40">
        <v>5</v>
      </c>
      <c r="J82" s="39" t="s">
        <v>603</v>
      </c>
      <c r="K82" s="39" t="s">
        <v>604</v>
      </c>
      <c r="L82" s="40" t="s">
        <v>284</v>
      </c>
      <c r="M82" s="40" t="s">
        <v>605</v>
      </c>
      <c r="N82" s="41">
        <f t="shared" si="10"/>
        <v>0.10509259259259261</v>
      </c>
      <c r="O82" s="39" t="s">
        <v>598</v>
      </c>
      <c r="P82" s="42" t="e">
        <f t="shared" si="11"/>
        <v>#REF!</v>
      </c>
      <c r="Q82" s="42">
        <v>8</v>
      </c>
      <c r="R82" s="43" t="e">
        <f>ROUND(#REF!*Q82*Q82+#REF!*Q82,2)</f>
        <v>#REF!</v>
      </c>
      <c r="S82" s="43" t="str">
        <f t="shared" si="14"/>
        <v/>
      </c>
      <c r="T82" s="42"/>
      <c r="U82" s="42" t="str">
        <f t="shared" si="15"/>
        <v/>
      </c>
      <c r="V82" s="42"/>
      <c r="W82" s="37"/>
      <c r="X82" s="37"/>
      <c r="Y82" s="37"/>
    </row>
    <row r="83" spans="1:25" ht="81.95" customHeight="1">
      <c r="A83" s="39" t="s">
        <v>556</v>
      </c>
      <c r="B83" s="40">
        <v>82</v>
      </c>
      <c r="C83" s="40">
        <v>7</v>
      </c>
      <c r="D83" s="40">
        <v>9</v>
      </c>
      <c r="E83" s="39" t="s">
        <v>606</v>
      </c>
      <c r="F83" s="39" t="s">
        <v>607</v>
      </c>
      <c r="G83" s="39" t="s">
        <v>608</v>
      </c>
      <c r="H83" s="40" t="s">
        <v>609</v>
      </c>
      <c r="I83" s="40">
        <v>4</v>
      </c>
      <c r="J83" s="39" t="s">
        <v>610</v>
      </c>
      <c r="K83" s="39" t="s">
        <v>611</v>
      </c>
      <c r="L83" s="40" t="s">
        <v>545</v>
      </c>
      <c r="M83" s="40" t="s">
        <v>612</v>
      </c>
      <c r="N83" s="41">
        <f t="shared" si="10"/>
        <v>0.10798611111111113</v>
      </c>
      <c r="O83" s="39" t="s">
        <v>598</v>
      </c>
      <c r="P83" s="42" t="e">
        <f t="shared" si="11"/>
        <v>#REF!</v>
      </c>
      <c r="Q83" s="42">
        <v>13</v>
      </c>
      <c r="R83" s="43" t="e">
        <f>ROUND(#REF!*Q83*Q83+#REF!*Q83,2)</f>
        <v>#REF!</v>
      </c>
      <c r="S83" s="43" t="e">
        <f t="shared" si="14"/>
        <v>#REF!</v>
      </c>
      <c r="T83" s="42">
        <v>50</v>
      </c>
      <c r="U83" s="42">
        <f t="shared" si="15"/>
        <v>200</v>
      </c>
      <c r="V83" s="42">
        <v>4</v>
      </c>
      <c r="W83" s="37"/>
      <c r="X83" s="37"/>
      <c r="Y83" s="37"/>
    </row>
    <row r="84" spans="1:25" ht="81.95" customHeight="1">
      <c r="A84" s="39" t="s">
        <v>556</v>
      </c>
      <c r="B84" s="40">
        <v>83</v>
      </c>
      <c r="C84" s="40">
        <v>3</v>
      </c>
      <c r="D84" s="40">
        <v>8</v>
      </c>
      <c r="E84" s="39" t="s">
        <v>613</v>
      </c>
      <c r="F84" s="39" t="s">
        <v>614</v>
      </c>
      <c r="G84" s="39" t="s">
        <v>615</v>
      </c>
      <c r="H84" s="40" t="s">
        <v>616</v>
      </c>
      <c r="I84" s="40">
        <v>5</v>
      </c>
      <c r="J84" s="39" t="s">
        <v>617</v>
      </c>
      <c r="K84" s="39" t="s">
        <v>618</v>
      </c>
      <c r="L84" s="40" t="s">
        <v>619</v>
      </c>
      <c r="M84" s="40" t="s">
        <v>620</v>
      </c>
      <c r="N84" s="41">
        <f t="shared" si="10"/>
        <v>0.11030092592592594</v>
      </c>
      <c r="O84" s="39" t="s">
        <v>598</v>
      </c>
      <c r="P84" s="42" t="e">
        <f t="shared" si="11"/>
        <v>#REF!</v>
      </c>
      <c r="Q84" s="42">
        <v>10</v>
      </c>
      <c r="R84" s="43" t="e">
        <f>ROUND(#REF!*Q84*Q84+#REF!*Q84,2)</f>
        <v>#REF!</v>
      </c>
      <c r="S84" s="43" t="str">
        <f t="shared" si="14"/>
        <v/>
      </c>
      <c r="T84" s="42"/>
      <c r="U84" s="42" t="str">
        <f t="shared" si="15"/>
        <v/>
      </c>
      <c r="V84" s="42"/>
      <c r="W84" s="37"/>
      <c r="X84" s="37"/>
      <c r="Y84" s="37"/>
    </row>
    <row r="85" spans="1:25" ht="81.95" customHeight="1">
      <c r="A85" s="39" t="s">
        <v>556</v>
      </c>
      <c r="B85" s="40">
        <v>84</v>
      </c>
      <c r="C85" s="40">
        <v>5</v>
      </c>
      <c r="D85" s="40">
        <v>8</v>
      </c>
      <c r="E85" s="39" t="s">
        <v>621</v>
      </c>
      <c r="F85" s="39" t="s">
        <v>622</v>
      </c>
      <c r="G85" s="39" t="s">
        <v>623</v>
      </c>
      <c r="H85" s="40" t="s">
        <v>624</v>
      </c>
      <c r="I85" s="40">
        <v>4</v>
      </c>
      <c r="J85" s="39" t="s">
        <v>625</v>
      </c>
      <c r="K85" s="39" t="s">
        <v>626</v>
      </c>
      <c r="L85" s="40" t="s">
        <v>619</v>
      </c>
      <c r="M85" s="40" t="s">
        <v>627</v>
      </c>
      <c r="N85" s="41">
        <f t="shared" si="10"/>
        <v>0.11261574074074075</v>
      </c>
      <c r="O85" s="39" t="s">
        <v>598</v>
      </c>
      <c r="P85" s="42" t="e">
        <f t="shared" si="11"/>
        <v>#REF!</v>
      </c>
      <c r="Q85" s="42">
        <v>10</v>
      </c>
      <c r="R85" s="43" t="e">
        <f>ROUND(#REF!*Q85*Q85+#REF!*Q85,2)</f>
        <v>#REF!</v>
      </c>
      <c r="S85" s="43" t="str">
        <f t="shared" si="14"/>
        <v/>
      </c>
      <c r="T85" s="42"/>
      <c r="U85" s="42" t="str">
        <f t="shared" si="15"/>
        <v/>
      </c>
      <c r="V85" s="42"/>
      <c r="W85" s="37"/>
      <c r="X85" s="37"/>
      <c r="Y85" s="37"/>
    </row>
    <row r="86" spans="1:25" ht="81.95" customHeight="1">
      <c r="A86" s="39" t="s">
        <v>556</v>
      </c>
      <c r="B86" s="40">
        <v>85</v>
      </c>
      <c r="C86" s="40">
        <v>4</v>
      </c>
      <c r="D86" s="40">
        <v>7</v>
      </c>
      <c r="E86" s="39" t="s">
        <v>628</v>
      </c>
      <c r="F86" s="39" t="s">
        <v>629</v>
      </c>
      <c r="G86" s="39" t="s">
        <v>630</v>
      </c>
      <c r="H86" s="40" t="s">
        <v>631</v>
      </c>
      <c r="I86" s="40">
        <v>1</v>
      </c>
      <c r="J86" s="39" t="s">
        <v>632</v>
      </c>
      <c r="K86" s="39" t="s">
        <v>633</v>
      </c>
      <c r="L86" s="40" t="s">
        <v>212</v>
      </c>
      <c r="M86" s="40" t="s">
        <v>634</v>
      </c>
      <c r="N86" s="41">
        <f t="shared" si="10"/>
        <v>0.11377314814814816</v>
      </c>
      <c r="O86" s="39" t="s">
        <v>635</v>
      </c>
      <c r="P86" s="42" t="e">
        <f t="shared" si="11"/>
        <v>#REF!</v>
      </c>
      <c r="Q86" s="42">
        <v>7</v>
      </c>
      <c r="R86" s="43" t="e">
        <f>ROUND(#REF!*Q86*Q86+#REF!*Q86,2)</f>
        <v>#REF!</v>
      </c>
      <c r="S86" s="43" t="str">
        <f t="shared" si="14"/>
        <v/>
      </c>
      <c r="T86" s="42"/>
      <c r="U86" s="42" t="str">
        <f t="shared" si="15"/>
        <v/>
      </c>
      <c r="V86" s="42"/>
      <c r="W86" s="37"/>
      <c r="X86" s="37"/>
      <c r="Y86" s="37"/>
    </row>
    <row r="87" spans="1:25" ht="81.95" customHeight="1">
      <c r="A87" s="39" t="s">
        <v>556</v>
      </c>
      <c r="B87" s="40">
        <v>86</v>
      </c>
      <c r="C87" s="40">
        <v>3</v>
      </c>
      <c r="D87" s="40">
        <v>8</v>
      </c>
      <c r="E87" s="39" t="s">
        <v>636</v>
      </c>
      <c r="F87" s="39" t="s">
        <v>229</v>
      </c>
      <c r="G87" s="39" t="s">
        <v>637</v>
      </c>
      <c r="H87" s="40" t="s">
        <v>638</v>
      </c>
      <c r="I87" s="40">
        <v>6</v>
      </c>
      <c r="J87" s="39" t="s">
        <v>232</v>
      </c>
      <c r="K87" s="39" t="s">
        <v>108</v>
      </c>
      <c r="L87" s="40" t="s">
        <v>465</v>
      </c>
      <c r="M87" s="40" t="s">
        <v>233</v>
      </c>
      <c r="N87" s="41">
        <f t="shared" si="10"/>
        <v>0.11597222222222224</v>
      </c>
      <c r="O87" s="39" t="s">
        <v>635</v>
      </c>
      <c r="P87" s="42" t="e">
        <f t="shared" si="11"/>
        <v>#REF!</v>
      </c>
      <c r="Q87" s="42">
        <v>7</v>
      </c>
      <c r="R87" s="43" t="e">
        <f>ROUND(#REF!*Q87*Q87+#REF!*Q87,2)</f>
        <v>#REF!</v>
      </c>
      <c r="S87" s="43" t="str">
        <f t="shared" si="14"/>
        <v/>
      </c>
      <c r="T87" s="42"/>
      <c r="U87" s="42" t="str">
        <f t="shared" si="15"/>
        <v/>
      </c>
      <c r="V87" s="42"/>
      <c r="W87" s="37"/>
      <c r="X87" s="37"/>
      <c r="Y87" s="37"/>
    </row>
    <row r="88" spans="1:25" ht="81.95" customHeight="1">
      <c r="A88" s="39" t="s">
        <v>556</v>
      </c>
      <c r="B88" s="40">
        <v>87</v>
      </c>
      <c r="C88" s="40">
        <v>7</v>
      </c>
      <c r="D88" s="40">
        <v>9</v>
      </c>
      <c r="E88" s="39" t="s">
        <v>639</v>
      </c>
      <c r="F88" s="39" t="s">
        <v>640</v>
      </c>
      <c r="G88" s="39" t="s">
        <v>641</v>
      </c>
      <c r="H88" s="40" t="s">
        <v>642</v>
      </c>
      <c r="I88" s="40">
        <v>3</v>
      </c>
      <c r="J88" s="39" t="s">
        <v>643</v>
      </c>
      <c r="K88" s="39" t="s">
        <v>644</v>
      </c>
      <c r="L88" s="40" t="s">
        <v>523</v>
      </c>
      <c r="M88" s="40" t="s">
        <v>645</v>
      </c>
      <c r="N88" s="41">
        <f t="shared" si="10"/>
        <v>0.11875000000000002</v>
      </c>
      <c r="O88" s="39" t="s">
        <v>635</v>
      </c>
      <c r="P88" s="42" t="e">
        <f t="shared" si="11"/>
        <v>#REF!</v>
      </c>
      <c r="Q88" s="42">
        <v>13</v>
      </c>
      <c r="R88" s="43" t="e">
        <f>ROUND(#REF!*Q88*Q88+#REF!*Q88,2)</f>
        <v>#REF!</v>
      </c>
      <c r="S88" s="43" t="e">
        <f t="shared" si="12"/>
        <v>#REF!</v>
      </c>
      <c r="T88" s="42">
        <v>60</v>
      </c>
      <c r="U88" s="42">
        <f t="shared" si="13"/>
        <v>180</v>
      </c>
      <c r="V88" s="42">
        <v>3</v>
      </c>
      <c r="W88" s="37"/>
      <c r="X88" s="37"/>
      <c r="Y88" s="37"/>
    </row>
    <row r="89" spans="1:25" ht="81.95" customHeight="1">
      <c r="A89" s="39" t="s">
        <v>556</v>
      </c>
      <c r="B89" s="40">
        <v>88</v>
      </c>
      <c r="C89" s="40">
        <v>6</v>
      </c>
      <c r="D89" s="40">
        <v>8</v>
      </c>
      <c r="E89" s="39" t="s">
        <v>646</v>
      </c>
      <c r="F89" s="39" t="s">
        <v>622</v>
      </c>
      <c r="G89" s="39" t="s">
        <v>647</v>
      </c>
      <c r="H89" s="40" t="s">
        <v>648</v>
      </c>
      <c r="I89" s="40">
        <v>5</v>
      </c>
      <c r="J89" s="39" t="s">
        <v>625</v>
      </c>
      <c r="K89" s="39" t="s">
        <v>626</v>
      </c>
      <c r="L89" s="40" t="s">
        <v>523</v>
      </c>
      <c r="M89" s="40" t="s">
        <v>627</v>
      </c>
      <c r="N89" s="41">
        <f t="shared" si="10"/>
        <v>0.1215277777777778</v>
      </c>
      <c r="O89" s="39" t="s">
        <v>635</v>
      </c>
      <c r="P89" s="42" t="e">
        <f t="shared" si="11"/>
        <v>#REF!</v>
      </c>
      <c r="Q89" s="42">
        <v>11</v>
      </c>
      <c r="R89" s="43" t="e">
        <f>ROUND(#REF!*Q89*Q89+#REF!*Q89,2)</f>
        <v>#REF!</v>
      </c>
      <c r="S89" s="43" t="str">
        <f>IF(OR(V89="",V89=0),"",ROUND(R89/V89,2))</f>
        <v/>
      </c>
      <c r="T89" s="42"/>
      <c r="U89" s="42" t="str">
        <f>IF(OR(T89="",V89="",V89=0),"",T89*V89)</f>
        <v/>
      </c>
      <c r="V89" s="42"/>
      <c r="W89" s="37"/>
      <c r="X89" s="37"/>
      <c r="Y89" s="37"/>
    </row>
    <row r="90" spans="1:25" ht="81.95" customHeight="1">
      <c r="A90" s="39" t="s">
        <v>556</v>
      </c>
      <c r="B90" s="40">
        <v>89</v>
      </c>
      <c r="C90" s="40">
        <v>4</v>
      </c>
      <c r="D90" s="40">
        <v>7</v>
      </c>
      <c r="E90" s="39" t="s">
        <v>649</v>
      </c>
      <c r="F90" s="39" t="s">
        <v>650</v>
      </c>
      <c r="G90" s="39" t="s">
        <v>651</v>
      </c>
      <c r="H90" s="40" t="s">
        <v>652</v>
      </c>
      <c r="I90" s="40">
        <v>5</v>
      </c>
      <c r="J90" s="39" t="s">
        <v>653</v>
      </c>
      <c r="K90" s="39" t="s">
        <v>654</v>
      </c>
      <c r="L90" s="40" t="s">
        <v>515</v>
      </c>
      <c r="M90" s="40" t="s">
        <v>655</v>
      </c>
      <c r="N90" s="41">
        <f t="shared" si="10"/>
        <v>0.12395833333333336</v>
      </c>
      <c r="O90" s="39" t="s">
        <v>635</v>
      </c>
      <c r="P90" s="42" t="e">
        <f t="shared" si="11"/>
        <v>#REF!</v>
      </c>
      <c r="Q90" s="42">
        <v>8</v>
      </c>
      <c r="R90" s="43" t="e">
        <f>ROUND(#REF!*Q90*Q90+#REF!*Q90,2)</f>
        <v>#REF!</v>
      </c>
      <c r="S90" s="43" t="str">
        <f>IF(OR(V90="",V90=0),"",ROUND(R90/V90,2))</f>
        <v/>
      </c>
      <c r="T90" s="42"/>
      <c r="U90" s="42" t="str">
        <f>IF(OR(T90="",V90="",V90=0),"",T90*V90)</f>
        <v/>
      </c>
      <c r="V90" s="42"/>
      <c r="W90" s="37"/>
      <c r="X90" s="37"/>
      <c r="Y90" s="37"/>
    </row>
    <row r="91" spans="1:25" ht="81.95" customHeight="1">
      <c r="A91" s="39" t="s">
        <v>556</v>
      </c>
      <c r="B91" s="40">
        <v>90</v>
      </c>
      <c r="C91" s="40">
        <v>7</v>
      </c>
      <c r="D91" s="40">
        <v>9</v>
      </c>
      <c r="E91" s="39" t="s">
        <v>656</v>
      </c>
      <c r="F91" s="39" t="s">
        <v>657</v>
      </c>
      <c r="G91" s="39" t="s">
        <v>658</v>
      </c>
      <c r="H91" s="40" t="s">
        <v>659</v>
      </c>
      <c r="I91" s="40">
        <v>3</v>
      </c>
      <c r="J91" s="39" t="s">
        <v>660</v>
      </c>
      <c r="K91" s="39" t="s">
        <v>661</v>
      </c>
      <c r="L91" s="40" t="s">
        <v>545</v>
      </c>
      <c r="M91" s="40" t="s">
        <v>662</v>
      </c>
      <c r="N91" s="41">
        <f t="shared" si="10"/>
        <v>0.12685185185185188</v>
      </c>
      <c r="O91" s="39" t="s">
        <v>635</v>
      </c>
      <c r="P91" s="42" t="e">
        <f t="shared" si="11"/>
        <v>#REF!</v>
      </c>
      <c r="Q91" s="42">
        <v>12</v>
      </c>
      <c r="R91" s="43" t="e">
        <f>ROUND(#REF!*Q91*Q91+#REF!*Q91,2)</f>
        <v>#REF!</v>
      </c>
      <c r="S91" s="43" t="e">
        <f t="shared" si="12"/>
        <v>#REF!</v>
      </c>
      <c r="T91" s="42">
        <v>70</v>
      </c>
      <c r="U91" s="42">
        <f t="shared" si="13"/>
        <v>210</v>
      </c>
      <c r="V91" s="42">
        <v>3</v>
      </c>
      <c r="W91" s="37"/>
      <c r="X91" s="37"/>
      <c r="Y91" s="37"/>
    </row>
    <row r="92" spans="1:25" ht="81.95" customHeight="1">
      <c r="A92" s="39" t="s">
        <v>556</v>
      </c>
      <c r="B92" s="40">
        <v>91</v>
      </c>
      <c r="C92" s="40">
        <v>4</v>
      </c>
      <c r="D92" s="40">
        <v>7</v>
      </c>
      <c r="E92" s="39" t="s">
        <v>663</v>
      </c>
      <c r="F92" s="39" t="s">
        <v>629</v>
      </c>
      <c r="G92" s="39" t="s">
        <v>664</v>
      </c>
      <c r="H92" s="40" t="s">
        <v>665</v>
      </c>
      <c r="I92" s="40">
        <v>1</v>
      </c>
      <c r="J92" s="39" t="s">
        <v>632</v>
      </c>
      <c r="K92" s="39" t="s">
        <v>633</v>
      </c>
      <c r="L92" s="40" t="s">
        <v>173</v>
      </c>
      <c r="M92" s="40" t="s">
        <v>634</v>
      </c>
      <c r="N92" s="41">
        <f t="shared" si="10"/>
        <v>0.12812500000000004</v>
      </c>
      <c r="O92" s="39" t="s">
        <v>666</v>
      </c>
      <c r="P92" s="42" t="e">
        <f t="shared" si="11"/>
        <v>#REF!</v>
      </c>
      <c r="Q92" s="42">
        <v>8</v>
      </c>
      <c r="R92" s="43" t="e">
        <f>ROUND(#REF!*Q92*Q92+#REF!*Q92,2)</f>
        <v>#REF!</v>
      </c>
      <c r="S92" s="43" t="str">
        <f>IF(OR(V92="",V92=0),"",ROUND(R92/V92,2))</f>
        <v/>
      </c>
      <c r="T92" s="42"/>
      <c r="U92" s="42" t="str">
        <f>IF(OR(T92="",V92="",V92=0),"",T92*V92)</f>
        <v/>
      </c>
      <c r="V92" s="42"/>
      <c r="W92" s="37"/>
      <c r="X92" s="37"/>
      <c r="Y92" s="37"/>
    </row>
    <row r="93" spans="1:25" ht="81.95" customHeight="1">
      <c r="A93" s="39" t="s">
        <v>556</v>
      </c>
      <c r="B93" s="40">
        <v>92</v>
      </c>
      <c r="C93" s="40">
        <v>5</v>
      </c>
      <c r="D93" s="40">
        <v>7</v>
      </c>
      <c r="E93" s="39" t="s">
        <v>667</v>
      </c>
      <c r="F93" s="39" t="s">
        <v>668</v>
      </c>
      <c r="G93" s="39" t="s">
        <v>669</v>
      </c>
      <c r="H93" s="40" t="s">
        <v>670</v>
      </c>
      <c r="I93" s="40">
        <v>4</v>
      </c>
      <c r="J93" s="39" t="s">
        <v>671</v>
      </c>
      <c r="K93" s="39" t="s">
        <v>672</v>
      </c>
      <c r="L93" s="40" t="s">
        <v>465</v>
      </c>
      <c r="M93" s="40" t="s">
        <v>673</v>
      </c>
      <c r="N93" s="41">
        <f t="shared" si="10"/>
        <v>0.13032407407407412</v>
      </c>
      <c r="O93" s="39" t="s">
        <v>666</v>
      </c>
      <c r="P93" s="42" t="e">
        <f t="shared" si="11"/>
        <v>#REF!</v>
      </c>
      <c r="Q93" s="42">
        <v>8</v>
      </c>
      <c r="R93" s="43" t="e">
        <f>ROUND(#REF!*Q93*Q93+#REF!*Q93,2)</f>
        <v>#REF!</v>
      </c>
      <c r="S93" s="43" t="str">
        <f t="shared" si="12"/>
        <v/>
      </c>
      <c r="T93" s="42"/>
      <c r="U93" s="42" t="str">
        <f t="shared" si="13"/>
        <v/>
      </c>
      <c r="V93" s="42"/>
      <c r="W93" s="37"/>
      <c r="X93" s="37"/>
      <c r="Y93" s="37"/>
    </row>
    <row r="94" spans="1:25" ht="81.95" customHeight="1">
      <c r="A94" s="39" t="s">
        <v>556</v>
      </c>
      <c r="B94" s="40">
        <v>93</v>
      </c>
      <c r="C94" s="40">
        <v>7</v>
      </c>
      <c r="D94" s="40">
        <v>9</v>
      </c>
      <c r="E94" s="39" t="s">
        <v>674</v>
      </c>
      <c r="F94" s="39" t="s">
        <v>675</v>
      </c>
      <c r="G94" s="39" t="s">
        <v>676</v>
      </c>
      <c r="H94" s="40" t="s">
        <v>677</v>
      </c>
      <c r="I94" s="40">
        <v>4</v>
      </c>
      <c r="J94" s="39" t="s">
        <v>678</v>
      </c>
      <c r="K94" s="39" t="s">
        <v>679</v>
      </c>
      <c r="L94" s="40" t="s">
        <v>531</v>
      </c>
      <c r="M94" s="40" t="s">
        <v>680</v>
      </c>
      <c r="N94" s="41">
        <f t="shared" si="10"/>
        <v>0.13333333333333339</v>
      </c>
      <c r="O94" s="39" t="s">
        <v>666</v>
      </c>
      <c r="P94" s="42" t="e">
        <f t="shared" si="11"/>
        <v>#REF!</v>
      </c>
      <c r="Q94" s="42">
        <v>13</v>
      </c>
      <c r="R94" s="43" t="e">
        <f>ROUND(#REF!*Q94*Q94+#REF!*Q94,2)</f>
        <v>#REF!</v>
      </c>
      <c r="S94" s="43" t="e">
        <f t="shared" si="12"/>
        <v>#REF!</v>
      </c>
      <c r="T94" s="42">
        <v>50</v>
      </c>
      <c r="U94" s="42">
        <f t="shared" si="13"/>
        <v>200</v>
      </c>
      <c r="V94" s="42">
        <v>4</v>
      </c>
      <c r="W94" s="37"/>
      <c r="X94" s="37"/>
      <c r="Y94" s="37"/>
    </row>
    <row r="95" spans="1:25" ht="81.95" customHeight="1">
      <c r="A95" s="39" t="s">
        <v>556</v>
      </c>
      <c r="B95" s="40">
        <v>94</v>
      </c>
      <c r="C95" s="40">
        <v>4</v>
      </c>
      <c r="D95" s="40">
        <v>8</v>
      </c>
      <c r="E95" s="39" t="s">
        <v>681</v>
      </c>
      <c r="F95" s="39" t="s">
        <v>153</v>
      </c>
      <c r="G95" s="39" t="s">
        <v>682</v>
      </c>
      <c r="H95" s="40" t="s">
        <v>683</v>
      </c>
      <c r="I95" s="40">
        <v>6</v>
      </c>
      <c r="J95" s="39" t="s">
        <v>684</v>
      </c>
      <c r="K95" s="39" t="s">
        <v>108</v>
      </c>
      <c r="L95" s="40" t="s">
        <v>515</v>
      </c>
      <c r="M95" s="40" t="s">
        <v>157</v>
      </c>
      <c r="N95" s="41">
        <f t="shared" si="10"/>
        <v>0.13576388888888893</v>
      </c>
      <c r="O95" s="39" t="s">
        <v>666</v>
      </c>
      <c r="P95" s="42" t="e">
        <f t="shared" si="11"/>
        <v>#REF!</v>
      </c>
      <c r="Q95" s="42">
        <v>9</v>
      </c>
      <c r="R95" s="43" t="e">
        <f>ROUND(#REF!*Q95*Q95+#REF!*Q95,2)</f>
        <v>#REF!</v>
      </c>
      <c r="S95" s="43" t="str">
        <f t="shared" si="12"/>
        <v/>
      </c>
      <c r="T95" s="42"/>
      <c r="U95" s="42" t="str">
        <f t="shared" si="13"/>
        <v/>
      </c>
      <c r="V95" s="42"/>
      <c r="W95" s="37"/>
      <c r="X95" s="37"/>
      <c r="Y95" s="37"/>
    </row>
    <row r="96" spans="1:25" ht="81.95" customHeight="1">
      <c r="A96" s="39" t="s">
        <v>556</v>
      </c>
      <c r="B96" s="40">
        <v>95</v>
      </c>
      <c r="C96" s="40">
        <v>2</v>
      </c>
      <c r="D96" s="40">
        <v>8</v>
      </c>
      <c r="E96" s="39" t="s">
        <v>685</v>
      </c>
      <c r="F96" s="39" t="s">
        <v>586</v>
      </c>
      <c r="G96" s="39" t="s">
        <v>686</v>
      </c>
      <c r="H96" s="40" t="s">
        <v>687</v>
      </c>
      <c r="I96" s="40">
        <v>2</v>
      </c>
      <c r="J96" s="39" t="s">
        <v>589</v>
      </c>
      <c r="K96" s="39" t="s">
        <v>590</v>
      </c>
      <c r="L96" s="40" t="s">
        <v>189</v>
      </c>
      <c r="M96" s="40" t="s">
        <v>591</v>
      </c>
      <c r="N96" s="41">
        <f t="shared" si="10"/>
        <v>0.13668981481481485</v>
      </c>
      <c r="O96" s="39" t="s">
        <v>666</v>
      </c>
      <c r="P96" s="42" t="e">
        <f t="shared" si="11"/>
        <v>#REF!</v>
      </c>
      <c r="Q96" s="42">
        <v>7</v>
      </c>
      <c r="R96" s="43" t="e">
        <f>ROUND(#REF!*Q96*Q96+#REF!*Q96,2)</f>
        <v>#REF!</v>
      </c>
      <c r="S96" s="43" t="str">
        <f t="shared" si="12"/>
        <v/>
      </c>
      <c r="T96" s="42"/>
      <c r="U96" s="42" t="str">
        <f t="shared" si="13"/>
        <v/>
      </c>
      <c r="V96" s="42"/>
      <c r="W96" s="37"/>
      <c r="X96" s="37"/>
      <c r="Y96" s="37"/>
    </row>
    <row r="97" spans="1:25" ht="81.95" customHeight="1">
      <c r="A97" s="39" t="s">
        <v>556</v>
      </c>
      <c r="B97" s="40">
        <v>96</v>
      </c>
      <c r="C97" s="40">
        <v>8</v>
      </c>
      <c r="D97" s="40">
        <v>10</v>
      </c>
      <c r="E97" s="39" t="s">
        <v>688</v>
      </c>
      <c r="F97" s="39" t="s">
        <v>689</v>
      </c>
      <c r="G97" s="39" t="s">
        <v>690</v>
      </c>
      <c r="H97" s="40" t="s">
        <v>691</v>
      </c>
      <c r="I97" s="40">
        <v>8</v>
      </c>
      <c r="J97" s="39" t="s">
        <v>692</v>
      </c>
      <c r="K97" s="39" t="s">
        <v>693</v>
      </c>
      <c r="L97" s="40" t="s">
        <v>694</v>
      </c>
      <c r="M97" s="40" t="s">
        <v>695</v>
      </c>
      <c r="N97" s="41">
        <f t="shared" si="10"/>
        <v>0.14027777777777781</v>
      </c>
      <c r="O97" s="39" t="s">
        <v>696</v>
      </c>
      <c r="P97" s="42" t="e">
        <f t="shared" si="11"/>
        <v>#REF!</v>
      </c>
      <c r="Q97" s="42">
        <v>17</v>
      </c>
      <c r="R97" s="43" t="e">
        <f>ROUND(#REF!*Q97*Q97+#REF!*Q97,2)</f>
        <v>#REF!</v>
      </c>
      <c r="S97" s="43" t="e">
        <f t="shared" ref="S97:S107" si="16">IF(OR(V97="",V97=0),"",ROUND(R97/V97,2))</f>
        <v>#REF!</v>
      </c>
      <c r="T97" s="42">
        <v>270</v>
      </c>
      <c r="U97" s="42">
        <f t="shared" ref="U97:U107" si="17">IF(OR(T97="",V97="",V97=0),"",T97*V97)</f>
        <v>270</v>
      </c>
      <c r="V97" s="42">
        <v>1</v>
      </c>
      <c r="W97" s="37"/>
      <c r="X97" s="37"/>
      <c r="Y97" s="37"/>
    </row>
    <row r="98" spans="1:25" ht="81.95" customHeight="1">
      <c r="A98" s="39" t="s">
        <v>556</v>
      </c>
      <c r="B98" s="40">
        <v>97</v>
      </c>
      <c r="C98" s="40">
        <v>8</v>
      </c>
      <c r="D98" s="40">
        <v>10</v>
      </c>
      <c r="E98" s="39" t="s">
        <v>697</v>
      </c>
      <c r="F98" s="39" t="s">
        <v>698</v>
      </c>
      <c r="G98" s="39" t="s">
        <v>699</v>
      </c>
      <c r="H98" s="40" t="s">
        <v>700</v>
      </c>
      <c r="I98" s="40">
        <v>6</v>
      </c>
      <c r="J98" s="39" t="s">
        <v>701</v>
      </c>
      <c r="K98" s="39" t="s">
        <v>702</v>
      </c>
      <c r="L98" s="40" t="s">
        <v>531</v>
      </c>
      <c r="M98" s="40" t="s">
        <v>703</v>
      </c>
      <c r="N98" s="41">
        <f t="shared" si="10"/>
        <v>0.14328703703703707</v>
      </c>
      <c r="O98" s="39" t="s">
        <v>696</v>
      </c>
      <c r="P98" s="42" t="e">
        <f t="shared" si="11"/>
        <v>#REF!</v>
      </c>
      <c r="Q98" s="42">
        <v>11</v>
      </c>
      <c r="R98" s="43" t="e">
        <f>ROUND(#REF!*Q98*Q98+#REF!*Q98,2)</f>
        <v>#REF!</v>
      </c>
      <c r="S98" s="43" t="str">
        <f t="shared" si="16"/>
        <v/>
      </c>
      <c r="T98" s="42"/>
      <c r="U98" s="42" t="str">
        <f t="shared" si="17"/>
        <v/>
      </c>
      <c r="V98" s="42"/>
      <c r="W98" s="37"/>
      <c r="X98" s="37"/>
      <c r="Y98" s="37"/>
    </row>
    <row r="99" spans="1:25" ht="81.95" customHeight="1">
      <c r="A99" s="39" t="s">
        <v>556</v>
      </c>
      <c r="B99" s="40">
        <v>98</v>
      </c>
      <c r="C99" s="40">
        <v>9</v>
      </c>
      <c r="D99" s="40">
        <v>10</v>
      </c>
      <c r="E99" s="39" t="s">
        <v>704</v>
      </c>
      <c r="F99" s="39" t="s">
        <v>705</v>
      </c>
      <c r="G99" s="39" t="s">
        <v>706</v>
      </c>
      <c r="H99" s="40" t="s">
        <v>707</v>
      </c>
      <c r="I99" s="40">
        <v>9</v>
      </c>
      <c r="J99" s="39" t="s">
        <v>708</v>
      </c>
      <c r="K99" s="39" t="s">
        <v>709</v>
      </c>
      <c r="L99" s="40" t="s">
        <v>710</v>
      </c>
      <c r="M99" s="40" t="s">
        <v>711</v>
      </c>
      <c r="N99" s="41">
        <f t="shared" ref="N99:N120" si="18">N98+(IFERROR(VALUE(LEFT(L99,FIND("분",L99)-1))*60,0)+IFERROR(VALUE(TRIM(MID(L99,IFERROR(FIND("분",L99),0)+1,FIND("초",L99)-IFERROR(FIND("분",L99),0)-1))),0))/86400</f>
        <v>0.147337962962963</v>
      </c>
      <c r="O99" s="39" t="s">
        <v>696</v>
      </c>
      <c r="P99" s="42" t="e">
        <f t="shared" ref="P99:P130" si="19">P98+Q99</f>
        <v>#REF!</v>
      </c>
      <c r="Q99" s="42">
        <v>18</v>
      </c>
      <c r="R99" s="43" t="e">
        <f>ROUND(#REF!*Q99*Q99+#REF!*Q99,2)</f>
        <v>#REF!</v>
      </c>
      <c r="S99" s="43" t="e">
        <f t="shared" si="16"/>
        <v>#REF!</v>
      </c>
      <c r="T99" s="42">
        <v>320</v>
      </c>
      <c r="U99" s="42">
        <f t="shared" si="17"/>
        <v>320</v>
      </c>
      <c r="V99" s="42">
        <v>1</v>
      </c>
      <c r="W99" s="37"/>
      <c r="X99" s="37"/>
      <c r="Y99" s="37"/>
    </row>
    <row r="100" spans="1:25" ht="81.95" customHeight="1">
      <c r="A100" s="39" t="s">
        <v>556</v>
      </c>
      <c r="B100" s="40">
        <v>99</v>
      </c>
      <c r="C100" s="40">
        <v>10</v>
      </c>
      <c r="D100" s="40">
        <v>10</v>
      </c>
      <c r="E100" s="39" t="s">
        <v>712</v>
      </c>
      <c r="F100" s="39" t="s">
        <v>713</v>
      </c>
      <c r="G100" s="39" t="s">
        <v>714</v>
      </c>
      <c r="H100" s="40" t="s">
        <v>715</v>
      </c>
      <c r="I100" s="40">
        <v>6</v>
      </c>
      <c r="J100" s="39" t="s">
        <v>716</v>
      </c>
      <c r="K100" s="39" t="s">
        <v>717</v>
      </c>
      <c r="L100" s="40" t="s">
        <v>718</v>
      </c>
      <c r="M100" s="40" t="s">
        <v>719</v>
      </c>
      <c r="N100" s="41">
        <f t="shared" si="18"/>
        <v>0.15000000000000005</v>
      </c>
      <c r="O100" s="39" t="s">
        <v>696</v>
      </c>
      <c r="P100" s="42" t="e">
        <f t="shared" si="19"/>
        <v>#REF!</v>
      </c>
      <c r="Q100" s="42">
        <v>11</v>
      </c>
      <c r="R100" s="43" t="e">
        <f>ROUND(#REF!*Q100*Q100+#REF!*Q100,2)</f>
        <v>#REF!</v>
      </c>
      <c r="S100" s="43" t="str">
        <f t="shared" si="16"/>
        <v/>
      </c>
      <c r="T100" s="42"/>
      <c r="U100" s="42" t="str">
        <f t="shared" si="17"/>
        <v/>
      </c>
      <c r="V100" s="42"/>
      <c r="W100" s="37"/>
      <c r="X100" s="37"/>
      <c r="Y100" s="37"/>
    </row>
    <row r="101" spans="1:25" ht="81.95" customHeight="1">
      <c r="A101" s="39" t="s">
        <v>556</v>
      </c>
      <c r="B101" s="40">
        <v>100</v>
      </c>
      <c r="C101" s="40">
        <v>7</v>
      </c>
      <c r="D101" s="40">
        <v>10</v>
      </c>
      <c r="E101" s="39" t="s">
        <v>720</v>
      </c>
      <c r="F101" s="39" t="s">
        <v>721</v>
      </c>
      <c r="G101" s="39" t="s">
        <v>722</v>
      </c>
      <c r="H101" s="40" t="s">
        <v>723</v>
      </c>
      <c r="I101" s="40">
        <v>5</v>
      </c>
      <c r="J101" s="39" t="s">
        <v>724</v>
      </c>
      <c r="K101" s="39" t="s">
        <v>725</v>
      </c>
      <c r="L101" s="40" t="s">
        <v>301</v>
      </c>
      <c r="M101" s="40" t="s">
        <v>726</v>
      </c>
      <c r="N101" s="41">
        <f t="shared" si="18"/>
        <v>0.15162037037037043</v>
      </c>
      <c r="O101" s="39" t="s">
        <v>696</v>
      </c>
      <c r="P101" s="42" t="e">
        <f t="shared" si="19"/>
        <v>#REF!</v>
      </c>
      <c r="Q101" s="42">
        <v>10</v>
      </c>
      <c r="R101" s="43" t="e">
        <f>ROUND(#REF!*Q101*Q101+#REF!*Q101,2)</f>
        <v>#REF!</v>
      </c>
      <c r="S101" s="43" t="str">
        <f t="shared" si="16"/>
        <v/>
      </c>
      <c r="T101" s="42"/>
      <c r="U101" s="42" t="str">
        <f t="shared" si="17"/>
        <v/>
      </c>
      <c r="V101" s="42"/>
      <c r="W101" s="37"/>
      <c r="X101" s="37"/>
      <c r="Y101" s="37"/>
    </row>
    <row r="102" spans="1:25" ht="81.95" customHeight="1">
      <c r="A102" s="39" t="s">
        <v>556</v>
      </c>
      <c r="B102" s="40">
        <v>101</v>
      </c>
      <c r="C102" s="40">
        <v>1</v>
      </c>
      <c r="D102" s="40">
        <v>10</v>
      </c>
      <c r="E102" s="39" t="s">
        <v>727</v>
      </c>
      <c r="F102" s="39" t="s">
        <v>728</v>
      </c>
      <c r="G102" s="39" t="s">
        <v>729</v>
      </c>
      <c r="H102" s="40" t="s">
        <v>730</v>
      </c>
      <c r="I102" s="40">
        <v>1</v>
      </c>
      <c r="J102" s="39" t="s">
        <v>731</v>
      </c>
      <c r="K102" s="39" t="s">
        <v>732</v>
      </c>
      <c r="L102" s="40" t="s">
        <v>109</v>
      </c>
      <c r="M102" s="40" t="s">
        <v>733</v>
      </c>
      <c r="N102" s="41">
        <f t="shared" si="18"/>
        <v>0.1526620370370371</v>
      </c>
      <c r="O102" s="39" t="s">
        <v>696</v>
      </c>
      <c r="P102" s="42" t="e">
        <f t="shared" si="19"/>
        <v>#REF!</v>
      </c>
      <c r="Q102" s="42">
        <v>7</v>
      </c>
      <c r="R102" s="43" t="e">
        <f>ROUND(#REF!*Q102*Q102+#REF!*Q102,2)</f>
        <v>#REF!</v>
      </c>
      <c r="S102" s="43" t="str">
        <f t="shared" si="16"/>
        <v/>
      </c>
      <c r="T102" s="42"/>
      <c r="U102" s="42" t="str">
        <f t="shared" si="17"/>
        <v/>
      </c>
      <c r="V102" s="42"/>
      <c r="W102" s="37"/>
      <c r="X102" s="37"/>
      <c r="Y102" s="37"/>
    </row>
    <row r="103" spans="1:25" ht="81.95" customHeight="1">
      <c r="A103" s="39" t="s">
        <v>556</v>
      </c>
      <c r="B103" s="40">
        <v>102</v>
      </c>
      <c r="C103" s="40">
        <v>2</v>
      </c>
      <c r="D103" s="40">
        <v>10</v>
      </c>
      <c r="E103" s="39" t="s">
        <v>734</v>
      </c>
      <c r="F103" s="39" t="s">
        <v>735</v>
      </c>
      <c r="G103" s="39" t="s">
        <v>736</v>
      </c>
      <c r="H103" s="40" t="s">
        <v>737</v>
      </c>
      <c r="I103" s="40">
        <v>3</v>
      </c>
      <c r="J103" s="39" t="s">
        <v>738</v>
      </c>
      <c r="K103" s="39" t="s">
        <v>739</v>
      </c>
      <c r="L103" s="40" t="s">
        <v>301</v>
      </c>
      <c r="M103" s="40" t="s">
        <v>740</v>
      </c>
      <c r="N103" s="41">
        <f t="shared" si="18"/>
        <v>0.15428240740740748</v>
      </c>
      <c r="O103" s="39" t="s">
        <v>696</v>
      </c>
      <c r="P103" s="42" t="e">
        <f t="shared" si="19"/>
        <v>#REF!</v>
      </c>
      <c r="Q103" s="42">
        <v>9</v>
      </c>
      <c r="R103" s="43" t="e">
        <f>ROUND(#REF!*Q103*Q103+#REF!*Q103,2)</f>
        <v>#REF!</v>
      </c>
      <c r="S103" s="43" t="str">
        <f t="shared" si="16"/>
        <v/>
      </c>
      <c r="T103" s="42"/>
      <c r="U103" s="42" t="str">
        <f t="shared" si="17"/>
        <v/>
      </c>
      <c r="V103" s="42"/>
      <c r="W103" s="37"/>
      <c r="X103" s="37"/>
      <c r="Y103" s="37"/>
    </row>
    <row r="104" spans="1:25" ht="81.95" customHeight="1">
      <c r="A104" s="39" t="s">
        <v>556</v>
      </c>
      <c r="B104" s="40">
        <v>103</v>
      </c>
      <c r="C104" s="40">
        <v>6</v>
      </c>
      <c r="D104" s="40">
        <v>9</v>
      </c>
      <c r="E104" s="39" t="s">
        <v>741</v>
      </c>
      <c r="F104" s="39" t="s">
        <v>742</v>
      </c>
      <c r="G104" s="39" t="s">
        <v>743</v>
      </c>
      <c r="H104" s="40" t="s">
        <v>744</v>
      </c>
      <c r="I104" s="40">
        <v>1</v>
      </c>
      <c r="J104" s="39" t="s">
        <v>745</v>
      </c>
      <c r="K104" s="39" t="s">
        <v>746</v>
      </c>
      <c r="L104" s="40" t="s">
        <v>284</v>
      </c>
      <c r="M104" s="40" t="s">
        <v>747</v>
      </c>
      <c r="N104" s="41">
        <f t="shared" si="18"/>
        <v>0.15636574074074081</v>
      </c>
      <c r="O104" s="39" t="s">
        <v>748</v>
      </c>
      <c r="P104" s="42" t="e">
        <f t="shared" si="19"/>
        <v>#REF!</v>
      </c>
      <c r="Q104" s="42">
        <v>10</v>
      </c>
      <c r="R104" s="43" t="e">
        <f>ROUND(#REF!*Q104*Q104+#REF!*Q104,2)</f>
        <v>#REF!</v>
      </c>
      <c r="S104" s="43" t="str">
        <f t="shared" si="16"/>
        <v/>
      </c>
      <c r="T104" s="42"/>
      <c r="U104" s="42" t="str">
        <f t="shared" si="17"/>
        <v/>
      </c>
      <c r="V104" s="42"/>
      <c r="W104" s="37"/>
      <c r="X104" s="37"/>
      <c r="Y104" s="37"/>
    </row>
    <row r="105" spans="1:25" ht="81.95" customHeight="1">
      <c r="A105" s="39" t="s">
        <v>556</v>
      </c>
      <c r="B105" s="40">
        <v>104</v>
      </c>
      <c r="C105" s="40">
        <v>1</v>
      </c>
      <c r="D105" s="40">
        <v>8</v>
      </c>
      <c r="E105" s="39" t="s">
        <v>749</v>
      </c>
      <c r="F105" s="39" t="s">
        <v>750</v>
      </c>
      <c r="G105" s="39" t="s">
        <v>751</v>
      </c>
      <c r="H105" s="40" t="s">
        <v>752</v>
      </c>
      <c r="I105" s="40">
        <v>3</v>
      </c>
      <c r="J105" s="39" t="s">
        <v>753</v>
      </c>
      <c r="K105" s="39" t="s">
        <v>754</v>
      </c>
      <c r="L105" s="40" t="s">
        <v>173</v>
      </c>
      <c r="M105" s="40" t="s">
        <v>755</v>
      </c>
      <c r="N105" s="41">
        <f t="shared" si="18"/>
        <v>0.15763888888888894</v>
      </c>
      <c r="O105" s="39" t="s">
        <v>748</v>
      </c>
      <c r="P105" s="42" t="e">
        <f t="shared" si="19"/>
        <v>#REF!</v>
      </c>
      <c r="Q105" s="42">
        <v>7</v>
      </c>
      <c r="R105" s="43" t="e">
        <f>ROUND(#REF!*Q105*Q105+#REF!*Q105,2)</f>
        <v>#REF!</v>
      </c>
      <c r="S105" s="43" t="str">
        <f t="shared" si="16"/>
        <v/>
      </c>
      <c r="T105" s="42"/>
      <c r="U105" s="42" t="str">
        <f t="shared" si="17"/>
        <v/>
      </c>
      <c r="V105" s="42"/>
      <c r="W105" s="37"/>
      <c r="X105" s="37"/>
      <c r="Y105" s="37"/>
    </row>
    <row r="106" spans="1:25" ht="81.95" customHeight="1">
      <c r="A106" s="39" t="s">
        <v>756</v>
      </c>
      <c r="B106" s="40">
        <v>105</v>
      </c>
      <c r="C106" s="40">
        <v>1</v>
      </c>
      <c r="D106" s="40">
        <v>8</v>
      </c>
      <c r="E106" s="39" t="s">
        <v>757</v>
      </c>
      <c r="F106" s="39" t="s">
        <v>758</v>
      </c>
      <c r="G106" s="39" t="s">
        <v>759</v>
      </c>
      <c r="H106" s="40" t="s">
        <v>760</v>
      </c>
      <c r="I106" s="40">
        <v>2</v>
      </c>
      <c r="J106" s="39" t="s">
        <v>761</v>
      </c>
      <c r="K106" s="39" t="s">
        <v>108</v>
      </c>
      <c r="L106" s="40" t="s">
        <v>212</v>
      </c>
      <c r="M106" s="40" t="s">
        <v>762</v>
      </c>
      <c r="N106" s="41">
        <f t="shared" si="18"/>
        <v>0.15879629629629635</v>
      </c>
      <c r="O106" s="39" t="s">
        <v>763</v>
      </c>
      <c r="P106" s="42" t="e">
        <f t="shared" si="19"/>
        <v>#REF!</v>
      </c>
      <c r="Q106" s="42">
        <v>7</v>
      </c>
      <c r="R106" s="43" t="e">
        <f>ROUND(#REF!*Q106*Q106+#REF!*Q106,2)</f>
        <v>#REF!</v>
      </c>
      <c r="S106" s="43" t="str">
        <f t="shared" si="16"/>
        <v/>
      </c>
      <c r="T106" s="42"/>
      <c r="U106" s="42" t="str">
        <f t="shared" si="17"/>
        <v/>
      </c>
      <c r="V106" s="42"/>
      <c r="W106" s="37"/>
      <c r="X106" s="37"/>
      <c r="Y106" s="37"/>
    </row>
    <row r="107" spans="1:25" ht="81.95" customHeight="1">
      <c r="A107" s="39" t="s">
        <v>756</v>
      </c>
      <c r="B107" s="40">
        <v>106</v>
      </c>
      <c r="C107" s="40">
        <v>1</v>
      </c>
      <c r="D107" s="40">
        <v>9</v>
      </c>
      <c r="E107" s="39" t="s">
        <v>764</v>
      </c>
      <c r="F107" s="39" t="s">
        <v>765</v>
      </c>
      <c r="G107" s="39" t="s">
        <v>766</v>
      </c>
      <c r="H107" s="40" t="s">
        <v>767</v>
      </c>
      <c r="I107" s="40">
        <v>4</v>
      </c>
      <c r="J107" s="39" t="s">
        <v>768</v>
      </c>
      <c r="K107" s="39" t="s">
        <v>108</v>
      </c>
      <c r="L107" s="40" t="s">
        <v>301</v>
      </c>
      <c r="M107" s="40" t="s">
        <v>769</v>
      </c>
      <c r="N107" s="41">
        <f t="shared" si="18"/>
        <v>0.16041666666666674</v>
      </c>
      <c r="O107" s="39" t="s">
        <v>763</v>
      </c>
      <c r="P107" s="42" t="e">
        <f t="shared" si="19"/>
        <v>#REF!</v>
      </c>
      <c r="Q107" s="42">
        <v>9</v>
      </c>
      <c r="R107" s="43" t="e">
        <f>ROUND(#REF!*Q107*Q107+#REF!*Q107,2)</f>
        <v>#REF!</v>
      </c>
      <c r="S107" s="43" t="str">
        <f t="shared" si="16"/>
        <v/>
      </c>
      <c r="T107" s="42"/>
      <c r="U107" s="42" t="str">
        <f t="shared" si="17"/>
        <v/>
      </c>
      <c r="V107" s="42"/>
      <c r="W107" s="37"/>
      <c r="X107" s="37"/>
      <c r="Y107" s="37"/>
    </row>
    <row r="108" spans="1:25" ht="81.95" customHeight="1">
      <c r="A108" s="39" t="s">
        <v>756</v>
      </c>
      <c r="B108" s="40">
        <v>107</v>
      </c>
      <c r="C108" s="40">
        <v>5</v>
      </c>
      <c r="D108" s="40">
        <v>9</v>
      </c>
      <c r="E108" s="39" t="s">
        <v>770</v>
      </c>
      <c r="F108" s="39" t="s">
        <v>134</v>
      </c>
      <c r="G108" s="39" t="s">
        <v>771</v>
      </c>
      <c r="H108" s="40" t="s">
        <v>772</v>
      </c>
      <c r="I108" s="40">
        <v>1</v>
      </c>
      <c r="J108" s="39" t="s">
        <v>773</v>
      </c>
      <c r="K108" s="39" t="s">
        <v>108</v>
      </c>
      <c r="L108" s="40" t="s">
        <v>284</v>
      </c>
      <c r="M108" s="40" t="s">
        <v>139</v>
      </c>
      <c r="N108" s="41">
        <f t="shared" si="18"/>
        <v>0.16250000000000006</v>
      </c>
      <c r="O108" s="39" t="s">
        <v>763</v>
      </c>
      <c r="P108" s="42" t="e">
        <f t="shared" si="19"/>
        <v>#REF!</v>
      </c>
      <c r="Q108" s="42">
        <v>10</v>
      </c>
      <c r="R108" s="43" t="e">
        <f>ROUND(#REF!*Q108*Q108+#REF!*Q108,2)</f>
        <v>#REF!</v>
      </c>
      <c r="S108" s="43" t="str">
        <f t="shared" si="12"/>
        <v/>
      </c>
      <c r="T108" s="42"/>
      <c r="U108" s="42" t="str">
        <f t="shared" si="13"/>
        <v/>
      </c>
      <c r="V108" s="42"/>
      <c r="W108" s="37"/>
      <c r="X108" s="37"/>
      <c r="Y108" s="37"/>
    </row>
    <row r="109" spans="1:25" ht="81.95" customHeight="1">
      <c r="A109" s="39" t="s">
        <v>756</v>
      </c>
      <c r="B109" s="40">
        <v>108</v>
      </c>
      <c r="C109" s="40">
        <v>6</v>
      </c>
      <c r="D109" s="40">
        <v>10</v>
      </c>
      <c r="E109" s="39" t="s">
        <v>774</v>
      </c>
      <c r="F109" s="39" t="s">
        <v>775</v>
      </c>
      <c r="G109" s="39" t="s">
        <v>776</v>
      </c>
      <c r="H109" s="40" t="s">
        <v>777</v>
      </c>
      <c r="I109" s="40">
        <v>3</v>
      </c>
      <c r="J109" s="39" t="s">
        <v>778</v>
      </c>
      <c r="K109" s="39" t="s">
        <v>779</v>
      </c>
      <c r="L109" s="40" t="s">
        <v>487</v>
      </c>
      <c r="M109" s="40" t="s">
        <v>780</v>
      </c>
      <c r="N109" s="41">
        <f t="shared" si="18"/>
        <v>0.16400462962962969</v>
      </c>
      <c r="O109" s="39" t="s">
        <v>781</v>
      </c>
      <c r="P109" s="42" t="e">
        <f t="shared" si="19"/>
        <v>#REF!</v>
      </c>
      <c r="Q109" s="42">
        <v>10</v>
      </c>
      <c r="R109" s="43" t="e">
        <f>ROUND(#REF!*Q109*Q109+#REF!*Q109,2)</f>
        <v>#REF!</v>
      </c>
      <c r="S109" s="43" t="str">
        <f t="shared" si="12"/>
        <v/>
      </c>
      <c r="T109" s="42"/>
      <c r="U109" s="42" t="str">
        <f t="shared" si="13"/>
        <v/>
      </c>
      <c r="V109" s="42"/>
      <c r="W109" s="37"/>
      <c r="X109" s="37"/>
      <c r="Y109" s="37"/>
    </row>
    <row r="110" spans="1:25" ht="81.95" customHeight="1">
      <c r="A110" s="39" t="s">
        <v>756</v>
      </c>
      <c r="B110" s="40">
        <v>109</v>
      </c>
      <c r="C110" s="40">
        <v>5</v>
      </c>
      <c r="D110" s="40">
        <v>9</v>
      </c>
      <c r="E110" s="39" t="s">
        <v>782</v>
      </c>
      <c r="F110" s="39" t="s">
        <v>783</v>
      </c>
      <c r="G110" s="39" t="s">
        <v>784</v>
      </c>
      <c r="H110" s="40" t="s">
        <v>785</v>
      </c>
      <c r="I110" s="40">
        <v>8</v>
      </c>
      <c r="J110" s="39" t="s">
        <v>786</v>
      </c>
      <c r="K110" s="39" t="s">
        <v>787</v>
      </c>
      <c r="L110" s="40" t="s">
        <v>788</v>
      </c>
      <c r="M110" s="40" t="s">
        <v>789</v>
      </c>
      <c r="N110" s="41">
        <f t="shared" si="18"/>
        <v>0.16655092592592599</v>
      </c>
      <c r="O110" s="39" t="s">
        <v>781</v>
      </c>
      <c r="P110" s="42" t="e">
        <f t="shared" si="19"/>
        <v>#REF!</v>
      </c>
      <c r="Q110" s="42">
        <v>12</v>
      </c>
      <c r="R110" s="43" t="e">
        <f>ROUND(#REF!*Q110*Q110+#REF!*Q110,2)</f>
        <v>#REF!</v>
      </c>
      <c r="S110" s="43" t="str">
        <f t="shared" ref="S110:S124" si="20">IF(OR(V110="",V110=0),"",ROUND(R110/V110,2))</f>
        <v/>
      </c>
      <c r="T110" s="42"/>
      <c r="U110" s="42" t="str">
        <f t="shared" ref="U110:U124" si="21">IF(OR(T110="",V110="",V110=0),"",T110*V110)</f>
        <v/>
      </c>
      <c r="V110" s="42"/>
      <c r="W110" s="37"/>
      <c r="X110" s="37"/>
      <c r="Y110" s="37"/>
    </row>
    <row r="111" spans="1:25" ht="81.95" customHeight="1">
      <c r="A111" s="39" t="s">
        <v>756</v>
      </c>
      <c r="B111" s="40">
        <v>110</v>
      </c>
      <c r="C111" s="40">
        <v>2</v>
      </c>
      <c r="D111" s="40">
        <v>10</v>
      </c>
      <c r="E111" s="39" t="s">
        <v>790</v>
      </c>
      <c r="F111" s="39" t="s">
        <v>791</v>
      </c>
      <c r="G111" s="39" t="s">
        <v>792</v>
      </c>
      <c r="H111" s="40" t="s">
        <v>793</v>
      </c>
      <c r="I111" s="40">
        <v>5</v>
      </c>
      <c r="J111" s="39" t="s">
        <v>794</v>
      </c>
      <c r="K111" s="39" t="s">
        <v>108</v>
      </c>
      <c r="L111" s="40" t="s">
        <v>515</v>
      </c>
      <c r="M111" s="40" t="s">
        <v>795</v>
      </c>
      <c r="N111" s="41">
        <f t="shared" si="18"/>
        <v>0.16898148148148154</v>
      </c>
      <c r="O111" s="39" t="s">
        <v>781</v>
      </c>
      <c r="P111" s="42" t="e">
        <f t="shared" si="19"/>
        <v>#REF!</v>
      </c>
      <c r="Q111" s="42">
        <v>11</v>
      </c>
      <c r="R111" s="43" t="e">
        <f>ROUND(#REF!*Q111*Q111+#REF!*Q111,2)</f>
        <v>#REF!</v>
      </c>
      <c r="S111" s="43" t="str">
        <f t="shared" si="20"/>
        <v/>
      </c>
      <c r="T111" s="42"/>
      <c r="U111" s="42" t="str">
        <f t="shared" si="21"/>
        <v/>
      </c>
      <c r="V111" s="42"/>
      <c r="W111" s="37"/>
      <c r="X111" s="37"/>
      <c r="Y111" s="37"/>
    </row>
    <row r="112" spans="1:25" ht="81.95" customHeight="1">
      <c r="A112" s="39" t="s">
        <v>756</v>
      </c>
      <c r="B112" s="40">
        <v>111</v>
      </c>
      <c r="C112" s="40">
        <v>7</v>
      </c>
      <c r="D112" s="40">
        <v>10</v>
      </c>
      <c r="E112" s="39" t="s">
        <v>796</v>
      </c>
      <c r="F112" s="39" t="s">
        <v>797</v>
      </c>
      <c r="G112" s="39" t="s">
        <v>798</v>
      </c>
      <c r="H112" s="40" t="s">
        <v>799</v>
      </c>
      <c r="I112" s="40">
        <v>6</v>
      </c>
      <c r="J112" s="39" t="s">
        <v>800</v>
      </c>
      <c r="K112" s="39" t="s">
        <v>801</v>
      </c>
      <c r="L112" s="40" t="s">
        <v>531</v>
      </c>
      <c r="M112" s="40" t="s">
        <v>802</v>
      </c>
      <c r="N112" s="41">
        <f t="shared" si="18"/>
        <v>0.17199074074074081</v>
      </c>
      <c r="O112" s="39" t="s">
        <v>781</v>
      </c>
      <c r="P112" s="42" t="e">
        <f t="shared" si="19"/>
        <v>#REF!</v>
      </c>
      <c r="Q112" s="42">
        <v>14</v>
      </c>
      <c r="R112" s="43" t="e">
        <f>ROUND(#REF!*Q112*Q112+#REF!*Q112,2)</f>
        <v>#REF!</v>
      </c>
      <c r="S112" s="43" t="str">
        <f t="shared" si="20"/>
        <v/>
      </c>
      <c r="T112" s="42"/>
      <c r="U112" s="42" t="str">
        <f t="shared" si="21"/>
        <v/>
      </c>
      <c r="V112" s="42"/>
      <c r="W112" s="37"/>
      <c r="X112" s="37"/>
      <c r="Y112" s="37"/>
    </row>
    <row r="113" spans="1:25" ht="81.95" customHeight="1">
      <c r="A113" s="39" t="s">
        <v>756</v>
      </c>
      <c r="B113" s="40">
        <v>112</v>
      </c>
      <c r="C113" s="40">
        <v>9</v>
      </c>
      <c r="D113" s="40">
        <v>10</v>
      </c>
      <c r="E113" s="39" t="s">
        <v>803</v>
      </c>
      <c r="F113" s="39" t="s">
        <v>804</v>
      </c>
      <c r="G113" s="39" t="s">
        <v>805</v>
      </c>
      <c r="H113" s="40" t="s">
        <v>806</v>
      </c>
      <c r="I113" s="40">
        <v>10</v>
      </c>
      <c r="J113" s="39" t="s">
        <v>807</v>
      </c>
      <c r="K113" s="39" t="s">
        <v>808</v>
      </c>
      <c r="L113" s="40" t="s">
        <v>809</v>
      </c>
      <c r="M113" s="40" t="s">
        <v>810</v>
      </c>
      <c r="N113" s="41">
        <f t="shared" si="18"/>
        <v>0.17615740740740748</v>
      </c>
      <c r="O113" s="39" t="s">
        <v>781</v>
      </c>
      <c r="P113" s="42" t="e">
        <f t="shared" si="19"/>
        <v>#REF!</v>
      </c>
      <c r="Q113" s="42">
        <v>18</v>
      </c>
      <c r="R113" s="43" t="e">
        <f>ROUND(#REF!*Q113*Q113+#REF!*Q113,2)</f>
        <v>#REF!</v>
      </c>
      <c r="S113" s="43" t="e">
        <f t="shared" si="20"/>
        <v>#REF!</v>
      </c>
      <c r="T113" s="42">
        <v>330</v>
      </c>
      <c r="U113" s="42">
        <f t="shared" si="21"/>
        <v>330</v>
      </c>
      <c r="V113" s="42">
        <v>1</v>
      </c>
      <c r="W113" s="37"/>
      <c r="X113" s="37"/>
      <c r="Y113" s="37"/>
    </row>
    <row r="114" spans="1:25" ht="81.95" customHeight="1">
      <c r="A114" s="39" t="s">
        <v>756</v>
      </c>
      <c r="B114" s="40">
        <v>113</v>
      </c>
      <c r="C114" s="40">
        <v>6</v>
      </c>
      <c r="D114" s="40">
        <v>10</v>
      </c>
      <c r="E114" s="39" t="s">
        <v>811</v>
      </c>
      <c r="F114" s="39" t="s">
        <v>812</v>
      </c>
      <c r="G114" s="39" t="s">
        <v>813</v>
      </c>
      <c r="H114" s="40" t="s">
        <v>814</v>
      </c>
      <c r="I114" s="40">
        <v>1</v>
      </c>
      <c r="J114" s="39" t="s">
        <v>815</v>
      </c>
      <c r="K114" s="39" t="s">
        <v>816</v>
      </c>
      <c r="L114" s="40" t="s">
        <v>226</v>
      </c>
      <c r="M114" s="40" t="s">
        <v>817</v>
      </c>
      <c r="N114" s="41">
        <f t="shared" si="18"/>
        <v>0.17789351851851859</v>
      </c>
      <c r="O114" s="39" t="s">
        <v>818</v>
      </c>
      <c r="P114" s="42" t="e">
        <f t="shared" si="19"/>
        <v>#REF!</v>
      </c>
      <c r="Q114" s="42">
        <v>10</v>
      </c>
      <c r="R114" s="43" t="e">
        <f>ROUND(#REF!*Q114*Q114+#REF!*Q114,2)</f>
        <v>#REF!</v>
      </c>
      <c r="S114" s="43" t="str">
        <f t="shared" si="20"/>
        <v/>
      </c>
      <c r="T114" s="42"/>
      <c r="U114" s="42" t="str">
        <f t="shared" si="21"/>
        <v/>
      </c>
      <c r="V114" s="42"/>
      <c r="W114" s="37"/>
      <c r="X114" s="37"/>
      <c r="Y114" s="37"/>
    </row>
    <row r="115" spans="1:25" ht="81.95" customHeight="1">
      <c r="A115" s="39" t="s">
        <v>756</v>
      </c>
      <c r="B115" s="40">
        <v>114</v>
      </c>
      <c r="C115" s="40">
        <v>1</v>
      </c>
      <c r="D115" s="40">
        <v>10</v>
      </c>
      <c r="E115" s="39" t="s">
        <v>819</v>
      </c>
      <c r="F115" s="39" t="s">
        <v>820</v>
      </c>
      <c r="G115" s="39" t="s">
        <v>821</v>
      </c>
      <c r="H115" s="40" t="s">
        <v>822</v>
      </c>
      <c r="I115" s="40">
        <v>4</v>
      </c>
      <c r="J115" s="39" t="s">
        <v>823</v>
      </c>
      <c r="K115" s="39" t="s">
        <v>108</v>
      </c>
      <c r="L115" s="40" t="s">
        <v>465</v>
      </c>
      <c r="M115" s="40" t="s">
        <v>824</v>
      </c>
      <c r="N115" s="41">
        <f t="shared" si="18"/>
        <v>0.18009259259259267</v>
      </c>
      <c r="O115" s="39" t="s">
        <v>818</v>
      </c>
      <c r="P115" s="42" t="e">
        <f t="shared" si="19"/>
        <v>#REF!</v>
      </c>
      <c r="Q115" s="42">
        <v>10</v>
      </c>
      <c r="R115" s="43" t="e">
        <f>ROUND(#REF!*Q115*Q115+#REF!*Q115,2)</f>
        <v>#REF!</v>
      </c>
      <c r="S115" s="43" t="str">
        <f t="shared" si="20"/>
        <v/>
      </c>
      <c r="T115" s="42"/>
      <c r="U115" s="42" t="str">
        <f t="shared" si="21"/>
        <v/>
      </c>
      <c r="V115" s="42"/>
      <c r="W115" s="37"/>
      <c r="X115" s="37"/>
      <c r="Y115" s="37"/>
    </row>
    <row r="116" spans="1:25" ht="81.95" customHeight="1">
      <c r="A116" s="39" t="s">
        <v>756</v>
      </c>
      <c r="B116" s="40">
        <v>115</v>
      </c>
      <c r="C116" s="40">
        <v>1</v>
      </c>
      <c r="D116" s="40">
        <v>10</v>
      </c>
      <c r="E116" s="39" t="s">
        <v>825</v>
      </c>
      <c r="F116" s="39" t="s">
        <v>826</v>
      </c>
      <c r="G116" s="39" t="s">
        <v>827</v>
      </c>
      <c r="H116" s="40" t="s">
        <v>828</v>
      </c>
      <c r="I116" s="40">
        <v>3</v>
      </c>
      <c r="J116" s="39" t="s">
        <v>829</v>
      </c>
      <c r="K116" s="39" t="s">
        <v>108</v>
      </c>
      <c r="L116" s="40" t="s">
        <v>289</v>
      </c>
      <c r="M116" s="40" t="s">
        <v>830</v>
      </c>
      <c r="N116" s="41">
        <f t="shared" si="18"/>
        <v>0.18194444444444452</v>
      </c>
      <c r="O116" s="39" t="s">
        <v>818</v>
      </c>
      <c r="P116" s="42" t="e">
        <f t="shared" si="19"/>
        <v>#REF!</v>
      </c>
      <c r="Q116" s="42">
        <v>9</v>
      </c>
      <c r="R116" s="43" t="e">
        <f>ROUND(#REF!*Q116*Q116+#REF!*Q116,2)</f>
        <v>#REF!</v>
      </c>
      <c r="S116" s="43" t="str">
        <f t="shared" si="20"/>
        <v/>
      </c>
      <c r="T116" s="42"/>
      <c r="U116" s="42" t="str">
        <f t="shared" si="21"/>
        <v/>
      </c>
      <c r="V116" s="42"/>
      <c r="W116" s="37"/>
      <c r="X116" s="37"/>
      <c r="Y116" s="37"/>
    </row>
    <row r="117" spans="1:25" ht="81.95" customHeight="1">
      <c r="A117" s="39" t="s">
        <v>756</v>
      </c>
      <c r="B117" s="40">
        <v>116</v>
      </c>
      <c r="C117" s="40">
        <v>1</v>
      </c>
      <c r="D117" s="40">
        <v>10</v>
      </c>
      <c r="E117" s="39" t="s">
        <v>831</v>
      </c>
      <c r="F117" s="39" t="s">
        <v>832</v>
      </c>
      <c r="G117" s="39" t="s">
        <v>833</v>
      </c>
      <c r="H117" s="40" t="s">
        <v>834</v>
      </c>
      <c r="I117" s="40">
        <v>3</v>
      </c>
      <c r="J117" s="39" t="s">
        <v>835</v>
      </c>
      <c r="K117" s="39" t="s">
        <v>108</v>
      </c>
      <c r="L117" s="40" t="s">
        <v>226</v>
      </c>
      <c r="M117" s="40" t="s">
        <v>836</v>
      </c>
      <c r="N117" s="41">
        <f t="shared" si="18"/>
        <v>0.18368055555555562</v>
      </c>
      <c r="O117" s="39" t="s">
        <v>818</v>
      </c>
      <c r="P117" s="42" t="e">
        <f t="shared" si="19"/>
        <v>#REF!</v>
      </c>
      <c r="Q117" s="42">
        <v>9</v>
      </c>
      <c r="R117" s="43" t="e">
        <f>ROUND(#REF!*Q117*Q117+#REF!*Q117,2)</f>
        <v>#REF!</v>
      </c>
      <c r="S117" s="43" t="str">
        <f t="shared" si="20"/>
        <v/>
      </c>
      <c r="T117" s="42"/>
      <c r="U117" s="42" t="str">
        <f t="shared" si="21"/>
        <v/>
      </c>
      <c r="V117" s="42"/>
      <c r="W117" s="37"/>
      <c r="X117" s="37"/>
      <c r="Y117" s="37"/>
    </row>
    <row r="118" spans="1:25" ht="81.95" customHeight="1">
      <c r="A118" s="39" t="s">
        <v>756</v>
      </c>
      <c r="B118" s="40">
        <v>117</v>
      </c>
      <c r="C118" s="40">
        <v>4</v>
      </c>
      <c r="D118" s="40">
        <v>10</v>
      </c>
      <c r="E118" s="39" t="s">
        <v>837</v>
      </c>
      <c r="F118" s="39" t="s">
        <v>838</v>
      </c>
      <c r="G118" s="39" t="s">
        <v>839</v>
      </c>
      <c r="H118" s="40" t="s">
        <v>840</v>
      </c>
      <c r="I118" s="40">
        <v>5</v>
      </c>
      <c r="J118" s="39" t="s">
        <v>841</v>
      </c>
      <c r="K118" s="39" t="s">
        <v>842</v>
      </c>
      <c r="L118" s="40" t="s">
        <v>619</v>
      </c>
      <c r="M118" s="40" t="s">
        <v>843</v>
      </c>
      <c r="N118" s="41">
        <f t="shared" si="18"/>
        <v>0.18599537037037045</v>
      </c>
      <c r="O118" s="39" t="s">
        <v>818</v>
      </c>
      <c r="P118" s="42" t="e">
        <f t="shared" si="19"/>
        <v>#REF!</v>
      </c>
      <c r="Q118" s="42">
        <v>11</v>
      </c>
      <c r="R118" s="43" t="e">
        <f>ROUND(#REF!*Q118*Q118+#REF!*Q118,2)</f>
        <v>#REF!</v>
      </c>
      <c r="S118" s="43" t="str">
        <f t="shared" si="20"/>
        <v/>
      </c>
      <c r="T118" s="42"/>
      <c r="U118" s="42" t="str">
        <f t="shared" si="21"/>
        <v/>
      </c>
      <c r="V118" s="42"/>
      <c r="W118" s="37"/>
      <c r="X118" s="37"/>
      <c r="Y118" s="37"/>
    </row>
    <row r="119" spans="1:25" ht="81.95" customHeight="1">
      <c r="A119" s="39" t="s">
        <v>756</v>
      </c>
      <c r="B119" s="40">
        <v>118</v>
      </c>
      <c r="C119" s="40">
        <v>7</v>
      </c>
      <c r="D119" s="40">
        <v>10</v>
      </c>
      <c r="E119" s="39" t="s">
        <v>844</v>
      </c>
      <c r="F119" s="39" t="s">
        <v>845</v>
      </c>
      <c r="G119" s="39" t="s">
        <v>846</v>
      </c>
      <c r="H119" s="40" t="s">
        <v>847</v>
      </c>
      <c r="I119" s="40">
        <v>4</v>
      </c>
      <c r="J119" s="39" t="s">
        <v>848</v>
      </c>
      <c r="K119" s="39" t="s">
        <v>849</v>
      </c>
      <c r="L119" s="40" t="s">
        <v>284</v>
      </c>
      <c r="M119" s="40" t="s">
        <v>850</v>
      </c>
      <c r="N119" s="41">
        <f t="shared" si="18"/>
        <v>0.18807870370370378</v>
      </c>
      <c r="O119" s="39" t="s">
        <v>818</v>
      </c>
      <c r="P119" s="42" t="e">
        <f t="shared" si="19"/>
        <v>#REF!</v>
      </c>
      <c r="Q119" s="42">
        <v>11</v>
      </c>
      <c r="R119" s="43" t="e">
        <f>ROUND(#REF!*Q119*Q119+#REF!*Q119,2)</f>
        <v>#REF!</v>
      </c>
      <c r="S119" s="43" t="str">
        <f t="shared" si="20"/>
        <v/>
      </c>
      <c r="T119" s="42"/>
      <c r="U119" s="42" t="str">
        <f t="shared" si="21"/>
        <v/>
      </c>
      <c r="V119" s="42"/>
      <c r="W119" s="37"/>
      <c r="X119" s="37"/>
      <c r="Y119" s="37"/>
    </row>
    <row r="120" spans="1:25" ht="81.95" customHeight="1">
      <c r="A120" s="39" t="s">
        <v>756</v>
      </c>
      <c r="B120" s="40">
        <v>119</v>
      </c>
      <c r="C120" s="40">
        <v>6</v>
      </c>
      <c r="D120" s="40">
        <v>10</v>
      </c>
      <c r="E120" s="39" t="s">
        <v>851</v>
      </c>
      <c r="F120" s="39" t="s">
        <v>852</v>
      </c>
      <c r="G120" s="39" t="s">
        <v>853</v>
      </c>
      <c r="H120" s="40" t="s">
        <v>854</v>
      </c>
      <c r="I120" s="40">
        <v>6</v>
      </c>
      <c r="J120" s="39" t="s">
        <v>855</v>
      </c>
      <c r="K120" s="39" t="s">
        <v>856</v>
      </c>
      <c r="L120" s="40" t="s">
        <v>788</v>
      </c>
      <c r="M120" s="40" t="s">
        <v>857</v>
      </c>
      <c r="N120" s="41">
        <f t="shared" si="18"/>
        <v>0.19062500000000007</v>
      </c>
      <c r="O120" s="39" t="s">
        <v>818</v>
      </c>
      <c r="P120" s="42" t="e">
        <f t="shared" si="19"/>
        <v>#REF!</v>
      </c>
      <c r="Q120" s="42">
        <v>13</v>
      </c>
      <c r="R120" s="43" t="e">
        <f>ROUND(#REF!*Q120*Q120+#REF!*Q120,2)</f>
        <v>#REF!</v>
      </c>
      <c r="S120" s="43" t="str">
        <f t="shared" si="20"/>
        <v/>
      </c>
      <c r="T120" s="42"/>
      <c r="U120" s="42" t="str">
        <f t="shared" si="21"/>
        <v/>
      </c>
      <c r="V120" s="42"/>
      <c r="W120" s="37"/>
      <c r="X120" s="37"/>
      <c r="Y120" s="37"/>
    </row>
    <row r="121" spans="1:25" ht="81.95" customHeight="1">
      <c r="A121" s="39" t="s">
        <v>756</v>
      </c>
      <c r="B121" s="40">
        <v>120</v>
      </c>
      <c r="C121" s="40">
        <v>1</v>
      </c>
      <c r="D121" s="40">
        <v>10</v>
      </c>
      <c r="E121" s="39" t="s">
        <v>858</v>
      </c>
      <c r="F121" s="39" t="s">
        <v>859</v>
      </c>
      <c r="G121" s="39" t="s">
        <v>860</v>
      </c>
      <c r="H121" s="40" t="s">
        <v>861</v>
      </c>
      <c r="I121" s="40">
        <v>1</v>
      </c>
      <c r="J121" s="39" t="s">
        <v>862</v>
      </c>
      <c r="K121" s="39" t="s">
        <v>108</v>
      </c>
      <c r="L121" s="40" t="s">
        <v>185</v>
      </c>
      <c r="M121" s="40" t="s">
        <v>863</v>
      </c>
      <c r="N121" s="41">
        <f>N120+(IFERROR(VALUE(LEFT(L121,FIND("분",L121)-1))*60,0)+IFERROR(VALUE(TRIM(MID(L121,IFERROR(FIND("분",L121),0)+1,FIND("초",L121)-IFERROR(FIND("분",L121),0)-1))),0))/86400</f>
        <v>0.19201388888888896</v>
      </c>
      <c r="O121" s="39" t="s">
        <v>864</v>
      </c>
      <c r="P121" s="42" t="e">
        <f t="shared" si="19"/>
        <v>#REF!</v>
      </c>
      <c r="Q121" s="42">
        <v>8</v>
      </c>
      <c r="R121" s="43" t="e">
        <f>ROUND(#REF!*Q121*Q121+#REF!*Q121,2)</f>
        <v>#REF!</v>
      </c>
      <c r="S121" s="43" t="str">
        <f t="shared" si="20"/>
        <v/>
      </c>
      <c r="T121" s="42"/>
      <c r="U121" s="42" t="str">
        <f t="shared" si="21"/>
        <v/>
      </c>
      <c r="V121" s="42"/>
    </row>
    <row r="122" spans="1:25" ht="81.95" customHeight="1">
      <c r="A122" s="39" t="s">
        <v>756</v>
      </c>
      <c r="B122" s="40">
        <v>121</v>
      </c>
      <c r="C122" s="40">
        <v>1</v>
      </c>
      <c r="D122" s="40">
        <v>10</v>
      </c>
      <c r="E122" s="39" t="s">
        <v>865</v>
      </c>
      <c r="F122" s="39" t="s">
        <v>866</v>
      </c>
      <c r="G122" s="39" t="s">
        <v>867</v>
      </c>
      <c r="H122" s="40" t="s">
        <v>868</v>
      </c>
      <c r="I122" s="40">
        <v>4</v>
      </c>
      <c r="J122" s="39" t="s">
        <v>869</v>
      </c>
      <c r="K122" s="39" t="s">
        <v>108</v>
      </c>
      <c r="L122" s="40" t="s">
        <v>226</v>
      </c>
      <c r="M122" s="40" t="s">
        <v>870</v>
      </c>
      <c r="N122" s="41">
        <f>N121+(IFERROR(VALUE(LEFT(L122,FIND("분",L122)-1))*60,0)+IFERROR(VALUE(TRIM(MID(L122,IFERROR(FIND("분",L122),0)+1,FIND("초",L122)-IFERROR(FIND("분",L122),0)-1))),0))/86400</f>
        <v>0.19375000000000006</v>
      </c>
      <c r="O122" s="39" t="s">
        <v>864</v>
      </c>
      <c r="P122" s="42" t="e">
        <f t="shared" si="19"/>
        <v>#REF!</v>
      </c>
      <c r="Q122" s="42">
        <v>9</v>
      </c>
      <c r="R122" s="43" t="e">
        <f>ROUND(#REF!*Q122*Q122+#REF!*Q122,2)</f>
        <v>#REF!</v>
      </c>
      <c r="S122" s="43" t="str">
        <f t="shared" si="20"/>
        <v/>
      </c>
      <c r="T122" s="42"/>
      <c r="U122" s="42" t="str">
        <f t="shared" si="21"/>
        <v/>
      </c>
      <c r="V122" s="42"/>
    </row>
    <row r="123" spans="1:25" ht="81.95" customHeight="1">
      <c r="A123" s="39" t="s">
        <v>756</v>
      </c>
      <c r="B123" s="40">
        <v>122</v>
      </c>
      <c r="C123" s="40">
        <v>1</v>
      </c>
      <c r="D123" s="40">
        <v>9</v>
      </c>
      <c r="E123" s="39" t="s">
        <v>871</v>
      </c>
      <c r="F123" s="39" t="s">
        <v>866</v>
      </c>
      <c r="G123" s="39" t="s">
        <v>872</v>
      </c>
      <c r="H123" s="40" t="s">
        <v>873</v>
      </c>
      <c r="I123" s="40">
        <v>5</v>
      </c>
      <c r="J123" s="39" t="s">
        <v>869</v>
      </c>
      <c r="K123" s="39" t="s">
        <v>108</v>
      </c>
      <c r="L123" s="40" t="s">
        <v>523</v>
      </c>
      <c r="M123" s="40" t="s">
        <v>870</v>
      </c>
      <c r="N123" s="41">
        <f>N122+(IFERROR(VALUE(LEFT(L123,FIND("분",L123)-1))*60,0)+IFERROR(VALUE(TRIM(MID(L123,IFERROR(FIND("분",L123),0)+1,FIND("초",L123)-IFERROR(FIND("분",L123),0)-1))),0))/86400</f>
        <v>0.19652777777777783</v>
      </c>
      <c r="O123" s="39" t="s">
        <v>864</v>
      </c>
      <c r="P123" s="42" t="e">
        <f t="shared" si="19"/>
        <v>#REF!</v>
      </c>
      <c r="Q123" s="42">
        <v>11</v>
      </c>
      <c r="R123" s="43" t="e">
        <f>ROUND(#REF!*Q123*Q123+#REF!*Q123,2)</f>
        <v>#REF!</v>
      </c>
      <c r="S123" s="43" t="str">
        <f t="shared" si="20"/>
        <v/>
      </c>
      <c r="T123" s="42"/>
      <c r="U123" s="42" t="str">
        <f t="shared" si="21"/>
        <v/>
      </c>
      <c r="V123" s="42"/>
    </row>
    <row r="124" spans="1:25" ht="81.95" customHeight="1">
      <c r="A124" s="39" t="s">
        <v>756</v>
      </c>
      <c r="B124" s="40">
        <v>123</v>
      </c>
      <c r="C124" s="40">
        <v>1</v>
      </c>
      <c r="D124" s="40">
        <v>9</v>
      </c>
      <c r="E124" s="39" t="s">
        <v>874</v>
      </c>
      <c r="F124" s="39" t="s">
        <v>875</v>
      </c>
      <c r="G124" s="39" t="s">
        <v>876</v>
      </c>
      <c r="H124" s="40" t="s">
        <v>877</v>
      </c>
      <c r="I124" s="40">
        <v>1</v>
      </c>
      <c r="J124" s="39" t="s">
        <v>878</v>
      </c>
      <c r="K124" s="39" t="s">
        <v>108</v>
      </c>
      <c r="L124" s="40" t="s">
        <v>284</v>
      </c>
      <c r="M124" s="40" t="s">
        <v>879</v>
      </c>
      <c r="N124" s="41">
        <f>N123+(IFERROR(VALUE(LEFT(L124,FIND("분",L124)-1))*60,0)+IFERROR(VALUE(TRIM(MID(L124,IFERROR(FIND("분",L124),0)+1,FIND("초",L124)-IFERROR(FIND("분",L124),0)-1))),0))/86400</f>
        <v>0.19861111111111115</v>
      </c>
      <c r="O124" s="39" t="s">
        <v>864</v>
      </c>
      <c r="P124" s="42" t="e">
        <f t="shared" si="19"/>
        <v>#REF!</v>
      </c>
      <c r="Q124" s="42">
        <v>9</v>
      </c>
      <c r="R124" s="43" t="e">
        <f>ROUND(#REF!*Q124*Q124+#REF!*Q124,2)</f>
        <v>#REF!</v>
      </c>
      <c r="S124" s="43" t="str">
        <f t="shared" si="20"/>
        <v/>
      </c>
      <c r="T124" s="42"/>
      <c r="U124" s="42" t="str">
        <f t="shared" si="21"/>
        <v/>
      </c>
      <c r="V124" s="42"/>
    </row>
    <row r="125" spans="1:25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</row>
  </sheetData>
  <phoneticPr fontId="5" type="noConversion"/>
  <conditionalFormatting sqref="A1:A120">
    <cfRule type="colorScale" priority="15">
      <colorScale>
        <cfvo type="min"/>
        <cfvo type="max"/>
        <color rgb="FF9BCFD9"/>
        <color rgb="FFC6A5CB"/>
      </colorScale>
    </cfRule>
    <cfRule type="colorScale" priority="16">
      <colorScale>
        <cfvo type="min"/>
        <cfvo type="max"/>
        <color rgb="FF63BE7B"/>
        <color rgb="FFFCFCFF"/>
      </colorScale>
    </cfRule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1:B1048572">
    <cfRule type="colorScale" priority="12">
      <colorScale>
        <cfvo type="min"/>
        <cfvo type="max"/>
        <color rgb="FF9BCFD9"/>
        <color rgb="FFC6A5CB"/>
      </colorScale>
    </cfRule>
    <cfRule type="colorScale" priority="13">
      <colorScale>
        <cfvo type="min"/>
        <cfvo type="max"/>
        <color rgb="FF63BE7B"/>
        <color rgb="FFFCFCFF"/>
      </colorScale>
    </cfRule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I120">
    <cfRule type="dataBar" priority="10">
      <dataBar>
        <cfvo type="min"/>
        <cfvo type="max"/>
        <color rgb="FF315F97"/>
      </dataBar>
      <extLst>
        <ext xmlns:x14="http://schemas.microsoft.com/office/spreadsheetml/2009/9/main" uri="{B025F937-C7B1-47D3-B67F-A62EFF666E3E}">
          <x14:id>{E25A4EDB-5382-442C-9FAF-2D10AB718179}</x14:id>
        </ext>
      </extLst>
    </cfRule>
    <cfRule type="dataBar" priority="18">
      <dataBar>
        <cfvo type="min"/>
        <cfvo type="max"/>
        <color rgb="FF315F97"/>
      </dataBar>
      <extLst>
        <ext xmlns:x14="http://schemas.microsoft.com/office/spreadsheetml/2009/9/main" uri="{B025F937-C7B1-47D3-B67F-A62EFF666E3E}">
          <x14:id>{E25A4EDB-5382-442C-9FAF-2D10AB718179}</x14:id>
        </ext>
      </extLst>
    </cfRule>
  </conditionalFormatting>
  <conditionalFormatting sqref="C1:C1048572">
    <cfRule type="iconSet" priority="19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D1:D1048572">
    <cfRule type="iconSet" priority="21">
      <iconSet iconSet="4TrafficLights">
        <cfvo type="percent" val="0"/>
        <cfvo type="percent" val="25"/>
        <cfvo type="percent" val="50"/>
        <cfvo type="percent" val="75"/>
      </iconSet>
    </cfRule>
    <cfRule type="iconSet" priority="22">
      <iconSet iconSet="3Signs">
        <cfvo type="percent" val="0"/>
        <cfvo type="percent" val="33"/>
        <cfvo type="percent" val="67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25A4EDB-5382-442C-9FAF-2D10AB718179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E25A4EDB-5382-442C-9FAF-2D10AB718179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I2:I120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80"/>
  <sheetViews>
    <sheetView workbookViewId="0"/>
  </sheetViews>
  <sheetFormatPr defaultColWidth="9" defaultRowHeight="14.25"/>
  <cols>
    <col min="1" max="52" width="4.25" style="25" customWidth="1"/>
    <col min="53" max="16384" width="9" style="25"/>
  </cols>
  <sheetData>
    <row r="1" spans="1:22" ht="18" customHeight="1">
      <c r="A1" s="28"/>
    </row>
    <row r="2" spans="1:22" ht="18" customHeight="1">
      <c r="A2" s="29"/>
      <c r="B2" s="34" t="s">
        <v>20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</row>
    <row r="3" spans="1:22" ht="18" customHeight="1"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</row>
    <row r="4" spans="1:22" ht="18" customHeight="1">
      <c r="B4" s="34" t="s">
        <v>21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</row>
    <row r="5" spans="1:22" ht="18" customHeight="1"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</row>
    <row r="6" spans="1:22" ht="18" customHeight="1"/>
    <row r="7" spans="1:22" ht="18" customHeight="1"/>
    <row r="8" spans="1:22" ht="18" customHeight="1"/>
    <row r="9" spans="1:22" ht="18" customHeight="1"/>
    <row r="10" spans="1:22" ht="18" customHeight="1"/>
    <row r="11" spans="1:22" ht="18" customHeight="1"/>
    <row r="12" spans="1:22" ht="18" customHeight="1"/>
    <row r="13" spans="1:22" ht="18" customHeight="1"/>
    <row r="14" spans="1:22" ht="18" customHeight="1"/>
    <row r="15" spans="1:22" ht="18" customHeight="1"/>
    <row r="16" spans="1:22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spans="1:1" ht="18" customHeight="1"/>
    <row r="50" spans="1:1" ht="18" customHeight="1"/>
    <row r="51" spans="1:1" ht="18" customHeight="1"/>
    <row r="52" spans="1:1" ht="18" customHeight="1"/>
    <row r="53" spans="1:1" ht="18" customHeight="1"/>
    <row r="54" spans="1:1" ht="18" customHeight="1"/>
    <row r="55" spans="1:1" ht="18" customHeight="1"/>
    <row r="56" spans="1:1" ht="18" customHeight="1">
      <c r="A56" s="30"/>
    </row>
    <row r="57" spans="1:1" ht="18" customHeight="1"/>
    <row r="58" spans="1:1" ht="18" customHeight="1"/>
    <row r="59" spans="1:1" ht="18" customHeight="1"/>
    <row r="60" spans="1:1" ht="18" customHeight="1"/>
    <row r="61" spans="1:1" ht="18" customHeight="1"/>
    <row r="62" spans="1:1" ht="18" customHeight="1"/>
    <row r="63" spans="1:1" ht="18" customHeight="1"/>
    <row r="64" spans="1:1" ht="18" customHeight="1"/>
    <row r="65" spans="2:26" ht="18" customHeight="1"/>
    <row r="66" spans="2:26" ht="18" customHeight="1"/>
    <row r="67" spans="2:26" ht="18" customHeight="1"/>
    <row r="68" spans="2:26" ht="18" customHeight="1"/>
    <row r="69" spans="2:26" ht="18" customHeight="1"/>
    <row r="70" spans="2:26" ht="18" customHeight="1">
      <c r="B70" s="34" t="s">
        <v>22</v>
      </c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spans="2:26" ht="18" customHeight="1"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spans="2:26" ht="18" customHeight="1"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2:26" ht="18" customHeight="1"/>
    <row r="74" spans="2:26" ht="18" customHeight="1"/>
    <row r="75" spans="2:26" ht="18" customHeight="1"/>
    <row r="76" spans="2:26" ht="18" customHeight="1"/>
    <row r="77" spans="2:26" ht="18" customHeight="1"/>
    <row r="78" spans="2:26" ht="18" customHeight="1"/>
    <row r="79" spans="2:26" ht="18" customHeight="1"/>
    <row r="80" spans="2:26" ht="18" customHeight="1"/>
  </sheetData>
  <mergeCells count="3">
    <mergeCell ref="B2:V3"/>
    <mergeCell ref="B4:V5"/>
    <mergeCell ref="B70:Z72"/>
  </mergeCells>
  <phoneticPr fontId="5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"/>
  <sheetViews>
    <sheetView workbookViewId="0"/>
  </sheetViews>
  <sheetFormatPr defaultColWidth="8.875" defaultRowHeight="14.25"/>
  <cols>
    <col min="1" max="1" width="20" customWidth="1"/>
    <col min="2" max="2" width="42" customWidth="1"/>
    <col min="3" max="3" width="22" customWidth="1"/>
    <col min="4" max="4" width="50" customWidth="1"/>
  </cols>
  <sheetData>
    <row r="1" spans="1:4">
      <c r="A1" s="35" t="s">
        <v>23</v>
      </c>
      <c r="B1" s="35"/>
      <c r="C1" s="35"/>
      <c r="D1" s="35"/>
    </row>
    <row r="3" spans="1:4">
      <c r="A3" s="1" t="s">
        <v>24</v>
      </c>
      <c r="B3" s="2" t="s">
        <v>25</v>
      </c>
      <c r="C3" s="2" t="s">
        <v>26</v>
      </c>
      <c r="D3" s="3" t="s">
        <v>27</v>
      </c>
    </row>
    <row r="4" spans="1:4" ht="57.95" customHeight="1">
      <c r="A4" s="5" t="s">
        <v>28</v>
      </c>
      <c r="B4" s="6" t="s">
        <v>29</v>
      </c>
      <c r="C4" s="6" t="s">
        <v>30</v>
      </c>
      <c r="D4" s="7" t="s">
        <v>31</v>
      </c>
    </row>
    <row r="5" spans="1:4" ht="57.95" customHeight="1">
      <c r="A5" s="8" t="s">
        <v>32</v>
      </c>
      <c r="B5" s="4" t="s">
        <v>33</v>
      </c>
      <c r="C5" s="4" t="s">
        <v>30</v>
      </c>
      <c r="D5" s="9" t="s">
        <v>34</v>
      </c>
    </row>
    <row r="6" spans="1:4" ht="57.95" customHeight="1">
      <c r="A6" s="8" t="s">
        <v>35</v>
      </c>
      <c r="B6" s="4" t="s">
        <v>36</v>
      </c>
      <c r="C6" s="4" t="s">
        <v>37</v>
      </c>
      <c r="D6" s="9" t="s">
        <v>38</v>
      </c>
    </row>
    <row r="7" spans="1:4" ht="57.95" customHeight="1">
      <c r="A7" s="8" t="s">
        <v>39</v>
      </c>
      <c r="B7" s="4" t="s">
        <v>40</v>
      </c>
      <c r="C7" s="4" t="s">
        <v>41</v>
      </c>
      <c r="D7" s="9" t="s">
        <v>42</v>
      </c>
    </row>
    <row r="8" spans="1:4" ht="57.95" customHeight="1">
      <c r="A8" s="8" t="s">
        <v>43</v>
      </c>
      <c r="B8" s="4" t="s">
        <v>44</v>
      </c>
      <c r="C8" s="4" t="s">
        <v>45</v>
      </c>
      <c r="D8" s="9" t="s">
        <v>46</v>
      </c>
    </row>
    <row r="9" spans="1:4" ht="57.95" customHeight="1">
      <c r="A9" s="8" t="s">
        <v>47</v>
      </c>
      <c r="B9" s="4" t="s">
        <v>48</v>
      </c>
      <c r="C9" s="4" t="s">
        <v>49</v>
      </c>
      <c r="D9" s="9" t="s">
        <v>50</v>
      </c>
    </row>
    <row r="10" spans="1:4" ht="57.95" customHeight="1">
      <c r="A10" s="8" t="s">
        <v>51</v>
      </c>
      <c r="B10" s="4" t="s">
        <v>52</v>
      </c>
      <c r="C10" s="4" t="s">
        <v>53</v>
      </c>
      <c r="D10" s="9" t="s">
        <v>54</v>
      </c>
    </row>
    <row r="11" spans="1:4" ht="57.95" customHeight="1">
      <c r="A11" s="8" t="s">
        <v>55</v>
      </c>
      <c r="B11" s="4" t="s">
        <v>56</v>
      </c>
      <c r="C11" s="4" t="s">
        <v>57</v>
      </c>
      <c r="D11" s="9" t="s">
        <v>58</v>
      </c>
    </row>
    <row r="12" spans="1:4" ht="57.95" customHeight="1">
      <c r="A12" s="8" t="s">
        <v>59</v>
      </c>
      <c r="B12" s="4" t="s">
        <v>60</v>
      </c>
      <c r="C12" s="4" t="s">
        <v>61</v>
      </c>
      <c r="D12" s="9" t="s">
        <v>62</v>
      </c>
    </row>
    <row r="13" spans="1:4" ht="57.95" customHeight="1">
      <c r="A13" s="8" t="s">
        <v>63</v>
      </c>
      <c r="B13" s="4" t="s">
        <v>64</v>
      </c>
      <c r="C13" s="4" t="s">
        <v>65</v>
      </c>
      <c r="D13" s="9" t="s">
        <v>66</v>
      </c>
    </row>
    <row r="14" spans="1:4" ht="57.95" customHeight="1">
      <c r="A14" s="8" t="s">
        <v>67</v>
      </c>
      <c r="B14" s="4" t="s">
        <v>68</v>
      </c>
      <c r="C14" s="4" t="s">
        <v>69</v>
      </c>
      <c r="D14" s="9" t="s">
        <v>70</v>
      </c>
    </row>
    <row r="15" spans="1:4" ht="57.95" customHeight="1">
      <c r="A15" s="8" t="s">
        <v>71</v>
      </c>
      <c r="B15" s="4" t="s">
        <v>72</v>
      </c>
      <c r="C15" s="4" t="s">
        <v>73</v>
      </c>
      <c r="D15" s="9" t="s">
        <v>74</v>
      </c>
    </row>
    <row r="16" spans="1:4" ht="57.95" customHeight="1">
      <c r="A16" s="8" t="s">
        <v>75</v>
      </c>
      <c r="B16" s="4" t="s">
        <v>76</v>
      </c>
      <c r="C16" s="4" t="s">
        <v>77</v>
      </c>
      <c r="D16" s="9" t="s">
        <v>78</v>
      </c>
    </row>
    <row r="17" spans="1:4" ht="57.95" customHeight="1">
      <c r="A17" s="8" t="s">
        <v>79</v>
      </c>
      <c r="B17" s="4" t="s">
        <v>80</v>
      </c>
      <c r="C17" s="4" t="s">
        <v>77</v>
      </c>
      <c r="D17" s="9" t="s">
        <v>81</v>
      </c>
    </row>
    <row r="18" spans="1:4" ht="57.95" customHeight="1">
      <c r="A18" s="10" t="s">
        <v>82</v>
      </c>
      <c r="B18" s="11" t="s">
        <v>83</v>
      </c>
      <c r="C18" s="11" t="s">
        <v>84</v>
      </c>
      <c r="D18" s="12" t="s">
        <v>85</v>
      </c>
    </row>
  </sheetData>
  <mergeCells count="1">
    <mergeCell ref="A1:D1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7"/>
  <sheetViews>
    <sheetView workbookViewId="0"/>
  </sheetViews>
  <sheetFormatPr defaultColWidth="8.875" defaultRowHeight="14.25"/>
  <cols>
    <col min="1" max="1" width="25" customWidth="1"/>
    <col min="2" max="2" width="14" customWidth="1"/>
    <col min="3" max="3" width="18" customWidth="1"/>
    <col min="4" max="4" width="14" customWidth="1"/>
    <col min="5" max="5" width="18" customWidth="1"/>
    <col min="6" max="6" width="24" customWidth="1"/>
    <col min="7" max="10" width="12" customWidth="1"/>
  </cols>
  <sheetData>
    <row r="1" spans="1:10">
      <c r="A1" s="35" t="s">
        <v>86</v>
      </c>
      <c r="B1" s="35"/>
      <c r="C1" s="35"/>
      <c r="D1" s="35"/>
      <c r="E1" s="35"/>
      <c r="F1" s="35"/>
      <c r="G1" s="35"/>
      <c r="H1" s="35"/>
      <c r="I1" s="35"/>
      <c r="J1" s="35"/>
    </row>
    <row r="3" spans="1:10" ht="32.1" customHeight="1">
      <c r="A3" s="13" t="s">
        <v>87</v>
      </c>
      <c r="B3" s="14">
        <f>COUNTA('밸런스 문서'!B2:B124)</f>
        <v>123</v>
      </c>
      <c r="C3" s="14" t="s">
        <v>88</v>
      </c>
      <c r="D3" s="16">
        <f>AVERAGE('밸런스 문서'!C2:C124)</f>
        <v>3.0975609756097562</v>
      </c>
      <c r="E3" s="16" t="s">
        <v>89</v>
      </c>
      <c r="F3" s="16">
        <f>AVERAGE('밸런스 문서'!D2:D124)</f>
        <v>7.4959349593495936</v>
      </c>
      <c r="G3" s="14" t="s">
        <v>90</v>
      </c>
      <c r="H3" s="14">
        <f>MAX('밸런스 문서'!C2:C124)</f>
        <v>10</v>
      </c>
      <c r="I3" s="14" t="s">
        <v>91</v>
      </c>
      <c r="J3" s="15">
        <f>MAX('밸런스 문서'!D2:D124)</f>
        <v>10</v>
      </c>
    </row>
    <row r="5" spans="1:10" ht="28.5">
      <c r="A5" s="1" t="s">
        <v>92</v>
      </c>
      <c r="B5" s="2" t="s">
        <v>93</v>
      </c>
      <c r="C5" s="2" t="s">
        <v>88</v>
      </c>
      <c r="D5" s="2" t="s">
        <v>89</v>
      </c>
      <c r="E5" s="3" t="s">
        <v>94</v>
      </c>
    </row>
    <row r="6" spans="1:10" ht="24.95" customHeight="1">
      <c r="A6" s="17" t="s">
        <v>95</v>
      </c>
      <c r="B6" s="18">
        <v>25</v>
      </c>
      <c r="C6" s="25">
        <f>AVERAGE('밸런스 문서'!C2:C26)</f>
        <v>1.76</v>
      </c>
      <c r="D6" s="25">
        <f>AVERAGE('밸런스 문서'!D2:D26)</f>
        <v>5.48</v>
      </c>
      <c r="E6" s="19">
        <v>6</v>
      </c>
    </row>
    <row r="7" spans="1:10" ht="24.95" customHeight="1">
      <c r="A7" s="20" t="s">
        <v>96</v>
      </c>
      <c r="B7" s="21">
        <v>23</v>
      </c>
      <c r="C7" s="26">
        <f>AVERAGE('밸런스 문서'!C27:C49)</f>
        <v>1.7826086956521738</v>
      </c>
      <c r="D7" s="26">
        <f>AVERAGE('밸런스 문서'!D27:D49)</f>
        <v>6.1304347826086953</v>
      </c>
      <c r="E7" s="22">
        <v>7</v>
      </c>
    </row>
    <row r="8" spans="1:10" ht="24.95" customHeight="1">
      <c r="A8" s="20" t="s">
        <v>97</v>
      </c>
      <c r="B8" s="21">
        <v>26</v>
      </c>
      <c r="C8" s="26">
        <f>AVERAGE('밸런스 문서'!C50:C75)</f>
        <v>3.4230769230769229</v>
      </c>
      <c r="D8" s="26">
        <f>AVERAGE('밸런스 문서'!D50:D75)</f>
        <v>8.115384615384615</v>
      </c>
      <c r="E8" s="22">
        <v>9</v>
      </c>
    </row>
    <row r="9" spans="1:10" ht="24.95" customHeight="1">
      <c r="A9" s="20" t="s">
        <v>98</v>
      </c>
      <c r="B9" s="21">
        <v>30</v>
      </c>
      <c r="C9" s="26">
        <f>AVERAGE('밸런스 문서'!C76:C105)</f>
        <v>4.7</v>
      </c>
      <c r="D9" s="26">
        <f>AVERAGE('밸런스 문서'!D76:D105)</f>
        <v>8.3333333333333339</v>
      </c>
      <c r="E9" s="22">
        <v>10</v>
      </c>
    </row>
    <row r="10" spans="1:10" ht="24.95" customHeight="1">
      <c r="A10" s="23" t="s">
        <v>99</v>
      </c>
      <c r="B10" s="24">
        <v>19</v>
      </c>
      <c r="C10" s="27">
        <f>AVERAGE('밸런스 문서'!C106:C124)</f>
        <v>3.4736842105263159</v>
      </c>
      <c r="D10" s="27">
        <f>AVERAGE('밸런스 문서'!D106:D124)</f>
        <v>9.6315789473684212</v>
      </c>
      <c r="E10" s="23">
        <v>10</v>
      </c>
    </row>
    <row r="14" spans="1:10" ht="28.5">
      <c r="A14" s="1" t="s">
        <v>35</v>
      </c>
      <c r="B14" s="2" t="s">
        <v>28</v>
      </c>
      <c r="C14" s="3" t="s">
        <v>32</v>
      </c>
      <c r="E14" s="32" t="s">
        <v>880</v>
      </c>
      <c r="F14" s="32" t="s">
        <v>881</v>
      </c>
    </row>
    <row r="15" spans="1:10">
      <c r="A15" s="31">
        <v>1</v>
      </c>
      <c r="B15" s="31">
        <v>1</v>
      </c>
      <c r="C15" s="31">
        <v>8</v>
      </c>
      <c r="E15" s="31">
        <v>1</v>
      </c>
      <c r="F15" s="33" t="e">
        <f>ROUND('밸런스 문서'!#REF!*E15*E15+'밸런스 문서'!#REF!*E15,2)</f>
        <v>#REF!</v>
      </c>
    </row>
    <row r="16" spans="1:10">
      <c r="A16" s="31">
        <v>2</v>
      </c>
      <c r="B16" s="31">
        <v>1</v>
      </c>
      <c r="C16" s="31">
        <v>3</v>
      </c>
      <c r="E16" s="31">
        <v>2</v>
      </c>
      <c r="F16" s="33" t="e">
        <f>ROUND('밸런스 문서'!#REF!*E16*E16+'밸런스 문서'!#REF!*E16,2)</f>
        <v>#REF!</v>
      </c>
    </row>
    <row r="17" spans="1:6">
      <c r="A17" s="31">
        <v>3</v>
      </c>
      <c r="B17" s="31">
        <v>1</v>
      </c>
      <c r="C17" s="31">
        <v>5</v>
      </c>
      <c r="E17" s="31">
        <v>3</v>
      </c>
      <c r="F17" s="33" t="e">
        <f>ROUND('밸런스 문서'!#REF!*E17*E17+'밸런스 문서'!#REF!*E17,2)</f>
        <v>#REF!</v>
      </c>
    </row>
    <row r="18" spans="1:6">
      <c r="A18" s="31">
        <v>4</v>
      </c>
      <c r="B18" s="31">
        <v>1</v>
      </c>
      <c r="C18" s="31">
        <v>3</v>
      </c>
      <c r="E18" s="31">
        <v>4</v>
      </c>
      <c r="F18" s="33" t="e">
        <f>ROUND('밸런스 문서'!#REF!*E18*E18+'밸런스 문서'!#REF!*E18,2)</f>
        <v>#REF!</v>
      </c>
    </row>
    <row r="19" spans="1:6">
      <c r="A19" s="31">
        <v>5</v>
      </c>
      <c r="B19" s="31">
        <v>1</v>
      </c>
      <c r="C19" s="31">
        <v>3</v>
      </c>
      <c r="E19" s="31">
        <v>5</v>
      </c>
      <c r="F19" s="33" t="e">
        <f>ROUND('밸런스 문서'!#REF!*E19*E19+'밸런스 문서'!#REF!*E19,2)</f>
        <v>#REF!</v>
      </c>
    </row>
    <row r="20" spans="1:6">
      <c r="A20" s="31">
        <v>6</v>
      </c>
      <c r="B20" s="31">
        <v>1</v>
      </c>
      <c r="C20" s="31">
        <v>5</v>
      </c>
      <c r="E20" s="31">
        <v>6</v>
      </c>
      <c r="F20" s="33" t="e">
        <f>ROUND('밸런스 문서'!#REF!*E20*E20+'밸런스 문서'!#REF!*E20,2)</f>
        <v>#REF!</v>
      </c>
    </row>
    <row r="21" spans="1:6">
      <c r="A21" s="31">
        <v>7</v>
      </c>
      <c r="B21" s="31">
        <v>2</v>
      </c>
      <c r="C21" s="31">
        <v>5</v>
      </c>
      <c r="E21" s="31">
        <v>7</v>
      </c>
      <c r="F21" s="33" t="e">
        <f>ROUND('밸런스 문서'!#REF!*E21*E21+'밸런스 문서'!#REF!*E21,2)</f>
        <v>#REF!</v>
      </c>
    </row>
    <row r="22" spans="1:6">
      <c r="A22" s="31">
        <v>8</v>
      </c>
      <c r="B22" s="31">
        <v>2</v>
      </c>
      <c r="C22" s="31">
        <v>6</v>
      </c>
      <c r="E22" s="31">
        <v>8</v>
      </c>
      <c r="F22" s="33" t="e">
        <f>ROUND('밸런스 문서'!#REF!*E22*E22+'밸런스 문서'!#REF!*E22,2)</f>
        <v>#REF!</v>
      </c>
    </row>
    <row r="23" spans="1:6">
      <c r="A23" s="31">
        <v>9</v>
      </c>
      <c r="B23" s="31">
        <v>1</v>
      </c>
      <c r="C23" s="31">
        <v>5</v>
      </c>
      <c r="E23" s="31">
        <v>9</v>
      </c>
      <c r="F23" s="33" t="e">
        <f>ROUND('밸런스 문서'!#REF!*E23*E23+'밸런스 문서'!#REF!*E23,2)</f>
        <v>#REF!</v>
      </c>
    </row>
    <row r="24" spans="1:6">
      <c r="A24" s="31">
        <v>10</v>
      </c>
      <c r="B24" s="31">
        <v>1</v>
      </c>
      <c r="C24" s="31">
        <v>6</v>
      </c>
      <c r="E24" s="31">
        <v>10</v>
      </c>
      <c r="F24" s="33" t="e">
        <f>ROUND('밸런스 문서'!#REF!*E24*E24+'밸런스 문서'!#REF!*E24,2)</f>
        <v>#REF!</v>
      </c>
    </row>
    <row r="25" spans="1:6">
      <c r="A25" s="31">
        <v>11</v>
      </c>
      <c r="B25" s="31">
        <v>2</v>
      </c>
      <c r="C25" s="31">
        <v>5</v>
      </c>
      <c r="E25" s="31">
        <v>11</v>
      </c>
      <c r="F25" s="33" t="e">
        <f>ROUND('밸런스 문서'!#REF!*E25*E25+'밸런스 문서'!#REF!*E25,2)</f>
        <v>#REF!</v>
      </c>
    </row>
    <row r="26" spans="1:6">
      <c r="A26" s="31">
        <v>12</v>
      </c>
      <c r="B26" s="31">
        <v>2</v>
      </c>
      <c r="C26" s="31">
        <v>6</v>
      </c>
      <c r="E26" s="31">
        <v>12</v>
      </c>
      <c r="F26" s="33" t="e">
        <f>ROUND('밸런스 문서'!#REF!*E26*E26+'밸런스 문서'!#REF!*E26,2)</f>
        <v>#REF!</v>
      </c>
    </row>
    <row r="27" spans="1:6">
      <c r="A27" s="31">
        <v>13</v>
      </c>
      <c r="B27" s="31">
        <v>1</v>
      </c>
      <c r="C27" s="31">
        <v>5</v>
      </c>
      <c r="E27" s="31">
        <v>13</v>
      </c>
      <c r="F27" s="33" t="e">
        <f>ROUND('밸런스 문서'!#REF!*E27*E27+'밸런스 문서'!#REF!*E27,2)</f>
        <v>#REF!</v>
      </c>
    </row>
    <row r="28" spans="1:6">
      <c r="A28" s="31">
        <v>14</v>
      </c>
      <c r="B28" s="31">
        <v>2</v>
      </c>
      <c r="C28" s="31">
        <v>5</v>
      </c>
      <c r="E28" s="31">
        <v>14</v>
      </c>
      <c r="F28" s="33" t="e">
        <f>ROUND('밸런스 문서'!#REF!*E28*E28+'밸런스 문서'!#REF!*E28,2)</f>
        <v>#REF!</v>
      </c>
    </row>
    <row r="29" spans="1:6">
      <c r="A29" s="31">
        <v>15</v>
      </c>
      <c r="B29" s="31">
        <v>2</v>
      </c>
      <c r="C29" s="31">
        <v>5</v>
      </c>
      <c r="E29" s="31">
        <v>15</v>
      </c>
      <c r="F29" s="33" t="e">
        <f>ROUND('밸런스 문서'!#REF!*E29*E29+'밸런스 문서'!#REF!*E29,2)</f>
        <v>#REF!</v>
      </c>
    </row>
    <row r="30" spans="1:6">
      <c r="A30" s="31">
        <v>16</v>
      </c>
      <c r="B30" s="31">
        <v>1</v>
      </c>
      <c r="C30" s="31">
        <v>7</v>
      </c>
      <c r="E30" s="31">
        <v>16</v>
      </c>
      <c r="F30" s="33" t="e">
        <f>ROUND('밸런스 문서'!#REF!*E30*E30+'밸런스 문서'!#REF!*E30,2)</f>
        <v>#REF!</v>
      </c>
    </row>
    <row r="31" spans="1:6">
      <c r="A31" s="31">
        <v>17</v>
      </c>
      <c r="B31" s="31">
        <v>5</v>
      </c>
      <c r="C31" s="31">
        <v>8</v>
      </c>
      <c r="E31" s="31">
        <v>17</v>
      </c>
      <c r="F31" s="33" t="e">
        <f>ROUND('밸런스 문서'!#REF!*E31*E31+'밸런스 문서'!#REF!*E31,2)</f>
        <v>#REF!</v>
      </c>
    </row>
    <row r="32" spans="1:6">
      <c r="A32" s="31">
        <v>18</v>
      </c>
      <c r="B32" s="31">
        <v>4</v>
      </c>
      <c r="C32" s="31">
        <v>7</v>
      </c>
      <c r="E32" s="31">
        <v>18</v>
      </c>
      <c r="F32" s="33" t="e">
        <f>ROUND('밸런스 문서'!#REF!*E32*E32+'밸런스 문서'!#REF!*E32,2)</f>
        <v>#REF!</v>
      </c>
    </row>
    <row r="33" spans="1:6">
      <c r="A33" s="31">
        <v>19</v>
      </c>
      <c r="B33" s="31">
        <v>2</v>
      </c>
      <c r="C33" s="31">
        <v>5</v>
      </c>
      <c r="E33" s="31">
        <v>19</v>
      </c>
      <c r="F33" s="33" t="e">
        <f>ROUND('밸런스 문서'!#REF!*E33*E33+'밸런스 문서'!#REF!*E33,2)</f>
        <v>#REF!</v>
      </c>
    </row>
    <row r="34" spans="1:6">
      <c r="A34" s="31">
        <v>20</v>
      </c>
      <c r="B34" s="31">
        <v>1</v>
      </c>
      <c r="C34" s="31">
        <v>5</v>
      </c>
      <c r="E34" s="31">
        <v>20</v>
      </c>
      <c r="F34" s="33" t="e">
        <f>ROUND('밸런스 문서'!#REF!*E34*E34+'밸런스 문서'!#REF!*E34,2)</f>
        <v>#REF!</v>
      </c>
    </row>
    <row r="35" spans="1:6">
      <c r="A35" s="31">
        <v>21</v>
      </c>
      <c r="B35" s="31">
        <v>2</v>
      </c>
      <c r="C35" s="31">
        <v>5</v>
      </c>
    </row>
    <row r="36" spans="1:6">
      <c r="A36" s="31">
        <v>22</v>
      </c>
      <c r="B36" s="31">
        <v>2</v>
      </c>
      <c r="C36" s="31">
        <v>7</v>
      </c>
    </row>
    <row r="37" spans="1:6">
      <c r="A37" s="31">
        <v>23</v>
      </c>
      <c r="B37" s="31">
        <v>3</v>
      </c>
      <c r="C37" s="31">
        <v>8</v>
      </c>
    </row>
    <row r="38" spans="1:6">
      <c r="A38" s="31">
        <v>24</v>
      </c>
      <c r="B38" s="31">
        <v>1</v>
      </c>
      <c r="C38" s="31">
        <v>5</v>
      </c>
    </row>
    <row r="39" spans="1:6">
      <c r="A39" s="31">
        <v>25</v>
      </c>
      <c r="B39" s="31">
        <v>2</v>
      </c>
      <c r="C39" s="31">
        <v>5</v>
      </c>
    </row>
    <row r="40" spans="1:6">
      <c r="A40" s="31">
        <v>26</v>
      </c>
      <c r="B40" s="31">
        <v>1</v>
      </c>
      <c r="C40" s="31">
        <v>5</v>
      </c>
    </row>
    <row r="41" spans="1:6">
      <c r="A41" s="31">
        <v>27</v>
      </c>
      <c r="B41" s="31">
        <v>1</v>
      </c>
      <c r="C41" s="31">
        <v>6</v>
      </c>
    </row>
    <row r="42" spans="1:6">
      <c r="A42" s="31">
        <v>28</v>
      </c>
      <c r="B42" s="31">
        <v>1</v>
      </c>
      <c r="C42" s="31">
        <v>5</v>
      </c>
    </row>
    <row r="43" spans="1:6">
      <c r="A43" s="31">
        <v>29</v>
      </c>
      <c r="B43" s="31">
        <v>2</v>
      </c>
      <c r="C43" s="31">
        <v>5</v>
      </c>
    </row>
    <row r="44" spans="1:6">
      <c r="A44" s="31">
        <v>30</v>
      </c>
      <c r="B44" s="31">
        <v>1</v>
      </c>
      <c r="C44" s="31">
        <v>5</v>
      </c>
    </row>
    <row r="45" spans="1:6">
      <c r="A45" s="31">
        <v>31</v>
      </c>
      <c r="B45" s="31">
        <v>2</v>
      </c>
      <c r="C45" s="31">
        <v>6</v>
      </c>
    </row>
    <row r="46" spans="1:6">
      <c r="A46" s="31">
        <v>32</v>
      </c>
      <c r="B46" s="31">
        <v>2</v>
      </c>
      <c r="C46" s="31">
        <v>6</v>
      </c>
    </row>
    <row r="47" spans="1:6">
      <c r="A47" s="31">
        <v>33</v>
      </c>
      <c r="B47" s="31">
        <v>3</v>
      </c>
      <c r="C47" s="31">
        <v>6</v>
      </c>
    </row>
    <row r="48" spans="1:6">
      <c r="A48" s="31">
        <v>34</v>
      </c>
      <c r="B48" s="31">
        <v>1</v>
      </c>
      <c r="C48" s="31">
        <v>5</v>
      </c>
    </row>
    <row r="49" spans="1:3">
      <c r="A49" s="31">
        <v>35</v>
      </c>
      <c r="B49" s="31">
        <v>2</v>
      </c>
      <c r="C49" s="31">
        <v>5</v>
      </c>
    </row>
    <row r="50" spans="1:3">
      <c r="A50" s="31">
        <v>36</v>
      </c>
      <c r="B50" s="31">
        <v>2</v>
      </c>
      <c r="C50" s="31">
        <v>6</v>
      </c>
    </row>
    <row r="51" spans="1:3">
      <c r="A51" s="31">
        <v>37</v>
      </c>
      <c r="B51" s="31">
        <v>3</v>
      </c>
      <c r="C51" s="31">
        <v>7</v>
      </c>
    </row>
    <row r="52" spans="1:3">
      <c r="A52" s="31">
        <v>38</v>
      </c>
      <c r="B52" s="31">
        <v>1</v>
      </c>
      <c r="C52" s="31">
        <v>8</v>
      </c>
    </row>
    <row r="53" spans="1:3">
      <c r="A53" s="31">
        <v>39</v>
      </c>
      <c r="B53" s="31">
        <v>1</v>
      </c>
      <c r="C53" s="31">
        <v>5</v>
      </c>
    </row>
    <row r="54" spans="1:3">
      <c r="A54" s="31">
        <v>40</v>
      </c>
      <c r="B54" s="31">
        <v>2</v>
      </c>
      <c r="C54" s="31">
        <v>6</v>
      </c>
    </row>
    <row r="55" spans="1:3">
      <c r="A55" s="31">
        <v>41</v>
      </c>
      <c r="B55" s="31">
        <v>2</v>
      </c>
      <c r="C55" s="31">
        <v>6</v>
      </c>
    </row>
    <row r="56" spans="1:3">
      <c r="A56" s="31">
        <v>42</v>
      </c>
      <c r="B56" s="31">
        <v>3</v>
      </c>
      <c r="C56" s="31">
        <v>7</v>
      </c>
    </row>
    <row r="57" spans="1:3">
      <c r="A57" s="31">
        <v>43</v>
      </c>
      <c r="B57" s="31">
        <v>3</v>
      </c>
      <c r="C57" s="31">
        <v>7</v>
      </c>
    </row>
    <row r="58" spans="1:3">
      <c r="A58" s="31">
        <v>44</v>
      </c>
      <c r="B58" s="31">
        <v>2</v>
      </c>
      <c r="C58" s="31">
        <v>7</v>
      </c>
    </row>
    <row r="59" spans="1:3">
      <c r="A59" s="31">
        <v>45</v>
      </c>
      <c r="B59" s="31">
        <v>1</v>
      </c>
      <c r="C59" s="31">
        <v>9</v>
      </c>
    </row>
    <row r="60" spans="1:3">
      <c r="A60" s="31">
        <v>46</v>
      </c>
      <c r="B60" s="31">
        <v>2</v>
      </c>
      <c r="C60" s="31">
        <v>9</v>
      </c>
    </row>
    <row r="61" spans="1:3">
      <c r="A61" s="31">
        <v>47</v>
      </c>
      <c r="B61" s="31">
        <v>2</v>
      </c>
      <c r="C61" s="31">
        <v>5</v>
      </c>
    </row>
    <row r="62" spans="1:3">
      <c r="A62" s="31">
        <v>48</v>
      </c>
      <c r="B62" s="31">
        <v>1</v>
      </c>
      <c r="C62" s="31">
        <v>5</v>
      </c>
    </row>
    <row r="63" spans="1:3">
      <c r="A63" s="31">
        <v>49</v>
      </c>
      <c r="B63" s="31">
        <v>1</v>
      </c>
      <c r="C63" s="31">
        <v>6</v>
      </c>
    </row>
    <row r="64" spans="1:3">
      <c r="A64" s="31">
        <v>50</v>
      </c>
      <c r="B64" s="31">
        <v>2</v>
      </c>
      <c r="C64" s="31">
        <v>8</v>
      </c>
    </row>
    <row r="65" spans="1:3">
      <c r="A65" s="31">
        <v>51</v>
      </c>
      <c r="B65" s="31">
        <v>3</v>
      </c>
      <c r="C65" s="31">
        <v>7</v>
      </c>
    </row>
    <row r="66" spans="1:3">
      <c r="A66" s="31">
        <v>52</v>
      </c>
      <c r="B66" s="31">
        <v>4</v>
      </c>
      <c r="C66" s="31">
        <v>9</v>
      </c>
    </row>
    <row r="67" spans="1:3">
      <c r="A67" s="31">
        <v>53</v>
      </c>
      <c r="B67" s="31">
        <v>5</v>
      </c>
      <c r="C67" s="31">
        <v>8</v>
      </c>
    </row>
    <row r="68" spans="1:3">
      <c r="A68" s="31">
        <v>54</v>
      </c>
      <c r="B68" s="31">
        <v>5</v>
      </c>
      <c r="C68" s="31">
        <v>8</v>
      </c>
    </row>
    <row r="69" spans="1:3">
      <c r="A69" s="31">
        <v>55</v>
      </c>
      <c r="B69" s="31">
        <v>4</v>
      </c>
      <c r="C69" s="31">
        <v>8</v>
      </c>
    </row>
    <row r="70" spans="1:3">
      <c r="A70" s="31">
        <v>56</v>
      </c>
      <c r="B70" s="31">
        <v>2</v>
      </c>
      <c r="C70" s="31">
        <v>7</v>
      </c>
    </row>
    <row r="71" spans="1:3">
      <c r="A71" s="31">
        <v>57</v>
      </c>
      <c r="B71" s="31">
        <v>2</v>
      </c>
      <c r="C71" s="31">
        <v>9</v>
      </c>
    </row>
    <row r="72" spans="1:3">
      <c r="A72" s="31">
        <v>58</v>
      </c>
      <c r="B72" s="31">
        <v>4</v>
      </c>
      <c r="C72" s="31">
        <v>8</v>
      </c>
    </row>
    <row r="73" spans="1:3">
      <c r="A73" s="31">
        <v>59</v>
      </c>
      <c r="B73" s="31">
        <v>2</v>
      </c>
      <c r="C73" s="31">
        <v>8</v>
      </c>
    </row>
    <row r="74" spans="1:3">
      <c r="A74" s="31">
        <v>60</v>
      </c>
      <c r="B74" s="31">
        <v>2</v>
      </c>
      <c r="C74" s="31">
        <v>7</v>
      </c>
    </row>
    <row r="75" spans="1:3">
      <c r="A75" s="31">
        <v>61</v>
      </c>
      <c r="B75" s="31">
        <v>2</v>
      </c>
      <c r="C75" s="31">
        <v>7</v>
      </c>
    </row>
    <row r="76" spans="1:3">
      <c r="A76" s="31">
        <v>62</v>
      </c>
      <c r="B76" s="31">
        <v>4</v>
      </c>
      <c r="C76" s="31">
        <v>8</v>
      </c>
    </row>
    <row r="77" spans="1:3">
      <c r="A77" s="31">
        <v>63</v>
      </c>
      <c r="B77" s="31">
        <v>1</v>
      </c>
      <c r="C77" s="31">
        <v>8</v>
      </c>
    </row>
    <row r="78" spans="1:3">
      <c r="A78" s="31">
        <v>64</v>
      </c>
      <c r="B78" s="31">
        <v>2</v>
      </c>
      <c r="C78" s="31">
        <v>8</v>
      </c>
    </row>
    <row r="79" spans="1:3">
      <c r="A79" s="31">
        <v>65</v>
      </c>
      <c r="B79" s="31">
        <v>2</v>
      </c>
      <c r="C79" s="31">
        <v>9</v>
      </c>
    </row>
    <row r="80" spans="1:3">
      <c r="A80" s="31">
        <v>66</v>
      </c>
      <c r="B80" s="31">
        <v>1</v>
      </c>
      <c r="C80" s="31">
        <v>9</v>
      </c>
    </row>
    <row r="81" spans="1:3">
      <c r="A81" s="31">
        <v>67</v>
      </c>
      <c r="B81" s="31">
        <v>2</v>
      </c>
      <c r="C81" s="31">
        <v>8</v>
      </c>
    </row>
    <row r="82" spans="1:3">
      <c r="A82" s="31">
        <v>68</v>
      </c>
      <c r="B82" s="31">
        <v>2</v>
      </c>
      <c r="C82" s="31">
        <v>8</v>
      </c>
    </row>
    <row r="83" spans="1:3">
      <c r="A83" s="31">
        <v>69</v>
      </c>
      <c r="B83" s="31">
        <v>6</v>
      </c>
      <c r="C83" s="31">
        <v>9</v>
      </c>
    </row>
    <row r="84" spans="1:3">
      <c r="A84" s="31">
        <v>70</v>
      </c>
      <c r="B84" s="31">
        <v>7</v>
      </c>
      <c r="C84" s="31">
        <v>9</v>
      </c>
    </row>
    <row r="85" spans="1:3">
      <c r="A85" s="31">
        <v>71</v>
      </c>
      <c r="B85" s="31">
        <v>7</v>
      </c>
      <c r="C85" s="31">
        <v>9</v>
      </c>
    </row>
    <row r="86" spans="1:3">
      <c r="A86" s="31">
        <v>72</v>
      </c>
      <c r="B86" s="31">
        <v>2</v>
      </c>
      <c r="C86" s="31">
        <v>8</v>
      </c>
    </row>
    <row r="87" spans="1:3">
      <c r="A87" s="31">
        <v>73</v>
      </c>
      <c r="B87" s="31">
        <v>7</v>
      </c>
      <c r="C87" s="31">
        <v>9</v>
      </c>
    </row>
    <row r="88" spans="1:3">
      <c r="A88" s="31">
        <v>74</v>
      </c>
      <c r="B88" s="31">
        <v>8</v>
      </c>
      <c r="C88" s="31">
        <v>9</v>
      </c>
    </row>
    <row r="89" spans="1:3">
      <c r="A89" s="31">
        <v>75</v>
      </c>
      <c r="B89" s="31">
        <v>1</v>
      </c>
      <c r="C89" s="31">
        <v>7</v>
      </c>
    </row>
    <row r="90" spans="1:3">
      <c r="A90" s="31">
        <v>76</v>
      </c>
      <c r="B90" s="31">
        <v>2</v>
      </c>
      <c r="C90" s="31">
        <v>6</v>
      </c>
    </row>
    <row r="91" spans="1:3">
      <c r="A91" s="31">
        <v>77</v>
      </c>
      <c r="B91" s="31">
        <v>2</v>
      </c>
      <c r="C91" s="31">
        <v>7</v>
      </c>
    </row>
    <row r="92" spans="1:3">
      <c r="A92" s="31">
        <v>78</v>
      </c>
      <c r="B92" s="31">
        <v>3</v>
      </c>
      <c r="C92" s="31">
        <v>7</v>
      </c>
    </row>
    <row r="93" spans="1:3">
      <c r="A93" s="31">
        <v>79</v>
      </c>
      <c r="B93" s="31">
        <v>3</v>
      </c>
      <c r="C93" s="31">
        <v>7</v>
      </c>
    </row>
    <row r="94" spans="1:3">
      <c r="A94" s="31">
        <v>80</v>
      </c>
      <c r="B94" s="31">
        <v>4</v>
      </c>
      <c r="C94" s="31">
        <v>8</v>
      </c>
    </row>
    <row r="95" spans="1:3">
      <c r="A95" s="31">
        <v>81</v>
      </c>
      <c r="B95" s="31">
        <v>6</v>
      </c>
      <c r="C95" s="31">
        <v>9</v>
      </c>
    </row>
    <row r="96" spans="1:3">
      <c r="A96" s="31">
        <v>82</v>
      </c>
      <c r="B96" s="31">
        <v>7</v>
      </c>
      <c r="C96" s="31">
        <v>9</v>
      </c>
    </row>
    <row r="97" spans="1:3">
      <c r="A97" s="31">
        <v>83</v>
      </c>
      <c r="B97" s="31">
        <v>3</v>
      </c>
      <c r="C97" s="31">
        <v>8</v>
      </c>
    </row>
    <row r="98" spans="1:3">
      <c r="A98" s="31">
        <v>84</v>
      </c>
      <c r="B98" s="31">
        <v>5</v>
      </c>
      <c r="C98" s="31">
        <v>8</v>
      </c>
    </row>
    <row r="99" spans="1:3">
      <c r="A99" s="31">
        <v>85</v>
      </c>
      <c r="B99" s="31">
        <v>4</v>
      </c>
      <c r="C99" s="31">
        <v>7</v>
      </c>
    </row>
    <row r="100" spans="1:3">
      <c r="A100" s="31">
        <v>86</v>
      </c>
      <c r="B100" s="31">
        <v>3</v>
      </c>
      <c r="C100" s="31">
        <v>8</v>
      </c>
    </row>
    <row r="101" spans="1:3">
      <c r="A101" s="31">
        <v>87</v>
      </c>
      <c r="B101" s="31">
        <v>7</v>
      </c>
      <c r="C101" s="31">
        <v>9</v>
      </c>
    </row>
    <row r="102" spans="1:3">
      <c r="A102" s="31">
        <v>88</v>
      </c>
      <c r="B102" s="31">
        <v>6</v>
      </c>
      <c r="C102" s="31">
        <v>8</v>
      </c>
    </row>
    <row r="103" spans="1:3">
      <c r="A103" s="31">
        <v>89</v>
      </c>
      <c r="B103" s="31">
        <v>4</v>
      </c>
      <c r="C103" s="31">
        <v>7</v>
      </c>
    </row>
    <row r="104" spans="1:3">
      <c r="A104" s="31">
        <v>90</v>
      </c>
      <c r="B104" s="31">
        <v>7</v>
      </c>
      <c r="C104" s="31">
        <v>9</v>
      </c>
    </row>
    <row r="105" spans="1:3">
      <c r="A105" s="31">
        <v>91</v>
      </c>
      <c r="B105" s="31">
        <v>4</v>
      </c>
      <c r="C105" s="31">
        <v>7</v>
      </c>
    </row>
    <row r="106" spans="1:3">
      <c r="A106" s="31">
        <v>92</v>
      </c>
      <c r="B106" s="31">
        <v>5</v>
      </c>
      <c r="C106" s="31">
        <v>7</v>
      </c>
    </row>
    <row r="107" spans="1:3">
      <c r="A107" s="31">
        <v>93</v>
      </c>
      <c r="B107" s="31">
        <v>7</v>
      </c>
      <c r="C107" s="31">
        <v>9</v>
      </c>
    </row>
    <row r="108" spans="1:3">
      <c r="A108" s="31">
        <v>94</v>
      </c>
      <c r="B108" s="31">
        <v>4</v>
      </c>
      <c r="C108" s="31">
        <v>8</v>
      </c>
    </row>
    <row r="109" spans="1:3">
      <c r="A109" s="31">
        <v>95</v>
      </c>
      <c r="B109" s="31">
        <v>2</v>
      </c>
      <c r="C109" s="31">
        <v>8</v>
      </c>
    </row>
    <row r="110" spans="1:3">
      <c r="A110" s="31">
        <v>96</v>
      </c>
      <c r="B110" s="31">
        <v>8</v>
      </c>
      <c r="C110" s="31">
        <v>10</v>
      </c>
    </row>
    <row r="111" spans="1:3">
      <c r="A111" s="31">
        <v>97</v>
      </c>
      <c r="B111" s="31">
        <v>8</v>
      </c>
      <c r="C111" s="31">
        <v>10</v>
      </c>
    </row>
    <row r="112" spans="1:3">
      <c r="A112" s="31">
        <v>98</v>
      </c>
      <c r="B112" s="31">
        <v>9</v>
      </c>
      <c r="C112" s="31">
        <v>10</v>
      </c>
    </row>
    <row r="113" spans="1:3">
      <c r="A113" s="31">
        <v>99</v>
      </c>
      <c r="B113" s="31">
        <v>10</v>
      </c>
      <c r="C113" s="31">
        <v>10</v>
      </c>
    </row>
    <row r="114" spans="1:3">
      <c r="A114" s="31">
        <v>100</v>
      </c>
      <c r="B114" s="31">
        <v>7</v>
      </c>
      <c r="C114" s="31">
        <v>10</v>
      </c>
    </row>
    <row r="115" spans="1:3">
      <c r="A115" s="31">
        <v>101</v>
      </c>
      <c r="B115" s="31">
        <v>1</v>
      </c>
      <c r="C115" s="31">
        <v>10</v>
      </c>
    </row>
    <row r="116" spans="1:3">
      <c r="A116" s="31">
        <v>102</v>
      </c>
      <c r="B116" s="31">
        <v>2</v>
      </c>
      <c r="C116" s="31">
        <v>10</v>
      </c>
    </row>
    <row r="117" spans="1:3">
      <c r="A117" s="31">
        <v>103</v>
      </c>
      <c r="B117" s="31">
        <v>6</v>
      </c>
      <c r="C117" s="31">
        <v>9</v>
      </c>
    </row>
    <row r="118" spans="1:3">
      <c r="A118" s="31">
        <v>104</v>
      </c>
      <c r="B118" s="31">
        <v>1</v>
      </c>
      <c r="C118" s="31">
        <v>8</v>
      </c>
    </row>
    <row r="119" spans="1:3">
      <c r="A119" s="31">
        <v>105</v>
      </c>
      <c r="B119" s="31">
        <v>1</v>
      </c>
      <c r="C119" s="31">
        <v>8</v>
      </c>
    </row>
    <row r="120" spans="1:3">
      <c r="A120" s="31">
        <v>106</v>
      </c>
      <c r="B120" s="31">
        <v>1</v>
      </c>
      <c r="C120" s="31">
        <v>9</v>
      </c>
    </row>
    <row r="121" spans="1:3">
      <c r="A121" s="31">
        <v>107</v>
      </c>
      <c r="B121" s="31">
        <v>5</v>
      </c>
      <c r="C121" s="31">
        <v>9</v>
      </c>
    </row>
    <row r="122" spans="1:3">
      <c r="A122" s="31">
        <v>108</v>
      </c>
      <c r="B122" s="31">
        <v>6</v>
      </c>
      <c r="C122" s="31">
        <v>10</v>
      </c>
    </row>
    <row r="123" spans="1:3">
      <c r="A123" s="31">
        <v>109</v>
      </c>
      <c r="B123" s="31">
        <v>5</v>
      </c>
      <c r="C123" s="31">
        <v>9</v>
      </c>
    </row>
    <row r="124" spans="1:3">
      <c r="A124" s="31">
        <v>110</v>
      </c>
      <c r="B124" s="31">
        <v>2</v>
      </c>
      <c r="C124" s="31">
        <v>10</v>
      </c>
    </row>
    <row r="125" spans="1:3">
      <c r="A125" s="31">
        <v>111</v>
      </c>
      <c r="B125" s="31">
        <v>7</v>
      </c>
      <c r="C125" s="31">
        <v>10</v>
      </c>
    </row>
    <row r="126" spans="1:3">
      <c r="A126" s="31">
        <v>112</v>
      </c>
      <c r="B126" s="31">
        <v>9</v>
      </c>
      <c r="C126" s="31">
        <v>10</v>
      </c>
    </row>
    <row r="127" spans="1:3">
      <c r="A127" s="31">
        <v>113</v>
      </c>
      <c r="B127" s="31">
        <v>6</v>
      </c>
      <c r="C127" s="31">
        <v>10</v>
      </c>
    </row>
    <row r="128" spans="1:3">
      <c r="A128" s="31">
        <v>114</v>
      </c>
      <c r="B128" s="31">
        <v>1</v>
      </c>
      <c r="C128" s="31">
        <v>10</v>
      </c>
    </row>
    <row r="129" spans="1:3">
      <c r="A129" s="31">
        <v>115</v>
      </c>
      <c r="B129" s="31">
        <v>1</v>
      </c>
      <c r="C129" s="31">
        <v>10</v>
      </c>
    </row>
    <row r="130" spans="1:3">
      <c r="A130" s="31">
        <v>116</v>
      </c>
      <c r="B130" s="31">
        <v>1</v>
      </c>
      <c r="C130" s="31">
        <v>10</v>
      </c>
    </row>
    <row r="131" spans="1:3">
      <c r="A131" s="31">
        <v>117</v>
      </c>
      <c r="B131" s="31">
        <v>4</v>
      </c>
      <c r="C131" s="31">
        <v>10</v>
      </c>
    </row>
    <row r="132" spans="1:3">
      <c r="A132" s="31">
        <v>118</v>
      </c>
      <c r="B132" s="31">
        <v>7</v>
      </c>
      <c r="C132" s="31">
        <v>10</v>
      </c>
    </row>
    <row r="133" spans="1:3">
      <c r="A133" s="31">
        <v>119</v>
      </c>
      <c r="B133" s="31">
        <v>6</v>
      </c>
      <c r="C133" s="31">
        <v>10</v>
      </c>
    </row>
    <row r="134" spans="1:3">
      <c r="A134" s="31">
        <v>120</v>
      </c>
      <c r="B134" s="31">
        <v>1</v>
      </c>
      <c r="C134" s="31">
        <v>10</v>
      </c>
    </row>
    <row r="135" spans="1:3">
      <c r="A135" s="31">
        <v>121</v>
      </c>
      <c r="B135" s="31">
        <v>1</v>
      </c>
      <c r="C135" s="31">
        <v>10</v>
      </c>
    </row>
    <row r="136" spans="1:3">
      <c r="A136" s="31">
        <v>122</v>
      </c>
      <c r="B136" s="31">
        <v>1</v>
      </c>
      <c r="C136" s="31">
        <v>9</v>
      </c>
    </row>
    <row r="137" spans="1:3">
      <c r="A137" s="31">
        <v>123</v>
      </c>
      <c r="B137" s="31">
        <v>1</v>
      </c>
      <c r="C137" s="31">
        <v>9</v>
      </c>
    </row>
  </sheetData>
  <mergeCells count="1">
    <mergeCell ref="A1:J1"/>
  </mergeCells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밸런스 문서</vt:lpstr>
      <vt:lpstr>밸런스 팩터</vt:lpstr>
      <vt:lpstr>작성 기준</vt:lpstr>
      <vt:lpstr>밸런스 곡선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2026-07-24T04:51:58Z</dcterms:modified>
</cp:coreProperties>
</file>
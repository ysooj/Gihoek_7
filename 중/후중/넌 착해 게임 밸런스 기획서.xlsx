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7\"/>
    </mc:Choice>
  </mc:AlternateContent>
  <x:bookViews>
    <x:workbookView xWindow="0" yWindow="0" windowWidth="21345" windowHeight="8640" tabRatio="500"/>
  </x:bookViews>
  <x:sheets>
    <x:sheet name="밸런스 문서" sheetId="1" r:id="rId4"/>
    <x:sheet name="밸런스 팩터" sheetId="2" r:id="rId5"/>
    <x:sheet name="작성 기준" sheetId="3" r:id="rId6"/>
    <x:sheet name="밸런스 곡선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<x:sst xmlns:r="http://schemas.openxmlformats.org/officeDocument/2006/relationships" xmlns:c="http://schemas.openxmlformats.org/drawingml/2006/chart" xmlns:x="http://schemas.openxmlformats.org/spreadsheetml/2006/main" count="2152" uniqueCount="1028">
  <x:si>
    <x:t>4/10 – 구역 수·동료 행동 예측 가능성·이동 동선이 난이도를 결정함</x:t>
  </x:si>
  <x:si>
    <x:t>기록·기억·균열 반응을 비교해 차한해가 균열에서 태어난 존재라는 사실을 확인함</x:t>
  </x:si>
  <x:si>
    <x:t>중학생이 잃어버린 반지의 흔적의 형태와 주변 대사를 확인하고 별도 조사함</x:t>
  </x:si>
  <x:si>
    <x:t>6/10 – 요구 인물 수·대사 강도·선택지의 감정적 부담이 난이도를 결정함</x:t>
  </x:si>
  <x:si>
    <x:t>7/10 – 붕괴 속도·통로 폭·왜곡 강도·체크포인트 간격이 난이도를 결정함</x:t>
  </x:si>
  <x:si>
    <x:t>주인공의 기억과 친구의 상태를 확인하고 처치 대신 포옹하는 선택을 실행함</x:t>
  </x:si>
  <x:si>
    <x:t>7/10 – 목표 수량·배치 거리·위험 주기·이동 지형이 난이도를 결정함</x:t>
  </x:si>
  <x:si>
    <x:t>마지막 목격 위치와 반짝임 주기를 이용해 쓰레기 사이에 섞인 작은 반지를 찾음</x:t>
  </x:si>
  <x:si>
    <x:t>8/10 – 기억 물건 수·가짜 설명의 설득력·선택 제한시간이 난이도를 결정함</x:t>
  </x:si>
  <x:si>
    <x:t>4/10 – 목표 수량·배치 밀도·가림 오브젝트·탐색 범위가 난이도를 결정함</x:t>
  </x:si>
  <x:si>
    <x:t>요청받은 품목을 확인하고 상품 선택→계산대 상호작용→결제를 순서대로 진행함</x:t>
  </x:si>
  <x:si>
    <x:t>5/10 – 후보 물품 수·인벤토리 제한·필수 조합 수가 난이도를 결정함</x:t>
  </x:si>
  <x:si>
    <x:t>제한된 가방 칸 때문에 모든 물품을 챙길 수 없고 우선순위 판단이 필요함</x:t>
  </x:si>
  <x:si>
    <x:t>5/10 – 목표 수량·배치 밀도·가림 오브젝트·탐색 범위가 난이도를 결정함</x:t>
  </x:si>
  <x:si>
    <x:t>표지판·미니맵·NPC 이동 방향을 확인하며 대피소에서 붕괴 지역까지 이동함</x:t>
  </x:si>
  <x:si>
    <x:t>7/10 – 분류 종류 수·외형 유사도·오답 허용 횟수가 난이도를 결정함</x:t>
  </x:si>
  <x:si>
    <x:t>기획자가 해당 구간이 이 정도로 재미있기를 기대하며 정하는 정성적 목표값</x:t>
  </x:si>
  <x:si>
    <x:t>9/10 – 무기 전환·거리 조절·반사 궤적·패턴 연계가 난이도를 결정함</x:t>
  </x:si>
  <x:si>
    <x:t>위험이 지속되는 동안 대상 상태를 확인하고 구조 행동을 여러 번 수행해야 함</x:t>
  </x:si>
  <x:si>
    <x:t>7/10 – 위험 주기·대상 체력·이동 거리·구조 단계 수가 난이도를 결정함</x:t>
  </x:si>
  <x:si>
    <x:t>6/10 – 분류 종류 수·외형 유사도·오답 허용 횟수가 난이도를 결정함</x:t>
  </x:si>
  <x:si>
    <x:t>6/10 – 동행 인원·속도 차이·장애물 수·허용 거리가 난이도를 결정함</x:t>
  </x:si>
  <x:si>
    <x:t>구역별 표지와 상품 외형을 비교하며 편의점 안 신상 과자 진열대를 조사함</x:t>
  </x:si>
  <x:si>
    <x:t>대화에서 정한 담당 구역을 확인하고 서로 다른 공원 구역를 순서대로 처리함</x:t>
  </x:si>
  <x:si>
    <x:t>확인 문구와 지금까지의 결과를 검토한 뒤 균열과 함께 소멸하는 선택을 실행함</x:t>
  </x:si>
  <x:si>
    <x:t>6/10 – 숫자 변환 단계·방향 입력 수·오답 초기화 범위가 난이도를 결정함</x:t>
  </x:si>
  <x:si>
    <x:t>적 이동 소리와 순찰 경로를 확인해 소리에 반응하는 환영체를 피하며 이동함</x:t>
  </x:si>
  <x:si>
    <x:t>7/10 – 제한시간·우회로 길이·동행 인원·붕괴 주기가 난이도를 결정함</x:t>
  </x:si>
  <x:si>
    <x:t>임무 결과·인원·특이사항을 확인하고 구조 인원과 현장 상태를 순서대로 보고함</x:t>
  </x:si>
  <x:si>
    <x:t>9/10 – 누적 속도·감소 수단·제한시간·체력 회복량이 난이도를 결정함</x:t>
  </x:si>
  <x:si>
    <x:t>3/10 – 등장 인물 수·장면 전환 속도·결과 연결성이 난이도를 결정함</x:t>
  </x:si>
  <x:si>
    <x:t>2/10 – 등장 인물 수·장면 전환 속도·결과 연결성이 난이도를 결정함</x:t>
  </x:si>
  <x:si>
    <x:t>UI 미션뿐 아니라 이동·조사·대화·전투·업적성 행동·연출 확인까지 포함</x:t>
  </x:si>
  <x:si>
    <x:t>위험 패턴이 멈춘 순간에 접근해 계단에 쓰러진 이웃 주민를 안전 지점으로 옮김</x:t>
  </x:si>
  <x:si>
    <x:t>7/10 – 적 속도·공격 범위·예고 시간·안전 지점 수가 난이도를 결정함</x:t>
  </x:si>
  <x:si>
    <x:t>4/10 – 후보 공 수·공명 노출 시간·환영 시야 방해가 난이도를 결정함</x:t>
  </x:si>
  <x:si>
    <x:t>6/10 – 회피 타이밍·짧은 약점 노출·공명 공격 방향이 난이도를 결정함</x:t>
  </x:si>
  <x:si>
    <x:t>4/10 – 분류 종류 수·외형 유사도·오답 허용 횟수가 난이도를 결정함</x:t>
  </x:si>
  <x:si>
    <x:t>6/10 – 후보 수·공통 특징 수·추가 단서의 명확성이 난이도를 결정함</x:t>
  </x:si>
  <x:si>
    <x:t>균열이 적은 잔해부터 선택하고 반복 입력으로 통로를 막는 잔해 6개를 제거함</x:t>
  </x:si>
  <x:si>
    <x:t>회수 실패 시 농구공이 중앙으로 재생성되지만 보스의 공격 패턴이 1회 추가됨</x:t>
  </x:si>
  <x:si>
    <x:t>짧은 시간 동안 화면을 지나가는 대상이라 시선을 다른 곳에 두면 놓칠 수 있음</x:t>
  </x:si>
  <x:si>
    <x:t>선택의 분기 퍼즐 해결하기</x:t>
  </x:si>
  <x:si>
    <x:t>균열 내부 첫 구역 도착</x:t>
  </x:si>
  <x:si>
    <x:t>보스 앞 상호작용 지점 도착</x:t>
  </x:si>
  <x:si>
    <x:t>상태 안내와 독백 확인</x:t>
  </x:si>
  <x:si>
    <x:t>4-F | 폐교 강당·보스전</x:t>
  </x:si>
  <x:si>
    <x:t>올바른 NPC에게 물품 전달</x:t>
  </x:si>
  <x:si>
    <x:t>죄책감 축적 패턴 버티기</x:t>
  </x:si>
  <x:si>
    <x:t>3-C | 대피소·선의관리국</x:t>
  </x:si>
  <x:si>
    <x:t>첫 구조 임무 수락하기</x:t>
  </x:si>
  <x:si>
    <x:t>4-C | 폐교 본관 1층</x:t>
  </x:si>
  <x:si>
    <x:t>도심 잔해 구역으로 이동하기</x:t>
  </x:si>
  <x:si>
    <x:t>바람 방향 표시와 봉지의 그림자를 보고 다음 착지 지점을 예측해 세 번 안에 붙잡음</x:t>
  </x:si>
  <x:si>
    <x:t>복장·소지품·대화 반응을 함께 비교해 대화 단서와 복장 단서가 일치하는 거래자를 선택함</x:t>
  </x:si>
  <x:si>
    <x:t>공격을 멈추고 환영 속 친구의 목소리를 따라 안전 지점을 이동하며 죄책감 파동 5회를 버팀</x:t>
  </x:si>
  <x:si>
    <x:t>가까운 쓰레기의 종류와 다음 분리수거 위치를 미리 확인해 이동 동선을 끊지 않고 수거함</x:t>
  </x:si>
  <x:si>
    <x:t>10/10 – 패턴 수·동시 관리 자원·안전 구역 크기·체크포인트 간격이 난이도를 결정함</x:t>
  </x:si>
  <x:si>
    <x:t>사랑의 매로 외피를 깨고 거리를 벌린 뒤 농구공을 던져 약점을 맞히며 반사된 공을 회수함</x:t>
  </x:si>
  <x:si>
    <x:t>강당의 여러 공 가운데 하나만 친구가 농구 골대처럼 취급받으며 공을 맞았던 기억과 공명함</x:t>
  </x:si>
  <x:si>
    <x:t>잔여 수량과 각 구역 상태를 확인해 공원 미수거 구역과 남은 수량의 미완료 항목을 점검함</x:t>
  </x:si>
  <x:si>
    <x:t>서로 다른 쓰레기를 연속으로 정확히 주워야 콤보가 유지되며 잘못 집으면 게이지가 초기화됨</x:t>
  </x:si>
  <x:si>
    <x:t>첫 괴물을 넉백시켜 두 적을 한 방향에 모은 뒤 금속 프레임의 넓은 휘두르기로 빠르게 제압함</x:t>
  </x:si>
  <x:si>
    <x:t>던진 공은 적을 맞힌 뒤 벽과 바닥에 튕겨 떨어지므로 공격과 회수를 동시에 계획해야 함</x:t>
  </x:si>
  <x:si>
    <x:t>카메라가 강조하는 인물과 오브젝트를 보며 분리수거장 바닥에서 열리는 도덕 균열를 확인함</x:t>
  </x:si>
  <x:si>
    <x:t>각 인물의 요구와 주인공의 상태를 비교하며 가족·관리국·시민의 희생 요구의 의미를 판단함</x:t>
  </x:si>
  <x:si>
    <x:t>수집한 기록을 비교하고 서로 다른 기억 문을 선택하는 퍼즐의 규칙에 맞게 단계별로 입력함</x:t>
  </x:si>
  <x:si>
    <x:t>찌그러진 공·골대 아래 충격 흔적·바닥의 보랏빛 잔광을 순서대로 조사해 공명 농구공을 식별함</x:t>
  </x:si>
  <x:si>
    <x:t>도망치던 괴물이 아파트 현관 앞에서 다시 나타나지만 공격보다 먼저 주인공에게 손을 뻗음</x:t>
  </x:si>
  <x:si>
    <x:t>지급 총으로 돌진을 늦추고 회피 직후 보랏빛 철제 지지봉으로 외피와 약점을 차례로 타격함</x:t>
  </x:si>
  <x:si>
    <x:t>기억 장면이 전투 화면을 덮는 동안 멀리 있는 기억 핵을 농구공의 반사 궤적으로 맞혀야 함</x:t>
  </x:si>
  <x:si>
    <x:t>주요 보도 문구와 주변 인물 반응을 순서대로 확인해 생방송과 주변 시민의 반응을 확인함</x:t>
  </x:si>
  <x:si>
    <x:t>착지 예고 지점을 확인하고 장애물을 끼고 이동해 농구공을 회수한 뒤 다시 투척 거리로 복귀함</x:t>
  </x:si>
  <x:si>
    <x:t>폐교의 어두운 환경과 임시 무기 탐색을 고려해 손전등·공명 탐지기·회복품을 우선 선택함</x:t>
  </x:si>
  <x:si>
    <x:t>총으로 괴물의 접근을 잠시 늦춘 뒤 고정핀을 순서대로 제거하고 보랏빛 지지봉을 뽑아 듦</x:t>
  </x:si>
  <x:si>
    <x:t>전투 후 공명 무기가 보랏빛 잔류물과 함께 부서져 다음 지역에서는 새 무기를 찾아야 함</x:t>
  </x:si>
  <x:si>
    <x:t>비어 있는 진열칸과 손글씨 품절 안내 가까이 이동한 뒤 상호작용 아이콘이 나타날 때 조사함</x:t>
  </x:si>
  <x:si>
    <x:t>막힘 원인을 먼저 제거한 뒤 제한 시간 동안 재활용·일반·세척 대상을 우선순위대로 분류함</x:t>
  </x:si>
  <x:si>
    <x:t>날짜·필체·교사 도장을 비교해 친구가 도움을 요청했지만 문제 학생으로 처리된 사실을 재구성함</x:t>
  </x:si>
  <x:si>
    <x:t>사랑의 매는 방어막에 강하지만 타격할 때마다 교사의 체벌 기억이 겹쳐 시야와 조작이 흔들림</x:t>
  </x:si>
  <x:si>
    <x:t>요청 위치를 묶어 처리하고 우선순위를 정해 작은 부탁이 끊임없이 추가되는 상황을 정리함</x:t>
  </x:si>
  <x:si>
    <x:t>열차 경고 주기를 확인해 안전 시간에 선로 가장자리로 접근하고 전광판 프레임을 끌어올림</x:t>
  </x:si>
  <x:si>
    <x:t>재질·오염 여부·남은 내용물을 확인하고 플라스틱·캔·종이 10개를 올바른 수거함에 넣음</x:t>
  </x:si>
  <x:si>
    <x:t>카메라 이동과 NPC 시선을 따라 영화관 출구 앞을 지나가는 편의점 물류 트럭을 확인함</x:t>
  </x:si>
  <x:si>
    <x:t>시선·행동·복장·주변 오브젝트를 순서대로 확인해 균열의 빛·소리·주변 반응의 특징을 파악함</x:t>
  </x:si>
  <x:si>
    <x:t>8/10 – 돌진 속도·공명 타격 거리·방어막 재생 시간·환영체 개입이 난이도를 결정함</x:t>
  </x:si>
  <x:si>
    <x:t>탐지기의 반응 강도와 바닥의 잔광을 비교해 괴물의 공격을 피하며 공명 물체의 위치를 좁힘</x:t>
  </x:si>
  <x:si>
    <x:t>반복되는 핵심 문구를 확인하며 귀환을 요청하는 한도윤의 마지막 대화를 진행함</x:t>
  </x:si>
  <x:si>
    <x:t>표지판·미니맵·NPC 이동 방향을 확인하며 공원에서 분리수거장까지 이동함</x:t>
  </x:si>
  <x:si>
    <x:t>입양 이후 가족 안에서 희생을 요구받아 온 과거를 보여주는 연출이 길게 이어져 플레이어가 핵심 정보를 놓칠 수 있음</x:t>
  </x:si>
  <x:si>
    <x:t>동행 NPC가 장애물에 걸리거나 플레이어와 멀어지면 대피가 중단됨</x:t>
  </x:si>
  <x:si>
    <x:t>거래자 후보 3명 관찰하기</x:t>
  </x:si>
  <x:si>
    <x:t>동생에게 심부름 지시 받기</x:t>
  </x:si>
  <x:si>
    <x:t>신상 과자 진열대 찾기</x:t>
  </x:si>
  <x:si>
    <x:t>5-C | 균열 심층부</x:t>
  </x:si>
  <x:si>
    <x:t>본관 2층으로 이동하기</x:t>
  </x:si>
  <x:si>
    <x:t>균열과 몬스터 소멸 확인하기</x:t>
  </x:si>
  <x:si>
    <x:t>벤치 주변 쓰레기 수거하기</x:t>
  </x:si>
  <x:si>
    <x:t>균열 수호체 전투 치르기</x:t>
  </x:si>
  <x:si>
    <x:t>쓰레기를 치우기로 결정하기</x:t>
  </x:si>
  <x:si>
    <x:t>신상 과자 오픈런 참가하기</x:t>
  </x:si>
  <x:si>
    <x:t>편의점 물류 트럭 따라가기</x:t>
  </x:si>
  <x:si>
    <x:t>분리수거장으로 이동하기</x:t>
  </x:si>
  <x:si>
    <x:t>편의점 물류 트럭 발견하기</x:t>
  </x:si>
  <x:si>
    <x:t>스킵·다시 보기 기능 제공</x:t>
  </x:si>
  <x:si>
    <x:t>필수 진실 기록 전부 확인</x:t>
  </x:si>
  <x:si>
    <x:t>안내된 수거 행동 3회 완료</x:t>
  </x:si>
  <x:si>
    <x:t>오답 후 잘못된 단계만 표시</x:t>
  </x:si>
  <x:si>
    <x:t>새벽 재난 문자 확인하기</x:t>
  </x:si>
  <x:si>
    <x:t>2-A | 공원 축제·청소</x:t>
  </x:si>
  <x:si>
    <x:t>1-E | 편의점 재입고</x:t>
  </x:si>
  <x:si>
    <x:t>한도윤과 구역 분담하기</x:t>
  </x:si>
  <x:si>
    <x:t>잔디 구역 쓰레기 수거하기</x:t>
  </x:si>
  <x:si>
    <x:t>우정 반지 단서 발견하기</x:t>
  </x:si>
  <x:si>
    <x:t>괴물의 첫 습격 회피하기</x:t>
  </x:si>
  <x:si>
    <x:t>구조 임무 완료 보고하기</x:t>
  </x:si>
  <x:si>
    <x:t>구조 대상이 안전 지점 도착</x:t>
  </x:si>
  <x:si>
    <x:t>실패 후 적 청각 범위 감소</x:t>
  </x:si>
  <x:si>
    <x:t>4-E | 폐교 본관 3층</x:t>
  </x:si>
  <x:si>
    <x:t>자아 마모도 변화 확인하기</x:t>
  </x:si>
  <x:si>
    <x:t>균열 중심부로 이동하기</x:t>
  </x:si>
  <x:si>
    <x:t>통로를 막는 잔해 전부 제거</x:t>
  </x:si>
  <x:si>
    <x:t>필수 기억 장면 모두 확인</x:t>
  </x:si>
  <x:si>
    <x:t>5-A | 대형 균열 외부</x:t>
  </x:si>
  <x:si>
    <x:t>3/10 – 후보 오브젝트 수·외형 유사도·탐색 범위가 난이도를 결정함</x:t>
  </x:si>
  <x:si>
    <x:t>1 매우 느림, 3 보통, 5 빠름. 이동이 핵심이 아닐 때는 공란</x:t>
  </x:si>
  <x:si>
    <x:t>외형이 비슷하거나 내용물이 남은 쓰레기는 분류 기준을 혼동하기 쉬움</x:t>
  </x:si>
  <x:si>
    <x:t>혼자 청소하는 이유와 도움 제안에 관한 대화를 마지막 문장까지 진행</x:t>
  </x:si>
  <x:si>
    <x:t>조사 대상이 배경 오브젝트와 비슷해 상호작용 가능 여부를 놓칠 수 있음</x:t>
  </x:si>
  <x:si>
    <x:t>첫 시도에는 표식을 순차적으로 확대하고 오답 후 다른 표식 하나를 제거</x:t>
  </x:si>
  <x:si>
    <x:t>보행자·자전거·배송 상자가 골목을 막고 트럭과의 거리가 계속 벌어짐</x:t>
  </x:si>
  <x:si>
    <x:t>6/10 – 돌진 예고·회피 타이밍·약점 노출 시간이 난이도를 결정함</x:t>
  </x:si>
  <x:si>
    <x:t>구조 대상 위치와 촬영 지시를 확인하고 시민 구조를 우선 목표로 설정함</x:t>
  </x:si>
  <x:si>
    <x:t>1/10 – 상호작용 표시의 가시성과 조사 범위가 난이도를 결정함</x:t>
  </x:si>
  <x:si>
    <x:t>1/10 – 맵 크기·갈림길 수·목적지 표식의 가시성이 난이도를 결정함</x:t>
  </x:si>
  <x:si>
    <x:t>표지판·미니맵·NPC 이동 방향을 확인하며 다이소에서 영화관까지 이동함</x:t>
  </x:si>
  <x:si>
    <x:t>1/10 – 대사 길이·핵심 정보의 명확성·선택지 수가 난이도를 결정함</x:t>
  </x:si>
  <x:si>
    <x:t>생활기록부·상담일지·반성문에서 같은 사건이 서로 다르게 기록되어 있음</x:t>
  </x:si>
  <x:si>
    <x:t>구역별 표지와 상품 외형을 비교하며 생활용품 코너의 헤어롤을 조사함</x:t>
  </x:si>
  <x:si>
    <x:t>강조되는 핵심 단어와 NPC의 요구를 확인하며 대화를 끝까지 진행함</x:t>
  </x:si>
  <x:si>
    <x:t>갈림길과 주변 상호작용 오브젝트 때문에 목적지 방향을 놓칠 수 있음</x:t>
  </x:si>
  <x:si>
    <x:t>표지판·미니맵·NPC 이동 방향을 확인하며 아파트에서 편의점까지 이동함</x:t>
  </x:si>
  <x:si>
    <x:t>2/10 – 상충하는 목표 문구와 선택의 감정적 부담이 난이도를 결정함</x:t>
  </x:si>
  <x:si>
    <x:t>알바생 NPC와 대화하기</x:t>
  </x:si>
  <x:si>
    <x:t>콘텐츠 진행 포인트 누적</x:t>
  </x:si>
  <x:si>
    <x:t>전체 밸런스 곡선 요약</x:t>
  </x:si>
  <x:si>
    <x:t>X
콘텐츠 진행 포인트</x:t>
  </x:si>
  <x:si>
    <x:t>산책로 쓰레기 수거하기</x:t>
  </x:si>
  <x:si>
    <x:t>축제 종료 현장 관찰하기</x:t>
  </x:si>
  <x:si>
    <x:t>숫자/10 + 원인 설명</x:t>
  </x:si>
  <x:si>
    <x:t>밸런스 문서 작성 기준</x:t>
  </x:si>
  <x:si>
    <x:t>필수 관찰 대상 모두 조사</x:t>
  </x:si>
  <x:si>
    <x:t>1-A | 집·튜토리얼</x:t>
  </x:si>
  <x:si>
    <x:t>올바른 거래자와 대화 시작</x:t>
  </x:si>
  <x:si>
    <x:t>균열 심층부로 이동하기</x:t>
  </x:si>
  <x:si>
    <x:t>환영 구역 종료 지점 도착</x:t>
  </x:si>
  <x:si>
    <x:t>차량 경적을 순서대로 작동시켜 괴물을 넓은 통로로 유인하고 시민과의 거리를 벌림</x:t>
  </x:si>
  <x:si>
    <x:t>가족의 칭찬과 실제 기억이 충돌하며 잘못된 물건을 선택하면 자아 마모도가 증가함</x:t>
  </x:si>
  <x:si>
    <x:t>낡은 체벌 도구가 평범한 오브젝트처럼 보이지만 친구의 기억이 재생될 때만 공명함</x:t>
  </x:si>
  <x:si>
    <x:t>정확 수거 콤보 12회를 달성</x:t>
  </x:si>
  <x:si>
    <x:t>실패 후 고정 표식의 밝기 증가</x:t>
  </x:si>
  <x:si>
    <x:t>3-F | 지하철 승강장 구조</x:t>
  </x:si>
  <x:si>
    <x:t>오프닝 재생이 끝나면 자동 완료</x:t>
  </x:si>
  <x:si>
    <x:t>접근 실패 후 안전 지점 표시</x:t>
  </x:si>
  <x:si>
    <x:t>일반쓰레기 8개 전부 올바르게 분류</x:t>
  </x:si>
  <x:si>
    <x:t>공명 타격 2회로 괴물 1체 제압</x:t>
  </x:si>
  <x:si>
    <x:t>Y
레벨업을 위한 필요 경험치</x:t>
  </x:si>
  <x:si>
    <x:t>강당 농구공의 보랏빛 공명 확인하기</x:t>
  </x:si>
  <x:si>
    <x:t>배송 상자의 재입고 표식 기억하기</x:t>
  </x:si>
  <x:si>
    <x:t>일시정지·배속·다시 보기 기능 제공</x:t>
  </x:si>
  <x:si>
    <x:t>모든 생존 파티원이 출구 도착</x:t>
  </x:si>
  <x:si>
    <x:t>반짝임 표시가 있는 산책로의 첫 쓰레기에 접근해 줍기 입력을 수행함</x:t>
  </x:si>
  <x:si>
    <x:t>목표물이 작고 수거 가능한 쓰레기 사이에 섞여 있어 탐색 부담이 큼</x:t>
  </x:si>
  <x:si>
    <x:t>초회 플레이어가 해당 콘텐츠를 완료하는 데 걸릴 것으로 예상하는 시간</x:t>
  </x:si>
  <x:si>
    <x:t>핵심 장면의 시선 유도와 짧은 자막을 통해 관계와 감정 변화를 이해함</x:t>
  </x:si>
  <x:si>
    <x:t>목표를 바로 달성하지 못하게 만드는 맵·NPC·시간·정보·전투 요소</x:t>
  </x:si>
  <x:si>
    <x:t>대화와 자료를 확인해 폐교 균열 조사와 실종자 수색의 공식 목표와 숨은 위험을 구분함</x:t>
  </x:si>
  <x:si>
    <x:t>7/10 – 동행 인원·속도 편차·위험 구간 수·명령 재사용 시간이 난이도를 결정함</x:t>
  </x:si>
  <x:si>
    <x:t>두 괴물이 다른 방향에서 공격하지만 공명 무기는 한 번에 한 방향만 넓게 타격함</x:t>
  </x:si>
  <x:si>
    <x:t>장면 순서와 반복되는 상징을 보며 도시 곳곳의 균열과 괴물이 소멸한 결과를 확인함</x:t>
  </x:si>
  <x:si>
    <x:t>체벌 횟수·날짜·자리 배치 단서를 방향 입력으로 변환해 교탁의 숨은 칸을 해제함</x:t>
  </x:si>
  <x:si>
    <x:t>7/10 – 목표 수·동선 길이·위험 구역 밀도·자아 마모도 증가량이 난이도를 결정함</x:t>
  </x:si>
  <x:si>
    <x:t>요청 지역·구조 대상·예상 위험을 확인한 뒤 도심 잔해 구역 구조 요청을 수락함</x:t>
  </x:si>
  <x:si>
    <x:t>표지판·미니맵·NPC 이동 방향을 확인하며 아파트에서 임시 안전 구역까지 이동함</x:t>
  </x:si>
  <x:si>
    <x:t>돌진을 옆으로 피한 뒤 차단기 막대로 약점을 두 번 가격해 짧은 시간 안에 제압함</x:t>
  </x:si>
  <x:si>
    <x:t>6/10 – 플레이어와 대상의 속도 차이·허용 거리·시야 차단물이 난이도를 결정함</x:t>
  </x:si>
  <x:si>
    <x:t>교사의 체벌 기록에 적힌 숫자와 교탁 잠금 장치의 방향 규칙을 함께 해석해야 함</x:t>
  </x:si>
  <x:si>
    <x:t>비슷한 운동화 자국과 축제 스티커가 여러 방향으로 이어져 잘못된 동선을 선택하기 쉬움</x:t>
  </x:si>
  <x:si>
    <x:t>예상 궤적을 조절해 표적을 맞히고 반사된 공의 착지 지점으로 이동해 다시 회수함</x:t>
  </x:si>
  <x:si>
    <x:t>6/10 – 경쟁 NPC 수·충돌 범위·재고 수량·접근 가능 시간이 난이도를 결정함</x:t>
  </x:si>
  <x:si>
    <x:t>군중의 이동 방향을 예측하고 빈 공간으로 우회해 편의점 진열대 앞 군중에 접근함</x:t>
  </x:si>
  <x:si>
    <x:t>정전과 열차 진입 경고 속에서 공명 물체가 선로 가까이에 떨어져 접근 시간이 제한됨</x:t>
  </x:si>
  <x:si>
    <x:t>장애물의 이동 방향을 예측해 짧은 지름길을 선택하고 넘기·비켜가기 조작을 연결함</x:t>
  </x:si>
  <x:si>
    <x:t>공을 회수하러 이동하는 동안 보스의 추적 공격이 이어져 최단 경로와 안전 경로가 다름</x:t>
  </x:si>
  <x:si>
    <x:t>잔여 수량과 각 구역 상태를 확인해 모든 분류함과 오분류 여부의 미완료 항목을 점검함</x:t>
  </x:si>
  <x:si>
    <x:t>붕괴 경고 표시를 보고 붕괴되는 출입구의 열린 통로로 빠르게 이동함</x:t>
  </x:si>
  <x:si>
    <x:t>동료가 담당하는 구역과 플레이어 구역이 겹치면 불필요한 이동이 발생함</x:t>
  </x:si>
  <x:si>
    <x:t>동행자 속도에 맞춰 이동하고 위험 구역 앞에서 부모와 동생를 기다림</x:t>
  </x:si>
  <x:si>
    <x:t>표지판·미니맵·NPC 이동 방향을 확인하며 공원에서 집까지 이동함</x:t>
  </x:si>
  <x:si>
    <x:t>4/10 – 관찰 대상 수·단서의 명확성·외형 유사도가 난이도를 결정함</x:t>
  </x:si>
  <x:si>
    <x:t>7/10 – 제한시간·안전 경로 폭·장애물 발생 주기가 난이도를 결정함</x:t>
  </x:si>
  <x:si>
    <x:t>지하 주차장 구조 요청 받기</x:t>
  </x:si>
  <x:si>
    <x:t>필수 보고 항목 모두 선택</x:t>
  </x:si>
  <x:si>
    <x:t>본관 3층으로 이동하기</x:t>
  </x:si>
  <x:si>
    <x:t>4-G | 폐교 탈출·귀환</x:t>
  </x:si>
  <x:si>
    <x:t>3-D | 도심 구조 임무</x:t>
  </x:si>
  <x:si>
    <x:t>3-A | 아파트 재난</x:t>
  </x:si>
  <x:si>
    <x:t>3-E | 지하 주차장 구조</x:t>
  </x:si>
  <x:si>
    <x:t>컴퓨터 잠금 퍼즐 해결하기</x:t>
  </x:si>
  <x:si>
    <x:t>친구를 인간으로 복원하기</x:t>
  </x:si>
  <x:si>
    <x:t>아파트 밖으로 탈출하기</x:t>
  </x:si>
  <x:si>
    <x:t>고등급자 파티에 합류하기</x:t>
  </x:si>
  <x:si>
    <x:t>튕겨 나온 농구공 회수하기</x:t>
  </x:si>
  <x:si>
    <x:t>장비 역할과 추천 조합 표시</x:t>
  </x:si>
  <x:si>
    <x:t>아파트 계단으로 이동하기</x:t>
  </x:si>
  <x:si>
    <x:t>필수 기억 단서 전부 수집</x:t>
  </x:si>
  <x:si>
    <x:t>회피 구간 종료 지점 도착</x:t>
  </x:si>
  <x:si>
    <x:t>무한대 수치 재측정하기</x:t>
  </x:si>
  <x:si>
    <x:t>학교폭력 흔적 조사하기</x:t>
  </x:si>
  <x:si>
    <x:t>농구공의 투척 궤적 익히기</x:t>
  </x:si>
  <x:si>
    <x:t>지하 주차장 구조 임무 수락</x:t>
  </x:si>
  <x:si>
    <x:t>재난 문자 핵심 항목 확인</x:t>
  </x:si>
  <x:si>
    <x:t>관리국에 귀환 보고하기</x:t>
  </x:si>
  <x:si>
    <x:t>차단기 막대로 괴물 제압하기</x:t>
  </x:si>
  <x:si>
    <x:t>보랏빛 공명 흔적 추적하기</x:t>
  </x:si>
  <x:si>
    <x:t>모든 구조 대상 위치 확인</x:t>
  </x:si>
  <x:si>
    <x:t>교실 기억 단서 수집하기</x:t>
  </x:si>
  <x:si>
    <x:t>올바른 강당 방향 도착</x:t>
  </x:si>
  <x:si>
    <x:t>복원 게이지 100% 달성</x:t>
  </x:si>
  <x:si>
    <x:t>분리수거 라인 막힘 해소하기</x:t>
  </x:si>
  <x:si>
    <x:t>시민들의 연속 부탁 처리하기</x:t>
  </x:si>
  <x:si>
    <x:t>중학생에게 반지 전달하기</x:t>
  </x:si>
  <x:si>
    <x:t>차한해의 과거 오프닝 감상</x:t>
  </x:si>
  <x:si>
    <x:t>다음 층 도착 트리거 진입</x:t>
  </x:si>
  <x:si>
    <x:t>침대에 임무 아이콘 표시</x:t>
  </x:si>
  <x:si>
    <x:t>5-D | 최종 선택·후일담</x:t>
  </x:si>
  <x:si>
    <x:t>해당 레벨의
보스 분포 수</x:t>
  </x:si>
  <x:si>
    <x:t>생존자들의 후일담 확인하기</x:t>
  </x:si>
  <x:si>
    <x:t>한마리 몬스터와
전투시간</x:t>
  </x:si>
  <x:si>
    <x:t>균열 핵 상호작용 지점 도착</x:t>
  </x:si>
  <x:si>
    <x:t>오염된 쓰레기 분류하기</x:t>
  </x:si>
  <x:si>
    <x:t>한도윤과 마지막 통신하기</x:t>
  </x:si>
  <x:si>
    <x:t>피해 비교용(보상 없음)</x:t>
  </x:si>
  <x:si>
    <x:t>동기화 게이지 100% 달성</x:t>
  </x:si>
  <x:si>
    <x:t>강제 출동 압박 견디기</x:t>
  </x:si>
  <x:si>
    <x:t>안전 구역으로 이동하기</x:t>
  </x:si>
  <x:si>
    <x:t>교무실 체벌 기록 대조하기</x:t>
  </x:si>
  <x:si>
    <x:t>차량 사이로 괴물 유인하기</x:t>
  </x:si>
  <x:si>
    <x:t>원리 확인 1분 10초</x:t>
  </x:si>
  <x:si>
    <x:t>후일담 장면 전부 재생</x:t>
  </x:si>
  <x:si>
    <x:t>최종 행동 확인 입력 완료</x:t>
  </x:si>
  <x:si>
    <x:t>4-D | 폐교 본관 2층</x:t>
  </x:si>
  <x:si>
    <x:t>이중 확인과 자동 저장 제공</x:t>
  </x:si>
  <x:si>
    <x:t>가짜 가족 환영 돌파하기</x:t>
  </x:si>
  <x:si>
    <x:t>친구의 목소리 추적하기</x:t>
  </x:si>
  <x:si>
    <x:t>레벨 업을 위한
전투시간</x:t>
  </x:si>
  <x:si>
    <x:t>탄환이 명중해도 괴물의 체력은 거의 줄지 않고 움직임만 잠시 둔해져 일반 무기의 역할을 오해하기 쉬움</x:t>
  </x:si>
  <x:si>
    <x:t>구역을 일정한 방향으로 순회하고 반짝임·잔여 개수 UI를 확인하며 벤치와 가려진 틈의 쓰레기 6개를 수거함</x:t>
  </x:si>
  <x:si>
    <x:t>관리국 지급 총은 익숙한 형태지만 괴물에게 유효한 무기인지 알 수 없고 전투 UI 정보가 한꺼번에 표시됨</x:t>
  </x:si>
  <x:si>
    <x:t>시선·행동·복장·주변 오브젝트를 순서대로 확인해 회색 후드 특징이 겹치는 세 명의 후보의 특징을 파악함</x:t>
  </x:si>
  <x:si>
    <x:t>첫 전투에서 얻은 강력한 무기를 계속 사용할 수 있을 것처럼 보이지만 전투 종료와 함께 무기가 붕괴함</x:t>
  </x:si>
  <x:si>
    <x:t>복도 환영체를 일렬로 유도해 외피를 한 번에 깨뜨리고, 기억 연출이 끝난 직후 두 번째 타격으로 제압함</x:t>
  </x:si>
  <x:si>
    <x:t>사랑의 매를 휘두를 때 친구가 교사에게 체벌당했던 기억이 겹쳐 화면이 흔들리고 공격 후 경직이 길어짐</x:t>
  </x:si>
  <x:si>
    <x:t>충격파 예고를 보고 안전 지점에서 대기한 뒤 주기적으로 충격파를 내보내는 균열 핵에 단계적으로 접근함</x:t>
  </x:si>
  <x:si>
    <x:t>괴물이 가까이 접근한 상태에서 처음 사용하는 근접 공명 무기의 짧은 사거리와 큰 후딜레이를 감당해야 함</x:t>
  </x:si>
  <x:si>
    <x:t>빨래·심부름 목록·우정 반지 등 이전 챕터에서 직접 다룬 물건을 실제 기억과 연결해 거짓 환영을 깨뜨림</x:t>
  </x:si>
  <x:si>
    <x:t>대피 상황에 필요한 물품을 비교해 가방·물·손전등·구급품 중 필수 물품를 선택함</x:t>
  </x:si>
  <x:si>
    <x:t>장면 순서와 반복되는 상징을 보며 가족·한도윤·친구·시민의 변화와 그 결과를 확인함</x:t>
  </x:si>
  <x:si>
    <x:t>4/10 – 측정 단계 수·대기 시간·비정상 결과의 설명 명확성이 난이도를 결정함</x:t>
  </x:si>
  <x:si>
    <x:t>소리 크기 변화와 파티원의 반응을 비교하며 복도마다 방향이 달라지는 목소리를 추적함</x:t>
  </x:si>
  <x:si>
    <x:t>5/10 – 측정 단계 수·대기 시간·비정상 결과의 설명 명확성이 난이도를 결정함</x:t>
  </x:si>
  <x:si>
    <x:t>표지판·미니맵·NPC 이동 방향을 확인하며 편의점에서 지하철역 개찰구까지 이동함</x:t>
  </x:si>
  <x:si>
    <x:t>방문 기록과 단서 목록을 확인하며 친구의 과거를 보여주는 기억 단서 5개를 수집함</x:t>
  </x:si>
  <x:si>
    <x:t>게임 「넌 착해!」의 플레이 경험에 영향을 주는 주요 조정 요소를 원형으로 정리</x:t>
  </x:si>
  <x:si>
    <x:t>임무 결과·인원·특이사항을 확인하고 친구 복원 사실과 균열 정보를 순서대로 보고함</x:t>
  </x:si>
  <x:si>
    <x:t>2/10 – 대상 노출 시간·화면 내 이동속도·시선 유도 강도가 난이도를 결정함</x:t>
  </x:si>
  <x:si>
    <x:t>9/10 – 게이지 이동속도·목표 범위·동시 입력 수·초기화 범위가 난이도를 결정함</x:t>
  </x:si>
  <x:si>
    <x:t>제안 내용과 조건을 확인해 영웅 대우를 전제로 한 관리국의 제안의 의미를 파악함</x:t>
  </x:si>
  <x:si>
    <x:t>안내에 따라 손을 올리고 재측정 절차를 완료해 오류로 의심받는 무한대 수치를 확인함</x:t>
  </x:si>
  <x:si>
    <x:t>표지판·미니맵·NPC 이동 방향을 확인하며 지하철역에서 축제 종료 공원까지 이동함</x:t>
  </x:si>
  <x:si>
    <x:t>2/10 – NPC 후보 수·위치 이동 여부·의뢰 단서 명확성이 난이도를 결정함</x:t>
  </x:si>
  <x:si>
    <x:t>장애물 뒤로 이동하고 공격 예고를 확인하며 새벽에 출현한 균열 괴물의 공격을 피함</x:t>
  </x:si>
  <x:si>
    <x:t>지금까지 수집한 정보와 관계 변화를 확인해 자신의 소멸과 균열 소멸의 관계를 결정함</x:t>
  </x:si>
  <x:si>
    <x:t>같은 부위에 사격한 뒤 피해량과 경직량을 비교해 지급 총은 결정타가 아니라 거리 확보용 보조 수단임을 확인함</x:t>
  </x:si>
  <x:si>
    <x:t>큰 원은 플레이 전반에 미치는 영향이 큰 핵심 팩터이며, 작은 원은 장면·미션 단위에서 조정하는 세부 팩터임</x:t>
  </x:si>
  <x:si>
    <x:t>괴물을 피해 이동하는 동안 희미한 보랏빛 흔적이 잔해와 경고등에 섞여 잘 보이지 않음</x:t>
  </x:si>
  <x:si>
    <x:t>8/10 – 반사 궤적·보스 공격 주기·환영체 위치·회수 가능 시간이 난이도를 결정함</x:t>
  </x:si>
  <x:si>
    <x:t>오분류 시 콤보만 초기화되고 수거 진행도는 유지</x:t>
  </x:si>
  <x:si>
    <x:t>체력 0 시 자동 회복 후 현재 연습부터 재시작</x:t>
  </x:si>
  <x:si>
    <x:t>오답 후 서로 일치하는 항목 하나를 자동 연결</x:t>
  </x:si>
  <x:si>
    <x:t>발각되지 않거나 추적을 끊고 종료 지점 도착</x:t>
  </x:si>
  <x:si>
    <x:t>비슷한 위치의 부탁을 한 묶음으로 지도에 표시</x:t>
  </x:si>
  <x:si>
    <x:t>구조 대상 체력이 0이 되면 체크포인트 재시작</x:t>
  </x:si>
  <x:si>
    <x:t>가짜 반응을 제외하고 공명 차단기 막대 발견</x:t>
  </x:si>
  <x:si>
    <x:t>기억 속 물건으로 가족 환영의 거짓말 깨뜨리기</x:t>
  </x:si>
  <x:si>
    <x:t>공을 회수 불가 구역에 보내면 시작 위치로 재배치</x:t>
  </x:si>
  <x:si>
    <x:t>명령의 공개 정보와 숨겨진 조건을 구분해 표시</x:t>
  </x:si>
  <x:si>
    <x:t>미니맵에 담당 구역을 서로 다른 테두리로 표시</x:t>
  </x:si>
  <x:si>
    <x:t>공격하지 않은 상태로 죄책감 파동 5회 생존</x:t>
  </x:si>
  <x:si>
    <x:t>공명 무기가 보랏빛 재로 소멸하는 현상 확인하기</x:t>
  </x:si>
  <x:si>
    <x:t>실패 후 목표 범위 확대와 중간 체크포인트 제공</x:t>
  </x:si>
  <x:si>
    <x:t>무기 소멸 연출과 전투 기록의 신규 규칙 확인</x:t>
  </x:si>
  <x:si>
    <x:t>오답 경로 선택 시 불필요한 탐색 시간이 추가됨</x:t>
  </x:si>
  <x:si>
    <x:t>오답 후 일치하지 않는 단서 하나에 취소 표시</x:t>
  </x:si>
  <x:si>
    <x:t>주인공 또는 필수 동료 전멸 시 페이즈 재시작</x:t>
  </x:si>
  <x:si>
    <x:t>목표 수량 달성, 트리거 진입, 보스 체력 0 등</x:t>
  </x:si>
  <x:si>
    <x:t>공명 무기 소멸 확인 및 필수 장비·회복품 준비</x:t>
  </x:si>
  <x:si>
    <x:t>시스템이 완료를 판정할 수 있는 명확한 조건</x:t>
  </x:si>
  <x:si>
    <x:t>막힘 제거 후 쓰레기 10개를 오분류 없이 처리</x:t>
  </x:si>
  <x:si>
    <x:t>공원 출구까지 날아가면 시작 지점에서 다시 추격</x:t>
  </x:si>
  <x:si>
    <x:t>가짜 경로 끝에 도달하면 추가 환영 전투 발생</x:t>
  </x:si>
  <x:si>
    <x:t>부모와 동생에 관한 대화를 마지막 문장까지 진행</x:t>
  </x:si>
  <x:si>
    <x:t>필수 수량을 채우지 못하면 다음 구역 진행 불가</x:t>
  </x:si>
  <x:si>
    <x:t>오답 선택 누적 시 죄책감 수치와 피격 위험 증가</x:t>
  </x:si>
  <x:si>
    <x:t>편의점에서 지하철역 개찰구의 도착 트리거에 진입</x:t>
  </x:si>
  <x:si>
    <x:t>체력 0 또는 자아 마모도 최대 시 전투 재시작</x:t>
  </x:si>
  <x:si>
    <x:t>아파트에서 임시 안전 구역의 도착 트리거에 진입</x:t>
  </x:si>
  <x:si>
    <x:t>주인공의 접촉으로 괴물이 소멸하는 현상 확인하기</x:t>
  </x:si>
  <x:si>
    <x:t>수거 대상 반짝임과 상호작용 범위를 크게 설정</x:t>
  </x:si>
  <x:si>
    <x:t>필수 수량 미달 시 심층부 통로 활성화 불가</x:t>
  </x:si>
  <x:si>
    <x:t>도시에서 대형 균열 중심의 도착 트리거에 진입</x:t>
  </x:si>
  <x:si>
    <x:t>위험 지역 진입 후 체력 0 시 체크포인트 재시작</x:t>
  </x:si>
  <x:si>
    <x:t>동행 NPC가 멀어지면 화면 가장자리에 방향 표시</x:t>
  </x:si>
  <x:si>
    <x:t>잔해마다 필요한 조작과 안전한 제거 순서가 다름</x:t>
  </x:si>
  <x:si>
    <x:t>잘못된 환영 선택 누적 시 자아 마모도 증가</x:t>
  </x:si>
  <x:si>
    <x:t>쓰레기 사이에 섞인 작은 반지 발견 후 획득</x:t>
  </x:si>
  <x:si>
    <x:t>자아 마모도 최대 시 직전 체크포인트 재시작</x:t>
  </x:si>
  <x:si>
    <x:t>안전한 제거 순서를 색이 아닌 아이콘으로 표시</x:t>
  </x:si>
  <x:si>
    <x:t>출구가 무너지고 안전 경로가 짧은 시간마다 바뀜</x:t>
  </x:si>
  <x:si>
    <x:t>반복 실패 시 체크포인트 세분화와 회복 자원 추가</x:t>
  </x:si>
  <x:si>
    <x:t>시민 1명이라도 체력 0이 되면 체크포인트 재시작</x:t>
  </x:si>
  <x:si>
    <x:t>남은 기억 방향과 안전 경로를 단계적으로 표시</x:t>
  </x:si>
  <x:si>
    <x:t>서로 다른 공격 패턴 3회를 피격 없이 회피</x:t>
  </x:si>
  <x:si>
    <x:t>입력 타이밍 범위를 넓히고 단계 체크포인트 제공</x:t>
  </x:si>
  <x:si>
    <x:t>기억 장면마다 시간 표식과 인물 관계 아이콘 표시</x:t>
  </x:si>
  <x:si>
    <x:t>괴물에게 붙잡히면 마지막 고정핀 단계부터 재시작</x:t>
  </x:si>
  <x:si>
    <x:t>농구공 관련 흔적 3개 조사 및 공명 농구공 획득</x:t>
  </x:si>
  <x:si>
    <x:t>문자를 닫은 뒤 화면에 대피 목표를 고정 표시</x:t>
  </x:si>
  <x:si>
    <x:t>낙하 또는 장애물 피격 3회 시 구간 재시작</x:t>
  </x:si>
  <x:si>
    <x:t>핵심 사실을 단계별로 요약해 기록 메뉴에 저장</x:t>
  </x:si>
  <x:si>
    <x:t>누적 수치가 높을 때 감소 가능한 선택을 강조</x:t>
  </x:si>
  <x:si>
    <x:t>오염도 게이지가 최대가 되면 구간 시작부터 재시작</x:t>
  </x:si>
  <x:si>
    <x:t>첫 변화 발생 시 이전·현재 상태 비교 창 제공</x:t>
  </x:si>
  <x:si>
    <x:t>사랑의 매와 농구공을 교대해 인간형 보스 공략하기</x:t>
  </x:si>
  <x:si>
    <x:t>낙하 또는 제한시간 종료 시 직전 지점 재시작</x:t>
  </x:si>
  <x:si>
    <x:t>오답 후 일반 농구공 하나의 상호작용 표시 제거</x:t>
  </x:si>
  <x:si>
    <x:t>사랑의 매 공명 타격으로 방어막 3단계 파괴</x:t>
  </x:si>
  <x:si>
    <x:t>필수 물품이 없으면 확인 단계에서 진행 불가</x:t>
  </x:si>
  <x:si>
    <x:t>단서에 일반 쓰레기와 다른 약한 빛 효과 적용</x:t>
  </x:si>
  <x:si>
    <x:t>오분류 5회 누적 시 해당 분류 단계 재시작</x:t>
  </x:si>
  <x:si>
    <x:t>대상과 6초 이상 거리 초과 시 추격 구간 재시작</x:t>
  </x:si>
  <x:si>
    <x:t>대상 등장 직전 효과음과 화면 가장자리 표시</x:t>
  </x:si>
  <x:si>
    <x:t>지하철역에서 축제 종료 공원의 도착 트리거에 진입</x:t>
  </x:si>
  <x:si>
    <x:t>선택 직전 핵심 상황을 한 문장으로 다시 표시</x:t>
  </x:si>
  <x:si>
    <x:t>의뢰 NPC 머리 위에 약한 대화 아이콘 표시</x:t>
  </x:si>
  <x:si>
    <x:t>플라스틱·캔·종이 10개 전부 올바르게 분류</x:t>
  </x:si>
  <x:si>
    <x:t>동생이 지정한 팝콘 구매 후 인벤토리에 등록</x:t>
  </x:si>
  <x:si>
    <x:t>미완료 구역과 오류 수량을 별도 UI로 표시</x:t>
  </x:si>
  <x:si>
    <x:t>일정 시간 정체 시 목적지 방향 화살표 표시</x:t>
  </x:si>
  <x:si>
    <x:t>필수 대상 위에 짧은 시선 유도 아이콘 표시</x:t>
  </x:si>
  <x:si>
    <x:t>구매 대상·수량·결제 순서를 잘못 선택할 수 있음</x:t>
  </x:si>
  <x:si>
    <x:t>오답 NPC 선택 시 전달이 취소되고 다시 선택</x:t>
  </x:si>
  <x:si>
    <x:t>동생이 부탁한 중고 물품 구매 후 인벤토리에 등록</x:t>
  </x:si>
  <x:si>
    <x:t>재고가 남아 있을 때 목표 상품 상호작용 성공</x:t>
  </x:si>
  <x:si>
    <x:t>공원 관리함의 집게와 봉투 발견 및 조사 완료</x:t>
  </x:si>
  <x:si>
    <x:t>1/10 – 연출 길이와 정보량이 난이도를 결정함</x:t>
  </x:si>
  <x:si>
    <x:t>오답 3회 시 트럭 등장 연출부터 다시 확인</x:t>
  </x:si>
  <x:si>
    <x:t>비어 있는 진열칸과 손글씨 품절 안내 조사 완료</x:t>
  </x:si>
  <x:si>
    <x:t>편의점 안 신상 과자 진열대 발견 및 조사 완료</x:t>
  </x:si>
  <x:si>
    <x:t>대화 종료 후 핵심 내용을 화면 한쪽에 요약 표시</x:t>
  </x:si>
  <x:si>
    <x:t>아이가 쓰레기에 걸려 넘어질 뻔한 장면 목격하기</x:t>
  </x:si>
  <x:si>
    <x:t>재고가 모두 소진되면 직전 체크포인트에서 재시도</x:t>
  </x:si>
  <x:si>
    <x:t>오답 2회 후 확인하지 않은 단서 목록 표시</x:t>
  </x:si>
  <x:si>
    <x:t>철제 지지봉이 보랏빛 재로 변하는 연출과 관리국 통신을 확인해 새로운 괴물마다 그 기억과 공명하는 물체를 찾아야 함을 이해함</x:t>
  </x:si>
  <x:si>
    <x:t>첫 회피 예고를 느리게 재생하고 실패 시 같은 패턴을 즉시 반복</x:t>
  </x:si>
  <x:si>
    <x:t>3/10 – 보고 항목 수·정보 분산 정도가 난이도를 결정함</x:t>
  </x:si>
  <x:si>
    <x:t>반사음과 가짜 목소리 때문에 실제 방향을 잘못 판단할 수 있음</x:t>
  </x:si>
  <x:si>
    <x:t>4/10 – 단서 크기·배경 대비·오인 가능성이 난이도를 결정함</x:t>
  </x:si>
  <x:si>
    <x:t>시민들이 서로 다른 속도로 이동하고 공포 상태에서 경로를 이탈함</x:t>
  </x:si>
  <x:si>
    <x:t>목적지 주변에 잘못된 진입로와 위험 오브젝트가 배치되어 있음</x:t>
  </x:si>
  <x:si>
    <x:t>새로 열린 우회로를 따라가며 붕괴하는 폐교에서 파티원을 기다림</x:t>
  </x:si>
  <x:si>
    <x:t>동료마다 역할과 행동 우선순위가 달라 협력 방식을 이해해야 함</x:t>
  </x:si>
  <x:si>
    <x:t>5/10 – 가짜 흔적 수·조명 변화·분기 수가 난이도를 결정함</x:t>
  </x:si>
  <x:si>
    <x:t>관찰·판단·공략의 어려움과 그 난이도를 만드는 요인을 함께 기록</x:t>
  </x:si>
  <x:si>
    <x:t>플레이어가 실제 입력을 수행할 때 느끼는 손 조작의 어려움</x:t>
  </x:si>
  <x:si>
    <x:t>UI 변화가 서서히 나타나 원인과 의미를 알아차리기 어려움</x:t>
  </x:si>
  <x:si>
    <x:t>손전등과 안전한 발판을 확인하며 환영이 반복되는 계단을 통과함</x:t>
  </x:si>
  <x:si>
    <x:t>2/10 – 보고 항목 수·정보 분산 정도가 난이도를 결정함</x:t>
  </x:si>
  <x:si>
    <x:t>첫 두 발은 조준 보정을 적용하고 피해 비교 UI를 크게 표시</x:t>
  </x:si>
  <x:si>
    <x:t>탐색·긴장·감정·반전·성취를 모두 포함하며 실제 테스트값이 아님</x:t>
  </x:si>
  <x:si>
    <x:t>붕괴로 기존 길이 막히고 동료와 함께 제한시간 안에 탈출해야 함</x:t>
  </x:si>
  <x:si>
    <x:t>콤보 실패 후 다음 3개 쓰레기의 분류 아이콘을 미리 표시</x:t>
  </x:si>
  <x:si>
    <x:t>핵심 UI를 한 항목씩 점멸시키고 확인 전에는 다음 안내를 잠금</x:t>
  </x:si>
  <x:si>
    <x:t>탐지기와 표지물을 확인하며 폐교 정문의 안전한 진입로로 이동함</x:t>
  </x:si>
  <x:si>
    <x:t>방 구조가 반복되고 일부 길이 연결되어 현재 위치를 잃기 쉬움</x:t>
  </x:si>
  <x:si>
    <x:t>5/10 – 문서 수·모순 정보·대조 단계 수가 난이도를 결정함</x:t>
  </x:si>
  <x:si>
    <x:t>6/10 – 방 수·연결 구조·지도 정보량이 난이도를 결정함</x:t>
  </x:si>
  <x:si>
    <x:t>전투에서 사용하던 공격 입력과 반대되는 행동을 선택해야 함</x:t>
  </x:si>
  <x:si>
    <x:t>방향 표시, 반짝임, 속도 감소, 체크포인트, 오답 힌트 등</x:t>
  </x:si>
  <x:si>
    <x:t>3/10 – 목표 간 충돌 정도·브리핑 정보량이 난이도를 결정함</x:t>
  </x:si>
  <x:si>
    <x:t>3/10 – 정보 비대칭·목표 충돌 정도가 난이도를 결정함</x:t>
  </x:si>
  <x:si>
    <x:t>예고 시간을 늘리고 공격 범위를 외곽선과 아이콘으로 동시에 표시</x:t>
  </x:si>
  <x:si>
    <x:t>6/10 – 통로 폭·시야 범위·장애물 간격이 난이도를 결정함</x:t>
  </x:si>
  <x:si>
    <x:t>가장 느린 시민 속도에 맞추고 위험 앞에서 집결 명령을 사용함</x:t>
  </x:si>
  <x:si>
    <x:t>재시도 시 첫 넉백 거리를 늘리고 시민 주변에 보호 구역 표시</x:t>
  </x:si>
  <x:si>
    <x:t>재시도마다 트럭 속도를 소폭 낮추고 안전한 지름길 입구를 강조</x:t>
  </x:si>
  <x:si>
    <x:t>두 게이지가 서로 반대로 움직여 하나만 맞추면 다른 값이 벗어남</x:t>
  </x:si>
  <x:si>
    <x:t>총으로 경직 2회, 지지봉 약점 타격 3회, 괴물 1체 제압</x:t>
  </x:si>
  <x:si>
    <x:t>화면에 표시되는 키를 순서대로 입력하고 각 동작의 결과를 확인함</x:t>
  </x:si>
  <x:si>
    <x:t>이전 상태와 비교하며 표정·UI 색상·독백의 변화 단계를 확인함</x:t>
  </x:si>
  <x:si>
    <x:t>기억 조각이 위험 구역과 멀리 떨어져 있어 수집 순서가 중요함</x:t>
  </x:si>
  <x:si>
    <x:t>재시도 시 탐지기 반응 범위를 넓히고 다음 흔적이 짧게 점멸</x:t>
  </x:si>
  <x:si>
    <x:t>오답 후 가짜 흔적 하나가 사라지고 진짜 흔적의 잔광이 강화</x:t>
  </x:si>
  <x:si>
    <x:t>6/10 – 탐색 범위·가짜 신호 수·제한시간이 난이도를 결정함</x:t>
  </x:si>
  <x:si>
    <x:t>재시도 시 열차 경고 시간을 늘리고 안전 구역을 선으로 표시</x:t>
  </x:si>
  <x:si>
    <x:t>소리 크기와 탐지기 반응을 비교하며 잔해 속 구조 신호를 탐색함</x:t>
  </x:si>
  <x:si>
    <x:t>예: 신상 과자 진열대 찾기, 균열 괴물과 첫 전투 치르기</x:t>
  </x:si>
  <x:si>
    <x:t>첫 시도에는 예상 궤적선을 표시하고 실패 후 반사 각도를 보정</x:t>
  </x:si>
  <x:si>
    <x:t>사랑의 매 3회·농구공 3회 공명 공격 성공 후 2페이즈 종료</x:t>
  </x:si>
  <x:si>
    <x:t>공격을 선택해도 진행되지만 이후 관리국 분석 대사가 달라짐</x:t>
  </x:si>
  <x:si>
    <x:t>제목만 읽어도 플레이어가 무엇을 해야 하는지 보이도록 작성</x:t>
  </x:si>
  <x:si>
    <x:t>적의 시야와 공격 범위가 넓어 직선 이동만으로는 회피하기 어려움</x:t>
  </x:si>
  <x:si>
    <x:t>1은 단순 확인·대화, 10은 빠른 보스 패턴과 복합 입력</x:t>
  </x:si>
  <x:si>
    <x:t>시민 체력 0 또는 주인공 체력 0 시 전투 시작부터 재시작</x:t>
  </x:si>
  <x:si>
    <x:t>실패 후 바람 방향 예고 시간을 늘리고 봉지 이동속도를 낮춤</x:t>
  </x:si>
  <x:si>
    <x:t>재시도 시 돌진 예고 시간을 늘리고 다음 경적 위치를 표시</x:t>
  </x:si>
  <x:si>
    <x:t>첫 실패 후 약점 노출 시간을 늘리고 공격 방향 보정 적용</x:t>
  </x:si>
  <x:si>
    <x:t>여러 조작을 한 번에 제시하면 입력 방법을 혼동할 수 있음</x:t>
  </x:si>
  <x:si>
    <x:t>현재와 과거 장면이 교차해 사건의 시간 순서를 혼동할 수 있음</x:t>
  </x:si>
  <x:si>
    <x:t>3/10 – 동시 정보량·필수 관찰 대상 수가 난이도를 결정함</x:t>
  </x:si>
  <x:si>
    <x:t>중고 거래 물품 수령 요청에 관한 대화를 마지막 문장까지 진행</x:t>
  </x:si>
  <x:si>
    <x:t>5/10 – 통로 폭·시야 범위·장애물 간격이 난이도를 결정함</x:t>
  </x:si>
  <x:si>
    <x:t>자원이 움직이는 지형과 위험 구역에 분산되어 수집 동선이 길어짐</x:t>
  </x:si>
  <x:si>
    <x:t>7/10 – 선택의 비가역성과 감정적 부담이 난이도를 결정함</x:t>
  </x:si>
  <x:si>
    <x:t>2/10 – 동시 정보량·경고 문구의 명확성이 난이도를 결정함</x:t>
  </x:si>
  <x:si>
    <x:t>60초 이상 미발견 시 가장 가까운 미수거 대상 방향 표시</x:t>
  </x:si>
  <x:si>
    <x:t>3/10 – 목표 수·위험 정보량·선택지 수가 난이도를 결정함</x:t>
  </x:si>
  <x:si>
    <x:t>여러 지역과 인물의 변화를 짧은 장면 안에서 연결해 이해해야 함</x:t>
  </x:si>
  <x:si>
    <x:t>선의 측정과 등급제 설명에 관한 대화를 마지막 문장까지 진행</x:t>
  </x:si>
  <x:si>
    <x:t>해당 행의 목표를 완료하기 위해 필요한 행동·대상·단계의 수</x:t>
  </x:si>
  <x:si>
    <x:t>추격 거리 초과, 체력 0, 제한시간 종료, 오답 누적 등</x:t>
  </x:si>
  <x:si>
    <x:t>잔해와 효과음 때문에 구조 신호의 방향을 정확히 판단하기 어려움</x:t>
  </x:si>
  <x:si>
    <x:t>통신이 끊기고 잡음이 섞여 상대의 의도를 정확히 듣기 어려움</x:t>
  </x:si>
  <x:si>
    <x:t>영화관 출구 앞을 지나가는 편의점 물류 트럭을 화면 안에서 확인</x:t>
  </x:si>
  <x:si>
    <x:t>중요한 단서가 여러 인물과 배경 오브젝트 사이에 분산되어 있음</x:t>
  </x:si>
  <x:si>
    <x:t>5/10 – 잡음 강도·대사 길이·감정적 부담이 난이도를 결정함</x:t>
  </x:si>
  <x:si>
    <x:t>균열 인근 대피 안내의 대피 위치와 위험 지역을 먼저 확인함</x:t>
  </x:si>
  <x:si>
    <x:t>핵의 충격파가 일정 주기로 넓어져 접근 가능한 시간이 짧음</x:t>
  </x:si>
  <x:si>
    <x:t>비슷한 복장의 NPC가 있어 물건의 주인을 잘못 선택할 수 있음</x:t>
  </x:si>
  <x:si>
    <x:t>막힌 플레이어가 목표를 다시 파악하도록 돕는 힌트와 보정 장치</x:t>
  </x:si>
  <x:si>
    <x:t>기존에 알고 있던 세계 규칙과 반대되는 정보가 연속으로 제시됨</x:t>
  </x:si>
  <x:si>
    <x:t>1/10 – 연출 속도·동시에 제시되는 정보량이 난이도를 결정함</x:t>
  </x:si>
  <x:si>
    <x:t>현관문 가까이 이동한 뒤 상호작용 아이콘이 나타날 때 조사함</x:t>
  </x:si>
  <x:si>
    <x:t>방해요소를 해결하기 위해 플레이어가 관찰·판단·조작해야 하는 내용</x:t>
  </x:si>
  <x:si>
    <x:t>7/10 – 총으로 만드는 경직·근접 전환 시점·공명 공격 후 경직이 난이도를 결정함</x:t>
  </x:si>
  <x:si>
    <x:t>괴물이 연속 돌진해 공격 가능한 시간이 짧지만 공명 무기의 타격은 큰 피해를 줌</x:t>
  </x:si>
  <x:si>
    <x:t>8/10 – 조작 반전·반사 각도·기억 핵 노출 시간·공 회수 동선이 난이도를 결정함</x:t>
  </x:si>
  <x:si>
    <x:t>1분 10초</x:t>
  </x:si>
  <x:si>
    <x:t>평균 재미율</x:t>
  </x:si>
  <x:si>
    <x:t>값/형식</x:t>
  </x:si>
  <x:si>
    <x:t>스테이지</x:t>
  </x:si>
  <x:si>
    <x:t>방해요소</x:t>
  </x:si>
  <x:si>
    <x:t>미션개수</x:t>
  </x:si>
  <x:si>
    <x:t>1분 35초</x:t>
  </x:si>
  <x:si>
    <x:t>목적지 도착</x:t>
  </x:si>
  <x:si>
    <x:t>1분 25초</x:t>
  </x:si>
  <x:si>
    <x:t>2분 10초</x:t>
  </x:si>
  <x:si>
    <x:t>미들 유저</x:t>
  </x:si>
  <x:si>
    <x:t>플레이 흥미도</x:t>
  </x:si>
  <x:si>
    <x:t>플레이 난이도</x:t>
  </x:si>
  <x:si>
    <x:t>체감 난이도</x:t>
  </x:si>
  <x:si>
    <x:t>수행 과제 수</x:t>
  </x:si>
  <x:si>
    <x:t>3분 10초</x:t>
  </x:si>
  <x:si>
    <x:t>밸런스 팩터</x:t>
  </x:si>
  <x:si>
    <x:t>3분 40초</x:t>
  </x:si>
  <x:si>
    <x:t>행동형 제목</x:t>
  </x:si>
  <x:si>
    <x:t>가족 찾기</x:t>
  </x:si>
  <x:si>
    <x:t>작성 방식</x:t>
  </x:si>
  <x:si>
    <x:t>1~5 상대값</x:t>
  </x:si>
  <x:si>
    <x:t>보스전 합산</x:t>
  </x:si>
  <x:si>
    <x:t>방해요소 공략</x:t>
  </x:si>
  <x:si>
    <x:t>공략 방법</x:t>
  </x:si>
  <x:si>
    <x:t>1분 50초</x:t>
  </x:si>
  <x:si>
    <x:t>실패 결과</x:t>
  </x:si>
  <x:si>
    <x:t>심층부 도착</x:t>
  </x:si>
  <x:si>
    <x:t>빨래 개기</x:t>
  </x:si>
  <x:si>
    <x:t>연습 구간</x:t>
  </x:si>
  <x:si>
    <x:t>균열의 진실</x:t>
  </x:si>
  <x:si>
    <x:t>성공 미션조건</x:t>
  </x:si>
  <x:si>
    <x:t>1분 40초</x:t>
  </x:si>
  <x:si>
    <x:t>1분 20초</x:t>
  </x:si>
  <x:si>
    <x:t>2분 50초</x:t>
  </x:si>
  <x:si>
    <x:t>통신 종료</x:t>
  </x:si>
  <x:si>
    <x:t>구체적 서술</x:t>
  </x:si>
  <x:si>
    <x:t>실패 미션조건</x:t>
  </x:si>
  <x:si>
    <x:t>문서 범위</x:t>
  </x:si>
  <x:si>
    <x:t>2분 40초</x:t>
  </x:si>
  <x:si>
    <x:t>4분 20초</x:t>
  </x:si>
  <x:si>
    <x:t>헤비 유저</x:t>
  </x:si>
  <x:si>
    <x:t>균열 구경하기</x:t>
  </x:si>
  <x:si>
    <x:t>경험치 그래프</x:t>
  </x:si>
  <x:si>
    <x:t>1분 30초</x:t>
  </x:si>
  <x:si>
    <x:t>전투 비적용</x:t>
  </x:si>
  <x:si>
    <x:t>1~10 숫자</x:t>
  </x:si>
  <x:si>
    <x:t>이동속도 B</x:t>
  </x:si>
  <x:si>
    <x:t>플레이 목표</x:t>
  </x:si>
  <x:si>
    <x:t>팝콘 구매하기</x:t>
  </x:si>
  <x:si>
    <x:t>이동속도 A</x:t>
  </x:si>
  <x:si>
    <x:t>3분 30초</x:t>
  </x:si>
  <x:si>
    <x:t>플레이 난관</x:t>
  </x:si>
  <x:si>
    <x:t>1분 15초</x:t>
  </x:si>
  <x:si>
    <x:t>총 콘텐츠 수</x:t>
  </x:si>
  <x:si>
    <x:t>조작난이도</x:t>
  </x:si>
  <x:si>
    <x:t>1분 5초</x:t>
  </x:si>
  <x:si>
    <x:t>최고 재미율</x:t>
  </x:si>
  <x:si>
    <x:t>잔해 제거하기</x:t>
  </x:si>
  <x:si>
    <x:t>처치 없음</x:t>
  </x:si>
  <x:si>
    <x:t>2분 30초</x:t>
  </x:si>
  <x:si>
    <x:t>크레딧 종료</x:t>
  </x:si>
  <x:si>
    <x:t>3분 20초</x:t>
  </x:si>
  <x:si>
    <x:t>2분 20초</x:t>
  </x:si>
  <x:si>
    <x:t>지도에 방문 구역을 표시하며 교실·교무실·복도를 한 방향으로 탐색함</x:t>
  </x:si>
  <x:si>
    <x:t>이전 대화와 행동 습관을 비교해 동료와 똑같이 행동하는 환영을 판별함</x:t>
  </x:si>
  <x:si>
    <x:t>4/10 – 가짜 반응 수·시야 점멸·탐색 범위가 난이도를 결정함</x:t>
  </x:si>
  <x:si>
    <x:t>4/10 – 조준 흔들림·탄약 제한·피해 수치 해석이 난이도를 결정함</x:t>
  </x:si>
  <x:si>
    <x:t>비슷한 오브젝트와 진열대가 많아 목표 대상을 한 번에 찾기 어려움</x:t>
  </x:si>
  <x:si>
    <x:t>움직이는 트럭의 적재함이 잠깐 열리며 비슷한 상자 표식이 동시에 노출됨</x:t>
  </x:si>
  <x:si>
    <x:t>1/10 – 추가 장면의 노출 시간과 배치 간격이 난이도를 결정함</x:t>
  </x:si>
  <x:si>
    <x:t>5/10 – 기존 조작 습관과 선택의 감정적 부담이 난이도를 결정함</x:t>
  </x:si>
  <x:si>
    <x:t>7/10 – 적 감지 범위·순찰 주기·은폐물 간격이 난이도를 결정함</x:t>
  </x:si>
  <x:si>
    <x:t>여러 인물이 서로 다른 이유로 같은 희생을 요구해 감정적 압박이 커짐</x:t>
  </x:si>
  <x:si>
    <x:t>4/10 – 진입로 수·위험 구역 범위·탐지기 명확성이 난이도를 결정함</x:t>
  </x:si>
  <x:si>
    <x:t>통로가 붕괴하고 화면 왜곡이 심해져 이동 경로를 오래 유지할 수 없음</x:t>
  </x:si>
  <x:si>
    <x:t>복원 과정 중 친구의 상태와 주인공의 선의 수치를 동시에 유지해야 함</x:t>
  </x:si>
  <x:si>
    <x:t>4/10 – 파티원 수·역할 차이·지원 조건 수가 난이도를 결정함</x:t>
  </x:si>
  <x:si>
    <x:t>칭찬과 비난이 번갈아 제시되어 올바른 길보다 감정적 반응을 유도함</x:t>
  </x:si>
  <x:si>
    <x:t>7/10 – 화면 왜곡 강도·안전 표식 수·통로 폭이 난이도를 결정함</x:t>
  </x:si>
  <x:si>
    <x:t>5/10 – 장면 수·시간 순서의 복잡도·인물 수가 난이도를 결정함</x:t>
  </x:si>
  <x:si>
    <x:t>6/10 – 단서 수·방 분산 정도·환영 연출 길이가 난이도를 결정함</x:t>
  </x:si>
  <x:si>
    <x:t>대상이 빠르게 이동하고 시민과 건물이 시야를 가려 추적이 끊길 수 있음</x:t>
  </x:si>
  <x:si>
    <x:t>필수 단서가 여러 방에 흩어져 있고 일부는 환영 연출 뒤에 숨겨짐</x:t>
  </x:si>
  <x:si>
    <x:t>어떤 선택도 완전한 보상이 없고 플레이어가 결말을 직접 확정해야 함</x:t>
  </x:si>
  <x:si>
    <x:t>8/10 – 결과의 비가역성·정보량·감정적 부담이 난이도를 결정함</x:t>
  </x:si>
  <x:si>
    <x:t>게임 시작부터 엔딩까지 해금되는 모든 플레이 내용을 순서대로 기록</x:t>
  </x:si>
  <x:si>
    <x:t>재입고 시간과 물류 트럭 정보에 관한 대화를 마지막 문장까지 진행</x:t>
  </x:si>
  <x:si>
    <x:t>4/10 – 후보 경로 수·단서 유사도·비교 단계 수가 난이도를 결정함</x:t>
  </x:si>
  <x:si>
    <x:t>상호작용 가능 순간에 공격 아이콘과 다른 보랏빛 손 아이콘을 표시</x:t>
  </x:si>
  <x:si>
    <x:t>비슷한 후보, 넓은 탐색 범위, 제한시간, 시야 차단, 감정적 압박 등</x:t>
  </x:si>
  <x:si>
    <x:t>주변 단서와 장치 반응을 확인해 봉인된 강당 출입문를 순서대로 해제함</x:t>
  </x:si>
  <x:si>
    <x:t>5/10 – 투척 각도·반사 횟수·공 회수 동선이 난이도를 결정함</x:t>
  </x:si>
  <x:si>
    <x:t>6/10 – 맵 크기·갈림길 수·목적지 표식의 가시성이 난이도를 결정함</x:t>
  </x:si>
  <x:si>
    <x:t>5/10 – 시야 방해·탐지기 반응 지연·괴물 압박이 난이도를 결정함</x:t>
  </x:si>
  <x:si>
    <x:t>표지판·미니맵·NPC 이동 방향을 확인하며 편의점에서 다이소까지 이동함</x:t>
  </x:si>
  <x:si>
    <x:t>7/10 – 후보 오브젝트 수·외형 유사도·탐색 범위가 난이도를 결정함</x:t>
  </x:si>
  <x:si>
    <x:t>최종 선택을 실행하면 되돌릴 수 없다는 사실이 강한 심리적 부담을 줌</x:t>
  </x:si>
  <x:si>
    <x:t>4/10 – 새 정보량·기존 정보와의 충돌 정도가 난이도를 결정함</x:t>
  </x:si>
  <x:si>
    <x:t>공격 전 몸동작과 경고 아이콘을 비교해 서로 다른 공격 3회를 피함</x:t>
  </x:si>
  <x:si>
    <x:t>짧은 연출 안에서 사건의 원인과 인물의 태도를 동시에 이해해야 함</x:t>
  </x:si>
  <x:si>
    <x:t>4/10 – 예고 시간·공격 범위 차이·연속 패턴 수가 난이도를 결정함</x:t>
  </x:si>
  <x:si>
    <x:t>조사 가능한 가구가 많아 조작 가능한 대상을 바로 알아보기 어려움</x:t>
  </x:si>
  <x:si>
    <x:t>7/10 – 요청 수·이동 거리·동시 활성 목표 수가 난이도를 결정함</x:t>
  </x:si>
  <x:si>
    <x:t>주변 단서와 장치 반응을 확인해 균열 문양 4개를 순서대로 해제함</x:t>
  </x:si>
  <x:si>
    <x:t>완료 정보와 새로 발견한 사실 중 무엇을 보고해야 하는지 구분해야 함</x:t>
  </x:si>
  <x:si>
    <x:t>환영이 동료의 외형과 목소리를 복제해 단순 외형만으로 구분할 수 없음</x:t>
  </x:si>
  <x:si>
    <x:t>3/10 – 서사 단서와 공명 타이밍을 연결해 이해하는 난이도가 중심임</x:t>
  </x:si>
  <x:si>
    <x:t>8/10 – 후보 수·복제 정확도·행동 단서의 명확성이 난이도를 결정함</x:t>
  </x:si>
  <x:si>
    <x:t>잔류 공격 사이의 빈틈을 이용해 공격을 멈춘 친구에게 단계적으로 접근함</x:t>
  </x:si>
  <x:si>
    <x:t>표지판·미니맵·NPC 이동 방향을 확인하며 거실에서 현관문까지 이동함</x:t>
  </x:si>
  <x:si>
    <x:t>표지판·미니맵·NPC 이동 방향을 확인하며 임시 대피소까지 이동함</x:t>
  </x:si>
  <x:si>
    <x:t>6/10 – 목표물 크기·탐색 범위·가짜 후보 수가 난이도를 결정함</x:t>
  </x:si>
  <x:si>
    <x:t>작은 단서가 쓰레기와 배경에 섞여 있어 일반 수거물로 오인할 수 있음</x:t>
  </x:si>
  <x:si>
    <x:t>5/10 – 확인 항목 수·인벤토리 복잡도·추천 정보가 난이도를 결정함</x:t>
  </x:si>
  <x:si>
    <x:t>5/10 – 단계 수·단서 위치·오답 초기화 범위가 난이도를 결정함</x:t>
  </x:si>
  <x:si>
    <x:t>4/10 – 검사 항목 수·오류 위치의 분산 정도가 난이도를 결정함</x:t>
  </x:si>
  <x:si>
    <x:t>6/10 – 관찰 대상 수·단서의 명확성·외형 유사도가 난이도를 결정함</x:t>
  </x:si>
  <x:si>
    <x:t>재시도 시 컨베이어 속도를 낮추고 오염 확산 대상에 경고 테두리 표시</x:t>
  </x:si>
  <x:si>
    <x:t>발자국이 오래된 낙서와 환영체의 이동 흔적에 겹쳐 여러 방향으로 갈라짐</x:t>
  </x:si>
  <x:si>
    <x:t>3/10 – 상품 후보 수·품목 유사도·구매 단계 수가 난이도를 결정함</x:t>
  </x:si>
  <x:si>
    <x:t>임무 목표와 위험 요소가 한 번에 제시되어 우선순위를 놓칠 수 있음</x:t>
  </x:si>
  <x:si>
    <x:t>2/10 – UI 정보량·강조 순서·설명 노출 시간이 난이도를 결정함</x:t>
  </x:si>
  <x:si>
    <x:t>7/10 – 잔해 수·입력 횟수·위험 순서·피격 빈도가 난이도를 결정함</x:t>
  </x:si>
  <x:si>
    <x:t>첫 공명 타격은 슬로 모션으로 연출하고 실패 후 약점 노출 시간을 늘림</x:t>
  </x:si>
  <x:si>
    <x:t>2/10 – 맵 크기·갈림길 수·목적지 표식의 가시성이 난이도를 결정함</x:t>
  </x:si>
  <x:si>
    <x:t>재난 문자와 주변 효과음이 동시에 출력되어 핵심 행동을 놓칠 수 있음</x:t>
  </x:si>
  <x:si>
    <x:t>구역별 표지와 상품 외형을 비교하며 공원 관리함의 집게와 봉투를 조사함</x:t>
  </x:si>
  <x:si>
    <x:t>4/10 – 변화의 시각적 차이·설명 문구의 명확성이 난이도를 결정함</x:t>
  </x:si>
  <x:si>
    <x:t>6/10 – 단계 수·단서 위치·오답 초기화 범위가 난이도를 결정함</x:t>
  </x:si>
  <x:si>
    <x:t>3/10 – 조건 문구의 간접성·선택지의 감정적 부담이 난이도를 결정함</x:t>
  </x:si>
  <x:si>
    <x:t>신상 과자·헤어롤·팝콘 심부름에 관한 대화를 마지막 문장까지 진행</x:t>
  </x:si>
  <x:si>
    <x:t>3/10 – 관찰 대상 수·단서의 명확성·외형 유사도가 난이도를 결정함</x:t>
  </x:si>
  <x:si>
    <x:t>4/10 – 장비 후보 수·슬롯 제한·역할 중복이 난이도를 결정함</x:t>
  </x:si>
  <x:si>
    <x:t>호의처럼 보이는 제안 안에 이후 행동을 제한하는 조건이 포함되어 있음</x:t>
  </x:si>
  <x:si>
    <x:t>적이 소리에 반응하고 시야 밖에서도 이동해 안전 구간을 예측하기 어려움</x:t>
  </x:si>
  <x:si>
    <x:t>대화를 통해 역할이 다른 고등급자 3명의 역할과 지원 조건을 확인함</x:t>
  </x:si>
  <x:si>
    <x:t>크레딧 사이의 주요 장면을 확인하며 엔딩 크레딧을 마지막까지 감상함</x:t>
  </x:si>
  <x:si>
    <x:t>5/10 – 관찰 대상 수·단서의 명확성·외형 유사도가 난이도를 결정함</x:t>
  </x:si>
  <x:si>
    <x:t>4/10 – 맵 크기·갈림길 수·목적지 표식의 가시성이 난이도를 결정함</x:t>
  </x:si>
  <x:si>
    <x:t>목표 아이콘과 도로 방향을 보며 허용 거리 안에서 물류 트럭을 따라감</x:t>
  </x:si>
  <x:si>
    <x:t>방송 화면·시민 반응·관리국 설명이 동시에 제시되어 의미가 분산됨</x:t>
  </x:si>
  <x:si>
    <x:t>장치 반응과 안내 문구가 평소와 달라 오류인지 결과인지 판단하기 어려움</x:t>
  </x:si>
  <x:si>
    <x:t>후보들이 공통 특징을 가지고 있어 한 가지 단서만으로는 구별할 수 없음</x:t>
  </x:si>
  <x:si>
    <x:t>5/10 – 맵 크기·갈림길 수·목적지 표식의 가시성이 난이도를 결정함</x:t>
  </x:si>
  <x:si>
    <x:t>안내에 따라 손을 올리고 재측정 절차를 완료해 선의 측정 장치를 확인함</x:t>
  </x:si>
  <x:si>
    <x:t>두 선택 모두 이후 상황에 영향을 주므로 감정적 판단 부담이 발생함</x:t>
  </x:si>
  <x:si>
    <x:t>쓰레기가 넓은 구역과 가려진 틈에 흩어져 있어 남은 대상을 찾기 어려움</x:t>
  </x:si>
  <x:si>
    <x:t>혼란 속에서 신호를 보내는 한도윤에 관한 대화를 마지막 문장까지 진행</x:t>
  </x:si>
  <x:si>
    <x:t>여러 NPC가 동시에 진열대로 이동해 접근 경로와 상호작용 위치가 막힘</x:t>
  </x:si>
  <x:si>
    <x:t>2/10 – 상품 후보 수·품목 유사도·구매 단계 수가 난이도를 결정함</x:t>
  </x:si>
  <x:si>
    <x:t>카메라가 강조하는 인물과 오브젝트를 보며 아이와 가족의 행동을 확인함</x:t>
  </x:si>
  <x:si>
    <x:t>완료한 것처럼 보여도 남은 대상이나 오분류 항목이 존재할 수 있음</x:t>
  </x:si>
  <x:si>
    <x:t>3/10 – 대사 길이·핵심 정보의 명확성·선택지 수가 난이도를 결정함</x:t>
  </x:si>
  <x:si>
    <x:t>2/10 – 대사 길이·핵심 정보의 명확성·선택지 수가 난이도를 결정함</x:t>
  </x:si>
  <x:si>
    <x:t>벽 반사 각도를 조절해 기억 핵을 타격하고 공이 떨어지는 위치를 예측해 다음 패턴 전에 회수함</x:t>
  </x:si>
  <x:si>
    <x:t>교탁 안의 사랑의 매를 조사하고 교사의 체벌 기억과 무기의 보랏빛 반응이 연결되는 연출을 확인함</x:t>
  </x:si>
  <x:si>
    <x:t>소환체를 피하며 사랑의 매로 방어막의 균열 부위를 타격하고 기억 재생이 끝난 직후 연속 공격함</x:t>
  </x:si>
  <x:si>
    <x:t>근접 무기는 외피 파괴에, 농구공은 원거리 약점 공격에 유리해 보스의 자세에 따라 즉시 전환해야 함</x:t>
  </x:si>
  <x:si>
    <x:t>구역을 일정한 방향으로 순회하고 반짝임·잔여 개수 UI를 확인하며 산책로 쓰레기 7개를 수거함</x:t>
  </x:si>
  <x:si>
    <x:t>시선·행동·복장·주변 오브젝트를 순서대로 확인해 떠나는 시민과 공원에 남은 쓰레기의 특징을 파악함</x:t>
  </x:si>
  <x:si>
    <x:t>공격 버튼 대신 상호작용 입력을 선택해 괴물에게 손을 대고 보랏빛 균열처럼 흩어지는 반응을 관찰함</x:t>
  </x:si>
  <x:si>
    <x:t>시선·행동·복장·주변 오브젝트를 순서대로 확인해 낙서·찢어진 공책·잠긴 사물함의 특징을 파악함</x:t>
  </x:si>
  <x:si>
    <x:t>현재 상황과 주인공의 독백을 확인한 뒤 공원을 지나갈지 쓰레기를 치울지 판단에 대한 행동을 결정함</x:t>
  </x:si>
  <x:si>
    <x:t>사라진 임시 무기와 남은 장비를 확인하고 탐지기·회복품·지급 총을 다음 출동 기준에 맞게 정비함</x:t>
  </x:si>
  <x:si>
    <x:t>입력 강도와 타이밍을 조절해 선의와 자아 마모도를 맞추는 입력의 두 수치를 목표 범위에 유지함</x:t>
  </x:si>
  <x:si>
    <x:t>구역을 일정한 방향으로 순회하고 반짝임·잔여 개수 UI를 확인하며 잔디 구역 쓰레기 8개를 수거함</x:t>
  </x:si>
  <x:si>
    <x:t>재질·오염 여부·남은 내용물을 확인하고 내용물이 남거나 오염된 쓰레기 6개를 올바른 수거함에 넣음</x:t>
  </x:si>
  <x:si>
    <x:t>보스가 친구를 공격한 기억과 주인공의 선택을 겹쳐 보여 공격 입력 자체가 죄책감 게이지를 높임</x:t>
  </x:si>
  <x:si>
    <x:t>공명하는 철제 지지봉이 잔해 아래 끼어 있고 괴물이 가까워지는 동안 여러 고정 장치를 풀어야 함</x:t>
  </x:si>
  <x:si>
    <x:t>수집한 기록을 비교하고 교실 단서를 순서대로 입력하는 잠금 장치의 규칙에 맞게 단계별로 입력함</x:t>
  </x:si>
  <x:si>
    <x:t>말의 내용보다 행동과 기억의 모순을 확인해 칭찬과 비난을 반복하는 가족 환영을 무시하고 진행함</x:t>
  </x:si>
  <x:si>
    <x:t>2/10 – 위협 연출 속에서 공격이 아닌 상호작용을 선택해야 하는 심리적 압박이 난이도를 결정함</x:t>
  </x:si>
  <x:si>
    <x:t>보스 체력 0 및 주인공 생존</x:t>
  </x:si>
  <x:si>
    <x:t>라이트 유저
(예상 시간 기준)</x:t>
  </x:si>
  <x:si>
    <x:t>핵심 대사 자막을 화면에 오래 유지</x:t>
  </x:si>
  <x:si>
    <x:t>구간별 체크포인트와 안전 발판 강조</x:t>
  </x:si>
  <x:si>
    <x:t>입력하지 않은 키 안내를 계속 유지</x:t>
  </x:si>
  <x:si>
    <x:t>오답 2회 후 분류 기준 그림 표시</x:t>
  </x:si>
  <x:si>
    <x:t>실패 후 충격파 예고 시간 증가</x:t>
  </x:si>
  <x:si>
    <x:t>구체적 판정 조건 또는 실패 없음</x:t>
  </x:si>
  <x:si>
    <x:t>이탈 시민 방향과 안전 경로를 표시</x:t>
  </x:si>
  <x:si>
    <x:t>안전 진입로에 탐지기 반응 강화</x:t>
  </x:si>
  <x:si>
    <x:t>잠자기 확인 후 다음 장면 전환</x:t>
  </x:si>
  <x:si>
    <x:t>산책로 쓰레기 7개 전부 수거</x:t>
  </x:si>
  <x:si>
    <x:t>누락 항목이 있으면 보고 완료 불가</x:t>
  </x:si>
  <x:si>
    <x:t>주차 차단기 막대의 공명 찾기</x:t>
  </x:si>
  <x:si>
    <x:t>잔디 구역 쓰레기 8개 전부 수거</x:t>
  </x:si>
  <x:si>
    <x:t>현재 측정 단계와 남은 시간을 표시</x:t>
  </x:si>
  <x:si>
    <x:t>미보고 항목을 체크리스트로 표시</x:t>
  </x:si>
  <x:si>
    <x:t>3회 실패 후 공격 예고 시간 증가</x:t>
  </x:si>
  <x:si>
    <x:t>제한시간 안에 탈출 지점 도착</x:t>
  </x:si>
  <x:si>
    <x:t>대상 체력 경고와 안전 경로 표시</x:t>
  </x:si>
  <x:si>
    <x:t>필수 장비 누락 시 출발 불가</x:t>
  </x:si>
  <x:si>
    <x:t>괴물의 공격 예고 신호 파악하기</x:t>
  </x:si>
  <x:si>
    <x:t>안전 발판 테두리와 체크포인트 제공</x:t>
  </x:si>
  <x:si>
    <x:t>필수 확인 대상을 목록으로 표시</x:t>
  </x:si>
  <x:si>
    <x:t>첫 상호작용 대상에 반짝임 표시</x:t>
  </x:si>
  <x:si>
    <x:t>필수 방송 및 NPC 반응 확인</x:t>
  </x:si>
  <x:si>
    <x:t>필수 물품 누락 시 용도 힌트 표시</x:t>
  </x:si>
  <x:si>
    <x:t>필수 장비 미장착 시 출동 불가</x:t>
  </x:si>
  <x:si>
    <x:t>공원에서 집의 도착 트리거에 진입</x:t>
  </x:si>
  <x:si>
    <x:t>골목 지름길의 장애물 돌파하기</x:t>
  </x:si>
  <x:si>
    <x:t>잔여 수량 0 및 오류 항목 0</x:t>
  </x:si>
  <x:si>
    <x:t>제안 조건의 핵심 문구를 강조</x:t>
  </x:si>
  <x:si>
    <x:t>회피 후 사격할 빈틈 파악하기</x:t>
  </x:si>
  <x:si>
    <x:t>실패한 동작만 즉시 다시 연습</x:t>
  </x:si>
  <x:si>
    <x:t>세 문서의 모순점 6개를 표시</x:t>
  </x:si>
  <x:si>
    <x:t>오답 입력 5회 시 장치 초기화</x:t>
  </x:si>
  <x:si>
    <x:t>회피 후 약점 사격 2회 성공</x:t>
  </x:si>
  <x:si>
    <x:t>누락 항목 경고와 추천 장비 표시</x:t>
  </x:si>
  <x:si>
    <x:t>괴물을 지정된 넓은 통로까지 유인</x:t>
  </x:si>
  <x:si>
    <x:t>호화 숙소와 전용 지원 제안 받기</x:t>
  </x:si>
  <x:si>
    <x:t>피격 시 현재 패턴부터 다시 시작</x:t>
  </x:si>
  <x:si>
    <x:t>미수집 단서가 있는 방에 지도 표시</x:t>
  </x:si>
  <x:si>
    <x:t>실패 후 모순되는 대사의 일부 강조</x:t>
  </x:si>
  <x:si>
    <x:t>실패 후 제한시간 10초 증가</x:t>
  </x:si>
  <x:si>
    <x:t>모든 파티원 소개 및 역할 확인</x:t>
  </x:si>
  <x:si>
    <x:t>전투 UI에 역할 아이콘 고정 표시</x:t>
  </x:si>
  <x:si>
    <x:t>수락 후 목표를 세 줄로 요약 표시</x:t>
  </x:si>
  <x:si>
    <x:t>임시 대피소의 도착 트리거에 진입</x:t>
  </x:si>
  <x:si>
    <x:t>모든 동행 NPC가 대피 지점 도착</x:t>
  </x:si>
  <x:si>
    <x:t>바람에 날린 비닐봉지 추격하기</x:t>
  </x:si>
  <x:si>
    <x:t>괴물과 상호작용해 소멸 연출 확인</x:t>
  </x:si>
  <x:si>
    <x:t>핵심 규칙을 전투 기록에 자동 저장</x:t>
  </x:si>
  <x:si>
    <x:t>붕괴 표지판의 철제 지지봉 회수하기</x:t>
  </x:si>
  <x:si>
    <x:t>복도에 남은 보랏빛 발자국 추적하기</x:t>
  </x:si>
  <x:si>
    <x:t>요청 품목에 작은 임무 아이콘 표시</x:t>
  </x:si>
  <x:si>
    <x:t>발자국과 스티커 단서 대조하기</x:t>
  </x:si>
  <x:si>
    <x:t>시민 피해 없이 괴물 2체 제압</x:t>
  </x:si>
  <x:si>
    <x:t>사랑의 매의 공명 타격 시험하기</x:t>
  </x:si>
  <x:si>
    <x:t>승강장 괴물 2체 연속 제압하기</x:t>
  </x:si>
  <x:si>
    <x:t>비닐봉지를 3번째 착지 이전에 회수</x:t>
  </x:si>
  <x:si>
    <x:t>집으로 돌아가는 길에 공원 진입하기</x:t>
  </x:si>
  <x:si>
    <x:t>공명 타격으로 환영체 1체 제압</x:t>
  </x:si>
  <x:si>
    <x:t>농구공으로 기억 개입 패턴 끊기</x:t>
  </x:si>
  <x:si>
    <x:t>총 사격과 회피 입력 연습하기</x:t>
  </x:si>
  <x:si>
    <x:t>사랑의 매 조사 및 공명 연출 확인</x:t>
  </x:si>
  <x:si>
    <x:t>잠금 방향 5단계를 정확히 입력</x:t>
  </x:si>
  <x:si>
    <x:t>제한시간 종료 또는 3회 피격 시 재시작</x:t>
  </x:si>
  <x:si>
    <x:t>체력 0 시 유인 완료 지점부터 재시작</x:t>
  </x:si>
  <x:si>
    <x:t>방문한 문과 미방문 문을 아이콘으로 구분</x:t>
  </x:si>
  <x:si>
    <x:t>제한시간 종료 또는 파티원 전멸 시 재시작</x:t>
  </x:si>
  <x:si>
    <x:t>농구공 반사 공격으로 기억 핵 3회 명중</x:t>
  </x:si>
  <x:si>
    <x:t>가짜 경로 끝에 도달하면 환영체 추격 발생</x:t>
  </x:si>
  <x:si>
    <x:t>보랏빛 철제 지지봉으로 첫 괴물 제압하기</x:t>
  </x:si>
  <x:si>
    <x:t>세 단서를 연결해 올바른 탐색 구역 선택</x:t>
  </x:si>
  <x:si>
    <x:t>오답 5회 시 현재 문서 비교 단계 초기화</x:t>
  </x:si>
  <x:si>
    <x:t>오답 3회 후 사용하지 않은 단서 강조</x:t>
  </x:si>
  <x:si>
    <x:t>대상을 놓치면 짧은 연출이 다시 재생됨</x:t>
  </x:si>
  <x:si>
    <x:t>현재 문서에는 총 149개 콘텐츠를 기록</x:t>
  </x:si>
  <x:si>
    <x:t>남은 자원의 대략적 방향과 거리 표시</x:t>
  </x:si>
  <x:si>
    <x:t>중간 이탈 시 측정 단계 처음부터 재진행</x:t>
  </x:si>
  <x:si>
    <x:t>필수 부탁을 포기하면 해당 구간 보상 감소</x:t>
  </x:si>
  <x:si>
    <x:t>환영 선택 시 전투 또는 체력 감소 발생</x:t>
  </x:si>
  <x:si>
    <x:t>재입고 상자 표식 3개를 순서대로 선택</x:t>
  </x:si>
  <x:si>
    <x:t>인물별 이름과 이전 선택 결과를 함께 표시</x:t>
  </x:si>
  <x:si>
    <x:t>공격 예고 시간을 늘리고 안전 지점 표시</x:t>
  </x:si>
  <x:si>
    <x:t>신상 과자 1봉 구매 후 인벤토리에 등록</x:t>
  </x:si>
  <x:si>
    <x:t>선택 전 저장 및 주요 결과 요약 제공</x:t>
  </x:si>
  <x:si>
    <x:t>대화 사이에 독백과 상태 확인 시간을 제공</x:t>
  </x:si>
  <x:si>
    <x:t>벤치와 가려진 틈의 쓰레기 6개 전부 수거</x:t>
  </x:si>
  <x:si>
    <x:t>고립 시민 5명 전원이 안전 지점 도착</x:t>
  </x:si>
  <x:si>
    <x:t>중단 게이지 최대 시 복원 단계 재시작</x:t>
  </x:si>
  <x:si>
    <x:t>선의관리국 지급 총과 상태 UI 확인하기</x:t>
  </x:si>
  <x:si>
    <x:t>3-G | 임무 후 대피소·영웅화 압박</x:t>
  </x:si>
  <x:si>
    <x:t>공격 선택 시 다른 결말 분기로 전환</x:t>
  </x:si>
  <x:si>
    <x:t>사랑의 매로 괴물형 보스의 방어막 깨기</x:t>
  </x:si>
  <x:si>
    <x:t>충격파 5회 피격 또는 체력 0 시 재시작</x:t>
  </x:si>
  <x:si>
    <x:t>고정 장치 3개 해제 후 금속 프레임 획득</x:t>
  </x:si>
  <x:si>
    <x:t>승강장 전광판의 금속 프레임 회수하기</x:t>
  </x:si>
  <x:si>
    <x:t>상호작용 가능 범위를 넓히고 아이콘 표시</x:t>
  </x:si>
  <x:si>
    <x:t>오탐 4회 시 괴물의 위치가 가까워짐</x:t>
  </x:si>
  <x:si>
    <x:t>게임 시작부터 엔딩까지 모든 콘텐츠를 작성</x:t>
  </x:si>
  <x:si>
    <x:t>표적 3회 명중 및 농구공 3회 회수</x:t>
  </x:si>
  <x:si>
    <x:t>오답 누적 시 현재 환영 묶음 재시작</x:t>
  </x:si>
  <x:si>
    <x:t>관리국 지급 총의 낮은 피해 확인하기</x:t>
  </x:si>
  <x:si>
    <x:t>왜곡 구역 낙하 3회 시 체크포인트 재시작</x:t>
  </x:si>
  <x:si>
    <x:t>총알 3발 명중과 회피 2회를 모두 성공</x:t>
  </x:si>
  <x:si>
    <x:t>농구공을 3회 연속 회수해 공격 기회 유지</x:t>
  </x:si>
  <x:si>
    <x:t>소파 옆 주인공에서 조사 입력 1회 완료</x:t>
  </x:si>
  <x:si>
    <x:t>잘못된 품목 구매 시 다시 선택해야 함</x:t>
  </x:si>
  <x:si>
    <x:t>조건 미달 시 완료 상호작용이 비활성화됨</x:t>
  </x:si>
  <x:si>
    <x:t>공명 흔적 4개를 따라 무기 위치 도달</x:t>
  </x:si>
  <x:si>
    <x:t>체력 0 시 첫 흔적 체크포인트에서 재시작</x:t>
  </x:si>
  <x:si>
    <x:t>잔류 공격에 4회 피격 시 구간 재시작</x:t>
  </x:si>
  <x:si>
    <x:t>재시도 시 경쟁 NPC 수 1명 감소</x:t>
  </x:si>
  <x:si>
    <x:t>실패 후 모순 단서 노출 시간을 늘림</x:t>
  </x:si>
  <x:si>
    <x:t>진짜 발자국 5개를 연결해 본관 진입</x:t>
  </x:si>
  <x:si>
    <x:t>실패 후 붕괴 주기 완화 및 우회로 표시</x:t>
  </x:si>
  <x:si>
    <x:t>이 표에서 가장 핵심적인 항목으로 작성</x:t>
  </x:si>
  <x:si>
    <x:t>플레이어 담당 구역의 목표 수량 달성</x:t>
  </x:si>
  <x:si>
    <x:t>파티 전멸 시 2페이즈 시작 지점 재시작</x:t>
  </x:si>
  <x:si>
    <x:t>헤어롤 1개 구매 후 인벤토리에 등록</x:t>
  </x:si>
  <x:si>
    <x:t>공원에서 분리수거장의 도착 트리거에 진입</x:t>
  </x:si>
  <x:si>
    <x:t>보랏빛으로 빛나는 사랑의 매 발견하기</x:t>
  </x:si>
  <x:si>
    <x:t>다이소에서 영화관의 도착 트리거에 진입</x:t>
  </x:si>
  <x:si>
    <x:t>침대를 조사하고 휴식 확인 선택지를 선택함</x:t>
  </x:si>
  <x:si>
    <x:t>단서를 버리려 하면 경고 후 행동 취소</x:t>
  </x:si>
  <x:si>
    <x:t>체력 0 시 시험 직전 체크포인트 재시작</x:t>
  </x:si>
  <x:si>
    <x:t>아파트에서 편의점의 도착 트리거에 진입</x:t>
  </x:si>
  <x:si>
    <x:t>오답 후 사용하지 않은 기록 문구를 강조</x:t>
  </x:si>
  <x:si>
    <x:t>탐지기 반응 범위를 넓히고 방향 표시 제공</x:t>
  </x:si>
  <x:si>
    <x:t>오답 3회 시 마지막 두 단계 초기화</x:t>
  </x:si>
  <x:si>
    <x:t>핵심 오브젝트에 카메라 줌과 효과음 적용</x:t>
  </x:si>
  <x:si>
    <x:t>거실에서 현관문의 도착 트리거에 진입</x:t>
  </x:si>
  <x:si>
    <x:t>생활용품 코너의 헤어롤 발견 및 조사 완료</x:t>
  </x:si>
  <x:si>
    <x:t>허용 거리 안에서 추적 종료 지점 도착</x:t>
  </x:si>
  <x:si>
    <x:t>레벨 업을 위해 잡아야하는 몬스터 수</x:t>
  </x:si>
  <x:si>
    <x:t>고정핀 3개 해제 후 철제 지지봉 획득</x:t>
  </x:si>
  <x:si>
    <x:t>대피소에서 붕괴 지역의 도착 트리거에 진입</x:t>
  </x:si>
  <x:si>
    <x:t>필수 물품이 포함된 상태로 준비 완료</x:t>
  </x:si>
  <x:si>
    <x:t>죄책감 최대치 또는 체력 0 시 재시작</x:t>
  </x:si>
  <x:si>
    <x:t>필수 구역과 상호작용 대상 모두 확인</x:t>
  </x:si>
  <x:si>
    <x:t>오답 후 구분 가능한 행동 단서 1개 표시</x:t>
  </x:si>
  <x:si>
    <x:t>불안정 수치 최대 시 동기화 단계 재시작</x:t>
  </x:si>
  <x:si>
    <x:t>편의점에서 다이소의 도착 트리거에 진입</x:t>
  </x:si>
  <x:si>
    <x:t>정체 45초 후 실제 방향의 음량을 강화</x:t>
  </x:si>
  <x:si>
    <x:t>오답 누적 시 퍼즐 단계 일부 초기화</x:t>
  </x:si>
  <x:si>
    <x:t>반복 실패 시 회복 아이템 1개 추가</x:t>
  </x:si>
  <x:si>
    <x:t>단서 부족 시 다음 퍼즐 활성화 불가</x:t>
  </x:si>
  <x:si>
    <x:t>항목</x:t>
  </x:si>
  <x:si>
    <x:t>45초</x:t>
  </x:si>
  <x:si>
    <x:t>25초</x:t>
  </x:si>
  <x:si>
    <x:t>3분</x:t>
  </x:si>
  <x:si>
    <x:t>2분</x:t>
  </x:si>
  <x:si>
    <x:t>30초</x:t>
  </x:si>
  <x:si>
    <x:t>4분</x:t>
  </x:si>
  <x:si>
    <x:t>1분</x:t>
  </x:si>
  <x:si>
    <x:t>40초</x:t>
  </x:si>
  <x:si>
    <x:t>55초</x:t>
  </x:si>
  <x:si>
    <x:t>잠자기</x:t>
  </x:si>
  <x:si>
    <x:t>챕터</x:t>
  </x:si>
  <x:si>
    <x:t>초/분</x:t>
  </x:si>
  <x:si>
    <x:t>미션</x:t>
  </x:si>
  <x:si>
    <x:t>-</x:t>
  </x:si>
  <x:si>
    <x:t>50초</x:t>
  </x:si>
  <x:si>
    <x:t>20초</x:t>
  </x:si>
  <x:si>
    <x:t>정수</x:t>
  </x:si>
  <x:si>
    <x:t>b</x:t>
  </x:si>
  <x:si>
    <x:t>35초</x:t>
  </x:si>
  <x:si>
    <x:t>—</x:t>
  </x:si>
  <x:si>
    <x:t>a</x:t>
  </x:si>
  <x:si>
    <x:t>재미율</x:t>
  </x:si>
  <x:si>
    <x:t>필수 기억 전부 회수</x:t>
  </x:si>
  <x:si>
    <x:t>모든 봉인 조건 해제</x:t>
  </x:si>
  <x:si>
    <x:t>비상 물품 챙기기</x:t>
  </x:si>
  <x:si>
    <x:t>진짜 동료 전원 선택</x:t>
  </x:si>
  <x:si>
    <x:t>포옹 상호작용 완료</x:t>
  </x:si>
  <x:si>
    <x:t>엔딩 크레딧 감상하기</x:t>
  </x:si>
  <x:si>
    <x:t>정문 봉인 해제하기</x:t>
  </x:si>
  <x:si>
    <x:t>균열 내부에 진입하기</x:t>
  </x:si>
  <x:si>
    <x:t>과거 기억 재생하기</x:t>
  </x:si>
  <x:si>
    <x:t>최종 선택 실행하기</x:t>
  </x:si>
  <x:si>
    <x:t>2-C | 균열 발생</x:t>
  </x:si>
  <x:si>
    <x:t>선의 조각 수집하기</x:t>
  </x:si>
  <x:si>
    <x:t>균열 발생을 목격하기</x:t>
  </x:si>
  <x:si>
    <x:t>가족들 대피시키기</x:t>
  </x:si>
  <x:si>
    <x:t>정답 순서 완성</x:t>
  </x:si>
  <x:si>
    <x:t>최종 브리핑 종료</x:t>
  </x:si>
  <x:si>
    <x:t>균열 핵에 접근하기</x:t>
  </x:si>
  <x:si>
    <x:t>4-B | 폐교 정문</x:t>
  </x:si>
  <x:si>
    <x:t>필수 자원 전부 수집</x:t>
  </x:si>
  <x:si>
    <x:t>균열 핵과 동기화하기</x:t>
  </x:si>
  <x:si>
    <x:t>폐교에서 탈출하기</x:t>
  </x:si>
  <x:si>
    <x:t>폐교 조사 명령 받기</x:t>
  </x:si>
  <x:si>
    <x:t>마지막 기억 회수하기</x:t>
  </x:si>
  <x:si>
    <x:t>소멸 선택지 확인하기</x:t>
  </x:si>
  <x:si>
    <x:t>출생의 진실 확인하기</x:t>
  </x:si>
  <x:si>
    <x:t>시민 대피 유도하기</x:t>
  </x:si>
  <x:si>
    <x:t>영웅화 보도 확인하기</x:t>
  </x:si>
  <x:si>
    <x:t>최종 선택지 확정</x:t>
  </x:si>
  <x:si>
    <x:t>고립 시민 찾기</x:t>
  </x:si>
  <x:si>
    <x:t>압박 대화 전부 확인</x:t>
  </x:si>
  <x:si>
    <x:t>튜토리얼(보상 없음)</x:t>
  </x:si>
  <x:si>
    <x:t>필수 부탁 전부 완료</x:t>
  </x:si>
  <x:si>
    <x:t>폐교 정문에 도착하기</x:t>
  </x:si>
  <x:si>
    <x:t>환영체 회피하기</x:t>
  </x:si>
  <x:si>
    <x:t>조사 장비 수령하기</x:t>
  </x:si>
  <x:si>
    <x:t>4 | 폐교 탐색</x:t>
  </x:si>
  <x:si>
    <x:t>명령 브리핑 종료</x:t>
  </x:si>
  <x:si>
    <x:t>본관 1층 탐색하기</x:t>
  </x:si>
  <x:si>
    <x:t>4-A | 출동 준비</x:t>
  </x:si>
  <x:si>
    <x:t>제안 대화 종료</x:t>
  </x:si>
  <x:si>
    <x:t>성장 시간 미산정</x:t>
  </x:si>
  <x:si>
    <x:t>측정 절차 모두 완료</x:t>
  </x:si>
  <x:si>
    <x:t>임무 수락 선택 완료</x:t>
  </x:si>
  <x:si>
    <x:t>다음 출동 준비하기</x:t>
  </x:si>
  <x:si>
    <x:t>보스가 주는 경험치</x:t>
  </x:si>
  <x:si>
    <x:t>예상 소요 시간</x:t>
  </x:si>
  <x:si>
    <x:t>구체적 판정 조건</x:t>
  </x:si>
  <x:si>
    <x:t>명중 1회 약 14초</x:t>
  </x:si>
  <x:si>
    <x:t>누적 플레이 시간</x:t>
  </x:si>
  <x:si>
    <x:t>청소 콤보 유지하기</x:t>
  </x:si>
  <x:si>
    <x:t>1부터 연속 넘버링</x:t>
  </x:si>
  <x:si>
    <x:t>필요한 경우 작성</x:t>
  </x:si>
  <x:si>
    <x:t>우리 게임 적용 기준</x:t>
  </x:si>
  <x:si>
    <x:t>목표 달성 조건</x:t>
  </x:si>
  <x:si>
    <x:t>컨텐츠 제시순서</x:t>
  </x:si>
  <x:si>
    <x:t>콘텐츠 진행 순서</x:t>
  </x:si>
  <x:si>
    <x:t>이동 조작 안내 확인</x:t>
  </x:si>
  <x:si>
    <x:t>1-B | 편의점</x:t>
  </x:si>
  <x:si>
    <x:t>선의관리국 안내 듣기</x:t>
  </x:si>
  <x:si>
    <x:t>교탁 비밀칸 해제하기</x:t>
  </x:si>
  <x:si>
    <x:t>최고 방해요인 난이도</x:t>
  </x:si>
  <x:si>
    <x:t>다이소로 이동하기</x:t>
  </x:si>
  <x:si>
    <x:t>난이도 조절 요소</x:t>
  </x:si>
  <x:si>
    <x:t>3-B | 대피 경로</x:t>
  </x:si>
  <x:si>
    <x:t>최고 조작난이도</x:t>
  </x:si>
  <x:si>
    <x:t>1 | 동생 심부름</x:t>
  </x:si>
  <x:si>
    <x:t>임시 대피소 도착하기</x:t>
  </x:si>
  <x:si>
    <x:t>구체적 플레이 절차</x:t>
  </x:si>
  <x:si>
    <x:t>선의 측정 받기</x:t>
  </x:si>
  <x:si>
    <x:t>최소 50개 이상</x:t>
  </x:si>
  <x:si>
    <x:t>예상 플레이타임</x:t>
  </x:si>
  <x:si>
    <x:t>집 밖으로 나가기</x:t>
  </x:si>
  <x:si>
    <x:t>난이도 보정 컨텐츠</x:t>
  </x:si>
  <x:si>
    <x:t>1-D | 영화관</x:t>
  </x:si>
  <x:si>
    <x:t>신상 과자 구매하기</x:t>
  </x:si>
  <x:si>
    <x:t>방해요인의 난이도</x:t>
  </x:si>
  <x:si>
    <x:t>현관으로 이동하기</x:t>
  </x:si>
  <x:si>
    <x:t>평균 조작난이도</x:t>
  </x:si>
  <x:si>
    <x:t>한도윤과 합류하기</x:t>
  </x:si>
  <x:si>
    <x:t>이웃 주민 구조하기</x:t>
  </x:si>
  <x:si>
    <x:t>현관문 조사 완료</x:t>
  </x:si>
  <x:si>
    <x:t>편의점으로 이동하기</x:t>
  </x:si>
  <x:si>
    <x:t>품절 안내 조사하기</x:t>
  </x:si>
  <x:si>
    <x:t>1-C | 다이소</x:t>
  </x:si>
  <x:si>
    <x:t>1-F | 지하철역</x:t>
  </x:si>
  <x:si>
    <x:t>지하철역으로 이동하기</x:t>
  </x:si>
  <x:si>
    <x:t>3 | 재난 대응</x:t>
  </x:si>
  <x:si>
    <x:t>영화관으로 이동하기</x:t>
  </x:si>
  <x:si>
    <x:t>우정 반지 찾기</x:t>
  </x:si>
  <x:si>
    <x:t>분리수거 완료하기</x:t>
  </x:si>
  <x:si>
    <x:t>헤어롤 구매하기</x:t>
  </x:si>
  <x:si>
    <x:t>청소 도구 찾기</x:t>
  </x:si>
  <x:si>
    <x:t>재활용품 분류하기</x:t>
  </x:si>
  <x:si>
    <x:t>필수 단서 모두 조사</x:t>
  </x:si>
  <x:si>
    <x:t>한도윤과 대화하기</x:t>
  </x:si>
  <x:si>
    <x:t>사건 연출 종료</x:t>
  </x:si>
  <x:si>
    <x:t>일반쓰레기 분류하기</x:t>
  </x:si>
  <x:si>
    <x:t>2-D | 귀가·밤</x:t>
  </x:si>
  <x:si>
    <x:t>헤어롤 진열대 찾기</x:t>
  </x:si>
  <x:si>
    <x:t>첫 쓰레기 줍기</x:t>
  </x:si>
  <x:si>
    <x:t>2 | 공원 청소</x:t>
  </x:si>
  <x:si>
    <x:t>선택지 1개 확정</x:t>
  </x:si>
  <x:si>
    <x:t>남은 쓰레기 확인하기</x:t>
  </x:si>
  <x:si>
    <x:t>5 | 균열의 진실</x:t>
  </x:si>
  <x:si>
    <x:t>강당 열쇠 찾기</x:t>
  </x:si>
  <x:si>
    <x:t>친구에게 다가가기</x:t>
  </x:si>
  <x:si>
    <x:t>1-G | 공원 진입</x:t>
  </x:si>
  <x:si>
    <x:t>중고 거래 완료하기</x:t>
  </x:si>
  <x:si>
    <x:t>2-B | 분리수거장</x:t>
  </x:si>
  <x:si>
    <x:t>중고 거래자 찾기</x:t>
  </x:si>
  <x:si>
    <x:t>동생 연락 받기</x:t>
  </x:si>
  <x:si>
    <x:t>아군 환영 구분하기</x:t>
  </x:si>
  <x:si>
    <x:t>친구를 포옹하기</x:t>
  </x:si>
  <x:si>
    <x:t>집으로 귀가하기</x:t>
  </x:si>
  <x:si>
    <x:t>5-B | 균열 내부</x:t>
  </x:si>
  <x:si>
    <x:t>강당에 진입하기</x:t>
  </x:si>
  <x:si>
    <x:t>다단계 패턴·환경 공격·자아 마모도 관리가 동시에 요구됨</x:t>
  </x:si>
  <x:si>
    <x:t>상호작용 직전 공격 버튼 안내를 숨기고 선택 문구 강조</x:t>
  </x:si>
  <x:si>
    <x:t>공간 왜곡으로 이동 방향과 상호작용 위치가 계속 바뀜</x:t>
  </x:si>
  <x:si>
    <x:t>관리국의 공식 목표와 주인공이 느끼는 개인적 목적이 다름</x:t>
  </x:si>
  <x:si>
    <x:t>이전에 수집한 기록을 선택 화면에서 다시 열람 가능</x:t>
  </x:si>
  <x:si>
    <x:t>탄약 소진 시 관리국 드론이 시험 탄창을 1회 보급</x:t>
  </x:si>
  <x:si>
    <x:t>브리핑 종료 후 구조 목표와 홍보 목표를 분리 표시</x:t>
  </x:si>
  <x:si>
    <x:t>긴 크레딧 중 추가 장면과 기록이 삽입되어 놓칠 수 있음</x:t>
  </x:si>
  <x:si>
    <x:t>관리실·음악실·방송실의 열쇠 후보 발견 및 조사 완료</x:t>
  </x:si>
  <x:si>
    <x:t>첫 반격 가능 구간에서 짧게 정지하고 입력 아이콘을 표시</x:t>
  </x:si>
  <x:si>
    <x:t>탄환 명중 3회, 피해량·경직량 비교, 무기 한계 확인</x:t>
  </x:si>
  <x:si>
    <x:t>체력·탄약·회피·조준 표시 4개 확인 및 지급 총 장착</x:t>
  </x:si>
  <x:si>
    <x:t>시민 구역 진입 또는 체력 0 시 체크포인트 재시작</x:t>
  </x:si>
  <x:si>
    <x:t>주인공 체력 0 시 철제 지지봉 획득 직후부터 재시작</x:t>
  </x:si>
  <x:si>
    <x:t>거짓 환영 4개 해제 및 자아 마모도 기준 이하 유지</x:t>
  </x:si>
  <x:si>
    <x:t>작은 목표가 연속으로 추가되어 피로와 동선 낭비가 누적됨</x:t>
  </x:si>
  <x:si>
    <x:t>경고 시간 안에 복귀하지 못하면 승강장 체크포인트 재시작</x:t>
  </x:si>
  <x:si>
    <x:t>손전등과 안전한 발판을 확인하며 붕괴된 계단을 통과함</x:t>
  </x:si>
  <x:si>
    <x:t>오탐 후 경보와 동기화된 가짜 반응을 회색으로 표시</x:t>
  </x:si>
  <x:si>
    <x:t>2/10 – 대상 가시성·입력 단계 수가 난이도를 결정함</x:t>
  </x:si>
  <x:si>
    <x:t>상하좌우 이동과 조사 키를 안내 순서대로 모두 수행</x:t>
  </x:si>
  <x:si>
    <x:t>수거 대상과 배경 장식의 차이를 처음에는 구별하기 어려움</x:t>
  </x:si>
  <x:si>
    <x:t>재시도 시 착지 예상 범위를 넓히고 첫 반사 궤적을 표시</x:t>
  </x:si>
  <x:si>
    <x:t>실패 2회 후 대상 속도 감소 및 경로 화살표 표시</x:t>
  </x:si>
  <x:si>
    <x:t>대화 속에 다음 목적지와 필요한 물품 정보가 섞여 있음</x:t>
  </x:si>
  <x:si>
    <x:t>일반 농구공을 집으면 보스의 추적 속도가 잠시 증가</x:t>
  </x:si>
  <x:si>
    <x:t>30초 이상 미발견 시 목표 구역에 약한 반짝임 표시</x:t>
  </x:si>
  <x:si>
    <x:t>여러 단서를 조합해 입력 순서나 의미를 추론해야 함</x:t>
  </x:si>
  <x:si>
    <x:t>3/10 – 규칙 설명량·연출 가시성이 난이도를 결정함</x:t>
  </x:si>
  <x:si>
    <x:t>여러 장치와 열쇠 조건을 올바른 순서로 충족해야 함</x:t>
  </x:si>
  <x:si>
    <x:t>보스가 공격을 멈추더라도 잔류 패턴과 화면 왜곡이 계속됨</x:t>
  </x:si>
  <x:si>
    <x:t>연속 발각 3회 또는 체력 0 시 체크포인트 재시작</x:t>
  </x:si>
  <x:si>
    <x:t>브리핑 종료 후 공식 목표와 개인 목표를 분리 표시</x:t>
  </x:si>
  <x:si>
    <x:t>기억 재생 중 상호작용 가능한 순간에 보랏빛 잔광을 확대</x:t>
  </x:si>
  <x:si>
    <x:t>주인공 주변의 상호작용 표시를 확인하고 조사 키를 누름</x:t>
  </x:si>
  <x:si>
    <x:t>손전등과 안전한 발판을 확인하며 정전된 계단을 통과함</x:t>
  </x:si>
  <x:si>
    <x:t>의뢰 대사와 위치를 확인한 뒤 반지의 주인에게 전달함</x:t>
  </x:si>
  <x:si>
    <x:t>트럭과의 추적 거리 게이지를 유지한 채 편의점 후문 도착</x:t>
  </x:si>
  <x:si>
    <x:t>거리 게이지가 0이 되면 골목 입구 체크포인트에서 재시작</x:t>
  </x:si>
  <x:si>
    <x:t>수거 8개, 단서 5개, 대화 1회, 보스 패턴 6회 등</x:t>
  </x:si>
  <x:si>
    <x:t>동행 NPC가 위험 구역에 8초 이상 고립되면 재시작</x:t>
  </x:si>
  <x:si>
    <x:t>손전등·공명 탐지기·회복품이 포함된 상태로 준비 완료</x:t>
  </x:si>
  <x:si>
    <x:t>1/10 – 상호작용 대상의 명확성이 난이도를 결정함</x:t>
  </x:si>
  <x:si>
    <x:t>오답 후보 선택 시 경계 대사가 출력되고 다시 선택</x:t>
  </x:si>
  <x:si>
    <x:t>실패 후 괴물 경직 시간을 늘리고 다음 고정핀을 강조</x:t>
  </x:si>
  <x:si>
    <x:t>추격 대상·동행 NPC·위협체 등 상대 캐릭터의 이동속도</x:t>
  </x:si>
  <x:si>
    <x:t>90초 이상 미발견 시 탐색 범위를 단계적으로 축소</x:t>
  </x:si>
  <x:si>
    <x:t>좁은 통로·어두운 조명·장애물로 이동 경로가 제한됨</x:t>
  </x:si>
  <x:si>
    <x:t>플레이어 또는 해당 행에서 주체가 되는 캐릭터의 이동속도</x:t>
  </x:si>
  <x:si>
    <x:t>A와 B의 속도 차이가 추격·호위·회피 난이도를 결정</x:t>
  </x:si>
  <x:si>
    <x:t>위험 잔해를 먼저 제거하면 체력 감소 및 진행 지연</x:t>
  </x:si>
  <x:si>
    <x:t>보스 잡는 데 걸리는 시간(초)
보스타입 (원거리)</x:t>
  </x:si>
  <x:si>
    <x:t>실패가 존재하는 경우 재시작·페널티가 발생하는 조건</x:t>
  </x:si>
  <x:si>
    <x:t>다음 날로 넘어가는 상호작용임을 알아차리지 못할 수 있음</x:t>
  </x:si>
  <x:si>
    <x:t>이동거리·미션개수·대사량·재시도 가능성을 함께 고려</x:t>
  </x:si>
  <x:si>
    <x:t>체력 0 또는 연속 피격 4회 시 체크포인트 재시작</x:t>
  </x:si>
  <x:si>
    <x:t>제한시간 종료 시 가장 가까운 체크포인트에서 재시작</x:t>
  </x:si>
  <x:si>
    <x:t>후보 수, 맵 크기, 속도 차이, 제한시간, 패턴 수 등</x:t>
  </x:si>
  <x:si>
    <x:t>내용물이 남거나 오염된 쓰레기 6개 전부 올바르게 분류</x:t>
  </x:si>
  <x:si>
    <x:t>보스 잡는 데 걸리는 시간(초)
보스타입 (근거리)</x:t>
  </x:si>
  <x:si>
    <x:t>4/10 – 입력 타이밍·유지 시간·실패 시 초기화 범위가 난이도를 결정함</x:t>
  </x:si>
  <x:si>
    <x:t>1/10 – 조사 대상의 크기·배경과의 대비·상호작용 범위가 난이도를 결정함</x:t>
  </x:si>
  <x:si>
    <x:t>4/10 – 방향 전환 빈도·장애물 배치·포획 가능 시간이 난이도를 결정함</x:t>
  </x:si>
  <x:si>
    <x:t>괴물의 몸동작과 바닥 경고 아이콘을 함께 보고 공격 방향과 범위를 판단해야 함</x:t>
  </x:si>
  <x:si>
    <x:t>상자의 줄무늬·색 띠·배송 코드를 순서대로 기억해 편의점 재입고 상자를 판별함</x:t>
  </x:si>
  <x:si>
    <x:t>9/10 – 환영 수·가짜 단서의 설득력·자아 마모도 누적량이 난이도를 결정함</x:t>
  </x:si>
  <x:si>
    <x:t>공식 명령과 주인공의 생존 가능성이 충돌해 목표를 단순히 받아들이기 어려움</x:t>
  </x:si>
  <x:si>
    <x:t>강한 공격을 회피한 뒤 경직 표시가 유지되는 동안 조준 사격을 2회 성공함</x:t>
  </x:si>
  <x:si>
    <x:t>비상등과 차량 경보가 반복되어 탐지기 반응과 보랏빛 잔광을 구분하기 어려움</x:t>
  </x:si>
  <x:si>
    <x:t>7/10 – 가짜 신호 수·방향 변화 빈도·이동 거리의 차이가 난이도를 결정함</x:t>
  </x:si>
  <x:si>
    <x:t>3/10 – 조준 이동속도·사격 후 경직·회피 허용 시간이 난이도를 결정함</x:t>
  </x:si>
  <x:si>
    <x:t>안전 구역을 확보하고 약점 노출 때 집중 공격해 균열 심층부 수호체를 처치함</x:t>
  </x:si>
  <x:si>
    <x:t>구역별 표지와 상품 외형을 비교하며 관리실·음악실·방송실의 열쇠 후보를 조사함</x:t>
  </x:si>
  <x:si>
    <x:t>반복되는 사물과 대사를 기준으로 주인공의 탄생과 가족의 기억의 순서를 맞춤</x:t>
  </x:si>
  <x:si>
    <x:t>안내되는 타이밍에 상호작용해 선의가 고갈된 친구의 변이 수치를 단계적으로 낮춤</x:t>
  </x:si>
  <x:si>
    <x:t>반지에 묻은 흙·신발 자국·가방 스티커를 비교해 중학생이 지나간 경로를 좁힘</x:t>
  </x:si>
  <x:si>
    <x:t>자료와 대화를 확인해 주인공만 진입 가능한 대형 균열의 목적과 위험을 이해함</x:t>
  </x:si>
  <x:si>
    <x:t>8/10 – 잔류 패턴 수·안전 구간 길이·필요 접근 횟수가 난이도를 결정함</x:t>
  </x:si>
  <x:si>
    <x:t>5/10 – 반격 가능 시간·연속 입력 수·실패 시 피해량이 난이도를 결정함</x:t>
  </x:si>
  <x:si>
    <x:t>8/10 – 단서 수·추론 단계·오답 페널티·초기화 범위가 난이도를 결정함</x:t>
  </x:si>
  <x:si>
    <x:t>7/10 – 단서 수·추론 단계·오답 페널티·초기화 범위가 난이도를 결정함</x:t>
  </x:si>
  <x:si>
    <x:t>회피 직후 너무 빠르거나 늦게 조준하면 반격 기회를 놓치거나 추가 피해를 받음</x:t>
  </x:si>
  <x:si>
    <x:t>경보 주기와 무관하게 반응하는 물체를 비교해 부러진 주차 차단기 막대를 찾아냄</x:t>
  </x:si>
  <x:si>
    <x:t>붕괴 예고와 고정 표식을 보며 붕괴하는 균열 통로까지 짧은 구간 단위로 이동함</x:t>
  </x:si>
  <x:si>
    <x:t>3/10 – 정보의 불완전성·결과 예측 가능성·감정적 부담이 난이도를 결정함</x:t>
  </x:si>
  <x:si>
    <x:t>고정된 빛 표식과 바닥 파동을 기준으로 왜곡된 진입 통로의 통로를 통과함</x:t>
  </x:si>
  <x:si>
    <x:t>훈련 표적에 총알 3발을 명중한 뒤 공격 예고에 맞춰 회피를 2회 성공함</x:t>
  </x:si>
  <x:si>
    <x:t>7/10 – 적 간격·공격 방향·넉백 거리·연속 공격 타이밍이 난이도를 결정함</x:t>
  </x:si>
  <x:si>
    <x:t>6/10 – 통로 폭·돌진 속도·경적 재사용 시간·시민 위치가 난이도를 결정함</x:t>
  </x:si>
  <x:si>
    <x:t>가장 안전한 경로를 정하고 주인공이 지키고 싶었던 사람들의 기억 5개를 회수함</x:t>
  </x:si>
  <x:si>
    <x:t>재질·오염 여부·남은 내용물을 확인하고 일반쓰레기 8개를 올바른 수거함에 넣음</x:t>
  </x:si>
  <x:si>
    <x:t>2/10 – 조사 대상의 크기·배경과의 대비·상호작용 범위가 난이도를 결정함</x:t>
  </x:si>
  <x:si>
    <x:t>9/10 – 충격파 주기·안전 지점 거리·필요 접근 횟수가 난이도를 결정함</x:t>
  </x:si>
  <x:si>
    <x:t>좁은 차량 사이에서는 회피 공간이 부족하고 경보음이 괴물의 돌진 방향을 바꿈</x:t>
  </x:si>
  <x:si>
    <x:t>5/10 – 동시 등장 수·오염 확산 속도·우선순위 판단이 난이도를 결정함</x:t>
  </x:si>
  <x:si>
    <x:t>5/10 – 장애물 밀도·트럭과의 거리·지름길 선택 시간이 난이도를 결정함</x:t>
  </x:si>
  <x:si>
    <x:t>1/10 – 동시에 제시되는 조작 수와 입력 허용 시간이 난이도를 결정함</x:t>
  </x:si>
  <x:si>
    <x:t>체력·회피·탄창 UI를 확인하고 지급 총의 조준과 재장전 방식을 순서대로 익힘</x:t>
  </x:si>
  <x:si>
    <x:t>4/10 – 콤보 유지 시간·쓰레기 간 거리·오분류 페널티가 난이도를 결정함</x:t>
  </x:si>
  <x:si>
    <x:t>관리국은 시민 구조보다 괴물 제압 영상을 우선 요구하며 임무 목적이 충돌함</x:t>
  </x:si>
  <x:si>
    <x:t>6/10 – 경고 주기·접근 가능 시간·상호작용 지속시간이 난이도를 결정함</x:t>
  </x:si>
  <x:si>
    <x:t>돌풍이 불 때마다 비닐봉지의 방향이 바뀌고 사람과 벤치가 이동 경로를 막음</x:t>
  </x:si>
  <x:si>
    <x:t>한꺼번에 들어온 쓰레기로 컨베이어가 막히고 오염물이 다른 분류함으로 번짐</x:t>
  </x:si>
  <x:si>
    <x:t>탐지기 반응과 발자국 크기·끌린 자국을 비교해 최근에 생긴 흔적만 골라 이동함</x:t>
  </x:si>
  <x:si>
    <x:t>5/10 – 접근 제한시간·고정핀 순서·사격과 상호작용 전환이 난이도를 결정함</x:t>
  </x:si>
  <x:si>
    <x:t>표지판·미니맵·NPC 이동 방향을 확인하며 도시에서 대형 균열 중심까지 이동함</x:t>
  </x:si>
  <x:si>
    <x:t>조준 중 이동속도가 낮아지고 사격 후 회피 입력 타이밍을 처음 익혀야 함</x:t>
  </x:si>
  <x:si>
    <x:t>3/10 – 표식 노출 시간·유사 표식 수·기억해야 할 순서가 난이도를 결정함</x:t>
  </x:si>
  <x:si>
    <x:t>위험 주기를 피하며 가까운 순서로 균열 내부에 흩어진 선의 조각 8개를 수집함</x:t>
  </x:si>
  <x:si>
    <x:t>장비 칸이 제한되어 탐색 장비와 공명 탐지기·회복품을 모두 챙길 수 없음</x:t>
  </x:si>
  <x:si>
    <x:t>한마리 몬스터가
주는 경험치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</x:si>
</x:sst>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"/>
  </x:numFmts>
  <x:fonts count="21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6"/>
      <x:color rgb="ff000000"/>
      <x:b val="1"/>
    </x:font>
    <x:font>
      <x:name val="Carlito"/>
      <x:sz val="10"/>
      <x:color rgb="ff000000"/>
    </x:font>
    <x:font>
      <x:name val="맑은 고딕"/>
      <x:sz val="11"/>
      <x:color rgb="ff000000"/>
    </x:font>
    <x:font>
      <x:name val="Carlito"/>
      <x:sz val="9"/>
      <x:color rgb="ff334155"/>
      <x:b val="1"/>
    </x:font>
    <x:font>
      <x:name val="맑은 고딕"/>
      <x:sz val="10"/>
      <x:color rgb="ff334155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6.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6.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3.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3.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2.7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2.7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.2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.2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4.2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4.2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9.7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9.7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0.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0.5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  <x:fill>
      <x:patternFill patternType="solid">
        <x:fgColor rgb="ff334e68"/>
        <x:bgColor indexed="64"/>
      </x:patternFill>
    </x:fill>
  </x:fills>
  <x:borders count="1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c8d1dc"/>
      </x:left>
      <x:right>
        <x:color auto="1"/>
      </x:right>
      <x:top style="thin">
        <x:color rgb="ffc8d1dc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c8d1dc"/>
      </x:top>
      <x:bottom>
        <x:color auto="1"/>
      </x:bottom>
    </x:border>
    <x:border>
      <x:left>
        <x:color auto="1"/>
      </x:left>
      <x:right style="thin">
        <x:color rgb="ffc8d1dc"/>
      </x:right>
      <x:top style="thin">
        <x:color rgb="ffc8d1dc"/>
      </x:top>
      <x:bottom>
        <x:color auto="1"/>
      </x:bottom>
    </x:border>
    <x:border>
      <x:left style="thin">
        <x:color rgb="ffc8d1dc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c8d1dc"/>
      </x:right>
      <x:top>
        <x:color auto="1"/>
      </x:top>
      <x:bottom>
        <x:color auto="1"/>
      </x:bottom>
    </x:border>
    <x:border>
      <x:left style="thin">
        <x:color rgb="ffc8d1dc"/>
      </x:left>
      <x:right>
        <x:color auto="1"/>
      </x:right>
      <x:top>
        <x:color auto="1"/>
      </x:top>
      <x:bottom style="thin">
        <x:color rgb="ffc8d1dc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c8d1dc"/>
      </x:bottom>
    </x:border>
    <x:border>
      <x:left>
        <x:color auto="1"/>
      </x:left>
      <x:right style="thin">
        <x:color rgb="ffc8d1dc"/>
      </x:right>
      <x:top>
        <x:color auto="1"/>
      </x:top>
      <x:bottom style="thin">
        <x:color rgb="ffc8d1dc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61">
    <x:xf numFmtId="0" fontId="0" fillId="0" borderId="0" xfId="0" applyNumberFormat="1" applyAlignment="1">
      <x:alignment horizontal="general" vertical="bottom"/>
    </x:xf>
    <x:xf numFmtId="0" fontId="0" fillId="0" borderId="0" xfId="2" applyNumberFormat="1" applyFont="1" applyFill="1" applyBorder="1" applyAlignment="1">
      <x:alignment horizontal="general" vertical="top" wrapText="1"/>
    </x:xf>
    <x:xf numFmtId="0" fontId="0" fillId="0" borderId="1" xfId="2" applyNumberFormat="1" applyFont="1" applyFill="1" applyBorder="1" applyAlignment="1">
      <x:alignment horizontal="general" vertical="top" wrapText="1"/>
    </x:xf>
    <x:xf numFmtId="0" fontId="0" fillId="0" borderId="2" xfId="2" applyNumberFormat="1" applyFont="1" applyFill="1" applyBorder="1" applyAlignment="1">
      <x:alignment horizontal="general" vertical="top" wrapText="1"/>
    </x:xf>
    <x:xf numFmtId="0" fontId="0" fillId="0" borderId="3" xfId="2" applyNumberFormat="1" applyFont="1" applyFill="1" applyBorder="1" applyAlignment="1">
      <x:alignment horizontal="general" vertical="top" wrapText="1"/>
    </x:xf>
    <x:xf numFmtId="0" fontId="0" fillId="0" borderId="4" xfId="2" applyNumberFormat="1" applyFont="1" applyFill="1" applyBorder="1" applyAlignment="1">
      <x:alignment horizontal="general" vertical="top" wrapText="1"/>
    </x:xf>
    <x:xf numFmtId="0" fontId="0" fillId="0" borderId="5" xfId="2" applyNumberFormat="1" applyFont="1" applyFill="1" applyBorder="1" applyAlignment="1">
      <x:alignment horizontal="general" vertical="top" wrapText="1"/>
    </x:xf>
    <x:xf numFmtId="0" fontId="0" fillId="0" borderId="6" xfId="2" applyNumberFormat="1" applyFont="1" applyFill="1" applyBorder="1" applyAlignment="1">
      <x:alignment horizontal="general" vertical="top" wrapText="1"/>
    </x:xf>
    <x:xf numFmtId="0" fontId="0" fillId="0" borderId="7" xfId="2" applyNumberFormat="1" applyFont="1" applyFill="1" applyBorder="1" applyAlignment="1">
      <x:alignment horizontal="general" vertical="top" wrapText="1"/>
    </x:xf>
    <x:xf numFmtId="0" fontId="0" fillId="0" borderId="8" xfId="2" applyNumberFormat="1" applyFont="1" applyFill="1" applyBorder="1" applyAlignment="1">
      <x:alignment horizontal="general" vertical="top" wrapText="1"/>
    </x:xf>
    <x:xf numFmtId="0" fontId="0" fillId="0" borderId="1" xfId="2" applyNumberFormat="1" applyFont="1" applyFill="1" applyBorder="1">
      <x:alignment horizontal="general" vertical="bottom"/>
    </x:xf>
    <x:xf numFmtId="0" fontId="0" fillId="0" borderId="2" xfId="2" applyNumberFormat="1" applyFont="1" applyFill="1" applyBorder="1">
      <x:alignment horizontal="general" vertical="bottom"/>
    </x:xf>
    <x:xf numFmtId="0" fontId="0" fillId="0" borderId="3" xfId="2" applyNumberFormat="1" applyFont="1" applyFill="1" applyBorder="1">
      <x:alignment horizontal="general" vertical="bottom"/>
    </x:xf>
    <x:xf numFmtId="0" fontId="0" fillId="0" borderId="4" xfId="2" applyNumberFormat="1" applyFont="1" applyFill="1" applyBorder="1">
      <x:alignment horizontal="general" vertical="bottom"/>
    </x:xf>
    <x:xf numFmtId="0" fontId="0" fillId="0" borderId="0" xfId="2" applyNumberFormat="1" applyFont="1" applyFill="1" applyBorder="1">
      <x:alignment horizontal="general" vertical="bottom"/>
    </x:xf>
    <x:xf numFmtId="0" fontId="0" fillId="0" borderId="5" xfId="2" applyNumberFormat="1" applyFont="1" applyFill="1" applyBorder="1">
      <x:alignment horizontal="general" vertical="bottom"/>
    </x:xf>
    <x:xf numFmtId="0" fontId="0" fillId="0" borderId="6" xfId="2" applyNumberFormat="1" applyFont="1" applyFill="1" applyBorder="1">
      <x:alignment horizontal="general" vertical="bottom"/>
    </x:xf>
    <x:xf numFmtId="0" fontId="0" fillId="0" borderId="7" xfId="2" applyNumberFormat="1" applyFont="1" applyFill="1" applyBorder="1">
      <x:alignment horizontal="general" vertical="bottom"/>
    </x:xf>
    <x:xf numFmtId="0" fontId="0" fillId="0" borderId="8" xfId="2" applyNumberFormat="1" applyFont="1" applyFill="1" applyBorder="1">
      <x:alignment horizontal="general" vertical="bottom"/>
    </x:xf>
    <x:xf numFmtId="164" fontId="0" fillId="0" borderId="2" xfId="2" applyNumberFormat="1" applyFont="1" applyFill="1" applyBorder="1">
      <x:alignment horizontal="general" vertical="bottom"/>
    </x:xf>
    <x:xf numFmtId="164" fontId="0" fillId="0" borderId="0" xfId="2" applyNumberFormat="1" applyFont="1" applyFill="1" applyBorder="1">
      <x:alignment horizontal="general" vertical="bottom"/>
    </x:xf>
    <x:xf numFmtId="164" fontId="0" fillId="0" borderId="7" xfId="2" applyNumberFormat="1" applyFont="1" applyFill="1" applyBorder="1">
      <x:alignment horizontal="general" vertical="bottom"/>
    </x:xf>
    <x:xf numFmtId="0" fontId="6" fillId="2" borderId="0" xfId="3" applyNumberFormat="1" applyFont="1" applyFill="1" applyAlignment="1">
      <x:alignment horizontal="general" vertical="bottom"/>
    </x:xf>
    <x:xf numFmtId="0" fontId="0" fillId="0" borderId="0" xfId="3" applyNumberFormat="1" applyAlignment="1">
      <x:alignment horizontal="general" vertical="bottom"/>
    </x:xf>
    <x:xf numFmtId="0" fontId="7" fillId="2" borderId="0" xfId="3" applyNumberFormat="1" applyFont="1" applyFill="1" applyAlignment="1">
      <x:alignment horizontal="general" vertical="bottom" wrapText="1"/>
    </x:xf>
    <x:xf numFmtId="0" fontId="8" fillId="0" borderId="0" xfId="3" applyNumberFormat="1" applyFont="1" applyAlignment="1">
      <x:alignment horizontal="general" vertical="bottom"/>
    </x:xf>
    <x:xf numFmtId="0" fontId="9" fillId="0" borderId="0" xfId="1" applyNumberFormat="1" applyFont="1" applyAlignment="1">
      <x:alignment horizontal="general" vertical="center"/>
    </x:xf>
    <x:xf numFmtId="0" fontId="9" fillId="0" borderId="0" xfId="1" applyNumberFormat="1" applyFont="1" applyAlignment="1">
      <x:alignment horizontal="left" vertical="center"/>
    </x:xf>
    <x:xf numFmtId="0" fontId="0" fillId="0" borderId="9" xfId="2" applyNumberFormat="1" applyFont="1" applyBorder="1" applyAlignment="1">
      <x:alignment horizontal="general" vertical="center" wrapText="1"/>
    </x:xf>
    <x:xf numFmtId="0" fontId="9" fillId="0" borderId="9" xfId="2" applyNumberFormat="1" applyFont="1" applyBorder="1" applyAlignment="1">
      <x:alignment horizontal="general" vertical="center" wrapText="1"/>
    </x:xf>
    <x:xf numFmtId="0" fontId="9" fillId="0" borderId="9" xfId="1" applyNumberFormat="1" applyFont="1" applyBorder="1" applyAlignment="1">
      <x:alignment horizontal="left" vertical="center" wrapText="1"/>
    </x:xf>
    <x:xf numFmtId="0" fontId="9" fillId="0" borderId="10" xfId="2" applyNumberFormat="1" applyFont="1" applyBorder="1" applyAlignment="1">
      <x:alignment horizontal="general" vertical="center" wrapText="1"/>
    </x:xf>
    <x:xf numFmtId="0" fontId="9" fillId="0" borderId="10" xfId="1" applyNumberFormat="1" applyFont="1" applyBorder="1" applyAlignment="1">
      <x:alignment horizontal="left" vertical="center" wrapText="1"/>
    </x:xf>
    <x:xf numFmtId="2" fontId="0" fillId="0" borderId="10" xfId="1" applyNumberFormat="1" applyFill="1" applyBorder="1" applyAlignment="1">
      <x:alignment horizontal="left" vertical="center" wrapText="1"/>
    </x:xf>
    <x:xf numFmtId="0" fontId="0" fillId="0" borderId="0" xfId="1" applyNumberFormat="1" applyFont="1" applyFill="1" applyBorder="1" applyAlignment="1">
      <x:alignment horizontal="general" vertical="bottom"/>
    </x:xf>
    <x:xf numFmtId="0" fontId="0" fillId="0" borderId="1" xfId="1" applyNumberFormat="1" applyFont="1" applyFill="1" applyBorder="1" applyAlignment="1">
      <x:alignment horizontal="general" vertical="top" wrapText="1"/>
    </x:xf>
    <x:xf numFmtId="0" fontId="9" fillId="0" borderId="0" xfId="1" applyNumberFormat="1" applyFont="1" applyFill="1" applyBorder="1" applyAlignment="1">
      <x:alignment horizontal="general" vertical="center"/>
    </x:xf>
    <x:xf numFmtId="0" fontId="9" fillId="0" borderId="0" xfId="1" applyNumberFormat="1" applyFont="1" applyFill="1" applyBorder="1" applyAlignment="1">
      <x:alignment horizontal="left" vertical="center"/>
    </x:xf>
    <x:xf numFmtId="0" fontId="0" fillId="0" borderId="9" xfId="1" applyNumberFormat="1" applyFont="1" applyFill="1" applyBorder="1" applyAlignment="1">
      <x:alignment horizontal="general" vertical="center" wrapText="1"/>
    </x:xf>
    <x:xf numFmtId="0" fontId="10" fillId="0" borderId="0" xfId="1" applyNumberFormat="1" applyFont="1" applyFill="1" applyBorder="1" applyAlignment="1">
      <x:alignment horizontal="general" vertical="center"/>
    </x:xf>
    <x:xf numFmtId="0" fontId="11" fillId="0" borderId="0" xfId="1" applyNumberFormat="1" applyFont="1" applyFill="1" applyBorder="1" applyAlignment="1">
      <x:alignment horizontal="general" vertical="center"/>
    </x:xf>
    <x:xf numFmtId="0" fontId="11" fillId="0" borderId="10" xfId="1" applyNumberFormat="1" applyFont="1" applyFill="1" applyBorder="1" applyAlignment="1">
      <x:alignment horizontal="left" vertical="center" wrapText="1"/>
    </x:xf>
    <x:xf numFmtId="0" fontId="11" fillId="0" borderId="0" xfId="3" applyNumberFormat="1" applyFont="1" applyFill="1" applyBorder="1" applyAlignment="1">
      <x:alignment horizontal="left" vertical="center"/>
    </x:xf>
    <x:xf numFmtId="0" fontId="11" fillId="0" borderId="0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NumberFormat="1" applyFont="1" applyFill="1" applyBorder="1" applyAlignment="1">
          <x:alignment horizontal="center" vertical="center"/>
        </x:xf>
      </mc:Fallback>
    </mc:AlternateContent>
    <x:xf numFmtId="0" fontId="10" fillId="0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3" borderId="11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1" xfId="3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1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1" xfId="1" applyNumberFormat="1" applyFont="1" applyFill="1" applyBorder="1" applyAlignment="1">
          <x:alignment horizontal="center" vertical="center" wrapText="1"/>
        </x:xf>
      </mc:Fallback>
    </mc:AlternateContent>
    <x:xf numFmtId="0" fontId="11" fillId="0" borderId="11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" fontId="11" fillId="0" borderId="1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11" xfId="1" applyNumberFormat="1" applyFont="1" applyFill="1" applyBorder="1" applyAlignment="1">
          <x:alignment horizontal="center" vertical="center" wrapText="1"/>
        </x:xf>
      </mc:Fallback>
    </mc:AlternateContent>
    <x:xf numFmtId="33" fontId="11" fillId="0" borderId="11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2" fontId="11" fillId="0" borderId="1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11" fillId="0" borderId="1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11" fillId="0" borderId="1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11" fillId="0" borderId="11" xfId="1" applyNumberFormat="1" applyFont="1" applyFill="1" applyBorder="1" applyAlignment="1">
          <x:alignment horizontal="center" vertical="center" wrapText="1"/>
        </x:xf>
      </mc:Fallback>
    </mc:AlternateContent>
    <x:xf numFmtId="0" fontId="11" fillId="0" borderId="11" xfId="1" applyNumberFormat="1" applyFont="1" applyFill="1" applyBorder="1" applyAlignment="1">
      <x:alignment horizontal="general" vertical="center" wrapText="1"/>
    </x:xf>
    <x:xf numFmtId="0" fontId="10" fillId="0" borderId="11" xfId="1" applyNumberFormat="1" applyFont="1" applyFill="1" applyBorder="1" applyAlignment="1">
      <x:alignment horizontal="general" vertical="center"/>
    </x:xf>
    <x:xf numFmtId="1" fontId="0" fillId="0" borderId="0" xfId="1" applyNumberFormat="1" applyFont="1" applyFill="1" applyBorder="1" applyAlignment="1">
      <x:alignment horizontal="general" vertical="bottom"/>
    </x:xf>
    <x:xf numFmtId="2" fontId="0" fillId="0" borderId="10" xfId="1" applyNumberForma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3" borderId="1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1" xfId="1" applyNumberFormat="1" applyFont="1" applyFill="1" applyBorder="1" applyAlignment="1">
          <x:alignment horizontal="center" vertical="center" wrapText="1"/>
        </x:xf>
      </mc:Fallback>
    </mc:AlternateContent>
  </x:cellXfs>
  <x:cellStyles count="4">
    <x:cellStyle name="표준" xfId="0" builtinId="0"/>
    <x:cellStyle name="표준 3" xfId="1"/>
    <x:cellStyle name="Normal" xfId="2"/>
    <x:cellStyle name="표준 2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콘텐츠 진행에 따른 조작난이도·재미율</a:t>
            </a:r>
            <a:endParaRPr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조작난이도</c:v>
          </c:tx>
          <c:marker>
            <c:symbol val="diamond"/>
            <c:size val="7"/>
          </c:marker>
          <c:cat>
            <c:numRef>
              <c:f>'밸런스 곡선'!$A$15:$A$163</c:f>
              <c:numCache>
                <c:formatCode>General</c:formatCode>
                <c:ptCount val="14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</c:numCache>
            </c:numRef>
          </c:cat>
          <c:val>
            <c:numRef>
              <c:f>'밸런스 곡선'!$B$15:$B$163</c:f>
              <c:numCache>
                <c:formatCode>General</c:formatCode>
                <c:ptCount val="149"/>
                <c:pt idx="0">
                  <c:v>37</c:v>
                </c:pt>
                <c:pt idx="1">
                  <c:v>42</c:v>
                </c:pt>
                <c:pt idx="2">
                  <c:v>45</c:v>
                </c:pt>
                <c:pt idx="3">
                  <c:v>49</c:v>
                </c:pt>
                <c:pt idx="4">
                  <c:v>53</c:v>
                </c:pt>
                <c:pt idx="5">
                  <c:v>57</c:v>
                </c:pt>
                <c:pt idx="6">
                  <c:v>63</c:v>
                </c:pt>
                <c:pt idx="7">
                  <c:v>72</c:v>
                </c:pt>
                <c:pt idx="8">
                  <c:v>81</c:v>
                </c:pt>
                <c:pt idx="9">
                  <c:v>88</c:v>
                </c:pt>
                <c:pt idx="10">
                  <c:v>92</c:v>
                </c:pt>
                <c:pt idx="11">
                  <c:v>95</c:v>
                </c:pt>
                <c:pt idx="12">
                  <c:v>99</c:v>
                </c:pt>
                <c:pt idx="13">
                  <c:v>104</c:v>
                </c:pt>
                <c:pt idx="14">
                  <c:v>111</c:v>
                </c:pt>
                <c:pt idx="15">
                  <c:v>114</c:v>
                </c:pt>
                <c:pt idx="16">
                  <c:v>118</c:v>
                </c:pt>
                <c:pt idx="17">
                  <c:v>121</c:v>
                </c:pt>
                <c:pt idx="18">
                  <c:v>125</c:v>
                </c:pt>
                <c:pt idx="19">
                  <c:v>128</c:v>
                </c:pt>
                <c:pt idx="20">
                  <c:v>132</c:v>
                </c:pt>
                <c:pt idx="21">
                  <c:v>140</c:v>
                </c:pt>
                <c:pt idx="22">
                  <c:v>143</c:v>
                </c:pt>
                <c:pt idx="23">
                  <c:v>148</c:v>
                </c:pt>
                <c:pt idx="24">
                  <c:v>153</c:v>
                </c:pt>
                <c:pt idx="25">
                  <c:v>159</c:v>
                </c:pt>
                <c:pt idx="26">
                  <c:v>162</c:v>
                </c:pt>
                <c:pt idx="27">
                  <c:v>166</c:v>
                </c:pt>
                <c:pt idx="28">
                  <c:v>174</c:v>
                </c:pt>
                <c:pt idx="29">
                  <c:v>179</c:v>
                </c:pt>
                <c:pt idx="30">
                  <c:v>187</c:v>
                </c:pt>
                <c:pt idx="31">
                  <c:v>193</c:v>
                </c:pt>
                <c:pt idx="32">
                  <c:v>198</c:v>
                </c:pt>
                <c:pt idx="33">
                  <c:v>201</c:v>
                </c:pt>
                <c:pt idx="34">
                  <c:v>206</c:v>
                </c:pt>
                <c:pt idx="35">
                  <c:v>211</c:v>
                </c:pt>
                <c:pt idx="36">
                  <c:v>217</c:v>
                </c:pt>
                <c:pt idx="37">
                  <c:v>223</c:v>
                </c:pt>
                <c:pt idx="38">
                  <c:v>232</c:v>
                </c:pt>
                <c:pt idx="39">
                  <c:v>237</c:v>
                </c:pt>
                <c:pt idx="40">
                  <c:v>242</c:v>
                </c:pt>
                <c:pt idx="41">
                  <c:v>248</c:v>
                </c:pt>
                <c:pt idx="42">
                  <c:v>252</c:v>
                </c:pt>
                <c:pt idx="43">
                  <c:v>255</c:v>
                </c:pt>
                <c:pt idx="44">
                  <c:v>259</c:v>
                </c:pt>
                <c:pt idx="45">
                  <c:v>265</c:v>
                </c:pt>
                <c:pt idx="46">
                  <c:v>271</c:v>
                </c:pt>
                <c:pt idx="47">
                  <c:v>279</c:v>
                </c:pt>
                <c:pt idx="48">
                  <c:v>287</c:v>
                </c:pt>
                <c:pt idx="49">
                  <c:v>296</c:v>
                </c:pt>
                <c:pt idx="50">
                  <c:v>305</c:v>
                </c:pt>
                <c:pt idx="51">
                  <c:v>313</c:v>
                </c:pt>
                <c:pt idx="52">
                  <c:v>323</c:v>
                </c:pt>
                <c:pt idx="53">
                  <c:v>329</c:v>
                </c:pt>
                <c:pt idx="54">
                  <c:v>335</c:v>
                </c:pt>
                <c:pt idx="55">
                  <c:v>342</c:v>
                </c:pt>
                <c:pt idx="56">
                  <c:v>347</c:v>
                </c:pt>
                <c:pt idx="57">
                  <c:v>353</c:v>
                </c:pt>
                <c:pt idx="58">
                  <c:v>359</c:v>
                </c:pt>
                <c:pt idx="59">
                  <c:v>364</c:v>
                </c:pt>
                <c:pt idx="60">
                  <c:v>369</c:v>
                </c:pt>
                <c:pt idx="61">
                  <c:v>374</c:v>
                </c:pt>
                <c:pt idx="62">
                  <c:v>381</c:v>
                </c:pt>
                <c:pt idx="63">
                  <c:v>388</c:v>
                </c:pt>
                <c:pt idx="64">
                  <c:v>396</c:v>
                </c:pt>
                <c:pt idx="65">
                  <c:v>405</c:v>
                </c:pt>
                <c:pt idx="66">
                  <c:v>410</c:v>
                </c:pt>
                <c:pt idx="67">
                  <c:v>416</c:v>
                </c:pt>
                <c:pt idx="68">
                  <c:v>423</c:v>
                </c:pt>
                <c:pt idx="69">
                  <c:v>432</c:v>
                </c:pt>
                <c:pt idx="70">
                  <c:v>440</c:v>
                </c:pt>
                <c:pt idx="71">
                  <c:v>449</c:v>
                </c:pt>
                <c:pt idx="72">
                  <c:v>458</c:v>
                </c:pt>
                <c:pt idx="73">
                  <c:v>468</c:v>
                </c:pt>
                <c:pt idx="74">
                  <c:v>475</c:v>
                </c:pt>
                <c:pt idx="75">
                  <c:v>479</c:v>
                </c:pt>
                <c:pt idx="76">
                  <c:v>483</c:v>
                </c:pt>
                <c:pt idx="77">
                  <c:v>491</c:v>
                </c:pt>
                <c:pt idx="78">
                  <c:v>501</c:v>
                </c:pt>
                <c:pt idx="79">
                  <c:v>511</c:v>
                </c:pt>
                <c:pt idx="80">
                  <c:v>518</c:v>
                </c:pt>
                <c:pt idx="81">
                  <c:v>528</c:v>
                </c:pt>
                <c:pt idx="82">
                  <c:v>539</c:v>
                </c:pt>
                <c:pt idx="83">
                  <c:v>543</c:v>
                </c:pt>
                <c:pt idx="84">
                  <c:v>548</c:v>
                </c:pt>
                <c:pt idx="85">
                  <c:v>552</c:v>
                </c:pt>
                <c:pt idx="86">
                  <c:v>556</c:v>
                </c:pt>
                <c:pt idx="87">
                  <c:v>560</c:v>
                </c:pt>
                <c:pt idx="88">
                  <c:v>566</c:v>
                </c:pt>
                <c:pt idx="89">
                  <c:v>572</c:v>
                </c:pt>
                <c:pt idx="90">
                  <c:v>581</c:v>
                </c:pt>
                <c:pt idx="91">
                  <c:v>588</c:v>
                </c:pt>
                <c:pt idx="92">
                  <c:v>598</c:v>
                </c:pt>
                <c:pt idx="93">
                  <c:v>605</c:v>
                </c:pt>
                <c:pt idx="94">
                  <c:v>613</c:v>
                </c:pt>
                <c:pt idx="95">
                  <c:v>620</c:v>
                </c:pt>
                <c:pt idx="96">
                  <c:v>627</c:v>
                </c:pt>
                <c:pt idx="97">
                  <c:v>636</c:v>
                </c:pt>
                <c:pt idx="98">
                  <c:v>646</c:v>
                </c:pt>
                <c:pt idx="99">
                  <c:v>654</c:v>
                </c:pt>
                <c:pt idx="100">
                  <c:v>664</c:v>
                </c:pt>
                <c:pt idx="101">
                  <c:v>673</c:v>
                </c:pt>
                <c:pt idx="102">
                  <c:v>680</c:v>
                </c:pt>
                <c:pt idx="103">
                  <c:v>687</c:v>
                </c:pt>
                <c:pt idx="104">
                  <c:v>695</c:v>
                </c:pt>
                <c:pt idx="105">
                  <c:v>702</c:v>
                </c:pt>
                <c:pt idx="106">
                  <c:v>708</c:v>
                </c:pt>
                <c:pt idx="107">
                  <c:v>717</c:v>
                </c:pt>
                <c:pt idx="108">
                  <c:v>726</c:v>
                </c:pt>
                <c:pt idx="109">
                  <c:v>739</c:v>
                </c:pt>
                <c:pt idx="110">
                  <c:v>752</c:v>
                </c:pt>
                <c:pt idx="111">
                  <c:v>765</c:v>
                </c:pt>
                <c:pt idx="112">
                  <c:v>779</c:v>
                </c:pt>
                <c:pt idx="113">
                  <c:v>794</c:v>
                </c:pt>
                <c:pt idx="114">
                  <c:v>806</c:v>
                </c:pt>
                <c:pt idx="115">
                  <c:v>812</c:v>
                </c:pt>
                <c:pt idx="116">
                  <c:v>819</c:v>
                </c:pt>
                <c:pt idx="117">
                  <c:v>829</c:v>
                </c:pt>
                <c:pt idx="118">
                  <c:v>834</c:v>
                </c:pt>
                <c:pt idx="119">
                  <c:v>839</c:v>
                </c:pt>
                <c:pt idx="120">
                  <c:v>844</c:v>
                </c:pt>
                <c:pt idx="121">
                  <c:v>853</c:v>
                </c:pt>
                <c:pt idx="122">
                  <c:v>864</c:v>
                </c:pt>
                <c:pt idx="123">
                  <c:v>873</c:v>
                </c:pt>
                <c:pt idx="124">
                  <c:v>880</c:v>
                </c:pt>
                <c:pt idx="125">
                  <c:v>892</c:v>
                </c:pt>
                <c:pt idx="126">
                  <c:v>903</c:v>
                </c:pt>
                <c:pt idx="127">
                  <c:v>917</c:v>
                </c:pt>
                <c:pt idx="128">
                  <c:v>928</c:v>
                </c:pt>
                <c:pt idx="129">
                  <c:v>934</c:v>
                </c:pt>
                <c:pt idx="130">
                  <c:v>940</c:v>
                </c:pt>
                <c:pt idx="131">
                  <c:v>946</c:v>
                </c:pt>
                <c:pt idx="132">
                  <c:v>955</c:v>
                </c:pt>
                <c:pt idx="133">
                  <c:v>967</c:v>
                </c:pt>
                <c:pt idx="134">
                  <c:v>978</c:v>
                </c:pt>
                <c:pt idx="135">
                  <c:v>984</c:v>
                </c:pt>
                <c:pt idx="136">
                  <c:v>990</c:v>
                </c:pt>
                <c:pt idx="137">
                  <c:v>995</c:v>
                </c:pt>
                <c:pt idx="138">
                  <c:v>1000</c:v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</c:numCache>
            </c:numRef>
          </c:val>
          <c:smooth val="0"/>
        </c:ser>
        <c:ser>
          <c:idx val="1"/>
          <c:order val="1"/>
          <c:tx>
            <c:v>재미율</c:v>
          </c:tx>
          <c:marker>
            <c:symbol val="square"/>
            <c:size val="7"/>
          </c:marker>
          <c:cat>
            <c:numRef>
              <c:f>'밸런스 곡선'!$A$15:$A$163</c:f>
              <c:numCache>
                <c:formatCode>General</c:formatCode>
                <c:ptCount val="14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  <c:pt idx="123">
                  <c:v>134</c:v>
                </c:pt>
                <c:pt idx="124">
                  <c:v>135</c:v>
                </c:pt>
                <c:pt idx="125">
                  <c:v>136</c:v>
                </c:pt>
                <c:pt idx="126">
                  <c:v>137</c:v>
                </c:pt>
                <c:pt idx="127">
                  <c:v>138</c:v>
                </c:pt>
                <c:pt idx="128">
                  <c:v>139</c:v>
                </c:pt>
                <c:pt idx="129">
                  <c:v>140</c:v>
                </c:pt>
                <c:pt idx="130">
                  <c:v>141</c:v>
                </c:pt>
                <c:pt idx="131">
                  <c:v>142</c:v>
                </c:pt>
                <c:pt idx="132">
                  <c:v>143</c:v>
                </c:pt>
                <c:pt idx="133">
                  <c:v>144</c:v>
                </c:pt>
                <c:pt idx="134">
                  <c:v>145</c:v>
                </c:pt>
                <c:pt idx="135">
                  <c:v>146</c:v>
                </c:pt>
                <c:pt idx="136">
                  <c:v>147</c:v>
                </c:pt>
                <c:pt idx="137">
                  <c:v>148</c:v>
                </c:pt>
                <c:pt idx="138">
                  <c:v>149</c:v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</c:numCache>
            </c:numRef>
          </c:cat>
          <c:val>
            <c:numRef>
              <c:f>'밸런스 곡선'!$C$15:$C$163</c:f>
              <c:numCache>
                <c:formatCode>General</c:formatCode>
                <c:ptCount val="149"/>
                <c:pt idx="0">
                  <c:v>43.4</c:v>
                </c:pt>
                <c:pt idx="1">
                  <c:v>53.5</c:v>
                </c:pt>
                <c:pt idx="2">
                  <c:v>59.95</c:v>
                </c:pt>
                <c:pt idx="3">
                  <c:v>69</c:v>
                </c:pt>
                <c:pt idx="4">
                  <c:v>78.53</c:v>
                </c:pt>
                <c:pt idx="5">
                  <c:v>88.55</c:v>
                </c:pt>
                <c:pt idx="6">
                  <c:v>104.45</c:v>
                </c:pt>
                <c:pt idx="7">
                  <c:v>130.2</c:v>
                </c:pt>
                <c:pt idx="8">
                  <c:v>158.12</c:v>
                </c:pt>
                <c:pt idx="9">
                  <c:v>181.3</c:v>
                </c:pt>
                <c:pt idx="10">
                  <c:v>195.1</c:v>
                </c:pt>
                <c:pt idx="11">
                  <c:v>205.7</c:v>
                </c:pt>
                <c:pt idx="12">
                  <c:v>220.19</c:v>
                </c:pt>
                <c:pt idx="13">
                  <c:v>238.84</c:v>
                </c:pt>
                <c:pt idx="14">
                  <c:v>265.94</c:v>
                </c:pt>
                <c:pt idx="15">
                  <c:v>277.9</c:v>
                </c:pt>
                <c:pt idx="16">
                  <c:v>294.17</c:v>
                </c:pt>
                <c:pt idx="17">
                  <c:v>306.62</c:v>
                </c:pt>
                <c:pt idx="18">
                  <c:v>323.52</c:v>
                </c:pt>
                <c:pt idx="19">
                  <c:v>336.43</c:v>
                </c:pt>
                <c:pt idx="20">
                  <c:v>353.95</c:v>
                </c:pt>
                <c:pt idx="21">
                  <c:v>390.04</c:v>
                </c:pt>
                <c:pt idx="22">
                  <c:v>403.93</c:v>
                </c:pt>
                <c:pt idx="23">
                  <c:v>427.5</c:v>
                </c:pt>
                <c:pt idx="24">
                  <c:v>451.59</c:v>
                </c:pt>
                <c:pt idx="25">
                  <c:v>481.18</c:v>
                </c:pt>
                <c:pt idx="26">
                  <c:v>496.25</c:v>
                </c:pt>
                <c:pt idx="27">
                  <c:v>516.63</c:v>
                </c:pt>
                <c:pt idx="28">
                  <c:v>558.35</c:v>
                </c:pt>
                <c:pt idx="29">
                  <c:v>585.07</c:v>
                </c:pt>
                <c:pt idx="30">
                  <c:v>628.84</c:v>
                </c:pt>
                <c:pt idx="31">
                  <c:v>662.48</c:v>
                </c:pt>
                <c:pt idx="32">
                  <c:v>691.03</c:v>
                </c:pt>
                <c:pt idx="33">
                  <c:v>708.39</c:v>
                </c:pt>
                <c:pt idx="34">
                  <c:v>737.7</c:v>
                </c:pt>
                <c:pt idx="35">
                  <c:v>767.48</c:v>
                </c:pt>
                <c:pt idx="36">
                  <c:v>803.82</c:v>
                </c:pt>
                <c:pt idx="37">
                  <c:v>840.82</c:v>
                </c:pt>
                <c:pt idx="38">
                  <c:v>897.54</c:v>
                </c:pt>
                <c:pt idx="39">
                  <c:v>929.68</c:v>
                </c:pt>
                <c:pt idx="40">
                  <c:v>962.27</c:v>
                </c:pt>
                <c:pt idx="41">
                  <c:v>1001.95</c:v>
                </c:pt>
                <c:pt idx="42">
                  <c:v>1028.75</c:v>
                </c:pt>
                <c:pt idx="43">
                  <c:v>1049.04</c:v>
                </c:pt>
                <c:pt idx="44">
                  <c:v>1076.33</c:v>
                </c:pt>
                <c:pt idx="45">
                  <c:v>1117.78</c:v>
                </c:pt>
                <c:pt idx="46">
                  <c:v>1159.84</c:v>
                </c:pt>
                <c:pt idx="47">
                  <c:v>1216.88</c:v>
                </c:pt>
                <c:pt idx="48">
                  <c:v>1274.99</c:v>
                </c:pt>
                <c:pt idx="49">
                  <c:v>1341.63</c:v>
                </c:pt>
                <c:pt idx="50">
                  <c:v>1409.6</c:v>
                </c:pt>
                <c:pt idx="51">
                  <c:v>1471.12</c:v>
                </c:pt>
                <c:pt idx="52">
                  <c:v>1549.47</c:v>
                </c:pt>
                <c:pt idx="53">
                  <c:v>1597.25</c:v>
                </c:pt>
                <c:pt idx="54">
                  <c:v>1645.6</c:v>
                </c:pt>
                <c:pt idx="55">
                  <c:v>1702.72</c:v>
                </c:pt>
                <c:pt idx="56">
                  <c:v>1743.99</c:v>
                </c:pt>
                <c:pt idx="57">
                  <c:v>1794.02</c:v>
                </c:pt>
                <c:pt idx="58">
                  <c:v>1844.62</c:v>
                </c:pt>
                <c:pt idx="59">
                  <c:v>1887.2</c:v>
                </c:pt>
                <c:pt idx="60">
                  <c:v>1930.16</c:v>
                </c:pt>
                <c:pt idx="61">
                  <c:v>1973.5</c:v>
                </c:pt>
                <c:pt idx="62">
                  <c:v>2034.82</c:v>
                </c:pt>
                <c:pt idx="63">
                  <c:v>2096.87</c:v>
                </c:pt>
                <c:pt idx="64">
                  <c:v>2168.69</c:v>
                </c:pt>
                <c:pt idx="65">
                  <c:v>2250.61</c:v>
                </c:pt>
                <c:pt idx="66">
                  <c:v>2296.64</c:v>
                </c:pt>
                <c:pt idx="67">
                  <c:v>2352.36</c:v>
                </c:pt>
                <c:pt idx="68">
                  <c:v>2418.03</c:v>
                </c:pt>
                <c:pt idx="69">
                  <c:v>2503.5</c:v>
                </c:pt>
                <c:pt idx="70">
                  <c:v>2580.46</c:v>
                </c:pt>
                <c:pt idx="71">
                  <c:v>2668.13</c:v>
                </c:pt>
                <c:pt idx="72">
                  <c:v>2756.94</c:v>
                </c:pt>
                <c:pt idx="73">
                  <c:v>2856.97</c:v>
                </c:pt>
                <c:pt idx="74">
                  <c:v>2927.82</c:v>
                </c:pt>
                <c:pt idx="75">
                  <c:v>2968.61</c:v>
                </c:pt>
                <c:pt idx="76">
                  <c:v>3009.63</c:v>
                </c:pt>
                <c:pt idx="77">
                  <c:v>3092.32</c:v>
                </c:pt>
                <c:pt idx="78">
                  <c:v>3196.92</c:v>
                </c:pt>
                <c:pt idx="79">
                  <c:v>3302.89</c:v>
                </c:pt>
                <c:pt idx="80">
                  <c:v>3377.88</c:v>
                </c:pt>
                <c:pt idx="81">
                  <c:v>3486.15</c:v>
                </c:pt>
                <c:pt idx="82">
                  <c:v>3606.8</c:v>
                </c:pt>
                <c:pt idx="83">
                  <c:v>3651.07</c:v>
                </c:pt>
                <c:pt idx="84">
                  <c:v>3706.7</c:v>
                </c:pt>
                <c:pt idx="85">
                  <c:v>3751.45</c:v>
                </c:pt>
                <c:pt idx="86">
                  <c:v>3796.41</c:v>
                </c:pt>
                <c:pt idx="87">
                  <c:v>3841.58</c:v>
                </c:pt>
                <c:pt idx="88">
                  <c:v>3909.73</c:v>
                </c:pt>
                <c:pt idx="89">
                  <c:v>3978.35</c:v>
                </c:pt>
                <c:pt idx="90">
                  <c:v>4082.17</c:v>
                </c:pt>
                <c:pt idx="91">
                  <c:v>4163.63</c:v>
                </c:pt>
                <c:pt idx="92">
                  <c:v>4281.12</c:v>
                </c:pt>
                <c:pt idx="93">
                  <c:v>4364.12</c:v>
                </c:pt>
                <c:pt idx="94">
                  <c:v>4459.74</c:v>
                </c:pt>
                <c:pt idx="95">
                  <c:v>4544.08</c:v>
                </c:pt>
                <c:pt idx="96">
                  <c:v>4629.05</c:v>
                </c:pt>
                <c:pt idx="97">
                  <c:v>4739.19</c:v>
                </c:pt>
                <c:pt idx="98">
                  <c:v>4862.77</c:v>
                </c:pt>
                <c:pt idx="99">
                  <c:v>4962.53</c:v>
                </c:pt>
                <c:pt idx="100">
                  <c:v>5088.35</c:v>
                </c:pt>
                <c:pt idx="101">
                  <c:v>5202.65</c:v>
                </c:pt>
                <c:pt idx="102">
                  <c:v>5292.24</c:v>
                </c:pt>
                <c:pt idx="103">
                  <c:v>5382.43</c:v>
                </c:pt>
                <c:pt idx="104">
                  <c:v>5486.24</c:v>
                </c:pt>
                <c:pt idx="105">
                  <c:v>5577.71</c:v>
                </c:pt>
                <c:pt idx="106">
                  <c:v>5656.59</c:v>
                </c:pt>
                <c:pt idx="107">
                  <c:v>5775.73</c:v>
                </c:pt>
                <c:pt idx="108">
                  <c:v>5895.84</c:v>
                </c:pt>
                <c:pt idx="109">
                  <c:v>6071.04</c:v>
                </c:pt>
                <c:pt idx="110">
                  <c:v>6248.26</c:v>
                </c:pt>
                <c:pt idx="111">
                  <c:v>6427.49</c:v>
                </c:pt>
                <c:pt idx="112">
                  <c:v>6622.73</c:v>
                </c:pt>
                <c:pt idx="113">
                  <c:v>6834.45</c:v>
                </c:pt>
                <c:pt idx="114">
                  <c:v>7005.72</c:v>
                </c:pt>
                <c:pt idx="115">
                  <c:v>7091.98</c:v>
                </c:pt>
                <c:pt idx="116">
                  <c:v>7193.14</c:v>
                </c:pt>
                <c:pt idx="117">
                  <c:v>7338.63</c:v>
                </c:pt>
                <c:pt idx="118">
                  <c:v>7411.8</c:v>
                </c:pt>
                <c:pt idx="119">
                  <c:v>7485.27</c:v>
                </c:pt>
                <c:pt idx="120">
                  <c:v>7559.01</c:v>
                </c:pt>
                <c:pt idx="121">
                  <c:v>7692.47</c:v>
                </c:pt>
                <c:pt idx="122">
                  <c:v>7856.84</c:v>
                </c:pt>
                <c:pt idx="123">
                  <c:v>7992.33</c:v>
                </c:pt>
                <c:pt idx="124">
                  <c:v>8098.35</c:v>
                </c:pt>
                <c:pt idx="125">
                  <c:v>8281.37</c:v>
                </c:pt>
                <c:pt idx="126">
                  <c:v>8450.55</c:v>
                </c:pt>
                <c:pt idx="127">
                  <c:v>8667.81</c:v>
                </c:pt>
                <c:pt idx="128">
                  <c:v>8840.04</c:v>
                </c:pt>
                <c:pt idx="129">
                  <c:v>8934.54</c:v>
                </c:pt>
                <c:pt idx="130">
                  <c:v>9029.44</c:v>
                </c:pt>
                <c:pt idx="131">
                  <c:v>9124.74</c:v>
                </c:pt>
                <c:pt idx="132">
                  <c:v>9268.42</c:v>
                </c:pt>
                <c:pt idx="133">
                  <c:v>9461.36</c:v>
                </c:pt>
                <c:pt idx="134">
                  <c:v>9639.6</c:v>
                </c:pt>
                <c:pt idx="135">
                  <c:v>9737.38</c:v>
                </c:pt>
                <c:pt idx="136">
                  <c:v>9835.54</c:v>
                </c:pt>
                <c:pt idx="137">
                  <c:v>9917.63</c:v>
                </c:pt>
                <c:pt idx="138">
                  <c:v>10000</c:v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</c:numCache>
            </c:numRef>
          </c:val>
          <c:smooth val="0"/>
        </c:ser>
        <c:dLbls>
          <c:delete val="0"/>
          <c:dLblPos val="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rot="0" vert="horz" wrap="none" lIns="0" tIns="0" rIns="0" bIns="0" anchor="ctr" anchorCtr="1"/>
              <a:p>
                <a:pPr algn="l">
                  <a:defRPr b="0" i="0" u="none"/>
                </a:pPr>
                <a:r>
                  <a:rPr b="0" i="0" u="none"/>
                  <a:t>콘텐츠 제시 순서</a:t>
                </a:r>
                <a:endParaRPr/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vert="vert270" wrap="none" lIns="0" tIns="0" rIns="0" bIns="0" anchor="ctr" anchorCtr="1"/>
              <a:p>
                <a:pPr algn="l">
                  <a:defRPr b="0" i="0" u="none"/>
                </a:pPr>
                <a:r>
                  <a:rPr b="0" i="0" u="none"/>
                  <a:t>기획 목표값</a:t>
                </a:r>
                <a:endParaRPr/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b"/>
      <c:layout/>
      <c:overlay val="0"/>
    </c:legend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fLocksText="1" fPublished="0">
      <xdr:nvSpPr>
        <xdr:cNvPr id="2" name="밸런스팩터_01"/>
        <xdr:cNvSpPr>
          <a:spLocks noGrp="1" noRot="1"/>
        </xdr:cNvSpPr>
      </xdr:nvSpPr>
      <xdr:spPr>
        <a:xfrm>
          <a:off x="13716000" y="9601200"/>
          <a:ext cx="5334000" cy="5334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퀘스트 동선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레벨디자인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650" b="1">
              <a:solidFill>
                <a:srgbClr val="000000"/>
              </a:solidFill>
              <a:latin typeface="Carlito"/>
              <a:ea typeface="Carlito"/>
            </a:rPr>
            <a:t>오브젝트 배치</a:t>
          </a:r>
        </a:p>
      </xdr:txBody>
    </xdr:sp>
    <xdr:clientData fLocksWithSheet="1" fPrintsWithSheet="1"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fLocksText="1" fPublished="0">
      <xdr:nvSpPr>
        <xdr:cNvPr id="3" name="밸런스팩터_02"/>
        <xdr:cNvSpPr>
          <a:spLocks noGrp="1" noRot="1"/>
        </xdr:cNvSpPr>
      </xdr:nvSpPr>
      <xdr:spPr>
        <a:xfrm>
          <a:off x="9982200" y="132969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공원 쓰레기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개수·배치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분리수거 규칙</a:t>
          </a:r>
        </a:p>
      </xdr:txBody>
    </xdr:sp>
    <xdr:clientData fLocksWithSheet="1" fPrintsWithSheet="1"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fLocksText="1" fPublished="0">
      <xdr:nvSpPr>
        <xdr:cNvPr id="4" name="밸런스팩터_03"/>
        <xdr:cNvSpPr>
          <a:spLocks noGrp="1" noRot="1"/>
        </xdr:cNvSpPr>
      </xdr:nvSpPr>
      <xdr:spPr>
        <a:xfrm>
          <a:off x="19545300" y="101727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선의 감소량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자아 마모도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회복 수단</a:t>
          </a:r>
        </a:p>
      </xdr:txBody>
    </xdr:sp>
    <xdr:clientData fLocksWithSheet="1" fPrintsWithSheet="1"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fLocksText="1" fPublished="0">
      <xdr:nvSpPr>
        <xdr:cNvPr id="5" name="밸런스팩터_04"/>
        <xdr:cNvSpPr>
          <a:spLocks noGrp="1" noRot="1"/>
        </xdr:cNvSpPr>
      </xdr:nvSpPr>
      <xdr:spPr>
        <a:xfrm>
          <a:off x="18802350" y="5638800"/>
          <a:ext cx="4095750" cy="4095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몬스터 개수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배치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공격 판정</a:t>
          </a:r>
        </a:p>
      </xdr:txBody>
    </xdr:sp>
    <xdr:clientData fLocksWithSheet="1" fPrintsWithSheet="1"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fLocksText="1" fPublished="0">
      <xdr:nvSpPr>
        <xdr:cNvPr id="6" name="밸런스팩터_05"/>
        <xdr:cNvSpPr>
          <a:spLocks noGrp="1" noRot="1"/>
        </xdr:cNvSpPr>
      </xdr:nvSpPr>
      <xdr:spPr>
        <a:xfrm>
          <a:off x="8953500" y="9048750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이벤트 템포</a:t>
          </a:r>
        </a:p>
      </xdr:txBody>
    </xdr:sp>
    <xdr:clientData fLocksWithSheet="1" fPrintsWithSheet="1"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fLocksText="1" fPublished="0">
      <xdr:nvSpPr>
        <xdr:cNvPr id="7" name="밸런스팩터_06"/>
        <xdr:cNvSpPr>
          <a:spLocks noGrp="1" noRot="1"/>
        </xdr:cNvSpPr>
      </xdr:nvSpPr>
      <xdr:spPr>
        <a:xfrm>
          <a:off x="15773400" y="3657600"/>
          <a:ext cx="2857500" cy="2857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PC 이동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 fLocksWithSheet="1" fPrintsWithSheet="1"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fLocksText="1" fPublished="0">
      <xdr:nvSpPr>
        <xdr:cNvPr id="8" name="밸런스팩터_07"/>
        <xdr:cNvSpPr>
          <a:spLocks noGrp="1" noRot="1"/>
        </xdr:cNvSpPr>
      </xdr:nvSpPr>
      <xdr:spPr>
        <a:xfrm>
          <a:off x="20993100" y="293370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달리기 속도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지속시간</a:t>
          </a:r>
        </a:p>
      </xdr:txBody>
    </xdr:sp>
    <xdr:clientData fLocksWithSheet="1" fPrintsWithSheet="1"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fLocksText="1" fPublished="0">
      <xdr:nvSpPr>
        <xdr:cNvPr id="9" name="밸런스팩터_08"/>
        <xdr:cNvSpPr>
          <a:spLocks noGrp="1" noRot="1"/>
        </xdr:cNvSpPr>
      </xdr:nvSpPr>
      <xdr:spPr>
        <a:xfrm>
          <a:off x="24726902" y="3057525"/>
          <a:ext cx="2762250" cy="2771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맵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425" b="1">
              <a:solidFill>
                <a:srgbClr val="000000"/>
              </a:solidFill>
              <a:latin typeface="Carlito"/>
              <a:ea typeface="Carlito"/>
            </a:rPr>
            <a:t>크기</a:t>
          </a:r>
        </a:p>
      </xdr:txBody>
    </xdr:sp>
    <xdr:clientData fLocksWithSheet="1" fPrintsWithSheet="1"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fLocksText="1" fPublished="0">
      <xdr:nvSpPr>
        <xdr:cNvPr id="10" name="밸런스팩터_09"/>
        <xdr:cNvSpPr>
          <a:spLocks noGrp="1" noRot="1"/>
        </xdr:cNvSpPr>
      </xdr:nvSpPr>
      <xdr:spPr>
        <a:xfrm>
          <a:off x="7962900" y="1685925"/>
          <a:ext cx="2667000" cy="267652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카메라 시야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가시성</a:t>
          </a:r>
        </a:p>
      </xdr:txBody>
    </xdr:sp>
    <xdr:clientData fLocksWithSheet="1" fPrintsWithSheet="1"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fLocksText="1" fPublished="0">
      <xdr:nvSpPr>
        <xdr:cNvPr id="11" name="밸런스팩터_10"/>
        <xdr:cNvSpPr>
          <a:spLocks noGrp="1" noRot="1"/>
        </xdr:cNvSpPr>
      </xdr:nvSpPr>
      <xdr:spPr>
        <a:xfrm>
          <a:off x="6172200" y="83058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트리거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350" b="1">
              <a:solidFill>
                <a:srgbClr val="000000"/>
              </a:solidFill>
              <a:latin typeface="Carlito"/>
              <a:ea typeface="Carlito"/>
            </a:rPr>
            <a:t>위치</a:t>
          </a:r>
        </a:p>
      </xdr:txBody>
    </xdr:sp>
    <xdr:clientData fLocksWithSheet="1" fPrintsWithSheet="1"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fLocksText="1" fPublished="0">
      <xdr:nvSpPr>
        <xdr:cNvPr id="12" name="밸런스팩터_11"/>
        <xdr:cNvSpPr>
          <a:spLocks noGrp="1" noRot="1"/>
        </xdr:cNvSpPr>
      </xdr:nvSpPr>
      <xdr:spPr>
        <a:xfrm>
          <a:off x="6858000" y="12172949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상호작용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범위</a:t>
          </a:r>
        </a:p>
      </xdr:txBody>
    </xdr:sp>
    <xdr:clientData fLocksWithSheet="1" fPrintsWithSheet="1"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fLocksText="1" fPublished="0">
      <xdr:nvSpPr>
        <xdr:cNvPr id="13" name="밸런스팩터_12"/>
        <xdr:cNvSpPr>
          <a:spLocks noGrp="1" noRot="1"/>
        </xdr:cNvSpPr>
      </xdr:nvSpPr>
      <xdr:spPr>
        <a:xfrm>
          <a:off x="10972800" y="27432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목표 표시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 fLocksWithSheet="1" fPrintsWithSheet="1"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fLocksText="1" fPublished="0">
      <xdr:nvSpPr>
        <xdr:cNvPr id="14" name="밸런스팩터_13"/>
        <xdr:cNvSpPr>
          <a:spLocks noGrp="1" noRot="1"/>
        </xdr:cNvSpPr>
      </xdr:nvSpPr>
      <xdr:spPr>
        <a:xfrm>
          <a:off x="8686800" y="622935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밀도</a:t>
          </a:r>
        </a:p>
      </xdr:txBody>
    </xdr:sp>
    <xdr:clientData fLocksWithSheet="1" fPrintsWithSheet="1"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fLocksText="1" fPublished="0">
      <xdr:nvSpPr>
        <xdr:cNvPr id="15" name="밸런스팩터_14"/>
        <xdr:cNvSpPr>
          <a:spLocks noGrp="1" noRot="1"/>
        </xdr:cNvSpPr>
      </xdr:nvSpPr>
      <xdr:spPr>
        <a:xfrm>
          <a:off x="7734300" y="16154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미니게임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제한 시간</a:t>
          </a:r>
        </a:p>
      </xdr:txBody>
    </xdr:sp>
    <xdr:clientData fLocksWithSheet="1" fPrintsWithSheet="1"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fLocksText="1" fPublished="0">
      <xdr:nvSpPr>
        <xdr:cNvPr id="16" name="밸런스팩터_15"/>
        <xdr:cNvSpPr>
          <a:spLocks noGrp="1" noRot="1"/>
        </xdr:cNvSpPr>
      </xdr:nvSpPr>
      <xdr:spPr>
        <a:xfrm>
          <a:off x="14649451" y="152400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미션 실패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패널티</a:t>
          </a:r>
        </a:p>
      </xdr:txBody>
    </xdr:sp>
    <xdr:clientData fLocksWithSheet="1" fPrintsWithSheet="1"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fLocksText="1" fPublished="0">
      <xdr:nvSpPr>
        <xdr:cNvPr id="17" name="밸런스팩터_16"/>
        <xdr:cNvSpPr>
          <a:spLocks noGrp="1" noRot="1"/>
        </xdr:cNvSpPr>
      </xdr:nvSpPr>
      <xdr:spPr>
        <a:xfrm>
          <a:off x="15982949" y="701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칭찬·보상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빈도</a:t>
          </a:r>
        </a:p>
      </xdr:txBody>
    </xdr:sp>
    <xdr:clientData fLocksWithSheet="1" fPrintsWithSheet="1"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fLocksText="1" fPublished="0">
      <xdr:nvSpPr>
        <xdr:cNvPr id="18" name="밸런스팩터_17"/>
        <xdr:cNvSpPr>
          <a:spLocks noGrp="1" noRot="1"/>
        </xdr:cNvSpPr>
      </xdr:nvSpPr>
      <xdr:spPr>
        <a:xfrm>
          <a:off x="13868400" y="18288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체크포인트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간격</a:t>
          </a:r>
        </a:p>
      </xdr:txBody>
    </xdr:sp>
    <xdr:clientData fLocksWithSheet="1" fPrintsWithSheet="1"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fLocksText="1" fPublished="0">
      <xdr:nvSpPr>
        <xdr:cNvPr id="19" name="밸런스팩터_18"/>
        <xdr:cNvSpPr>
          <a:spLocks noGrp="1" noRot="1"/>
        </xdr:cNvSpPr>
      </xdr:nvSpPr>
      <xdr:spPr>
        <a:xfrm>
          <a:off x="17830800" y="1844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선택지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영향도</a:t>
          </a:r>
        </a:p>
      </xdr:txBody>
    </xdr:sp>
    <xdr:clientData fLocksWithSheet="1" fPrintsWithSheet="1"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fLocksText="1" fPublished="0">
      <xdr:nvSpPr>
        <xdr:cNvPr id="20" name="밸런스팩터_19"/>
        <xdr:cNvSpPr>
          <a:spLocks noGrp="1" noRot="1"/>
        </xdr:cNvSpPr>
      </xdr:nvSpPr>
      <xdr:spPr>
        <a:xfrm>
          <a:off x="23355302" y="615315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보스 패턴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속도</a:t>
          </a:r>
        </a:p>
      </xdr:txBody>
    </xdr:sp>
    <xdr:clientData fLocksWithSheet="1" fPrintsWithSheet="1"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fLocksText="1" fPublished="0">
      <xdr:nvSpPr>
        <xdr:cNvPr id="21" name="밸런스팩터_20"/>
        <xdr:cNvSpPr>
          <a:spLocks noGrp="1" noRot="1"/>
        </xdr:cNvSpPr>
      </xdr:nvSpPr>
      <xdr:spPr>
        <a:xfrm>
          <a:off x="9963150" y="177927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퍼즐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200" b="1">
              <a:solidFill>
                <a:srgbClr val="000000"/>
              </a:solidFill>
              <a:latin typeface="Carlito"/>
              <a:ea typeface="Carlito"/>
            </a:rPr>
            <a:t>힌트량</a:t>
          </a:r>
        </a:p>
      </xdr:txBody>
    </xdr:sp>
    <xdr:clientData fLocksWithSheet="1" fPrintsWithSheet="1"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fLocksText="1" fPublished="0">
      <xdr:nvSpPr>
        <xdr:cNvPr id="22" name="밸런스팩터_21"/>
        <xdr:cNvSpPr>
          <a:spLocks noGrp="1" noRot="1"/>
        </xdr:cNvSpPr>
      </xdr:nvSpPr>
      <xdr:spPr>
        <a:xfrm>
          <a:off x="23850600" y="91059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균열 발생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125" b="1">
              <a:solidFill>
                <a:srgbClr val="000000"/>
              </a:solidFill>
              <a:latin typeface="Carlito"/>
              <a:ea typeface="Carlito"/>
            </a:rPr>
            <a:t>타이밍</a:t>
          </a:r>
        </a:p>
      </xdr:txBody>
    </xdr:sp>
    <xdr:clientData fLocksWithSheet="1" fPrintsWithSheet="1"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fLocksText="1" fPublished="0">
      <xdr:nvSpPr>
        <xdr:cNvPr id="23" name="밸런스팩터_22"/>
        <xdr:cNvSpPr>
          <a:spLocks noGrp="1" noRot="1"/>
        </xdr:cNvSpPr>
      </xdr:nvSpPr>
      <xdr:spPr>
        <a:xfrm>
          <a:off x="3638550" y="4429125"/>
          <a:ext cx="2381250" cy="2390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회색 후드 NPC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975" b="1">
              <a:solidFill>
                <a:srgbClr val="000000"/>
              </a:solidFill>
              <a:latin typeface="Carlito"/>
              <a:ea typeface="Carlito"/>
            </a:rPr>
            <a:t>구분 난도</a:t>
          </a:r>
        </a:p>
      </xdr:txBody>
    </xdr:sp>
    <xdr:clientData fLocksWithSheet="1" fPrintsWithSheet="1"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fLocksText="1" fPublished="0">
      <xdr:nvSpPr>
        <xdr:cNvPr id="24" name="밸런스팩터_23"/>
        <xdr:cNvSpPr>
          <a:spLocks noGrp="1" noRot="1"/>
        </xdr:cNvSpPr>
      </xdr:nvSpPr>
      <xdr:spPr>
        <a:xfrm>
          <a:off x="3790950" y="101346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편의점 재고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연출 타이밍</a:t>
          </a:r>
        </a:p>
      </xdr:txBody>
    </xdr:sp>
    <xdr:clientData fLocksWithSheet="1" fPrintsWithSheet="1"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fLocksText="1" fPublished="0">
      <xdr:nvSpPr>
        <xdr:cNvPr id="25" name="밸런스팩터_24"/>
        <xdr:cNvSpPr>
          <a:spLocks noGrp="1" noRot="1"/>
        </xdr:cNvSpPr>
      </xdr:nvSpPr>
      <xdr:spPr>
        <a:xfrm>
          <a:off x="3467100" y="73533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물류 트럭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이동 속도</a:t>
          </a:r>
        </a:p>
      </xdr:txBody>
    </xdr:sp>
    <xdr:clientData fLocksWithSheet="1" fPrintsWithSheet="1"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fLocksText="1" fPublished="0">
      <xdr:nvSpPr>
        <xdr:cNvPr id="26" name="밸런스팩터_25"/>
        <xdr:cNvSpPr>
          <a:spLocks noGrp="1" noRot="1"/>
        </xdr:cNvSpPr>
      </xdr:nvSpPr>
      <xdr:spPr>
        <a:xfrm>
          <a:off x="6629400" y="4476750"/>
          <a:ext cx="2286000" cy="2286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오픈런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경쟁</a:t>
          </a:r>
        </a:p>
      </xdr:txBody>
    </xdr:sp>
    <xdr:clientData fLocksWithSheet="1" fPrintsWithSheet="1"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fLocksText="1" fPublished="0">
      <xdr:nvSpPr>
        <xdr:cNvPr id="27" name="밸런스팩터_26"/>
        <xdr:cNvSpPr>
          <a:spLocks noGrp="1" noRot="1"/>
        </xdr:cNvSpPr>
      </xdr:nvSpPr>
      <xdr:spPr>
        <a:xfrm>
          <a:off x="16573500" y="99060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사운드·시각</a:t>
          </a:r>
        </a:p>
        <a:p>
          <a:pPr algn="ctr" eaLnBrk="0" latinLnBrk="0">
            <a:lnSpc>
              <a:spcPct val="100000"/>
            </a:lnSpc>
          </a:pPr>
          <a:r>
            <a:rPr lang="ko-KR" altLang="en-US" sz="1050" b="1">
              <a:solidFill>
                <a:srgbClr val="000000"/>
              </a:solidFill>
              <a:latin typeface="Carlito"/>
              <a:ea typeface="Carlito"/>
            </a:rPr>
            <a:t>경고 강도</a:t>
          </a:r>
        </a:p>
      </xdr:txBody>
    </xdr:sp>
    <xdr:clientData fLocksWithSheet="1" fPrintsWithSheet="1"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fLocksText="1" fPublished="0">
      <xdr:nvSpPr>
        <xdr:cNvPr id="28" name="밸런스팩터_05"/>
        <xdr:cNvSpPr>
          <a:spLocks noGrp="1" noRot="1"/>
        </xdr:cNvSpPr>
      </xdr:nvSpPr>
      <xdr:spPr>
        <a:xfrm>
          <a:off x="17430750" y="14230349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대화 길이</a:t>
          </a:r>
        </a:p>
      </xdr:txBody>
    </xdr:sp>
    <xdr:clientData fLocksWithSheet="1" fPrintsWithSheet="1"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fLocksText="1" fPublished="0">
      <xdr:nvSpPr>
        <xdr:cNvPr id="29" name="밸런스팩터_05"/>
        <xdr:cNvSpPr>
          <a:spLocks noGrp="1" noRot="1"/>
        </xdr:cNvSpPr>
      </xdr:nvSpPr>
      <xdr:spPr>
        <a:xfrm>
          <a:off x="11849100" y="5619750"/>
          <a:ext cx="3895725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vertOverflow="overflow" horzOverflow="overflow" wrap="square" lIns="76200" tIns="57150" rIns="76200" bIns="57150" anchor="ctr"/>
        <a:p>
          <a:pPr algn="ctr" eaLnBrk="0" latinLnBrk="0">
            <a:lnSpc>
              <a:spcPct val="100000"/>
            </a:lnSpc>
          </a:pPr>
          <a:r>
            <a:rPr lang="ko-KR" altLang="en-US" sz="1275" b="1">
              <a:solidFill>
                <a:srgbClr val="000000"/>
              </a:solidFill>
              <a:latin typeface="Carlito"/>
              <a:ea typeface="Carlito"/>
            </a:rPr>
            <a:t>연출 밀도</a:t>
          </a:r>
        </a:p>
      </xdr:txBody>
    </xdr:sp>
    <xdr:clientData fLocksWithSheet="1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6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fPublished="0">
      <xdr:nvGraphicFramePr>
        <xdr:cNvPr id="2" name="Chart"/>
        <xdr:cNvGraphicFramePr/>
      </xdr:nvGraphicFramePr>
      <xdr:xfrm>
        <a:off x="16678275" y="1847850"/>
        <a:ext cx="17840326" cy="8334374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D153"/>
  <x:sheetViews>
    <x:sheetView tabSelected="1" topLeftCell="J1" zoomScale="60" zoomScaleNormal="75" zoomScaleSheetLayoutView="60" workbookViewId="0">
      <x:selection activeCell="T7" activeCellId="0" sqref="T7:T7"/>
    </x:sheetView>
  </x:sheetViews>
  <x:sheetFormatPr defaultColWidth="9" defaultRowHeight="13.19999999999999928946"/>
  <x:cols>
    <x:col min="1" max="1" width="13.875" style="39" customWidth="1"/>
    <x:col min="2" max="2" width="14.125" style="39" customWidth="1"/>
    <x:col min="3" max="3" width="13.125" style="39" customWidth="1"/>
    <x:col min="4" max="4" width="13.375" style="39" customWidth="1"/>
    <x:col min="5" max="5" width="42.625" style="39" customWidth="1"/>
    <x:col min="6" max="6" width="47.625" style="39" customWidth="1"/>
    <x:col min="7" max="7" width="47.5" style="39" customWidth="1"/>
    <x:col min="8" max="8" width="36.875" style="39" customWidth="1"/>
    <x:col min="9" max="9" width="11.875" style="39" customWidth="1"/>
    <x:col min="10" max="10" width="25" style="39" customWidth="1"/>
    <x:col min="11" max="11" width="39.625" style="39" customWidth="1"/>
    <x:col min="12" max="12" width="18.625" style="39" customWidth="1"/>
    <x:col min="13" max="13" width="27.75" style="39" customWidth="1"/>
    <x:col min="14" max="14" width="18.75" style="39" customWidth="1"/>
    <x:col min="15" max="15" width="18.875" style="39" customWidth="1"/>
    <x:col min="16" max="16" width="19.75" style="39" customWidth="1"/>
    <x:col min="17" max="17" width="18.875" style="39" customWidth="1"/>
    <x:col min="18" max="18" width="22" style="39" customWidth="1"/>
    <x:col min="19" max="19" width="18" style="44" customWidth="1"/>
    <x:col min="20" max="20" width="16" style="44" customWidth="1"/>
    <x:col min="21" max="21" width="16" style="45" customWidth="1"/>
    <x:col min="22" max="22" width="17.5" style="45" customWidth="1"/>
    <x:col min="23" max="23" width="15" style="39" customWidth="1"/>
    <x:col min="24" max="25" width="15" style="40" customWidth="1"/>
    <x:col min="26" max="26" width="16.5" style="39" customWidth="1"/>
    <x:col min="27" max="27" width="10.875" style="39" customWidth="1"/>
    <x:col min="28" max="29" width="22.75" style="39" customWidth="1"/>
    <x:col min="30" max="30" width="18.875" style="39" customWidth="1"/>
    <x:col min="31" max="16384" width="9" style="39"/>
  </x:cols>
  <x:sheetData>
    <x:row r="1" spans="17:18">
      <x:c r="Q1" s="39" t="s">
        <x:v>799</x:v>
      </x:c>
      <x:c r="R1" s="39" t="s">
        <x:v>796</x:v>
      </x:c>
    </x:row>
    <x:row r="2" spans="13:18">
      <x:c r="M2" s="41" t="s">
        <x:v>500</x:v>
      </x:c>
      <x:c r="Q2" s="42">
        <x:v>0.98499999999999999</x:v>
      </x:c>
      <x:c r="R2" s="42">
        <x:v>15</x:v>
      </x:c>
    </x:row>
    <x:row r="3" spans="17:25">
      <x:c r="Q3" s="42">
        <x:f>Q2/100</x:f>
        <x:v>0.0098499999999999999</x:v>
      </x:c>
      <x:c r="R3" s="42">
        <x:f>R2/100</x:f>
        <x:v>0.14999999999999999</x:v>
      </x:c>
      <x:c r="S3" s="46"/>
      <x:c r="T3" s="46"/>
      <x:c r="U3" s="46"/>
      <x:c r="V3" s="46"/>
      <x:c r="W3" s="46"/>
      <x:c r="X3" s="46"/>
      <x:c r="Y3" s="46"/>
    </x:row>
    <x:row r="4" spans="1:30" ht="26.35000000000000142109">
      <x:c r="A4" s="47" t="s">
        <x:v>789</x:v>
      </x:c>
      <x:c r="B4" s="48" t="s">
        <x:v>856</x:v>
      </x:c>
      <x:c r="C4" s="48" t="s">
        <x:v>469</x:v>
      </x:c>
      <x:c r="D4" s="48" t="s">
        <x:v>468</x:v>
      </x:c>
      <x:c r="E4" s="48" t="s">
        <x:v>505</x:v>
      </x:c>
      <x:c r="F4" s="48" t="s">
        <x:v>509</x:v>
      </x:c>
      <x:c r="G4" s="48" t="s">
        <x:v>481</x:v>
      </x:c>
      <x:c r="H4" s="48" t="s">
        <x:v>470</x:v>
      </x:c>
      <x:c r="I4" s="48" t="s">
        <x:v>471</x:v>
      </x:c>
      <x:c r="J4" s="48" t="s">
        <x:v>854</x:v>
      </x:c>
      <x:c r="K4" s="48" t="s">
        <x:v>483</x:v>
      </x:c>
      <x:c r="L4" s="48" t="s">
        <x:v>846</x:v>
      </x:c>
      <x:c r="M4" s="48" t="s">
        <x:v>863</x:v>
      </x:c>
      <x:c r="N4" s="49" t="s">
        <x:v>849</x:v>
      </x:c>
      <x:c r="O4" s="49" t="s">
        <x:v>460</x:v>
      </x:c>
      <x:c r="P4" s="49" t="s">
        <x:v>144</x:v>
      </x:c>
      <x:c r="Q4" s="49" t="s">
        <x:v>146</x:v>
      </x:c>
      <x:c r="R4" s="49" t="s">
        <x:v>166</x:v>
      </x:c>
      <x:c r="S4" s="60" t="s">
        <x:v>1027</x:v>
      </x:c>
      <x:c r="T4" s="49" t="s">
        <x:v>238</x:v>
      </x:c>
      <x:c r="U4" s="49" t="s">
        <x:v>255</x:v>
      </x:c>
      <x:c r="V4" s="49" t="s">
        <x:v>765</x:v>
      </x:c>
      <x:c r="W4" s="49" t="s">
        <x:v>631</x:v>
      </x:c>
      <x:c r="X4" s="49" t="s">
        <x:v>467</x:v>
      </x:c>
      <x:c r="Y4" s="49" t="s">
        <x:v>498</x:v>
      </x:c>
      <x:c r="Z4" s="49" t="s">
        <x:v>845</x:v>
      </x:c>
      <x:c r="AA4" s="49" t="s">
        <x:v>236</x:v>
      </x:c>
      <x:c r="AB4" s="49" t="s">
        <x:v>976</x:v>
      </x:c>
      <x:c r="AC4" s="49" t="s">
        <x:v>968</x:v>
      </x:c>
      <x:c r="AD4" s="43"/>
    </x:row>
    <x:row r="5" spans="1:30" ht="50.10000000000000142109" customHeight="1">
      <x:c r="A5" s="50" t="s">
        <x:v>866</x:v>
      </x:c>
      <x:c r="B5" s="51">
        <x:v>1</x:v>
      </x:c>
      <x:c r="C5" s="51">
        <x:v>1</x:v>
      </x:c>
      <x:c r="D5" s="51">
        <x:v>8</x:v>
      </x:c>
      <x:c r="E5" s="50" t="s">
        <x:v>232</x:v>
      </x:c>
      <x:c r="F5" s="50" t="s">
        <x:v>89</x:v>
      </x:c>
      <x:c r="G5" s="50" t="s">
        <x:v>174</x:v>
      </x:c>
      <x:c r="H5" s="50" t="s">
        <x:v>365</x:v>
      </x:c>
      <x:c r="I5" s="51">
        <x:v>1</x:v>
      </x:c>
      <x:c r="J5" s="50" t="s">
        <x:v>162</x:v>
      </x:c>
      <x:c r="K5" s="50" t="s">
        <x:v>792</x:v>
      </x:c>
      <x:c r="L5" s="50" t="s">
        <x:v>501</x:v>
      </x:c>
      <x:c r="M5" s="50" t="s">
        <x:v>104</x:v>
      </x:c>
      <x:c r="N5" s="52">
        <x:v>0.0010416666666666667</x:v>
      </x:c>
      <x:c r="O5" s="50" t="s">
        <x:v>152</x:v>
      </x:c>
      <x:c r="P5" s="51">
        <x:v>5</x:v>
      </x:c>
      <x:c r="Q5" s="53">
        <x:v>5</x:v>
      </x:c>
      <x:c r="R5" s="53">
        <x:v>1.6000000000000001</x:v>
      </x:c>
      <x:c r="S5" s="54" t="s">
        <x:v>502</x:v>
      </x:c>
      <x:c r="T5" s="54" t="s">
        <x:v>798</x:v>
      </x:c>
      <x:c r="U5" s="54" t="s">
        <x:v>798</x:v>
      </x:c>
      <x:c r="V5" s="51" t="s">
        <x:v>798</x:v>
      </x:c>
      <x:c r="W5" s="55">
        <x:v>0.0011458333333333333</x:v>
      </x:c>
      <x:c r="X5" s="55">
        <x:v>0.0010416666666666667</x:v>
      </x:c>
      <x:c r="Y5" s="55">
        <x:v>0.0009895833333333332</x:v>
      </x:c>
      <x:c r="Z5" s="50"/>
      <x:c r="AA5" s="50"/>
      <x:c r="AB5" s="50"/>
      <x:c r="AC5" s="50"/>
      <x:c r="AD5" s="43"/>
    </x:row>
    <x:row r="6" spans="1:30" ht="50.10000000000000142109" customHeight="1">
      <x:c r="A6" s="50" t="s">
        <x:v>866</x:v>
      </x:c>
      <x:c r="B6" s="51">
        <x:v>2</x:v>
      </x:c>
      <x:c r="C6" s="51">
        <x:v>1</x:v>
      </x:c>
      <x:c r="D6" s="51">
        <x:v>3</x:v>
      </x:c>
      <x:c r="E6" s="50" t="s">
        <x:v>485</x:v>
      </x:c>
      <x:c r="F6" s="50" t="s">
        <x:v>559</x:v>
      </x:c>
      <x:c r="G6" s="50" t="s">
        <x:v>951</x:v>
      </x:c>
      <x:c r="H6" s="50" t="s">
        <x:v>133</x:v>
      </x:c>
      <x:c r="I6" s="51">
        <x:v>1</x:v>
      </x:c>
      <x:c r="J6" s="50" t="s">
        <x:v>737</x:v>
      </x:c>
      <x:c r="K6" s="50" t="s">
        <x:v>792</x:v>
      </x:c>
      <x:c r="L6" s="50" t="s">
        <x:v>794</x:v>
      </x:c>
      <x:c r="M6" s="50" t="s">
        <x:v>654</x:v>
      </x:c>
      <x:c r="N6" s="52">
        <x:v>0.0012731481481481483</x:v>
      </x:c>
      <x:c r="O6" s="50" t="s">
        <x:v>152</x:v>
      </x:c>
      <x:c r="P6" s="51">
        <x:v>7</x:v>
      </x:c>
      <x:c r="Q6" s="53">
        <x:v>2</x:v>
      </x:c>
      <x:c r="R6" s="53">
        <x:v>2.7799999999999998</x:v>
      </x:c>
      <x:c r="S6" s="54" t="s">
        <x:v>502</x:v>
      </x:c>
      <x:c r="T6" s="54" t="s">
        <x:v>798</x:v>
      </x:c>
      <x:c r="U6" s="54" t="s">
        <x:v>798</x:v>
      </x:c>
      <x:c r="V6" s="51" t="s">
        <x:v>798</x:v>
      </x:c>
      <x:c r="W6" s="55">
        <x:v>0.00025462962962962966</x:v>
      </x:c>
      <x:c r="X6" s="55">
        <x:v>0.00023148148148148149</x:v>
      </x:c>
      <x:c r="Y6" s="55">
        <x:v>0.0002199074074074074</x:v>
      </x:c>
      <x:c r="Z6" s="50"/>
      <x:c r="AA6" s="50"/>
      <x:c r="AB6" s="50"/>
      <x:c r="AC6" s="50"/>
      <x:c r="AD6" s="43"/>
    </x:row>
    <x:row r="7" spans="1:30" ht="50.10000000000000142109" customHeight="1">
      <x:c r="A7" s="50" t="s">
        <x:v>866</x:v>
      </x:c>
      <x:c r="B7" s="51">
        <x:v>3</x:v>
      </x:c>
      <x:c r="C7" s="51">
        <x:v>1</x:v>
      </x:c>
      <x:c r="D7" s="51">
        <x:v>5</x:v>
      </x:c>
      <x:c r="E7" s="50" t="s">
        <x:v>92</x:v>
      </x:c>
      <x:c r="F7" s="50" t="s">
        <x:v>941</x:v>
      </x:c>
      <x:c r="G7" s="50" t="s">
        <x:v>139</x:v>
      </x:c>
      <x:c r="H7" s="50" t="s">
        <x:v>136</x:v>
      </x:c>
      <x:c r="I7" s="51">
        <x:v>1</x:v>
      </x:c>
      <x:c r="J7" s="50" t="s">
        <x:v>588</x:v>
      </x:c>
      <x:c r="K7" s="50" t="s">
        <x:v>792</x:v>
      </x:c>
      <x:c r="L7" s="50" t="s">
        <x:v>785</x:v>
      </x:c>
      <x:c r="M7" s="50" t="s">
        <x:v>369</x:v>
      </x:c>
      <x:c r="N7" s="52">
        <x:f t="shared" ref="N7:N37" si="0">N6+(IFERROR(VALUE(LEFT(L7,FIND("분",L7)-1))*60,0)+IFERROR(VALUE(TRIM(MID(L7,IFERROR(FIND("분",L7),0)+1,IFERROR(FIND("초",L7),LEN(L7)+1)-IFERROR(FIND("분",L7),0)-1))),0))/86400</x:f>
        <x:v>0.0019675925925925928</x:v>
      </x:c>
      <x:c r="O7" s="50" t="s">
        <x:v>152</x:v>
      </x:c>
      <x:c r="P7" s="51">
        <x:v>10</x:v>
      </x:c>
      <x:c r="Q7" s="53">
        <x:v>3</x:v>
      </x:c>
      <x:c r="R7" s="53">
        <x:v>5.0099999999999998</x:v>
      </x:c>
      <x:c r="S7" s="54" t="s">
        <x:v>502</x:v>
      </x:c>
      <x:c r="T7" s="54" t="s">
        <x:v>798</x:v>
      </x:c>
      <x:c r="U7" s="54" t="s">
        <x:v>798</x:v>
      </x:c>
      <x:c r="V7" s="51" t="s">
        <x:v>798</x:v>
      </x:c>
      <x:c r="W7" s="55">
        <x:v>0.00076388888888888893</x:v>
      </x:c>
      <x:c r="X7" s="55">
        <x:v>0.00069444444444444447</x:v>
      </x:c>
      <x:c r="Y7" s="55">
        <x:v>0.00065972222222222224</x:v>
      </x:c>
      <x:c r="Z7" s="50"/>
      <x:c r="AA7" s="50"/>
      <x:c r="AB7" s="50"/>
      <x:c r="AC7" s="50"/>
      <x:c r="AD7" s="43"/>
    </x:row>
    <x:row r="8" spans="1:30" ht="50.10000000000000142109" customHeight="1">
      <x:c r="A8" s="50" t="s">
        <x:v>866</x:v>
      </x:c>
      <x:c r="B8" s="51">
        <x:v>4</x:v>
      </x:c>
      <x:c r="C8" s="51">
        <x:v>1</x:v>
      </x:c>
      <x:c r="D8" s="51">
        <x:v>3</x:v>
      </x:c>
      <x:c r="E8" s="50" t="s">
        <x:v>857</x:v>
      </x:c>
      <x:c r="F8" s="50" t="s">
        <x:v>427</x:v>
      </x:c>
      <x:c r="G8" s="50" t="s">
        <x:v>408</x:v>
      </x:c>
      <x:c r="H8" s="50" t="s">
        <x:v>1013</x:v>
      </x:c>
      <x:c r="I8" s="51">
        <x:v>4</x:v>
      </x:c>
      <x:c r="J8" s="50" t="s">
        <x:v>937</x:v>
      </x:c>
      <x:c r="K8" s="50" t="s">
        <x:v>792</x:v>
      </x:c>
      <x:c r="L8" s="50" t="s">
        <x:v>786</x:v>
      </x:c>
      <x:c r="M8" s="50" t="s">
        <x:v>634</x:v>
      </x:c>
      <x:c r="N8" s="52">
        <x:f t="shared" si="0"/>
        <x:v>0.0024305555555555556</x:v>
      </x:c>
      <x:c r="O8" s="50" t="s">
        <x:v>152</x:v>
      </x:c>
      <x:c r="P8" s="51">
        <x:v>12</x:v>
      </x:c>
      <x:c r="Q8" s="53">
        <x:v>2</x:v>
      </x:c>
      <x:c r="R8" s="53">
        <x:v>6.7699999999999996</x:v>
      </x:c>
      <x:c r="S8" s="54" t="s">
        <x:v>502</x:v>
      </x:c>
      <x:c r="T8" s="54" t="s">
        <x:v>798</x:v>
      </x:c>
      <x:c r="U8" s="54" t="s">
        <x:v>798</x:v>
      </x:c>
      <x:c r="V8" s="54" t="s">
        <x:v>798</x:v>
      </x:c>
      <x:c r="W8" s="55">
        <x:v>0.00050925925925925932</x:v>
      </x:c>
      <x:c r="X8" s="55">
        <x:v>0.00046296296296296298</x:v>
      </x:c>
      <x:c r="Y8" s="55">
        <x:v>0.00043981481481481481</x:v>
      </x:c>
      <x:c r="Z8" s="50"/>
      <x:c r="AA8" s="50"/>
      <x:c r="AB8" s="50"/>
      <x:c r="AC8" s="50"/>
      <x:c r="AD8" s="43"/>
    </x:row>
    <x:row r="9" spans="1:30" ht="50.10000000000000142109" customHeight="1">
      <x:c r="A9" s="50" t="s">
        <x:v>866</x:v>
      </x:c>
      <x:c r="B9" s="51">
        <x:v>5</x:v>
      </x:c>
      <x:c r="C9" s="51">
        <x:v>1</x:v>
      </x:c>
      <x:c r="D9" s="51">
        <x:v>3</x:v>
      </x:c>
      <x:c r="E9" s="50" t="s">
        <x:v>877</x:v>
      </x:c>
      <x:c r="F9" s="50" t="s">
        <x:v>140</x:v>
      </x:c>
      <x:c r="G9" s="50" t="s">
        <x:v>567</x:v>
      </x:c>
      <x:c r="H9" s="50" t="s">
        <x:v>134</x:v>
      </x:c>
      <x:c r="I9" s="51">
        <x:v>1</x:v>
      </x:c>
      <x:c r="J9" s="50" t="s">
        <x:v>762</x:v>
      </x:c>
      <x:c r="K9" s="50" t="s">
        <x:v>792</x:v>
      </x:c>
      <x:c r="L9" s="50" t="s">
        <x:v>783</x:v>
      </x:c>
      <x:c r="M9" s="50" t="s">
        <x:v>358</x:v>
      </x:c>
      <x:c r="N9" s="52">
        <x:f t="shared" si="0"/>
        <x:v>0.0027777777777777779</x:v>
      </x:c>
      <x:c r="O9" s="50" t="s">
        <x:v>152</x:v>
      </x:c>
      <x:c r="P9" s="51">
        <x:v>14</x:v>
      </x:c>
      <x:c r="Q9" s="53">
        <x:v>2</x:v>
      </x:c>
      <x:c r="R9" s="53">
        <x:v>8.7300000000000004</x:v>
      </x:c>
      <x:c r="S9" s="54" t="s">
        <x:v>502</x:v>
      </x:c>
      <x:c r="T9" s="54" t="s">
        <x:v>798</x:v>
      </x:c>
      <x:c r="U9" s="54" t="s">
        <x:v>798</x:v>
      </x:c>
      <x:c r="V9" s="51" t="s">
        <x:v>798</x:v>
      </x:c>
      <x:c r="W9" s="55">
        <x:v>0.00038194444444444446</x:v>
      </x:c>
      <x:c r="X9" s="55">
        <x:v>0.00034722222222222224</x:v>
      </x:c>
      <x:c r="Y9" s="55">
        <x:v>0.00032986111111111112</x:v>
      </x:c>
      <x:c r="Z9" s="50"/>
      <x:c r="AA9" s="50"/>
      <x:c r="AB9" s="50"/>
      <x:c r="AC9" s="50"/>
      <x:c r="AD9" s="43"/>
    </x:row>
    <x:row r="10" spans="1:30" ht="50.10000000000000142109" customHeight="1">
      <x:c r="A10" s="50" t="s">
        <x:v>866</x:v>
      </x:c>
      <x:c r="B10" s="51">
        <x:v>6</x:v>
      </x:c>
      <x:c r="C10" s="51">
        <x:v>1</x:v>
      </x:c>
      <x:c r="D10" s="51">
        <x:v>5</x:v>
      </x:c>
      <x:c r="E10" s="50" t="s">
        <x:v>872</x:v>
      </x:c>
      <x:c r="F10" s="50" t="s">
        <x:v>128</x:v>
      </x:c>
      <x:c r="G10" s="50" t="s">
        <x:v>452</x:v>
      </x:c>
      <x:c r="H10" s="50" t="s">
        <x:v>978</x:v>
      </x:c>
      <x:c r="I10" s="51">
        <x:v>1</x:v>
      </x:c>
      <x:c r="J10" s="50" t="s">
        <x:v>881</x:v>
      </x:c>
      <x:c r="K10" s="50" t="s">
        <x:v>792</x:v>
      </x:c>
      <x:c r="L10" s="50" t="s">
        <x:v>794</x:v>
      </x:c>
      <x:c r="M10" s="50" t="s">
        <x:v>728</x:v>
      </x:c>
      <x:c r="N10" s="52">
        <x:f t="shared" si="0"/>
        <x:v>0.0030092592592592593</x:v>
      </x:c>
      <x:c r="O10" s="50" t="s">
        <x:v>152</x:v>
      </x:c>
      <x:c r="P10" s="51">
        <x:v>17</x:v>
      </x:c>
      <x:c r="Q10" s="53">
        <x:v>3</x:v>
      </x:c>
      <x:c r="R10" s="53">
        <x:v>12.029999999999999</x:v>
      </x:c>
      <x:c r="S10" s="54" t="s">
        <x:v>502</x:v>
      </x:c>
      <x:c r="T10" s="54" t="s">
        <x:v>798</x:v>
      </x:c>
      <x:c r="U10" s="54" t="s">
        <x:v>798</x:v>
      </x:c>
      <x:c r="V10" s="51" t="s">
        <x:v>798</x:v>
      </x:c>
      <x:c r="W10" s="55">
        <x:v>0.00025462962962962966</x:v>
      </x:c>
      <x:c r="X10" s="55">
        <x:v>0.00023148148148148149</x:v>
      </x:c>
      <x:c r="Y10" s="55">
        <x:v>0.0002199074074074074</x:v>
      </x:c>
      <x:c r="Z10" s="50"/>
      <x:c r="AA10" s="50"/>
      <x:c r="AB10" s="50"/>
      <x:c r="AC10" s="50"/>
      <x:c r="AD10" s="43"/>
    </x:row>
    <x:row r="11" spans="1:30" ht="50.10000000000000142109" customHeight="1">
      <x:c r="A11" s="50" t="s">
        <x:v>866</x:v>
      </x:c>
      <x:c r="B11" s="51">
        <x:v>7</x:v>
      </x:c>
      <x:c r="C11" s="51">
        <x:v>2</x:v>
      </x:c>
      <x:c r="D11" s="51">
        <x:v>5</x:v>
      </x:c>
      <x:c r="E11" s="50" t="s">
        <x:v>882</x:v>
      </x:c>
      <x:c r="F11" s="50" t="s">
        <x:v>140</x:v>
      </x:c>
      <x:c r="G11" s="50" t="s">
        <x:v>141</x:v>
      </x:c>
      <x:c r="H11" s="50" t="s">
        <x:v>582</x:v>
      </x:c>
      <x:c r="I11" s="51">
        <x:v>1</x:v>
      </x:c>
      <x:c r="J11" s="50" t="s">
        <x:v>757</x:v>
      </x:c>
      <x:c r="K11" s="50" t="s">
        <x:v>792</x:v>
      </x:c>
      <x:c r="L11" s="50" t="s">
        <x:v>510</x:v>
      </x:c>
      <x:c r="M11" s="50" t="s">
        <x:v>358</x:v>
      </x:c>
      <x:c r="N11" s="52">
        <x:f t="shared" si="0"/>
        <x:v>0.0038773148148148148</x:v>
      </x:c>
      <x:c r="O11" s="50" t="s">
        <x:v>858</x:v>
      </x:c>
      <x:c r="P11" s="51">
        <x:v>21</x:v>
      </x:c>
      <x:c r="Q11" s="53">
        <x:v>4</x:v>
      </x:c>
      <x:c r="R11" s="53">
        <x:v>17.050000000000001</x:v>
      </x:c>
      <x:c r="S11" s="54" t="s">
        <x:v>502</x:v>
      </x:c>
      <x:c r="T11" s="54" t="s">
        <x:v>798</x:v>
      </x:c>
      <x:c r="U11" s="54" t="s">
        <x:v>798</x:v>
      </x:c>
      <x:c r="V11" s="51" t="s">
        <x:v>798</x:v>
      </x:c>
      <x:c r="W11" s="55">
        <x:v>0.00095486111111111119</x:v>
      </x:c>
      <x:c r="X11" s="55">
        <x:v>0.00086805555555555551</x:v>
      </x:c>
      <x:c r="Y11" s="55">
        <x:v>0.00082465277777777767</x:v>
      </x:c>
      <x:c r="Z11" s="50"/>
      <x:c r="AA11" s="50"/>
      <x:c r="AB11" s="50"/>
      <x:c r="AC11" s="50"/>
      <x:c r="AD11" s="43"/>
    </x:row>
    <x:row r="12" spans="1:30" ht="50.10000000000000142109" customHeight="1">
      <x:c r="A12" s="50" t="s">
        <x:v>866</x:v>
      </x:c>
      <x:c r="B12" s="51">
        <x:v>8</x:v>
      </x:c>
      <x:c r="C12" s="51">
        <x:v>2</x:v>
      </x:c>
      <x:c r="D12" s="51">
        <x:v>6</x:v>
      </x:c>
      <x:c r="E12" s="50" t="s">
        <x:v>93</x:v>
      </x:c>
      <x:c r="F12" s="50" t="s">
        <x:v>525</x:v>
      </x:c>
      <x:c r="G12" s="50" t="s">
        <x:v>22</x:v>
      </x:c>
      <x:c r="H12" s="50" t="s">
        <x:v>124</x:v>
      </x:c>
      <x:c r="I12" s="51">
        <x:v>4</x:v>
      </x:c>
      <x:c r="J12" s="50" t="s">
        <x:v>368</x:v>
      </x:c>
      <x:c r="K12" s="50" t="s">
        <x:v>792</x:v>
      </x:c>
      <x:c r="L12" s="50" t="s">
        <x:v>501</x:v>
      </x:c>
      <x:c r="M12" s="50" t="s">
        <x:v>943</x:v>
      </x:c>
      <x:c r="N12" s="52">
        <x:f t="shared" si="0"/>
        <x:v>0.0049189814814814816</x:v>
      </x:c>
      <x:c r="O12" s="50" t="s">
        <x:v>858</x:v>
      </x:c>
      <x:c r="P12" s="51">
        <x:v>26</x:v>
      </x:c>
      <x:c r="Q12" s="53">
        <x:v>5</x:v>
      </x:c>
      <x:c r="R12" s="53">
        <x:v>24.25</x:v>
      </x:c>
      <x:c r="S12" s="54" t="s">
        <x:v>502</x:v>
      </x:c>
      <x:c r="T12" s="54" t="s">
        <x:v>798</x:v>
      </x:c>
      <x:c r="U12" s="54" t="s">
        <x:v>798</x:v>
      </x:c>
      <x:c r="V12" s="51" t="s">
        <x:v>798</x:v>
      </x:c>
      <x:c r="W12" s="55">
        <x:v>0.0011458333333333333</x:v>
      </x:c>
      <x:c r="X12" s="55">
        <x:v>0.0010416666666666667</x:v>
      </x:c>
      <x:c r="Y12" s="55">
        <x:v>0.0009895833333333332</x:v>
      </x:c>
      <x:c r="Z12" s="50"/>
      <x:c r="AA12" s="50"/>
      <x:c r="AB12" s="50"/>
      <x:c r="AC12" s="50"/>
      <x:c r="AD12" s="43"/>
    </x:row>
    <x:row r="13" spans="1:30" ht="50.10000000000000142109" customHeight="1">
      <x:c r="A13" s="50" t="s">
        <x:v>866</x:v>
      </x:c>
      <x:c r="B13" s="51">
        <x:v>9</x:v>
      </x:c>
      <x:c r="C13" s="51">
        <x:v>1</x:v>
      </x:c>
      <x:c r="D13" s="51">
        <x:v>5</x:v>
      </x:c>
      <x:c r="E13" s="50" t="s">
        <x:v>883</x:v>
      </x:c>
      <x:c r="F13" s="50" t="s">
        <x:v>128</x:v>
      </x:c>
      <x:c r="G13" s="50" t="s">
        <x:v>76</x:v>
      </x:c>
      <x:c r="H13" s="50" t="s">
        <x:v>1008</x:v>
      </x:c>
      <x:c r="I13" s="51">
        <x:v>2</x:v>
      </x:c>
      <x:c r="J13" s="50" t="s">
        <x:v>367</x:v>
      </x:c>
      <x:c r="K13" s="50" t="s">
        <x:v>792</x:v>
      </x:c>
      <x:c r="L13" s="50" t="s">
        <x:v>797</x:v>
      </x:c>
      <x:c r="M13" s="50" t="s">
        <x:v>728</x:v>
      </x:c>
      <x:c r="N13" s="52">
        <x:f t="shared" si="0"/>
        <x:v>0.005324074074074074</x:v>
      </x:c>
      <x:c r="O13" s="50" t="s">
        <x:v>858</x:v>
      </x:c>
      <x:c r="P13" s="51">
        <x:v>29</x:v>
      </x:c>
      <x:c r="Q13" s="53">
        <x:v>3</x:v>
      </x:c>
      <x:c r="R13" s="53">
        <x:v>29.039999999999999</x:v>
      </x:c>
      <x:c r="S13" s="54" t="s">
        <x:v>502</x:v>
      </x:c>
      <x:c r="T13" s="54" t="s">
        <x:v>798</x:v>
      </x:c>
      <x:c r="U13" s="54" t="s">
        <x:v>798</x:v>
      </x:c>
      <x:c r="V13" s="51" t="s">
        <x:v>798</x:v>
      </x:c>
      <x:c r="W13" s="55">
        <x:v>0.00044560185185185187</x:v>
      </x:c>
      <x:c r="X13" s="55">
        <x:v>0.00040509259259259258</x:v>
      </x:c>
      <x:c r="Y13" s="55">
        <x:v>0.00038483796296296291</x:v>
      </x:c>
      <x:c r="Z13" s="50"/>
      <x:c r="AA13" s="50"/>
      <x:c r="AB13" s="50"/>
      <x:c r="AC13" s="50"/>
      <x:c r="AD13" s="43"/>
    </x:row>
    <x:row r="14" spans="1:30" ht="50.10000000000000142109" customHeight="1">
      <x:c r="A14" s="50" t="s">
        <x:v>866</x:v>
      </x:c>
      <x:c r="B14" s="51">
        <x:v>10</x:v>
      </x:c>
      <x:c r="C14" s="51">
        <x:v>1</x:v>
      </x:c>
      <x:c r="D14" s="51">
        <x:v>6</x:v>
      </x:c>
      <x:c r="E14" s="50" t="s">
        <x:v>143</x:v>
      </x:c>
      <x:c r="F14" s="50" t="s">
        <x:v>941</x:v>
      </x:c>
      <x:c r="G14" s="50" t="s">
        <x:v>139</x:v>
      </x:c>
      <x:c r="H14" s="50" t="s">
        <x:v>611</x:v>
      </x:c>
      <x:c r="I14" s="51">
        <x:v>1</x:v>
      </x:c>
      <x:c r="J14" s="50" t="s">
        <x:v>544</x:v>
      </x:c>
      <x:c r="K14" s="50" t="s">
        <x:v>792</x:v>
      </x:c>
      <x:c r="L14" s="50" t="s">
        <x:v>510</x:v>
      </x:c>
      <x:c r="M14" s="50" t="s">
        <x:v>369</x:v>
      </x:c>
      <x:c r="N14" s="52">
        <x:f t="shared" si="0"/>
        <x:v>0.006192129629629629</x:v>
      </x:c>
      <x:c r="O14" s="50" t="s">
        <x:v>858</x:v>
      </x:c>
      <x:c r="P14" s="51">
        <x:v>33</x:v>
      </x:c>
      <x:c r="Q14" s="53">
        <x:v>4</x:v>
      </x:c>
      <x:c r="R14" s="53">
        <x:v>35.939999999999998</x:v>
      </x:c>
      <x:c r="S14" s="54" t="s">
        <x:v>502</x:v>
      </x:c>
      <x:c r="T14" s="54" t="s">
        <x:v>798</x:v>
      </x:c>
      <x:c r="U14" s="54" t="s">
        <x:v>798</x:v>
      </x:c>
      <x:c r="V14" s="51" t="s">
        <x:v>798</x:v>
      </x:c>
      <x:c r="W14" s="55">
        <x:v>0.00095486111111111119</x:v>
      </x:c>
      <x:c r="X14" s="55">
        <x:v>0.00086805555555555551</x:v>
      </x:c>
      <x:c r="Y14" s="55">
        <x:v>0.00082465277777777767</x:v>
      </x:c>
      <x:c r="Z14" s="50"/>
      <x:c r="AA14" s="50"/>
      <x:c r="AB14" s="50"/>
      <x:c r="AC14" s="50"/>
      <x:c r="AD14" s="43"/>
    </x:row>
    <x:row r="15" spans="1:30" ht="50.10000000000000142109" customHeight="1">
      <x:c r="A15" s="50" t="s">
        <x:v>866</x:v>
      </x:c>
      <x:c r="B15" s="51">
        <x:v>11</x:v>
      </x:c>
      <x:c r="C15" s="51">
        <x:v>2</x:v>
      </x:c>
      <x:c r="D15" s="51">
        <x:v>5</x:v>
      </x:c>
      <x:c r="E15" s="50" t="s">
        <x:v>862</x:v>
      </x:c>
      <x:c r="F15" s="50" t="s">
        <x:v>140</x:v>
      </x:c>
      <x:c r="G15" s="50" t="s">
        <x:v>552</x:v>
      </x:c>
      <x:c r="H15" s="50" t="s">
        <x:v>582</x:v>
      </x:c>
      <x:c r="I15" s="51">
        <x:v>1</x:v>
      </x:c>
      <x:c r="J15" s="50" t="s">
        <x:v>773</x:v>
      </x:c>
      <x:c r="K15" s="50" t="s">
        <x:v>792</x:v>
      </x:c>
      <x:c r="L15" s="50" t="s">
        <x:v>501</x:v>
      </x:c>
      <x:c r="M15" s="50" t="s">
        <x:v>358</x:v>
      </x:c>
      <x:c r="N15" s="52">
        <x:f t="shared" si="0"/>
        <x:v>0.0072337962962962955</x:v>
      </x:c>
      <x:c r="O15" s="50" t="s">
        <x:v>884</x:v>
      </x:c>
      <x:c r="P15" s="51">
        <x:v>37</x:v>
      </x:c>
      <x:c r="Q15" s="53">
        <x:v>4</x:v>
      </x:c>
      <x:c r="R15" s="53">
        <x:v>43.399999999999999</x:v>
      </x:c>
      <x:c r="S15" s="54" t="s">
        <x:v>502</x:v>
      </x:c>
      <x:c r="T15" s="54" t="s">
        <x:v>798</x:v>
      </x:c>
      <x:c r="U15" s="54" t="s">
        <x:v>798</x:v>
      </x:c>
      <x:c r="V15" s="51" t="s">
        <x:v>798</x:v>
      </x:c>
      <x:c r="W15" s="55">
        <x:v>0.0011458333333333333</x:v>
      </x:c>
      <x:c r="X15" s="55">
        <x:v>0.0010416666666666667</x:v>
      </x:c>
      <x:c r="Y15" s="55">
        <x:v>0.0009895833333333332</x:v>
      </x:c>
      <x:c r="Z15" s="50"/>
      <x:c r="AA15" s="50"/>
      <x:c r="AB15" s="50"/>
      <x:c r="AC15" s="50"/>
      <x:c r="AD15" s="43"/>
    </x:row>
    <x:row r="16" spans="1:30" ht="50.10000000000000142109" customHeight="1">
      <x:c r="A16" s="50" t="s">
        <x:v>866</x:v>
      </x:c>
      <x:c r="B16" s="51">
        <x:v>12</x:v>
      </x:c>
      <x:c r="C16" s="51">
        <x:v>2</x:v>
      </x:c>
      <x:c r="D16" s="51">
        <x:v>6</x:v>
      </x:c>
      <x:c r="E16" s="50" t="s">
        <x:v>899</x:v>
      </x:c>
      <x:c r="F16" s="50" t="s">
        <x:v>525</x:v>
      </x:c>
      <x:c r="G16" s="50" t="s">
        <x:v>138</x:v>
      </x:c>
      <x:c r="H16" s="50" t="s">
        <x:v>124</x:v>
      </x:c>
      <x:c r="I16" s="51">
        <x:v>5</x:v>
      </x:c>
      <x:c r="J16" s="50" t="s">
        <x:v>763</x:v>
      </x:c>
      <x:c r="K16" s="50" t="s">
        <x:v>792</x:v>
      </x:c>
      <x:c r="L16" s="50" t="s">
        <x:v>482</x:v>
      </x:c>
      <x:c r="M16" s="50" t="s">
        <x:v>943</x:v>
      </x:c>
      <x:c r="N16" s="52">
        <x:f t="shared" si="0"/>
        <x:v>0.0085069444444444437</x:v>
      </x:c>
      <x:c r="O16" s="50" t="s">
        <x:v>884</x:v>
      </x:c>
      <x:c r="P16" s="51">
        <x:v>42</x:v>
      </x:c>
      <x:c r="Q16" s="53">
        <x:v>5</x:v>
      </x:c>
      <x:c r="R16" s="53">
        <x:v>53.5</x:v>
      </x:c>
      <x:c r="S16" s="54" t="s">
        <x:v>502</x:v>
      </x:c>
      <x:c r="T16" s="54" t="s">
        <x:v>798</x:v>
      </x:c>
      <x:c r="U16" s="54" t="s">
        <x:v>798</x:v>
      </x:c>
      <x:c r="V16" s="51" t="s">
        <x:v>798</x:v>
      </x:c>
      <x:c r="W16" s="55">
        <x:v>0.0014004629629629632</x:v>
      </x:c>
      <x:c r="X16" s="55">
        <x:v>0.0012731481481481483</x:v>
      </x:c>
      <x:c r="Y16" s="55">
        <x:v>0.0012094907407407408</x:v>
      </x:c>
      <x:c r="Z16" s="50"/>
      <x:c r="AA16" s="50"/>
      <x:c r="AB16" s="50"/>
      <x:c r="AC16" s="50"/>
      <x:c r="AD16" s="43"/>
    </x:row>
    <x:row r="17" spans="1:30" ht="50.10000000000000142109" customHeight="1">
      <x:c r="A17" s="50" t="s">
        <x:v>866</x:v>
      </x:c>
      <x:c r="B17" s="51">
        <x:v>13</x:v>
      </x:c>
      <x:c r="C17" s="51">
        <x:v>1</x:v>
      </x:c>
      <x:c r="D17" s="51">
        <x:v>5</x:v>
      </x:c>
      <x:c r="E17" s="50" t="s">
        <x:v>891</x:v>
      </x:c>
      <x:c r="F17" s="50" t="s">
        <x:v>360</x:v>
      </x:c>
      <x:c r="G17" s="50" t="s">
        <x:v>10</x:v>
      </x:c>
      <x:c r="H17" s="50" t="s">
        <x:v>607</x:v>
      </x:c>
      <x:c r="I17" s="51">
        <x:v>3</x:v>
      </x:c>
      <x:c r="J17" s="50" t="s">
        <x:v>750</x:v>
      </x:c>
      <x:c r="K17" s="50" t="s">
        <x:v>738</x:v>
      </x:c>
      <x:c r="L17" s="50" t="s">
        <x:v>793</x:v>
      </x:c>
      <x:c r="M17" s="50" t="s">
        <x:v>684</x:v>
      </x:c>
      <x:c r="N17" s="52">
        <x:f t="shared" si="0"/>
        <x:v>0.0090856481481481483</x:v>
      </x:c>
      <x:c r="O17" s="50" t="s">
        <x:v>884</x:v>
      </x:c>
      <x:c r="P17" s="51">
        <x:v>45</x:v>
      </x:c>
      <x:c r="Q17" s="53">
        <x:v>3</x:v>
      </x:c>
      <x:c r="R17" s="53">
        <x:v>59.950000000000003</x:v>
      </x:c>
      <x:c r="S17" s="54" t="s">
        <x:v>502</x:v>
      </x:c>
      <x:c r="T17" s="54" t="s">
        <x:v>798</x:v>
      </x:c>
      <x:c r="U17" s="54" t="s">
        <x:v>798</x:v>
      </x:c>
      <x:c r="V17" s="51" t="s">
        <x:v>798</x:v>
      </x:c>
      <x:c r="W17" s="55">
        <x:v>0.00063657407407407413</x:v>
      </x:c>
      <x:c r="X17" s="55">
        <x:v>0.00057870370370370367</x:v>
      </x:c>
      <x:c r="Y17" s="55">
        <x:v>0.00054976851851851844</x:v>
      </x:c>
      <x:c r="Z17" s="50"/>
      <x:c r="AA17" s="50"/>
      <x:c r="AB17" s="50"/>
      <x:c r="AC17" s="50"/>
      <x:c r="AD17" s="43"/>
    </x:row>
    <x:row r="18" spans="1:30" ht="50.10000000000000142109" customHeight="1">
      <x:c r="A18" s="50" t="s">
        <x:v>866</x:v>
      </x:c>
      <x:c r="B18" s="51">
        <x:v>14</x:v>
      </x:c>
      <x:c r="C18" s="51">
        <x:v>2</x:v>
      </x:c>
      <x:c r="D18" s="51">
        <x:v>5</x:v>
      </x:c>
      <x:c r="E18" s="50" t="s">
        <x:v>888</x:v>
      </x:c>
      <x:c r="F18" s="50" t="s">
        <x:v>140</x:v>
      </x:c>
      <x:c r="G18" s="50" t="s">
        <x:v>135</x:v>
      </x:c>
      <x:c r="H18" s="50" t="s">
        <x:v>582</x:v>
      </x:c>
      <x:c r="I18" s="51">
        <x:v>1</x:v>
      </x:c>
      <x:c r="J18" s="50" t="s">
        <x:v>753</x:v>
      </x:c>
      <x:c r="K18" s="50" t="s">
        <x:v>792</x:v>
      </x:c>
      <x:c r="L18" s="50" t="s">
        <x:v>782</x:v>
      </x:c>
      <x:c r="M18" s="50" t="s">
        <x:v>358</x:v>
      </x:c>
      <x:c r="N18" s="52">
        <x:f t="shared" si="0"/>
        <x:v>0.010474537037037038</x:v>
      </x:c>
      <x:c r="O18" s="50" t="s">
        <x:v>874</x:v>
      </x:c>
      <x:c r="P18" s="51">
        <x:v>49</x:v>
      </x:c>
      <x:c r="Q18" s="53">
        <x:v>4</x:v>
      </x:c>
      <x:c r="R18" s="53">
        <x:v>69</x:v>
      </x:c>
      <x:c r="S18" s="54" t="s">
        <x:v>502</x:v>
      </x:c>
      <x:c r="T18" s="54" t="s">
        <x:v>798</x:v>
      </x:c>
      <x:c r="U18" s="54" t="s">
        <x:v>798</x:v>
      </x:c>
      <x:c r="V18" s="51" t="s">
        <x:v>798</x:v>
      </x:c>
      <x:c r="W18" s="55">
        <x:v>0.0015277777777777779</x:v>
      </x:c>
      <x:c r="X18" s="55">
        <x:v>0.0013888888888888889</x:v>
      </x:c>
      <x:c r="Y18" s="55">
        <x:v>0.0013194444444444445</x:v>
      </x:c>
      <x:c r="Z18" s="50"/>
      <x:c r="AA18" s="50"/>
      <x:c r="AB18" s="50"/>
      <x:c r="AC18" s="50"/>
      <x:c r="AD18" s="43"/>
    </x:row>
    <x:row r="19" spans="1:30" ht="50.10000000000000142109" customHeight="1">
      <x:c r="A19" s="50" t="s">
        <x:v>866</x:v>
      </x:c>
      <x:c r="B19" s="51">
        <x:v>15</x:v>
      </x:c>
      <x:c r="C19" s="51">
        <x:v>2</x:v>
      </x:c>
      <x:c r="D19" s="51">
        <x:v>5</x:v>
      </x:c>
      <x:c r="E19" s="50" t="s">
        <x:v>506</x:v>
      </x:c>
      <x:c r="F19" s="50" t="s">
        <x:v>360</x:v>
      </x:c>
      <x:c r="G19" s="50" t="s">
        <x:v>10</x:v>
      </x:c>
      <x:c r="H19" s="50" t="s">
        <x:v>607</x:v>
      </x:c>
      <x:c r="I19" s="51">
        <x:v>3</x:v>
      </x:c>
      <x:c r="J19" s="50" t="s">
        <x:v>356</x:v>
      </x:c>
      <x:c r="K19" s="50" t="s">
        <x:v>738</x:v>
      </x:c>
      <x:c r="L19" s="50" t="s">
        <x:v>490</x:v>
      </x:c>
      <x:c r="M19" s="50" t="s">
        <x:v>684</x:v>
      </x:c>
      <x:c r="N19" s="52">
        <x:f t="shared" si="0"/>
        <x:v>0.011400462962962962</x:v>
      </x:c>
      <x:c r="O19" s="50" t="s">
        <x:v>874</x:v>
      </x:c>
      <x:c r="P19" s="51">
        <x:v>53</x:v>
      </x:c>
      <x:c r="Q19" s="53">
        <x:v>4</x:v>
      </x:c>
      <x:c r="R19" s="53">
        <x:v>78.530000000000001</x:v>
      </x:c>
      <x:c r="S19" s="54" t="s">
        <x:v>502</x:v>
      </x:c>
      <x:c r="T19" s="54" t="s">
        <x:v>798</x:v>
      </x:c>
      <x:c r="U19" s="54" t="s">
        <x:v>798</x:v>
      </x:c>
      <x:c r="V19" s="51" t="s">
        <x:v>798</x:v>
      </x:c>
      <x:c r="W19" s="55">
        <x:v>0.0010185185185185186</x:v>
      </x:c>
      <x:c r="X19" s="55">
        <x:v>0.00092592592592592596</x:v>
      </x:c>
      <x:c r="Y19" s="55">
        <x:v>0.00087962962962962962</x:v>
      </x:c>
      <x:c r="Z19" s="50"/>
      <x:c r="AA19" s="50"/>
      <x:c r="AB19" s="50"/>
      <x:c r="AC19" s="50"/>
      <x:c r="AD19" s="43"/>
    </x:row>
    <x:row r="20" spans="1:30" ht="50.10000000000000142109" customHeight="1">
      <x:c r="A20" s="50" t="s">
        <x:v>866</x:v>
      </x:c>
      <x:c r="B20" s="51">
        <x:v>16</x:v>
      </x:c>
      <x:c r="C20" s="51">
        <x:v>1</x:v>
      </x:c>
      <x:c r="D20" s="51">
        <x:v>7</x:v>
      </x:c>
      <x:c r="E20" s="50" t="s">
        <x:v>103</x:v>
      </x:c>
      <x:c r="F20" s="50" t="s">
        <x:v>41</x:v>
      </x:c>
      <x:c r="G20" s="50" t="s">
        <x:v>83</x:v>
      </x:c>
      <x:c r="H20" s="50" t="s">
        <x:v>275</x:v>
      </x:c>
      <x:c r="I20" s="51">
        <x:v>1</x:v>
      </x:c>
      <x:c r="J20" s="50" t="s">
        <x:v>443</x:v>
      </x:c>
      <x:c r="K20" s="50" t="s">
        <x:v>706</x:v>
      </x:c>
      <x:c r="L20" s="50" t="s">
        <x:v>780</x:v>
      </x:c>
      <x:c r="M20" s="50" t="s">
        <x:v>351</x:v>
      </x:c>
      <x:c r="N20" s="52">
        <x:f t="shared" si="0"/>
        <x:v>0.011689814814814814</x:v>
      </x:c>
      <x:c r="O20" s="50" t="s">
        <x:v>874</x:v>
      </x:c>
      <x:c r="P20" s="51">
        <x:v>57</x:v>
      </x:c>
      <x:c r="Q20" s="53">
        <x:v>4</x:v>
      </x:c>
      <x:c r="R20" s="53">
        <x:v>88.549999999999997</x:v>
      </x:c>
      <x:c r="S20" s="54" t="s">
        <x:v>502</x:v>
      </x:c>
      <x:c r="T20" s="54" t="s">
        <x:v>798</x:v>
      </x:c>
      <x:c r="U20" s="54" t="s">
        <x:v>798</x:v>
      </x:c>
      <x:c r="V20" s="51" t="s">
        <x:v>798</x:v>
      </x:c>
      <x:c r="W20" s="55">
        <x:v>0.00031828703703703706</x:v>
      </x:c>
      <x:c r="X20" s="55">
        <x:v>0.00028935185185185184</x:v>
      </x:c>
      <x:c r="Y20" s="55">
        <x:v>0.00027488425925925922</x:v>
      </x:c>
      <x:c r="Z20" s="50"/>
      <x:c r="AA20" s="50"/>
      <x:c r="AB20" s="50"/>
      <x:c r="AC20" s="50"/>
      <x:c r="AD20" s="43"/>
    </x:row>
    <x:row r="21" spans="1:30" ht="50.10000000000000142109" customHeight="1">
      <x:c r="A21" s="50" t="s">
        <x:v>866</x:v>
      </x:c>
      <x:c r="B21" s="51">
        <x:v>17</x:v>
      </x:c>
      <x:c r="C21" s="51">
        <x:v>3</x:v>
      </x:c>
      <x:c r="D21" s="51">
        <x:v>7</x:v>
      </x:c>
      <x:c r="E21" s="50" t="s">
        <x:v>168</x:v>
      </x:c>
      <x:c r="F21" s="50" t="s">
        <x:v>526</x:v>
      </x:c>
      <x:c r="G21" s="50" t="s">
        <x:v>981</x:v>
      </x:c>
      <x:c r="H21" s="50" t="s">
        <x:v>1024</x:v>
      </x:c>
      <x:c r="I21" s="51">
        <x:v>3</x:v>
      </x:c>
      <x:c r="J21" s="50" t="s">
        <x:v>712</x:v>
      </x:c>
      <x:c r="K21" s="50" t="s">
        <x:v>366</x:v>
      </x:c>
      <x:c r="L21" s="50" t="s">
        <x:v>457</x:v>
      </x:c>
      <x:c r="M21" s="50" t="s">
        <x:v>129</x:v>
      </x:c>
      <x:c r="N21" s="52">
        <x:f t="shared" si="0"/>
        <x:v>0.012499999999999999</x:v>
      </x:c>
      <x:c r="O21" s="50" t="s">
        <x:v>110</x:v>
      </x:c>
      <x:c r="P21" s="51">
        <x:v>63</x:v>
      </x:c>
      <x:c r="Q21" s="53">
        <x:v>6</x:v>
      </x:c>
      <x:c r="R21" s="53">
        <x:v>104.45</x:v>
      </x:c>
      <x:c r="S21" s="54" t="s">
        <x:v>502</x:v>
      </x:c>
      <x:c r="T21" s="54" t="s">
        <x:v>798</x:v>
      </x:c>
      <x:c r="U21" s="54" t="s">
        <x:v>798</x:v>
      </x:c>
      <x:c r="V21" s="51" t="s">
        <x:v>798</x:v>
      </x:c>
      <x:c r="W21" s="55">
        <x:v>0.00092766203703703706</x:v>
      </x:c>
      <x:c r="X21" s="55">
        <x:v>0.00081018518518518516</x:v>
      </x:c>
      <x:c r="Y21" s="55">
        <x:v>0.00074942129629629621</x:v>
      </x:c>
      <x:c r="Z21" s="50"/>
      <x:c r="AA21" s="50"/>
      <x:c r="AB21" s="50"/>
      <x:c r="AC21" s="50"/>
      <x:c r="AD21" s="43"/>
    </x:row>
    <x:row r="22" spans="1:30" ht="50.10000000000000142109" customHeight="1">
      <x:c r="A22" s="50" t="s">
        <x:v>866</x:v>
      </x:c>
      <x:c r="B22" s="51">
        <x:v>18</x:v>
      </x:c>
      <x:c r="C22" s="51">
        <x:v>5</x:v>
      </x:c>
      <x:c r="D22" s="51">
        <x:v>8</x:v>
      </x:c>
      <x:c r="E22" s="50" t="s">
        <x:v>101</x:v>
      </x:c>
      <x:c r="F22" s="50" t="s">
        <x:v>539</x:v>
      </x:c>
      <x:c r="G22" s="50" t="s">
        <x:v>597</x:v>
      </x:c>
      <x:c r="H22" s="50" t="s">
        <x:v>185</x:v>
      </x:c>
      <x:c r="I22" s="51">
        <x:v>1</x:v>
      </x:c>
      <x:c r="J22" s="50" t="s">
        <x:v>764</x:v>
      </x:c>
      <x:c r="K22" s="50" t="s">
        <x:v>350</x:v>
      </x:c>
      <x:c r="L22" s="50" t="s">
        <x:v>782</x:v>
      </x:c>
      <x:c r="M22" s="50" t="s">
        <x:v>940</x:v>
      </x:c>
      <x:c r="N22" s="52">
        <x:f t="shared" si="0"/>
        <x:v>0.013888888888888888</x:v>
      </x:c>
      <x:c r="O22" s="50" t="s">
        <x:v>110</x:v>
      </x:c>
      <x:c r="P22" s="51">
        <x:v>72</x:v>
      </x:c>
      <x:c r="Q22" s="53">
        <x:v>9</x:v>
      </x:c>
      <x:c r="R22" s="53">
        <x:v>130.19999999999999</x:v>
      </x:c>
      <x:c r="S22" s="54" t="s">
        <x:v>502</x:v>
      </x:c>
      <x:c r="T22" s="54" t="s">
        <x:v>798</x:v>
      </x:c>
      <x:c r="U22" s="54" t="s">
        <x:v>798</x:v>
      </x:c>
      <x:c r="V22" s="51" t="s">
        <x:v>798</x:v>
      </x:c>
      <x:c r="W22" s="55">
        <x:v>0.001715277777777778</x:v>
      </x:c>
      <x:c r="X22" s="55">
        <x:v>0.0013888888888888889</x:v>
      </x:c>
      <x:c r="Y22" s="55">
        <x:v>0.0012152777777777778</x:v>
      </x:c>
      <x:c r="Z22" s="50"/>
      <x:c r="AA22" s="50"/>
      <x:c r="AB22" s="50"/>
      <x:c r="AC22" s="50"/>
      <x:c r="AD22" s="43"/>
    </x:row>
    <x:row r="23" spans="1:30" ht="50.10000000000000142109" customHeight="1">
      <x:c r="A23" s="50" t="s">
        <x:v>866</x:v>
      </x:c>
      <x:c r="B23" s="51">
        <x:v>19</x:v>
      </x:c>
      <x:c r="C23" s="51">
        <x:v>5</x:v>
      </x:c>
      <x:c r="D23" s="51">
        <x:v>8</x:v>
      </x:c>
      <x:c r="E23" s="50" t="s">
        <x:v>659</x:v>
      </x:c>
      <x:c r="F23" s="50" t="s">
        <x:v>130</x:v>
      </x:c>
      <x:c r="G23" s="50" t="s">
        <x:v>192</x:v>
      </x:c>
      <x:c r="H23" s="50" t="s">
        <x:v>1012</x:v>
      </x:c>
      <x:c r="I23" s="51">
        <x:v>6</x:v>
      </x:c>
      <x:c r="J23" s="50" t="s">
        <x:v>954</x:v>
      </x:c>
      <x:c r="K23" s="50" t="s">
        <x:v>955</x:v>
      </x:c>
      <x:c r="L23" s="50" t="s">
        <x:v>490</x:v>
      </x:c>
      <x:c r="M23" s="50" t="s">
        <x:v>405</x:v>
      </x:c>
      <x:c r="N23" s="52">
        <x:f t="shared" si="0"/>
        <x:v>0.014814814814814814</x:v>
      </x:c>
      <x:c r="O23" s="50" t="s">
        <x:v>110</x:v>
      </x:c>
      <x:c r="P23" s="51">
        <x:v>81</x:v>
      </x:c>
      <x:c r="Q23" s="53">
        <x:v>9</x:v>
      </x:c>
      <x:c r="R23" s="53">
        <x:v>158.12</x:v>
      </x:c>
      <x:c r="S23" s="54" t="s">
        <x:v>502</x:v>
      </x:c>
      <x:c r="T23" s="54" t="s">
        <x:v>798</x:v>
      </x:c>
      <x:c r="U23" s="54" t="s">
        <x:v>798</x:v>
      </x:c>
      <x:c r="V23" s="51" t="s">
        <x:v>798</x:v>
      </x:c>
      <x:c r="W23" s="55">
        <x:v>0.0011435185185185188</x:v>
      </x:c>
      <x:c r="X23" s="55">
        <x:v>0.00092592592592592596</x:v>
      </x:c>
      <x:c r="Y23" s="55">
        <x:v>0.00081018518518518527</x:v>
      </x:c>
      <x:c r="Z23" s="50"/>
      <x:c r="AA23" s="50"/>
      <x:c r="AB23" s="50"/>
      <x:c r="AC23" s="50"/>
      <x:c r="AD23" s="43"/>
    </x:row>
    <x:row r="24" spans="1:30" ht="50.10000000000000142109" customHeight="1">
      <x:c r="A24" s="50" t="s">
        <x:v>866</x:v>
      </x:c>
      <x:c r="B24" s="51">
        <x:v>20</x:v>
      </x:c>
      <x:c r="C24" s="51">
        <x:v>4</x:v>
      </x:c>
      <x:c r="D24" s="51">
        <x:v>7</x:v>
      </x:c>
      <x:c r="E24" s="50" t="s">
        <x:v>100</x:v>
      </x:c>
      <x:c r="F24" s="50" t="s">
        <x:v>606</x:v>
      </x:c>
      <x:c r="G24" s="50" t="s">
        <x:v>190</x:v>
      </x:c>
      <x:c r="H24" s="50" t="s">
        <x:v>189</x:v>
      </x:c>
      <x:c r="I24" s="51">
        <x:v>4</x:v>
      </x:c>
      <x:c r="J24" s="50" t="s">
        <x:v>363</x:v>
      </x:c>
      <x:c r="K24" s="50" t="s">
        <x:v>371</x:v>
      </x:c>
      <x:c r="L24" s="50" t="s">
        <x:v>489</x:v>
      </x:c>
      <x:c r="M24" s="50" t="s">
        <x:v>743</x:v>
      </x:c>
      <x:c r="N24" s="52">
        <x:f t="shared" si="0"/>
        <x:v>0.015972222222222221</x:v>
      </x:c>
      <x:c r="O24" s="50" t="s">
        <x:v>110</x:v>
      </x:c>
      <x:c r="P24" s="51">
        <x:v>88</x:v>
      </x:c>
      <x:c r="Q24" s="53">
        <x:v>7</x:v>
      </x:c>
      <x:c r="R24" s="53">
        <x:v>181.30000000000001</x:v>
      </x:c>
      <x:c r="S24" s="54" t="s">
        <x:v>502</x:v>
      </x:c>
      <x:c r="T24" s="54" t="s">
        <x:v>798</x:v>
      </x:c>
      <x:c r="U24" s="54" t="s">
        <x:v>798</x:v>
      </x:c>
      <x:c r="V24" s="51" t="s">
        <x:v>798</x:v>
      </x:c>
      <x:c r="W24" s="55">
        <x:v>0.0013773148148148149</x:v>
      </x:c>
      <x:c r="X24" s="55">
        <x:v>0.0011574074074074073</x:v>
      </x:c>
      <x:c r="Y24" s="55">
        <x:v>0.0010416666666666664</x:v>
      </x:c>
      <x:c r="Z24" s="50"/>
      <x:c r="AA24" s="50"/>
      <x:c r="AB24" s="50"/>
      <x:c r="AC24" s="50"/>
      <x:c r="AD24" s="43"/>
    </x:row>
    <x:row r="25" spans="1:30" ht="50.10000000000000142109" customHeight="1">
      <x:c r="A25" s="50" t="s">
        <x:v>866</x:v>
      </x:c>
      <x:c r="B25" s="51">
        <x:v>21</x:v>
      </x:c>
      <x:c r="C25" s="51">
        <x:v>2</x:v>
      </x:c>
      <x:c r="D25" s="51">
        <x:v>5</x:v>
      </x:c>
      <x:c r="E25" s="50" t="s">
        <x:v>875</x:v>
      </x:c>
      <x:c r="F25" s="50" t="s">
        <x:v>360</x:v>
      </x:c>
      <x:c r="G25" s="50" t="s">
        <x:v>10</x:v>
      </x:c>
      <x:c r="H25" s="50" t="s">
        <x:v>577</x:v>
      </x:c>
      <x:c r="I25" s="51">
        <x:v>3</x:v>
      </x:c>
      <x:c r="J25" s="50" t="s">
        <x:v>715</x:v>
      </x:c>
      <x:c r="K25" s="50" t="s">
        <x:v>738</x:v>
      </x:c>
      <x:c r="L25" s="50" t="s">
        <x:v>787</x:v>
      </x:c>
      <x:c r="M25" s="50" t="s">
        <x:v>684</x:v>
      </x:c>
      <x:c r="N25" s="52">
        <x:f t="shared" si="0"/>
        <x:v>0.016608796296296295</x:v>
      </x:c>
      <x:c r="O25" s="50" t="s">
        <x:v>110</x:v>
      </x:c>
      <x:c r="P25" s="51">
        <x:v>92</x:v>
      </x:c>
      <x:c r="Q25" s="53">
        <x:v>4</x:v>
      </x:c>
      <x:c r="R25" s="53">
        <x:v>195.09999999999999</x:v>
      </x:c>
      <x:c r="S25" s="54" t="s">
        <x:v>502</x:v>
      </x:c>
      <x:c r="T25" s="54" t="s">
        <x:v>798</x:v>
      </x:c>
      <x:c r="U25" s="54" t="s">
        <x:v>798</x:v>
      </x:c>
      <x:c r="V25" s="51" t="s">
        <x:v>798</x:v>
      </x:c>
      <x:c r="W25" s="55">
        <x:v>0.00070023148148148158</x:v>
      </x:c>
      <x:c r="X25" s="55">
        <x:v>0.00063657407407407413</x:v>
      </x:c>
      <x:c r="Y25" s="55">
        <x:v>0.0006047453703703704</x:v>
      </x:c>
      <x:c r="Z25" s="50"/>
      <x:c r="AA25" s="50"/>
      <x:c r="AB25" s="50"/>
      <x:c r="AC25" s="50"/>
      <x:c r="AD25" s="43"/>
    </x:row>
    <x:row r="26" spans="1:30" ht="50.10000000000000142109" customHeight="1">
      <x:c r="A26" s="50" t="s">
        <x:v>866</x:v>
      </x:c>
      <x:c r="B26" s="51">
        <x:v>22</x:v>
      </x:c>
      <x:c r="C26" s="51">
        <x:v>1</x:v>
      </x:c>
      <x:c r="D26" s="51">
        <x:v>5</x:v>
      </x:c>
      <x:c r="E26" s="50" t="s">
        <x:v>911</x:v>
      </x:c>
      <x:c r="F26" s="50" t="s">
        <x:v>941</x:v>
      </x:c>
      <x:c r="G26" s="50" t="s">
        <x:v>139</x:v>
      </x:c>
      <x:c r="H26" s="50" t="s">
        <x:v>611</x:v>
      </x:c>
      <x:c r="I26" s="51">
        <x:v>1</x:v>
      </x:c>
      <x:c r="J26" s="50" t="s">
        <x:v>430</x:v>
      </x:c>
      <x:c r="K26" s="50" t="s">
        <x:v>792</x:v>
      </x:c>
      <x:c r="L26" s="50" t="s">
        <x:v>457</x:v>
      </x:c>
      <x:c r="M26" s="50" t="s">
        <x:v>369</x:v>
      </x:c>
      <x:c r="N26" s="52">
        <x:f t="shared" si="0"/>
        <x:v>0.01741898148148148</x:v>
      </x:c>
      <x:c r="O26" s="50" t="s">
        <x:v>110</x:v>
      </x:c>
      <x:c r="P26" s="51">
        <x:v>95</x:v>
      </x:c>
      <x:c r="Q26" s="53">
        <x:v>3</x:v>
      </x:c>
      <x:c r="R26" s="53">
        <x:v>205.69999999999999</x:v>
      </x:c>
      <x:c r="S26" s="54" t="s">
        <x:v>502</x:v>
      </x:c>
      <x:c r="T26" s="54" t="s">
        <x:v>798</x:v>
      </x:c>
      <x:c r="U26" s="54" t="s">
        <x:v>798</x:v>
      </x:c>
      <x:c r="V26" s="51" t="s">
        <x:v>798</x:v>
      </x:c>
      <x:c r="W26" s="55">
        <x:v>0.00089120370370370373</x:v>
      </x:c>
      <x:c r="X26" s="55">
        <x:v>0.00081018518518518516</x:v>
      </x:c>
      <x:c r="Y26" s="55">
        <x:v>0.00076967592592592582</x:v>
      </x:c>
      <x:c r="Z26" s="50"/>
      <x:c r="AA26" s="50"/>
      <x:c r="AB26" s="50"/>
      <x:c r="AC26" s="50"/>
      <x:c r="AD26" s="43"/>
    </x:row>
    <x:row r="27" spans="1:30" ht="50.10000000000000142109" customHeight="1">
      <x:c r="A27" s="50" t="s">
        <x:v>866</x:v>
      </x:c>
      <x:c r="B27" s="51">
        <x:v>23</x:v>
      </x:c>
      <x:c r="C27" s="51">
        <x:v>2</x:v>
      </x:c>
      <x:c r="D27" s="51">
        <x:v>5</x:v>
      </x:c>
      <x:c r="E27" s="50" t="s">
        <x:v>886</x:v>
      </x:c>
      <x:c r="F27" s="50" t="s">
        <x:v>140</x:v>
      </x:c>
      <x:c r="G27" s="50" t="s">
        <x:v>271</x:v>
      </x:c>
      <x:c r="H27" s="50" t="s">
        <x:v>582</x:v>
      </x:c>
      <x:c r="I27" s="51">
        <x:v>1</x:v>
      </x:c>
      <x:c r="J27" s="50" t="s">
        <x:v>314</x:v>
      </x:c>
      <x:c r="K27" s="50" t="s">
        <x:v>792</x:v>
      </x:c>
      <x:c r="L27" s="50" t="s">
        <x:v>517</x:v>
      </x:c>
      <x:c r="M27" s="50" t="s">
        <x:v>358</x:v>
      </x:c>
      <x:c r="N27" s="52">
        <x:f t="shared" si="0"/>
        <x:v>0.019155092592592592</x:v>
      </x:c>
      <x:c r="O27" s="50" t="s">
        <x:v>885</x:v>
      </x:c>
      <x:c r="P27" s="51">
        <x:v>99</x:v>
      </x:c>
      <x:c r="Q27" s="53">
        <x:v>4</x:v>
      </x:c>
      <x:c r="R27" s="53">
        <x:v>220.19</x:v>
      </x:c>
      <x:c r="S27" s="54" t="s">
        <x:v>502</x:v>
      </x:c>
      <x:c r="T27" s="54" t="s">
        <x:v>798</x:v>
      </x:c>
      <x:c r="U27" s="54" t="s">
        <x:v>798</x:v>
      </x:c>
      <x:c r="V27" s="51" t="s">
        <x:v>798</x:v>
      </x:c>
      <x:c r="W27" s="55">
        <x:v>0.0019097222222222224</x:v>
      </x:c>
      <x:c r="X27" s="55">
        <x:v>0.001736111111111111</x:v>
      </x:c>
      <x:c r="Y27" s="55">
        <x:v>0.0016493055555555553</x:v>
      </x:c>
      <x:c r="Z27" s="50"/>
      <x:c r="AA27" s="50"/>
      <x:c r="AB27" s="50"/>
      <x:c r="AC27" s="50"/>
      <x:c r="AD27" s="43"/>
    </x:row>
    <x:row r="28" spans="1:30" ht="50.10000000000000142109" customHeight="1">
      <x:c r="A28" s="50" t="s">
        <x:v>866</x:v>
      </x:c>
      <x:c r="B28" s="51">
        <x:v>24</x:v>
      </x:c>
      <x:c r="C28" s="51">
        <x:v>2</x:v>
      </x:c>
      <x:c r="D28" s="51">
        <x:v>7</x:v>
      </x:c>
      <x:c r="E28" s="50" t="s">
        <x:v>91</x:v>
      </x:c>
      <x:c r="F28" s="50" t="s">
        <x:v>444</x:v>
      </x:c>
      <x:c r="G28" s="50" t="s">
        <x:v>259</x:v>
      </x:c>
      <x:c r="H28" s="50" t="s">
        <x:v>595</x:v>
      </x:c>
      <x:c r="I28" s="51">
        <x:v>3</x:v>
      </x:c>
      <x:c r="J28" s="50" t="s">
        <x:v>151</x:v>
      </x:c>
      <x:c r="K28" s="50" t="s">
        <x:v>792</x:v>
      </x:c>
      <x:c r="L28" s="50" t="s">
        <x:v>501</x:v>
      </x:c>
      <x:c r="M28" s="50" t="s">
        <x:v>359</x:v>
      </x:c>
      <x:c r="N28" s="52">
        <x:f t="shared" si="0"/>
        <x:v>0.020196759259259258</x:v>
      </x:c>
      <x:c r="O28" s="50" t="s">
        <x:v>885</x:v>
      </x:c>
      <x:c r="P28" s="51">
        <x:v>104</x:v>
      </x:c>
      <x:c r="Q28" s="53">
        <x:v>5</x:v>
      </x:c>
      <x:c r="R28" s="53">
        <x:v>238.84</x:v>
      </x:c>
      <x:c r="S28" s="54" t="s">
        <x:v>502</x:v>
      </x:c>
      <x:c r="T28" s="54" t="s">
        <x:v>798</x:v>
      </x:c>
      <x:c r="U28" s="54" t="s">
        <x:v>798</x:v>
      </x:c>
      <x:c r="V28" s="51" t="s">
        <x:v>798</x:v>
      </x:c>
      <x:c r="W28" s="55">
        <x:v>0.0011458333333333333</x:v>
      </x:c>
      <x:c r="X28" s="55">
        <x:v>0.0010416666666666667</x:v>
      </x:c>
      <x:c r="Y28" s="55">
        <x:v>0.0009895833333333332</x:v>
      </x:c>
      <x:c r="Z28" s="50"/>
      <x:c r="AA28" s="50"/>
      <x:c r="AB28" s="50"/>
      <x:c r="AC28" s="50"/>
      <x:c r="AD28" s="43"/>
    </x:row>
    <x:row r="29" spans="1:30" ht="50.10000000000000142109" customHeight="1">
      <x:c r="A29" s="50" t="s">
        <x:v>866</x:v>
      </x:c>
      <x:c r="B29" s="51">
        <x:v>25</x:v>
      </x:c>
      <x:c r="C29" s="51">
        <x:v>3</x:v>
      </x:c>
      <x:c r="D29" s="51">
        <x:v>8</x:v>
      </x:c>
      <x:c r="E29" s="50" t="s">
        <x:v>910</x:v>
      </x:c>
      <x:c r="F29" s="50" t="s">
        <x:v>600</x:v>
      </x:c>
      <x:c r="G29" s="50" t="s">
        <x:v>54</x:v>
      </x:c>
      <x:c r="H29" s="50" t="s">
        <x:v>38</x:v>
      </x:c>
      <x:c r="I29" s="51">
        <x:v>4</x:v>
      </x:c>
      <x:c r="J29" s="50" t="s">
        <x:v>153</x:v>
      </x:c>
      <x:c r="K29" s="50" t="s">
        <x:v>960</x:v>
      </x:c>
      <x:c r="L29" s="50" t="s">
        <x:v>782</x:v>
      </x:c>
      <x:c r="M29" s="50" t="s">
        <x:v>372</x:v>
      </x:c>
      <x:c r="N29" s="52">
        <x:f t="shared" si="0"/>
        <x:v>0.021585648148148145</x:v>
      </x:c>
      <x:c r="O29" s="50" t="s">
        <x:v>885</x:v>
      </x:c>
      <x:c r="P29" s="51">
        <x:v>111</x:v>
      </x:c>
      <x:c r="Q29" s="53">
        <x:v>7</x:v>
      </x:c>
      <x:c r="R29" s="53">
        <x:v>265.94</x:v>
      </x:c>
      <x:c r="S29" s="54" t="s">
        <x:v>502</x:v>
      </x:c>
      <x:c r="T29" s="54" t="s">
        <x:v>798</x:v>
      </x:c>
      <x:c r="U29" s="54" t="s">
        <x:v>798</x:v>
      </x:c>
      <x:c r="V29" s="51" t="s">
        <x:v>798</x:v>
      </x:c>
      <x:c r="W29" s="55">
        <x:v>0.0015902777777777779</x:v>
      </x:c>
      <x:c r="X29" s="55">
        <x:v>0.0013888888888888889</x:v>
      </x:c>
      <x:c r="Y29" s="55">
        <x:v>0.0012847222222222223</x:v>
      </x:c>
      <x:c r="Z29" s="50"/>
      <x:c r="AA29" s="50"/>
      <x:c r="AB29" s="50"/>
      <x:c r="AC29" s="50"/>
      <x:c r="AD29" s="43"/>
    </x:row>
    <x:row r="30" spans="1:30" ht="50.10000000000000142109" customHeight="1">
      <x:c r="A30" s="50" t="s">
        <x:v>866</x:v>
      </x:c>
      <x:c r="B30" s="51">
        <x:v>26</x:v>
      </x:c>
      <x:c r="C30" s="51">
        <x:v>1</x:v>
      </x:c>
      <x:c r="D30" s="51">
        <x:v>5</x:v>
      </x:c>
      <x:c r="E30" s="50" t="s">
        <x:v>908</x:v>
      </x:c>
      <x:c r="F30" s="50" t="s">
        <x:v>360</x:v>
      </x:c>
      <x:c r="G30" s="50" t="s">
        <x:v>10</x:v>
      </x:c>
      <x:c r="H30" s="50" t="s">
        <x:v>607</x:v>
      </x:c>
      <x:c r="I30" s="51">
        <x:v>3</x:v>
      </x:c>
      <x:c r="J30" s="50" t="s">
        <x:v>362</x:v>
      </x:c>
      <x:c r="K30" s="50" t="s">
        <x:v>738</x:v>
      </x:c>
      <x:c r="L30" s="50" t="s">
        <x:v>513</x:v>
      </x:c>
      <x:c r="M30" s="50" t="s">
        <x:v>684</x:v>
      </x:c>
      <x:c r="N30" s="52">
        <x:f t="shared" si="0"/>
        <x:v>0.022337962962962959</x:v>
      </x:c>
      <x:c r="O30" s="50" t="s">
        <x:v>885</x:v>
      </x:c>
      <x:c r="P30" s="51">
        <x:v>114</x:v>
      </x:c>
      <x:c r="Q30" s="53">
        <x:v>3</x:v>
      </x:c>
      <x:c r="R30" s="53">
        <x:v>277.89999999999998</x:v>
      </x:c>
      <x:c r="S30" s="54" t="s">
        <x:v>502</x:v>
      </x:c>
      <x:c r="T30" s="54" t="s">
        <x:v>798</x:v>
      </x:c>
      <x:c r="U30" s="54" t="s">
        <x:v>798</x:v>
      </x:c>
      <x:c r="V30" s="51" t="s">
        <x:v>798</x:v>
      </x:c>
      <x:c r="W30" s="55">
        <x:v>0.00082754629629629638</x:v>
      </x:c>
      <x:c r="X30" s="55">
        <x:v>0.00075231481481481482</x:v>
      </x:c>
      <x:c r="Y30" s="55">
        <x:v>0.00071469907407407409</x:v>
      </x:c>
      <x:c r="Z30" s="50"/>
      <x:c r="AA30" s="50"/>
      <x:c r="AB30" s="50"/>
      <x:c r="AC30" s="50"/>
      <x:c r="AD30" s="43"/>
    </x:row>
    <x:row r="31" spans="1:30" ht="50.10000000000000142109" customHeight="1">
      <x:c r="A31" s="50" t="s">
        <x:v>866</x:v>
      </x:c>
      <x:c r="B31" s="51">
        <x:v>27</x:v>
      </x:c>
      <x:c r="C31" s="51">
        <x:v>2</x:v>
      </x:c>
      <x:c r="D31" s="51">
        <x:v>5</x:v>
      </x:c>
      <x:c r="E31" s="50" t="s">
        <x:v>690</x:v>
      </x:c>
      <x:c r="F31" s="50" t="s">
        <x:v>140</x:v>
      </x:c>
      <x:c r="G31" s="50" t="s">
        <x:v>279</x:v>
      </x:c>
      <x:c r="H31" s="50" t="s">
        <x:v>582</x:v>
      </x:c>
      <x:c r="I31" s="51">
        <x:v>1</x:v>
      </x:c>
      <x:c r="J31" s="50" t="s">
        <x:v>352</x:v>
      </x:c>
      <x:c r="K31" s="50" t="s">
        <x:v>792</x:v>
      </x:c>
      <x:c r="L31" s="50" t="s">
        <x:v>482</x:v>
      </x:c>
      <x:c r="M31" s="50" t="s">
        <x:v>358</x:v>
      </x:c>
      <x:c r="N31" s="52">
        <x:f t="shared" si="0"/>
        <x:v>0.023611111111111107</x:v>
      </x:c>
      <x:c r="O31" s="50" t="s">
        <x:v>907</x:v>
      </x:c>
      <x:c r="P31" s="51">
        <x:v>118</x:v>
      </x:c>
      <x:c r="Q31" s="53">
        <x:v>4</x:v>
      </x:c>
      <x:c r="R31" s="53">
        <x:v>294.17000000000002</x:v>
      </x:c>
      <x:c r="S31" s="54" t="s">
        <x:v>502</x:v>
      </x:c>
      <x:c r="T31" s="54" t="s">
        <x:v>798</x:v>
      </x:c>
      <x:c r="U31" s="54" t="s">
        <x:v>798</x:v>
      </x:c>
      <x:c r="V31" s="51" t="s">
        <x:v>798</x:v>
      </x:c>
      <x:c r="W31" s="55">
        <x:v>0.0014004629629629632</x:v>
      </x:c>
      <x:c r="X31" s="55">
        <x:v>0.0012731481481481483</x:v>
      </x:c>
      <x:c r="Y31" s="55">
        <x:v>0.0012094907407407408</x:v>
      </x:c>
      <x:c r="Z31" s="50"/>
      <x:c r="AA31" s="50"/>
      <x:c r="AB31" s="50"/>
      <x:c r="AC31" s="50"/>
      <x:c r="AD31" s="43"/>
    </x:row>
    <x:row r="32" spans="1:30" ht="50.10000000000000142109" customHeight="1">
      <x:c r="A32" s="50" t="s">
        <x:v>901</x:v>
      </x:c>
      <x:c r="B32" s="51">
        <x:v>28</x:v>
      </x:c>
      <x:c r="C32" s="51">
        <x:v>1</x:v>
      </x:c>
      <x:c r="D32" s="51">
        <x:v>5</x:v>
      </x:c>
      <x:c r="E32" s="50" t="s">
        <x:v>148</x:v>
      </x:c>
      <x:c r="F32" s="50" t="s">
        <x:v>444</x:v>
      </x:c>
      <x:c r="G32" s="50" t="s">
        <x:v>617</x:v>
      </x:c>
      <x:c r="H32" s="50" t="s">
        <x:v>589</x:v>
      </x:c>
      <x:c r="I32" s="51">
        <x:v>4</x:v>
      </x:c>
      <x:c r="J32" s="50" t="s">
        <x:v>151</x:v>
      </x:c>
      <x:c r="K32" s="50" t="s">
        <x:v>792</x:v>
      </x:c>
      <x:c r="L32" s="50" t="s">
        <x:v>510</x:v>
      </x:c>
      <x:c r="M32" s="50" t="s">
        <x:v>359</x:v>
      </x:c>
      <x:c r="N32" s="52">
        <x:f t="shared" si="0"/>
        <x:v>0.024479166666666663</x:v>
      </x:c>
      <x:c r="O32" s="50" t="s">
        <x:v>109</x:v>
      </x:c>
      <x:c r="P32" s="51">
        <x:v>121</x:v>
      </x:c>
      <x:c r="Q32" s="53">
        <x:v>3</x:v>
      </x:c>
      <x:c r="R32" s="53">
        <x:v>306.62</x:v>
      </x:c>
      <x:c r="S32" s="54" t="s">
        <x:v>502</x:v>
      </x:c>
      <x:c r="T32" s="54" t="s">
        <x:v>798</x:v>
      </x:c>
      <x:c r="U32" s="54" t="s">
        <x:v>798</x:v>
      </x:c>
      <x:c r="V32" s="51" t="s">
        <x:v>798</x:v>
      </x:c>
      <x:c r="W32" s="55">
        <x:v>0.00095486111111111119</x:v>
      </x:c>
      <x:c r="X32" s="55">
        <x:v>0.00086805555555555551</x:v>
      </x:c>
      <x:c r="Y32" s="55">
        <x:v>0.00082465277777777767</x:v>
      </x:c>
      <x:c r="Z32" s="50"/>
      <x:c r="AA32" s="50"/>
      <x:c r="AB32" s="50"/>
      <x:c r="AC32" s="50"/>
      <x:c r="AD32" s="43"/>
    </x:row>
    <x:row r="33" spans="1:30" ht="50.10000000000000142109" customHeight="1">
      <x:c r="A33" s="50" t="s">
        <x:v>901</x:v>
      </x:c>
      <x:c r="B33" s="51">
        <x:v>29</x:v>
      </x:c>
      <x:c r="C33" s="51">
        <x:v>1</x:v>
      </x:c>
      <x:c r="D33" s="51">
        <x:v>6</x:v>
      </x:c>
      <x:c r="E33" s="50" t="s">
        <x:v>370</x:v>
      </x:c>
      <x:c r="F33" s="50" t="s">
        <x:v>557</x:v>
      </x:c>
      <x:c r="G33" s="50" t="s">
        <x:v>608</x:v>
      </x:c>
      <x:c r="H33" s="50" t="s">
        <x:v>451</x:v>
      </x:c>
      <x:c r="I33" s="51">
        <x:v>1</x:v>
      </x:c>
      <x:c r="J33" s="50" t="s">
        <x:v>896</x:v>
      </x:c>
      <x:c r="K33" s="50" t="s">
        <x:v>792</x:v>
      </x:c>
      <x:c r="L33" s="50" t="s">
        <x:v>797</x:v>
      </x:c>
      <x:c r="M33" s="50" t="s">
        <x:v>761</x:v>
      </x:c>
      <x:c r="N33" s="52">
        <x:f t="shared" si="0"/>
        <x:v>0.024884259259259255</x:v>
      </x:c>
      <x:c r="O33" s="50" t="s">
        <x:v>109</x:v>
      </x:c>
      <x:c r="P33" s="51">
        <x:v>125</x:v>
      </x:c>
      <x:c r="Q33" s="53">
        <x:v>4</x:v>
      </x:c>
      <x:c r="R33" s="53">
        <x:v>323.51999999999998</x:v>
      </x:c>
      <x:c r="S33" s="54" t="s">
        <x:v>502</x:v>
      </x:c>
      <x:c r="T33" s="54" t="s">
        <x:v>798</x:v>
      </x:c>
      <x:c r="U33" s="54" t="s">
        <x:v>798</x:v>
      </x:c>
      <x:c r="V33" s="51" t="s">
        <x:v>798</x:v>
      </x:c>
      <x:c r="W33" s="55">
        <x:v>0.00044560185185185187</x:v>
      </x:c>
      <x:c r="X33" s="55">
        <x:v>0.00040509259259259258</x:v>
      </x:c>
      <x:c r="Y33" s="55">
        <x:v>0.00038483796296296291</x:v>
      </x:c>
      <x:c r="Z33" s="50"/>
      <x:c r="AA33" s="50"/>
      <x:c r="AB33" s="50"/>
      <x:c r="AC33" s="50"/>
      <x:c r="AD33" s="43"/>
    </x:row>
    <x:row r="34" spans="1:30" ht="50.10000000000000142109" customHeight="1">
      <x:c r="A34" s="50" t="s">
        <x:v>901</x:v>
      </x:c>
      <x:c r="B34" s="51">
        <x:v>30</x:v>
      </x:c>
      <x:c r="C34" s="51">
        <x:v>1</x:v>
      </x:c>
      <x:c r="D34" s="51">
        <x:v>5</x:v>
      </x:c>
      <x:c r="E34" s="50" t="s">
        <x:v>99</x:v>
      </x:c>
      <x:c r="F34" s="50" t="s">
        <x:v>603</x:v>
      </x:c>
      <x:c r="G34" s="50" t="s">
        <x:v>620</x:v>
      </x:c>
      <x:c r="H34" s="50" t="s">
        <x:v>1001</x:v>
      </x:c>
      <x:c r="I34" s="51">
        <x:v>1</x:v>
      </x:c>
      <x:c r="J34" s="50" t="s">
        <x:v>902</x:v>
      </x:c>
      <x:c r="K34" s="50" t="s">
        <x:v>792</x:v>
      </x:c>
      <x:c r="L34" s="50" t="s">
        <x:v>779</x:v>
      </x:c>
      <x:c r="M34" s="50" t="s">
        <x:v>353</x:v>
      </x:c>
      <x:c r="N34" s="52">
        <x:f t="shared" si="0"/>
        <x:v>0.02540509259259259</x:v>
      </x:c>
      <x:c r="O34" s="50" t="s">
        <x:v>109</x:v>
      </x:c>
      <x:c r="P34" s="51">
        <x:v>128</x:v>
      </x:c>
      <x:c r="Q34" s="53">
        <x:v>3</x:v>
      </x:c>
      <x:c r="R34" s="53">
        <x:v>336.43000000000001</x:v>
      </x:c>
      <x:c r="S34" s="54" t="s">
        <x:v>502</x:v>
      </x:c>
      <x:c r="T34" s="54" t="s">
        <x:v>798</x:v>
      </x:c>
      <x:c r="U34" s="54" t="s">
        <x:v>798</x:v>
      </x:c>
      <x:c r="V34" s="51" t="s">
        <x:v>798</x:v>
      </x:c>
      <x:c r="W34" s="55">
        <x:v>0.00057291666666666667</x:v>
      </x:c>
      <x:c r="X34" s="55">
        <x:v>0.00052083333333333333</x:v>
      </x:c>
      <x:c r="Y34" s="55">
        <x:v>0.0004947916666666666</x:v>
      </x:c>
      <x:c r="Z34" s="50"/>
      <x:c r="AA34" s="50"/>
      <x:c r="AB34" s="50"/>
      <x:c r="AC34" s="50"/>
      <x:c r="AD34" s="43"/>
    </x:row>
    <x:row r="35" spans="1:30" ht="50.10000000000000142109" customHeight="1">
      <x:c r="A35" s="50" t="s">
        <x:v>901</x:v>
      </x:c>
      <x:c r="B35" s="51">
        <x:v>31</x:v>
      </x:c>
      <x:c r="C35" s="51">
        <x:v>2</x:v>
      </x:c>
      <x:c r="D35" s="51">
        <x:v>5</x:v>
      </x:c>
      <x:c r="E35" s="50" t="s">
        <x:v>892</x:v>
      </x:c>
      <x:c r="F35" s="50" t="s">
        <x:v>525</x:v>
      </x:c>
      <x:c r="G35" s="50" t="s">
        <x:v>584</x:v>
      </x:c>
      <x:c r="H35" s="50" t="s">
        <x:v>124</x:v>
      </x:c>
      <x:c r="I35" s="51">
        <x:v>4</x:v>
      </x:c>
      <x:c r="J35" s="50" t="s">
        <x:v>364</x:v>
      </x:c>
      <x:c r="K35" s="50" t="s">
        <x:v>792</x:v>
      </x:c>
      <x:c r="L35" s="50" t="s">
        <x:v>465</x:v>
      </x:c>
      <x:c r="M35" s="50" t="s">
        <x:v>943</x:v>
      </x:c>
      <x:c r="N35" s="52">
        <x:f t="shared" si="0"/>
        <x:v>0.026388888888888885</x:v>
      </x:c>
      <x:c r="O35" s="50" t="s">
        <x:v>109</x:v>
      </x:c>
      <x:c r="P35" s="51">
        <x:v>132</x:v>
      </x:c>
      <x:c r="Q35" s="53">
        <x:v>4</x:v>
      </x:c>
      <x:c r="R35" s="53">
        <x:v>353.94999999999999</x:v>
      </x:c>
      <x:c r="S35" s="54" t="s">
        <x:v>502</x:v>
      </x:c>
      <x:c r="T35" s="54" t="s">
        <x:v>798</x:v>
      </x:c>
      <x:c r="U35" s="54" t="s">
        <x:v>798</x:v>
      </x:c>
      <x:c r="V35" s="51" t="s">
        <x:v>798</x:v>
      </x:c>
      <x:c r="W35" s="55">
        <x:v>0.0010821759259259259</x:v>
      </x:c>
      <x:c r="X35" s="55">
        <x:v>0.0009837962962962962</x:v>
      </x:c>
      <x:c r="Y35" s="55">
        <x:v>0.00093460648148148136</x:v>
      </x:c>
      <x:c r="Z35" s="50"/>
      <x:c r="AA35" s="50"/>
      <x:c r="AB35" s="50"/>
      <x:c r="AC35" s="50"/>
      <x:c r="AD35" s="43"/>
    </x:row>
    <x:row r="36" spans="1:30" ht="50.10000000000000142109" customHeight="1">
      <x:c r="A36" s="50" t="s">
        <x:v>901</x:v>
      </x:c>
      <x:c r="B36" s="51">
        <x:v>32</x:v>
      </x:c>
      <x:c r="C36" s="51">
        <x:v>4</x:v>
      </x:c>
      <x:c r="D36" s="51">
        <x:v>8</x:v>
      </x:c>
      <x:c r="E36" s="50" t="s">
        <x:v>679</x:v>
      </x:c>
      <x:c r="F36" s="50" t="s">
        <x:v>1018</x:v>
      </x:c>
      <x:c r="G36" s="50" t="s">
        <x:v>53</x:v>
      </x:c>
      <x:c r="H36" s="50" t="s">
        <x:v>979</x:v>
      </x:c>
      <x:c r="I36" s="51">
        <x:v>3</x:v>
      </x:c>
      <x:c r="J36" s="50" t="s">
        <x:v>689</x:v>
      </x:c>
      <x:c r="K36" s="50" t="s">
        <x:v>309</x:v>
      </x:c>
      <x:c r="L36" s="50" t="s">
        <x:v>490</x:v>
      </x:c>
      <x:c r="M36" s="50" t="s">
        <x:v>424</x:v>
      </x:c>
      <x:c r="N36" s="52">
        <x:f t="shared" si="0"/>
        <x:v>0.027314814814814813</x:v>
      </x:c>
      <x:c r="O36" s="50" t="s">
        <x:v>109</x:v>
      </x:c>
      <x:c r="P36" s="51">
        <x:v>140</x:v>
      </x:c>
      <x:c r="Q36" s="53">
        <x:v>8</x:v>
      </x:c>
      <x:c r="R36" s="53">
        <x:v>390.04000000000002</x:v>
      </x:c>
      <x:c r="S36" s="54" t="s">
        <x:v>502</x:v>
      </x:c>
      <x:c r="T36" s="54" t="s">
        <x:v>798</x:v>
      </x:c>
      <x:c r="U36" s="54" t="s">
        <x:v>798</x:v>
      </x:c>
      <x:c r="V36" s="51" t="s">
        <x:v>798</x:v>
      </x:c>
      <x:c r="W36" s="55">
        <x:v>0.0011018518518518521</x:v>
      </x:c>
      <x:c r="X36" s="55">
        <x:v>0.00092592592592592596</x:v>
      </x:c>
      <x:c r="Y36" s="55">
        <x:v>0.00083333333333333328</x:v>
      </x:c>
      <x:c r="Z36" s="50"/>
      <x:c r="AA36" s="50"/>
      <x:c r="AB36" s="50"/>
      <x:c r="AC36" s="50"/>
      <x:c r="AD36" s="43"/>
    </x:row>
    <x:row r="37" spans="1:30" ht="50.10000000000000142109" customHeight="1">
      <x:c r="A37" s="50" t="s">
        <x:v>901</x:v>
      </x:c>
      <x:c r="B37" s="51">
        <x:v>33</x:v>
      </x:c>
      <x:c r="C37" s="51">
        <x:v>1</x:v>
      </x:c>
      <x:c r="D37" s="51">
        <x:v>5</x:v>
      </x:c>
      <x:c r="E37" s="50" t="s">
        <x:v>900</x:v>
      </x:c>
      <x:c r="F37" s="50" t="s">
        <x:v>938</x:v>
      </x:c>
      <x:c r="G37" s="50" t="s">
        <x:v>171</x:v>
      </x:c>
      <x:c r="H37" s="50" t="s">
        <x:v>936</x:v>
      </x:c>
      <x:c r="I37" s="51">
        <x:v>3</x:v>
      </x:c>
      <x:c r="J37" s="50" t="s">
        <x:v>106</x:v>
      </x:c>
      <x:c r="K37" s="50" t="s">
        <x:v>792</x:v>
      </x:c>
      <x:c r="L37" s="50" t="s">
        <x:v>787</x:v>
      </x:c>
      <x:c r="M37" s="50" t="s">
        <x:v>318</x:v>
      </x:c>
      <x:c r="N37" s="52">
        <x:f t="shared" si="0"/>
        <x:v>0.027951388888888887</x:v>
      </x:c>
      <x:c r="O37" s="50" t="s">
        <x:v>109</x:v>
      </x:c>
      <x:c r="P37" s="51">
        <x:v>143</x:v>
      </x:c>
      <x:c r="Q37" s="53">
        <x:v>3</x:v>
      </x:c>
      <x:c r="R37" s="53">
        <x:v>403.93000000000001</x:v>
      </x:c>
      <x:c r="S37" s="54" t="s">
        <x:v>502</x:v>
      </x:c>
      <x:c r="T37" s="54" t="s">
        <x:v>798</x:v>
      </x:c>
      <x:c r="U37" s="54" t="s">
        <x:v>798</x:v>
      </x:c>
      <x:c r="V37" s="51" t="s">
        <x:v>798</x:v>
      </x:c>
      <x:c r="W37" s="55">
        <x:v>0.00070023148148148158</x:v>
      </x:c>
      <x:c r="X37" s="55">
        <x:v>0.00063657407407407413</x:v>
      </x:c>
      <x:c r="Y37" s="55">
        <x:v>0.0006047453703703704</x:v>
      </x:c>
      <x:c r="Z37" s="50"/>
      <x:c r="AA37" s="50"/>
      <x:c r="AB37" s="50"/>
      <x:c r="AC37" s="50"/>
      <x:c r="AD37" s="43"/>
    </x:row>
    <x:row r="38" spans="1:30" ht="50.10000000000000142109" customHeight="1">
      <x:c r="A38" s="50" t="s">
        <x:v>901</x:v>
      </x:c>
      <x:c r="B38" s="51">
        <x:v>34</x:v>
      </x:c>
      <x:c r="C38" s="51">
        <x:v>2</x:v>
      </x:c>
      <x:c r="D38" s="51">
        <x:v>6</x:v>
      </x:c>
      <x:c r="E38" s="50" t="s">
        <x:v>112</x:v>
      </x:c>
      <x:c r="F38" s="50" t="s">
        <x:v>604</x:v>
      </x:c>
      <x:c r="G38" s="50" t="s">
        <x:v>623</x:v>
      </x:c>
      <x:c r="H38" s="50" t="s">
        <x:v>9</x:v>
      </x:c>
      <x:c r="I38" s="51">
        <x:v>8</x:v>
      </x:c>
      <x:c r="J38" s="50" t="s">
        <x:v>644</x:v>
      </x:c>
      <x:c r="K38" s="50" t="s">
        <x:v>312</x:v>
      </x:c>
      <x:c r="L38" s="50" t="s">
        <x:v>781</x:v>
      </x:c>
      <x:c r="M38" s="50" t="s">
        <x:v>435</x:v>
      </x:c>
      <x:c r="N38" s="52">
        <x:f t="shared" ref="N38:N69" si="1">N37+(IFERROR(VALUE(LEFT(L38,FIND("분",L38)-1))*60,0)+IFERROR(VALUE(TRIM(MID(L38,IFERROR(FIND("분",L38),0)+1,IFERROR(FIND("초",L38),LEN(L38)+1)-IFERROR(FIND("분",L38),0)-1))),0))/86400</x:f>
        <x:v>0.03003472222222222</x:v>
      </x:c>
      <x:c r="O38" s="50" t="s">
        <x:v>109</x:v>
      </x:c>
      <x:c r="P38" s="51">
        <x:v>148</x:v>
      </x:c>
      <x:c r="Q38" s="53">
        <x:v>5</x:v>
      </x:c>
      <x:c r="R38" s="53">
        <x:v>427.5</x:v>
      </x:c>
      <x:c r="S38" s="54" t="s">
        <x:v>502</x:v>
      </x:c>
      <x:c r="T38" s="54" t="s">
        <x:v>798</x:v>
      </x:c>
      <x:c r="U38" s="54" t="s">
        <x:v>798</x:v>
      </x:c>
      <x:c r="V38" s="51" t="s">
        <x:v>798</x:v>
      </x:c>
      <x:c r="W38" s="55">
        <x:v>0.0022916666666666667</x:v>
      </x:c>
      <x:c r="X38" s="55">
        <x:v>0.0020833333333333333</x:v>
      </x:c>
      <x:c r="Y38" s="55">
        <x:v>0.0019791666666666664</x:v>
      </x:c>
      <x:c r="Z38" s="50"/>
      <x:c r="AA38" s="50"/>
      <x:c r="AB38" s="50"/>
      <x:c r="AC38" s="50"/>
      <x:c r="AD38" s="43"/>
    </x:row>
    <x:row r="39" spans="1:30" ht="50.10000000000000142109" customHeight="1">
      <x:c r="A39" s="50" t="s">
        <x:v>901</x:v>
      </x:c>
      <x:c r="B39" s="51">
        <x:v>35</x:v>
      </x:c>
      <x:c r="C39" s="51">
        <x:v>2</x:v>
      </x:c>
      <x:c r="D39" s="51">
        <x:v>6</x:v>
      </x:c>
      <x:c r="E39" s="50" t="s">
        <x:v>147</x:v>
      </x:c>
      <x:c r="F39" s="50" t="s">
        <x:v>604</x:v>
      </x:c>
      <x:c r="G39" s="50" t="s">
        <x:v>616</x:v>
      </x:c>
      <x:c r="H39" s="50" t="s">
        <x:v>9</x:v>
      </x:c>
      <x:c r="I39" s="51">
        <x:v>7</x:v>
      </x:c>
      <x:c r="J39" s="50" t="s">
        <x:v>641</x:v>
      </x:c>
      <x:c r="K39" s="50" t="s">
        <x:v>312</x:v>
      </x:c>
      <x:c r="L39" s="50" t="s">
        <x:v>496</x:v>
      </x:c>
      <x:c r="M39" s="50" t="s">
        <x:v>435</x:v>
      </x:c>
      <x:c r="N39" s="52">
        <x:f t="shared" si="1"/>
        <x:v>0.031886574074074074</x:v>
      </x:c>
      <x:c r="O39" s="50" t="s">
        <x:v>109</x:v>
      </x:c>
      <x:c r="P39" s="51">
        <x:v>153</x:v>
      </x:c>
      <x:c r="Q39" s="53">
        <x:v>5</x:v>
      </x:c>
      <x:c r="R39" s="53">
        <x:v>451.58999999999997</x:v>
      </x:c>
      <x:c r="S39" s="54" t="s">
        <x:v>502</x:v>
      </x:c>
      <x:c r="T39" s="54" t="s">
        <x:v>798</x:v>
      </x:c>
      <x:c r="U39" s="54" t="s">
        <x:v>798</x:v>
      </x:c>
      <x:c r="V39" s="51" t="s">
        <x:v>798</x:v>
      </x:c>
      <x:c r="W39" s="55">
        <x:v>0.0020370370370370373</x:v>
      </x:c>
      <x:c r="X39" s="55">
        <x:v>0.0018518518518518519</x:v>
      </x:c>
      <x:c r="Y39" s="55">
        <x:v>0.0017592592592592592</x:v>
      </x:c>
      <x:c r="Z39" s="50"/>
      <x:c r="AA39" s="50"/>
      <x:c r="AB39" s="50"/>
      <x:c r="AC39" s="50"/>
      <x:c r="AD39" s="43"/>
    </x:row>
    <x:row r="40" spans="1:30" ht="50.10000000000000142109" customHeight="1">
      <x:c r="A40" s="50" t="s">
        <x:v>901</x:v>
      </x:c>
      <x:c r="B40" s="51">
        <x:v>36</x:v>
      </x:c>
      <x:c r="C40" s="51">
        <x:v>3</x:v>
      </x:c>
      <x:c r="D40" s="51">
        <x:v>6</x:v>
      </x:c>
      <x:c r="E40" s="50" t="s">
        <x:v>97</x:v>
      </x:c>
      <x:c r="F40" s="50" t="s">
        <x:v>604</x:v>
      </x:c>
      <x:c r="G40" s="50" t="s">
        <x:v>257</x:v>
      </x:c>
      <x:c r="H40" s="50" t="s">
        <x:v>13</x:v>
      </x:c>
      <x:c r="I40" s="51">
        <x:v>6</x:v>
      </x:c>
      <x:c r="J40" s="50" t="s">
        <x:v>718</x:v>
      </x:c>
      <x:c r="K40" s="50" t="s">
        <x:v>312</x:v>
      </x:c>
      <x:c r="L40" s="50" t="s">
        <x:v>517</x:v>
      </x:c>
      <x:c r="M40" s="50" t="s">
        <x:v>435</x:v>
      </x:c>
      <x:c r="N40" s="52">
        <x:f t="shared" si="1"/>
        <x:v>0.033622685185185186</x:v>
      </x:c>
      <x:c r="O40" s="50" t="s">
        <x:v>109</x:v>
      </x:c>
      <x:c r="P40" s="51">
        <x:v>159</x:v>
      </x:c>
      <x:c r="Q40" s="53">
        <x:v>6</x:v>
      </x:c>
      <x:c r="R40" s="53">
        <x:v>481.18000000000001</x:v>
      </x:c>
      <x:c r="S40" s="54" t="s">
        <x:v>502</x:v>
      </x:c>
      <x:c r="T40" s="54" t="s">
        <x:v>798</x:v>
      </x:c>
      <x:c r="U40" s="54" t="s">
        <x:v>798</x:v>
      </x:c>
      <x:c r="V40" s="51" t="s">
        <x:v>798</x:v>
      </x:c>
      <x:c r="W40" s="55">
        <x:v>0.001987847222222222</x:v>
      </x:c>
      <x:c r="X40" s="55">
        <x:v>0.001736111111111111</x:v>
      </x:c>
      <x:c r="Y40" s="55">
        <x:v>0.0016059027777777775</x:v>
      </x:c>
      <x:c r="Z40" s="50"/>
      <x:c r="AA40" s="50"/>
      <x:c r="AB40" s="50"/>
      <x:c r="AC40" s="50"/>
      <x:c r="AD40" s="43"/>
    </x:row>
    <x:row r="41" spans="1:30" ht="50.10000000000000142109" customHeight="1">
      <x:c r="A41" s="50" t="s">
        <x:v>901</x:v>
      </x:c>
      <x:c r="B41" s="51">
        <x:v>37</x:v>
      </x:c>
      <x:c r="C41" s="51">
        <x:v>1</x:v>
      </x:c>
      <x:c r="D41" s="51">
        <x:v>5</x:v>
      </x:c>
      <x:c r="E41" s="50" t="s">
        <x:v>895</x:v>
      </x:c>
      <x:c r="F41" s="50" t="s">
        <x:v>941</x:v>
      </x:c>
      <x:c r="G41" s="50" t="s">
        <x:v>139</x:v>
      </x:c>
      <x:c r="H41" s="50" t="s">
        <x:v>611</x:v>
      </x:c>
      <x:c r="I41" s="51">
        <x:v>1</x:v>
      </x:c>
      <x:c r="J41" s="50" t="s">
        <x:v>127</x:v>
      </x:c>
      <x:c r="K41" s="50" t="s">
        <x:v>792</x:v>
      </x:c>
      <x:c r="L41" s="50" t="s">
        <x:v>501</x:v>
      </x:c>
      <x:c r="M41" s="50" t="s">
        <x:v>369</x:v>
      </x:c>
      <x:c r="N41" s="52">
        <x:f t="shared" si="1"/>
        <x:v>0.034664351851851856</x:v>
      </x:c>
      <x:c r="O41" s="50" t="s">
        <x:v>109</x:v>
      </x:c>
      <x:c r="P41" s="51">
        <x:v>162</x:v>
      </x:c>
      <x:c r="Q41" s="53">
        <x:v>3</x:v>
      </x:c>
      <x:c r="R41" s="53">
        <x:v>496.25</x:v>
      </x:c>
      <x:c r="S41" s="54" t="s">
        <x:v>502</x:v>
      </x:c>
      <x:c r="T41" s="54" t="s">
        <x:v>798</x:v>
      </x:c>
      <x:c r="U41" s="54" t="s">
        <x:v>798</x:v>
      </x:c>
      <x:c r="V41" s="51" t="s">
        <x:v>798</x:v>
      </x:c>
      <x:c r="W41" s="55">
        <x:v>0.0011458333333333333</x:v>
      </x:c>
      <x:c r="X41" s="55">
        <x:v>0.0010416666666666667</x:v>
      </x:c>
      <x:c r="Y41" s="55">
        <x:v>0.0009895833333333332</x:v>
      </x:c>
      <x:c r="Z41" s="50"/>
      <x:c r="AA41" s="50"/>
      <x:c r="AB41" s="50"/>
      <x:c r="AC41" s="50"/>
      <x:c r="AD41" s="43"/>
    </x:row>
    <x:row r="42" spans="1:30" ht="50.10000000000000142109" customHeight="1">
      <x:c r="A42" s="50" t="s">
        <x:v>901</x:v>
      </x:c>
      <x:c r="B42" s="51">
        <x:v>38</x:v>
      </x:c>
      <x:c r="C42" s="51">
        <x:v>2</x:v>
      </x:c>
      <x:c r="D42" s="51">
        <x:v>5</x:v>
      </x:c>
      <x:c r="E42" s="50" t="s">
        <x:v>111</x:v>
      </x:c>
      <x:c r="F42" s="50" t="s">
        <x:v>196</x:v>
      </x:c>
      <x:c r="G42" s="50" t="s">
        <x:v>23</x:v>
      </x:c>
      <x:c r="H42" s="50" t="s">
        <x:v>0</x:v>
      </x:c>
      <x:c r="I42" s="51">
        <x:v>4</x:v>
      </x:c>
      <x:c r="J42" s="50" t="s">
        <x:v>748</x:v>
      </x:c>
      <x:c r="K42" s="50" t="s">
        <x:v>792</x:v>
      </x:c>
      <x:c r="L42" s="50" t="s">
        <x:v>520</x:v>
      </x:c>
      <x:c r="M42" s="50" t="s">
        <x:v>297</x:v>
      </x:c>
      <x:c r="N42" s="52">
        <x:f t="shared" si="1"/>
        <x:v>0.036284722222222225</x:v>
      </x:c>
      <x:c r="O42" s="50" t="s">
        <x:v>109</x:v>
      </x:c>
      <x:c r="P42" s="51">
        <x:v>166</x:v>
      </x:c>
      <x:c r="Q42" s="53">
        <x:v>4</x:v>
      </x:c>
      <x:c r="R42" s="53">
        <x:v>516.63</x:v>
      </x:c>
      <x:c r="S42" s="54" t="s">
        <x:v>502</x:v>
      </x:c>
      <x:c r="T42" s="54" t="s">
        <x:v>798</x:v>
      </x:c>
      <x:c r="U42" s="54" t="s">
        <x:v>798</x:v>
      </x:c>
      <x:c r="V42" s="51" t="s">
        <x:v>798</x:v>
      </x:c>
      <x:c r="W42" s="55">
        <x:v>0.0017824074074074075</x:v>
      </x:c>
      <x:c r="X42" s="55">
        <x:v>0.0016203703703703703</x:v>
      </x:c>
      <x:c r="Y42" s="55">
        <x:v>0.0015393518518518516</x:v>
      </x:c>
      <x:c r="Z42" s="50"/>
      <x:c r="AA42" s="50"/>
      <x:c r="AB42" s="50"/>
      <x:c r="AC42" s="50"/>
      <x:c r="AD42" s="43"/>
    </x:row>
    <x:row r="43" spans="1:30" ht="50.10000000000000142109" customHeight="1">
      <x:c r="A43" s="50" t="s">
        <x:v>901</x:v>
      </x:c>
      <x:c r="B43" s="51">
        <x:v>39</x:v>
      </x:c>
      <x:c r="C43" s="51">
        <x:v>4</x:v>
      </x:c>
      <x:c r="D43" s="51">
        <x:v>8</x:v>
      </x:c>
      <x:c r="E43" s="50" t="s">
        <x:v>850</x:v>
      </x:c>
      <x:c r="F43" s="50" t="s">
        <x:v>61</x:v>
      </x:c>
      <x:c r="G43" s="50" t="s">
        <x:v>56</x:v>
      </x:c>
      <x:c r="H43" s="50" t="s">
        <x:v>1015</x:v>
      </x:c>
      <x:c r="I43" s="51">
        <x:v>12</x:v>
      </x:c>
      <x:c r="J43" s="50" t="s">
        <x:v>159</x:v>
      </x:c>
      <x:c r="K43" s="50" t="s">
        <x:v>287</x:v>
      </x:c>
      <x:c r="L43" s="50" t="s">
        <x:v>782</x:v>
      </x:c>
      <x:c r="M43" s="50" t="s">
        <x:v>391</x:v>
      </x:c>
      <x:c r="N43" s="52">
        <x:f t="shared" si="1"/>
        <x:v>0.037673611111111116</x:v>
      </x:c>
      <x:c r="O43" s="50" t="s">
        <x:v>109</x:v>
      </x:c>
      <x:c r="P43" s="51">
        <x:v>174</x:v>
      </x:c>
      <x:c r="Q43" s="53">
        <x:v>8</x:v>
      </x:c>
      <x:c r="R43" s="53">
        <x:v>558.35000000000002</x:v>
      </x:c>
      <x:c r="S43" s="54" t="s">
        <x:v>502</x:v>
      </x:c>
      <x:c r="T43" s="54" t="s">
        <x:v>798</x:v>
      </x:c>
      <x:c r="U43" s="54" t="s">
        <x:v>798</x:v>
      </x:c>
      <x:c r="V43" s="51" t="s">
        <x:v>798</x:v>
      </x:c>
      <x:c r="W43" s="55">
        <x:v>0.001652777777777778</x:v>
      </x:c>
      <x:c r="X43" s="55">
        <x:v>0.0013888888888888889</x:v>
      </x:c>
      <x:c r="Y43" s="55">
        <x:v>0.00125</x:v>
      </x:c>
      <x:c r="Z43" s="50"/>
      <x:c r="AA43" s="50"/>
      <x:c r="AB43" s="50"/>
      <x:c r="AC43" s="50"/>
      <x:c r="AD43" s="43"/>
    </x:row>
    <x:row r="44" spans="1:30" ht="50.10000000000000142109" customHeight="1">
      <x:c r="A44" s="50" t="s">
        <x:v>901</x:v>
      </x:c>
      <x:c r="B44" s="51">
        <x:v>40</x:v>
      </x:c>
      <x:c r="C44" s="51">
        <x:v>2</x:v>
      </x:c>
      <x:c r="D44" s="51">
        <x:v>6</x:v>
      </x:c>
      <x:c r="E44" s="50" t="s">
        <x:v>113</x:v>
      </x:c>
      <x:c r="F44" s="50" t="s">
        <x:v>570</x:v>
      </x:c>
      <x:c r="G44" s="50" t="s">
        <x:v>2</x:v>
      </x:c>
      <x:c r="H44" s="50" t="s">
        <x:v>377</x:v>
      </x:c>
      <x:c r="I44" s="51">
        <x:v>3</x:v>
      </x:c>
      <x:c r="J44" s="50" t="s">
        <x:v>894</x:v>
      </x:c>
      <x:c r="K44" s="50" t="s">
        <x:v>755</x:v>
      </x:c>
      <x:c r="L44" s="50" t="s">
        <x:v>510</x:v>
      </x:c>
      <x:c r="M44" s="50" t="s">
        <x:v>348</x:v>
      </x:c>
      <x:c r="N44" s="52">
        <x:f t="shared" si="1"/>
        <x:v>0.038541666666666669</x:v>
      </x:c>
      <x:c r="O44" s="50" t="s">
        <x:v>109</x:v>
      </x:c>
      <x:c r="P44" s="51">
        <x:v>179</x:v>
      </x:c>
      <x:c r="Q44" s="53">
        <x:v>5</x:v>
      </x:c>
      <x:c r="R44" s="53">
        <x:v>585.07000000000005</x:v>
      </x:c>
      <x:c r="S44" s="54" t="s">
        <x:v>502</x:v>
      </x:c>
      <x:c r="T44" s="54" t="s">
        <x:v>798</x:v>
      </x:c>
      <x:c r="U44" s="54" t="s">
        <x:v>798</x:v>
      </x:c>
      <x:c r="V44" s="51" t="s">
        <x:v>798</x:v>
      </x:c>
      <x:c r="W44" s="55">
        <x:v>0.00095486111111111119</x:v>
      </x:c>
      <x:c r="X44" s="55">
        <x:v>0.00086805555555555551</x:v>
      </x:c>
      <x:c r="Y44" s="55">
        <x:v>0.00082465277777777767</x:v>
      </x:c>
      <x:c r="Z44" s="50"/>
      <x:c r="AA44" s="50"/>
      <x:c r="AB44" s="50"/>
      <x:c r="AC44" s="50"/>
      <x:c r="AD44" s="43"/>
    </x:row>
    <x:row r="45" spans="1:30" ht="50.10000000000000142109" customHeight="1">
      <x:c r="A45" s="50" t="s">
        <x:v>901</x:v>
      </x:c>
      <x:c r="B45" s="51">
        <x:v>41</x:v>
      </x:c>
      <x:c r="C45" s="51">
        <x:v>4</x:v>
      </x:c>
      <x:c r="D45" s="51">
        <x:v>8</x:v>
      </x:c>
      <x:c r="E45" s="50" t="s">
        <x:v>685</x:v>
      </x:c>
      <x:c r="F45" s="50" t="s">
        <x:v>187</x:v>
      </x:c>
      <x:c r="G45" s="50" t="s">
        <x:v>992</x:v>
      </x:c>
      <x:c r="H45" s="50" t="s">
        <x:v>545</x:v>
      </x:c>
      <x:c r="I45" s="51">
        <x:v>4</x:v>
      </x:c>
      <x:c r="J45" s="50" t="s">
        <x:v>703</x:v>
      </x:c>
      <x:c r="K45" s="50" t="s">
        <x:v>302</x:v>
      </x:c>
      <x:c r="L45" s="50" t="s">
        <x:v>782</x:v>
      </x:c>
      <x:c r="M45" s="50" t="s">
        <x:v>303</x:v>
      </x:c>
      <x:c r="N45" s="52">
        <x:f t="shared" si="1"/>
        <x:v>0.039930555555555559</x:v>
      </x:c>
      <x:c r="O45" s="50" t="s">
        <x:v>109</x:v>
      </x:c>
      <x:c r="P45" s="51">
        <x:v>187</x:v>
      </x:c>
      <x:c r="Q45" s="53">
        <x:v>8</x:v>
      </x:c>
      <x:c r="R45" s="53">
        <x:v>628.84000000000003</x:v>
      </x:c>
      <x:c r="S45" s="54" t="s">
        <x:v>502</x:v>
      </x:c>
      <x:c r="T45" s="54" t="s">
        <x:v>798</x:v>
      </x:c>
      <x:c r="U45" s="54" t="s">
        <x:v>798</x:v>
      </x:c>
      <x:c r="V45" s="51" t="s">
        <x:v>798</x:v>
      </x:c>
      <x:c r="W45" s="55">
        <x:v>0.001652777777777778</x:v>
      </x:c>
      <x:c r="X45" s="55">
        <x:v>0.0013888888888888889</x:v>
      </x:c>
      <x:c r="Y45" s="55">
        <x:v>0.00125</x:v>
      </x:c>
      <x:c r="Z45" s="50"/>
      <x:c r="AA45" s="50"/>
      <x:c r="AB45" s="50"/>
      <x:c r="AC45" s="50"/>
      <x:c r="AD45" s="43"/>
    </x:row>
    <x:row r="46" spans="1:30" ht="50.10000000000000142109" customHeight="1">
      <x:c r="A46" s="50" t="s">
        <x:v>901</x:v>
      </x:c>
      <x:c r="B46" s="51">
        <x:v>42</x:v>
      </x:c>
      <x:c r="C46" s="51">
        <x:v>3</x:v>
      </x:c>
      <x:c r="D46" s="51">
        <x:v>7</x:v>
      </x:c>
      <x:c r="E46" s="50" t="s">
        <x:v>889</x:v>
      </x:c>
      <x:c r="F46" s="50" t="s">
        <x:v>172</x:v>
      </x:c>
      <x:c r="G46" s="50" t="s">
        <x:v>7</x:v>
      </x:c>
      <x:c r="H46" s="50" t="s">
        <x:v>569</x:v>
      </x:c>
      <x:c r="I46" s="51">
        <x:v>5</x:v>
      </x:c>
      <x:c r="J46" s="50" t="s">
        <x:v>325</x:v>
      </x:c>
      <x:c r="K46" s="50" t="s">
        <x:v>792</x:v>
      </x:c>
      <x:c r="L46" s="50" t="s">
        <x:v>491</x:v>
      </x:c>
      <x:c r="M46" s="50" t="s">
        <x:v>963</x:v>
      </x:c>
      <x:c r="N46" s="52">
        <x:f t="shared" si="1"/>
        <x:v>0.04189814814814815</x:v>
      </x:c>
      <x:c r="O46" s="50" t="s">
        <x:v>109</x:v>
      </x:c>
      <x:c r="P46" s="51">
        <x:v>193</x:v>
      </x:c>
      <x:c r="Q46" s="53">
        <x:v>6</x:v>
      </x:c>
      <x:c r="R46" s="53">
        <x:v>662.48000000000002</x:v>
      </x:c>
      <x:c r="S46" s="54" t="s">
        <x:v>502</x:v>
      </x:c>
      <x:c r="T46" s="54" t="s">
        <x:v>798</x:v>
      </x:c>
      <x:c r="U46" s="54" t="s">
        <x:v>798</x:v>
      </x:c>
      <x:c r="V46" s="51" t="s">
        <x:v>798</x:v>
      </x:c>
      <x:c r="W46" s="55">
        <x:v>0.0022528935185185182</x:v>
      </x:c>
      <x:c r="X46" s="55">
        <x:v>0.0019675925925925924</x:v>
      </x:c>
      <x:c r="Y46" s="55">
        <x:v>0.0018200231481481479</x:v>
      </x:c>
      <x:c r="Z46" s="50"/>
      <x:c r="AA46" s="50"/>
      <x:c r="AB46" s="50"/>
      <x:c r="AC46" s="50"/>
      <x:c r="AD46" s="43"/>
    </x:row>
    <x:row r="47" spans="1:30" ht="50.10000000000000142109" customHeight="1">
      <x:c r="A47" s="50" t="s">
        <x:v>901</x:v>
      </x:c>
      <x:c r="B47" s="51">
        <x:v>43</x:v>
      </x:c>
      <x:c r="C47" s="51">
        <x:v>1</x:v>
      </x:c>
      <x:c r="D47" s="51">
        <x:v>8</x:v>
      </x:c>
      <x:c r="E47" s="50" t="s">
        <x:v>231</x:v>
      </x:c>
      <x:c r="F47" s="50" t="s">
        <x:v>448</x:v>
      </x:c>
      <x:c r="G47" s="50" t="s">
        <x:v>953</x:v>
      </x:c>
      <x:c r="H47" s="50" t="s">
        <x:v>280</x:v>
      </x:c>
      <x:c r="I47" s="51">
        <x:v>2</x:v>
      </x:c>
      <x:c r="J47" s="50" t="s">
        <x:v>47</x:v>
      </x:c>
      <x:c r="K47" s="50" t="s">
        <x:v>361</x:v>
      </x:c>
      <x:c r="L47" s="50" t="s">
        <x:v>457</x:v>
      </x:c>
      <x:c r="M47" s="50" t="s">
        <x:v>354</x:v>
      </x:c>
      <x:c r="N47" s="52">
        <x:f t="shared" si="1"/>
        <x:v>0.042708333333333334</x:v>
      </x:c>
      <x:c r="O47" s="50" t="s">
        <x:v>109</x:v>
      </x:c>
      <x:c r="P47" s="51">
        <x:v>198</x:v>
      </x:c>
      <x:c r="Q47" s="53">
        <x:v>5</x:v>
      </x:c>
      <x:c r="R47" s="53">
        <x:v>691.02999999999997</x:v>
      </x:c>
      <x:c r="S47" s="54" t="s">
        <x:v>502</x:v>
      </x:c>
      <x:c r="T47" s="54" t="s">
        <x:v>798</x:v>
      </x:c>
      <x:c r="U47" s="54" t="s">
        <x:v>798</x:v>
      </x:c>
      <x:c r="V47" s="51" t="s">
        <x:v>798</x:v>
      </x:c>
      <x:c r="W47" s="55">
        <x:v>0.00089120370370370373</x:v>
      </x:c>
      <x:c r="X47" s="55">
        <x:v>0.00081018518518518516</x:v>
      </x:c>
      <x:c r="Y47" s="55">
        <x:v>0.00076967592592592582</x:v>
      </x:c>
      <x:c r="Z47" s="50"/>
      <x:c r="AA47" s="50"/>
      <x:c r="AB47" s="50"/>
      <x:c r="AC47" s="50"/>
      <x:c r="AD47" s="43"/>
    </x:row>
    <x:row r="48" spans="1:30" ht="50.10000000000000142109" customHeight="1">
      <x:c r="A48" s="50" t="s">
        <x:v>901</x:v>
      </x:c>
      <x:c r="B48" s="51">
        <x:v>44</x:v>
      </x:c>
      <x:c r="C48" s="51">
        <x:v>1</x:v>
      </x:c>
      <x:c r="D48" s="51">
        <x:v>5</x:v>
      </x:c>
      <x:c r="E48" s="50" t="s">
        <x:v>903</x:v>
      </x:c>
      <x:c r="F48" s="50" t="s">
        <x:v>609</x:v>
      </x:c>
      <x:c r="G48" s="50" t="s">
        <x:v>60</x:v>
      </x:c>
      <x:c r="H48" s="50" t="s">
        <x:v>573</x:v>
      </x:c>
      <x:c r="I48" s="51">
        <x:v>4</x:v>
      </x:c>
      <x:c r="J48" s="50" t="s">
        <x:v>660</x:v>
      </x:c>
      <x:c r="K48" s="50" t="s">
        <x:v>739</x:v>
      </x:c>
      <x:c r="L48" s="50" t="s">
        <x:v>501</x:v>
      </x:c>
      <x:c r="M48" s="50" t="s">
        <x:v>357</x:v>
      </x:c>
      <x:c r="N48" s="52">
        <x:f t="shared" si="1"/>
        <x:v>0.043750000000000006</x:v>
      </x:c>
      <x:c r="O48" s="50" t="s">
        <x:v>109</x:v>
      </x:c>
      <x:c r="P48" s="51">
        <x:v>201</x:v>
      </x:c>
      <x:c r="Q48" s="53">
        <x:v>3</x:v>
      </x:c>
      <x:c r="R48" s="53">
        <x:v>708.38999999999999</x:v>
      </x:c>
      <x:c r="S48" s="54" t="s">
        <x:v>502</x:v>
      </x:c>
      <x:c r="T48" s="54" t="s">
        <x:v>798</x:v>
      </x:c>
      <x:c r="U48" s="54" t="s">
        <x:v>798</x:v>
      </x:c>
      <x:c r="V48" s="51" t="s">
        <x:v>798</x:v>
      </x:c>
      <x:c r="W48" s="55">
        <x:v>0.0011458333333333333</x:v>
      </x:c>
      <x:c r="X48" s="55">
        <x:v>0.0010416666666666667</x:v>
      </x:c>
      <x:c r="Y48" s="55">
        <x:v>0.0009895833333333332</x:v>
      </x:c>
      <x:c r="Z48" s="50"/>
      <x:c r="AA48" s="50"/>
      <x:c r="AB48" s="50"/>
      <x:c r="AC48" s="50"/>
      <x:c r="AD48" s="43"/>
    </x:row>
    <x:row r="49" spans="1:30" ht="50.10000000000000142109" customHeight="1">
      <x:c r="A49" s="50" t="s">
        <x:v>901</x:v>
      </x:c>
      <x:c r="B49" s="51">
        <x:v>45</x:v>
      </x:c>
      <x:c r="C49" s="51">
        <x:v>2</x:v>
      </x:c>
      <x:c r="D49" s="51">
        <x:v>6</x:v>
      </x:c>
      <x:c r="E49" s="50" t="s">
        <x:v>102</x:v>
      </x:c>
      <x:c r="F49" s="50" t="s">
        <x:v>140</x:v>
      </x:c>
      <x:c r="G49" s="50" t="s">
        <x:v>88</x:v>
      </x:c>
      <x:c r="H49" s="50" t="s">
        <x:v>582</x:v>
      </x:c>
      <x:c r="I49" s="51">
        <x:v>1</x:v>
      </x:c>
      <x:c r="J49" s="50" t="s">
        <x:v>751</x:v>
      </x:c>
      <x:c r="K49" s="50" t="s">
        <x:v>792</x:v>
      </x:c>
      <x:c r="L49" s="50" t="s">
        <x:v>510</x:v>
      </x:c>
      <x:c r="M49" s="50" t="s">
        <x:v>358</x:v>
      </x:c>
      <x:c r="N49" s="52">
        <x:f t="shared" si="1"/>
        <x:v>0.044618055555555557</x:v>
      </x:c>
      <x:c r="O49" s="50" t="s">
        <x:v>909</x:v>
      </x:c>
      <x:c r="P49" s="51">
        <x:v>206</x:v>
      </x:c>
      <x:c r="Q49" s="53">
        <x:v>5</x:v>
      </x:c>
      <x:c r="R49" s="53">
        <x:v>737.70000000000005</x:v>
      </x:c>
      <x:c r="S49" s="54" t="s">
        <x:v>502</x:v>
      </x:c>
      <x:c r="T49" s="54" t="s">
        <x:v>798</x:v>
      </x:c>
      <x:c r="U49" s="54" t="s">
        <x:v>798</x:v>
      </x:c>
      <x:c r="V49" s="51" t="s">
        <x:v>798</x:v>
      </x:c>
      <x:c r="W49" s="55">
        <x:v>0.00095486111111111119</x:v>
      </x:c>
      <x:c r="X49" s="55">
        <x:v>0.00086805555555555551</x:v>
      </x:c>
      <x:c r="Y49" s="55">
        <x:v>0.00082465277777777767</x:v>
      </x:c>
      <x:c r="Z49" s="50"/>
      <x:c r="AA49" s="50"/>
      <x:c r="AB49" s="50"/>
      <x:c r="AC49" s="50"/>
      <x:c r="AD49" s="43"/>
    </x:row>
    <x:row r="50" spans="1:30" ht="50.10000000000000142109" customHeight="1">
      <x:c r="A50" s="50" t="s">
        <x:v>901</x:v>
      </x:c>
      <x:c r="B50" s="51">
        <x:v>46</x:v>
      </x:c>
      <x:c r="C50" s="51">
        <x:v>2</x:v>
      </x:c>
      <x:c r="D50" s="51">
        <x:v>6</x:v>
      </x:c>
      <x:c r="E50" s="50" t="s">
        <x:v>897</x:v>
      </x:c>
      <x:c r="F50" s="50" t="s">
        <x:v>126</x:v>
      </x:c>
      <x:c r="G50" s="50" t="s">
        <x:v>1007</x:v>
      </x:c>
      <x:c r="H50" s="50" t="s">
        <x:v>37</x:v>
      </x:c>
      <x:c r="I50" s="51">
        <x:v>8</x:v>
      </x:c>
      <x:c r="J50" s="50" t="s">
        <x:v>164</x:v>
      </x:c>
      <x:c r="K50" s="50" t="s">
        <x:v>349</x:v>
      </x:c>
      <x:c r="L50" s="50" t="s">
        <x:v>520</x:v>
      </x:c>
      <x:c r="M50" s="50" t="s">
        <x:v>635</x:v>
      </x:c>
      <x:c r="N50" s="52">
        <x:f t="shared" si="1"/>
        <x:v>0.046238425925925926</x:v>
      </x:c>
      <x:c r="O50" s="50" t="s">
        <x:v>909</x:v>
      </x:c>
      <x:c r="P50" s="51">
        <x:v>211</x:v>
      </x:c>
      <x:c r="Q50" s="53">
        <x:v>5</x:v>
      </x:c>
      <x:c r="R50" s="53">
        <x:v>767.48000000000002</x:v>
      </x:c>
      <x:c r="S50" s="54" t="s">
        <x:v>502</x:v>
      </x:c>
      <x:c r="T50" s="54" t="s">
        <x:v>798</x:v>
      </x:c>
      <x:c r="U50" s="54" t="s">
        <x:v>798</x:v>
      </x:c>
      <x:c r="V50" s="51" t="s">
        <x:v>798</x:v>
      </x:c>
      <x:c r="W50" s="55">
        <x:v>0.0017824074074074075</x:v>
      </x:c>
      <x:c r="X50" s="55">
        <x:v>0.0016203703703703703</x:v>
      </x:c>
      <x:c r="Y50" s="55">
        <x:v>0.0015393518518518516</x:v>
      </x:c>
      <x:c r="Z50" s="50"/>
      <x:c r="AA50" s="50"/>
      <x:c r="AB50" s="50"/>
      <x:c r="AC50" s="50"/>
      <x:c r="AD50" s="43"/>
    </x:row>
    <x:row r="51" spans="1:30" ht="50.10000000000000142109" customHeight="1">
      <x:c r="A51" s="50" t="s">
        <x:v>901</x:v>
      </x:c>
      <x:c r="B51" s="51">
        <x:v>47</x:v>
      </x:c>
      <x:c r="C51" s="51">
        <x:v>3</x:v>
      </x:c>
      <x:c r="D51" s="51">
        <x:v>7</x:v>
      </x:c>
      <x:c r="E51" s="50" t="s">
        <x:v>893</x:v>
      </x:c>
      <x:c r="F51" s="50" t="s">
        <x:v>126</x:v>
      </x:c>
      <x:c r="G51" s="50" t="s">
        <x:v>82</x:v>
      </x:c>
      <x:c r="H51" s="50" t="s">
        <x:v>20</x:v>
      </x:c>
      <x:c r="I51" s="51">
        <x:v>10</x:v>
      </x:c>
      <x:c r="J51" s="50" t="s">
        <x:v>355</x:v>
      </x:c>
      <x:c r="K51" s="50" t="s">
        <x:v>349</x:v>
      </x:c>
      <x:c r="L51" s="50" t="s">
        <x:v>781</x:v>
      </x:c>
      <x:c r="M51" s="50" t="s">
        <x:v>635</x:v>
      </x:c>
      <x:c r="N51" s="52">
        <x:f t="shared" si="1"/>
        <x:v>0.048321759259259259</x:v>
      </x:c>
      <x:c r="O51" s="50" t="s">
        <x:v>909</x:v>
      </x:c>
      <x:c r="P51" s="51">
        <x:v>217</x:v>
      </x:c>
      <x:c r="Q51" s="53">
        <x:v>6</x:v>
      </x:c>
      <x:c r="R51" s="53">
        <x:v>803.82000000000005</x:v>
      </x:c>
      <x:c r="S51" s="54" t="s">
        <x:v>502</x:v>
      </x:c>
      <x:c r="T51" s="54" t="s">
        <x:v>798</x:v>
      </x:c>
      <x:c r="U51" s="54" t="s">
        <x:v>798</x:v>
      </x:c>
      <x:c r="V51" s="51" t="s">
        <x:v>798</x:v>
      </x:c>
      <x:c r="W51" s="55">
        <x:v>0.0023854166666666668</x:v>
      </x:c>
      <x:c r="X51" s="55">
        <x:v>0.0020833333333333333</x:v>
      </x:c>
      <x:c r="Y51" s="55">
        <x:v>0.0019270833333333332</x:v>
      </x:c>
      <x:c r="Z51" s="50"/>
      <x:c r="AA51" s="50"/>
      <x:c r="AB51" s="50"/>
      <x:c r="AC51" s="50"/>
      <x:c r="AD51" s="43"/>
    </x:row>
    <x:row r="52" spans="1:30" ht="50.10000000000000142109" customHeight="1">
      <x:c r="A52" s="50" t="s">
        <x:v>901</x:v>
      </x:c>
      <x:c r="B52" s="51">
        <x:v>48</x:v>
      </x:c>
      <x:c r="C52" s="51">
        <x:v>3</x:v>
      </x:c>
      <x:c r="D52" s="51">
        <x:v>7</x:v>
      </x:c>
      <x:c r="E52" s="50" t="s">
        <x:v>240</x:v>
      </x:c>
      <x:c r="F52" s="50" t="s">
        <x:v>126</x:v>
      </x:c>
      <x:c r="G52" s="50" t="s">
        <x:v>624</x:v>
      </x:c>
      <x:c r="H52" s="50" t="s">
        <x:v>15</x:v>
      </x:c>
      <x:c r="I52" s="51">
        <x:v>6</x:v>
      </x:c>
      <x:c r="J52" s="50" t="s">
        <x:v>975</x:v>
      </x:c>
      <x:c r="K52" s="50" t="s">
        <x:v>349</x:v>
      </x:c>
      <x:c r="L52" s="50" t="s">
        <x:v>496</x:v>
      </x:c>
      <x:c r="M52" s="50" t="s">
        <x:v>635</x:v>
      </x:c>
      <x:c r="N52" s="52">
        <x:f t="shared" si="1"/>
        <x:v>0.050173611111111113</x:v>
      </x:c>
      <x:c r="O52" s="50" t="s">
        <x:v>909</x:v>
      </x:c>
      <x:c r="P52" s="51">
        <x:v>223</x:v>
      </x:c>
      <x:c r="Q52" s="53">
        <x:v>6</x:v>
      </x:c>
      <x:c r="R52" s="53">
        <x:v>840.82000000000005</x:v>
      </x:c>
      <x:c r="S52" s="54" t="s">
        <x:v>502</x:v>
      </x:c>
      <x:c r="T52" s="54" t="s">
        <x:v>798</x:v>
      </x:c>
      <x:c r="U52" s="54" t="s">
        <x:v>798</x:v>
      </x:c>
      <x:c r="V52" s="51" t="s">
        <x:v>798</x:v>
      </x:c>
      <x:c r="W52" s="55">
        <x:v>0.0021203703703703706</x:v>
      </x:c>
      <x:c r="X52" s="55">
        <x:v>0.0018518518518518519</x:v>
      </x:c>
      <x:c r="Y52" s="55">
        <x:v>0.001712962962962963</x:v>
      </x:c>
      <x:c r="Z52" s="50"/>
      <x:c r="AA52" s="50"/>
      <x:c r="AB52" s="50"/>
      <x:c r="AC52" s="50"/>
      <x:c r="AD52" s="43"/>
    </x:row>
    <x:row r="53" spans="1:30" ht="50.10000000000000142109" customHeight="1">
      <x:c r="A53" s="50" t="s">
        <x:v>901</x:v>
      </x:c>
      <x:c r="B53" s="51">
        <x:v>49</x:v>
      </x:c>
      <x:c r="C53" s="51">
        <x:v>5</x:v>
      </x:c>
      <x:c r="D53" s="51">
        <x:v>8</x:v>
      </x:c>
      <x:c r="E53" s="50" t="s">
        <x:v>229</x:v>
      </x:c>
      <x:c r="F53" s="50" t="s">
        <x:v>1019</x:v>
      </x:c>
      <x:c r="G53" s="50" t="s">
        <x:v>77</x:v>
      </x:c>
      <x:c r="H53" s="50" t="s">
        <x:v>1011</x:v>
      </x:c>
      <x:c r="I53" s="51">
        <x:v>10</x:v>
      </x:c>
      <x:c r="J53" s="50" t="s">
        <x:v>308</x:v>
      </x:c>
      <x:c r="K53" s="50" t="s">
        <x:v>341</x:v>
      </x:c>
      <x:c r="L53" s="50" t="s">
        <x:v>489</x:v>
      </x:c>
      <x:c r="M53" s="50" t="s">
        <x:v>575</x:v>
      </x:c>
      <x:c r="N53" s="52">
        <x:f t="shared" si="1"/>
        <x:v>0.051331018518518519</x:v>
      </x:c>
      <x:c r="O53" s="50" t="s">
        <x:v>909</x:v>
      </x:c>
      <x:c r="P53" s="51">
        <x:v>232</x:v>
      </x:c>
      <x:c r="Q53" s="53">
        <x:v>9</x:v>
      </x:c>
      <x:c r="R53" s="53">
        <x:v>897.53999999999996</x:v>
      </x:c>
      <x:c r="S53" s="54" t="s">
        <x:v>502</x:v>
      </x:c>
      <x:c r="T53" s="54" t="s">
        <x:v>798</x:v>
      </x:c>
      <x:c r="U53" s="54" t="s">
        <x:v>798</x:v>
      </x:c>
      <x:c r="V53" s="51" t="s">
        <x:v>798</x:v>
      </x:c>
      <x:c r="W53" s="55">
        <x:v>0.0014293981481481482</x:v>
      </x:c>
      <x:c r="X53" s="55">
        <x:v>0.0011574074074074073</x:v>
      </x:c>
      <x:c r="Y53" s="55">
        <x:v>0.0010127314814814814</x:v>
      </x:c>
      <x:c r="Z53" s="50"/>
      <x:c r="AA53" s="50"/>
      <x:c r="AB53" s="50"/>
      <x:c r="AC53" s="50"/>
      <x:c r="AD53" s="43"/>
    </x:row>
    <x:row r="54" spans="1:30" ht="50.10000000000000142109" customHeight="1">
      <x:c r="A54" s="50" t="s">
        <x:v>901</x:v>
      </x:c>
      <x:c r="B54" s="51">
        <x:v>50</x:v>
      </x:c>
      <x:c r="C54" s="51">
        <x:v>2</x:v>
      </x:c>
      <x:c r="D54" s="51">
        <x:v>7</x:v>
      </x:c>
      <x:c r="E54" s="50" t="s">
        <x:v>890</x:v>
      </x:c>
      <x:c r="F54" s="50" t="s">
        <x:v>609</x:v>
      </x:c>
      <x:c r="G54" s="50" t="s">
        <x:v>194</x:v>
      </x:c>
      <x:c r="H54" s="50" t="s">
        <x:v>573</x:v>
      </x:c>
      <x:c r="I54" s="51">
        <x:v>3</x:v>
      </x:c>
      <x:c r="J54" s="50" t="s">
        <x:v>660</x:v>
      </x:c>
      <x:c r="K54" s="50" t="s">
        <x:v>739</x:v>
      </x:c>
      <x:c r="L54" s="50" t="s">
        <x:v>457</x:v>
      </x:c>
      <x:c r="M54" s="50" t="s">
        <x:v>357</x:v>
      </x:c>
      <x:c r="N54" s="52">
        <x:f t="shared" si="1"/>
        <x:v>0.052141203703703703</x:v>
      </x:c>
      <x:c r="O54" s="50" t="s">
        <x:v>909</x:v>
      </x:c>
      <x:c r="P54" s="51">
        <x:v>237</x:v>
      </x:c>
      <x:c r="Q54" s="53">
        <x:v>5</x:v>
      </x:c>
      <x:c r="R54" s="53">
        <x:v>929.67999999999995</x:v>
      </x:c>
      <x:c r="S54" s="54" t="s">
        <x:v>502</x:v>
      </x:c>
      <x:c r="T54" s="54" t="s">
        <x:v>798</x:v>
      </x:c>
      <x:c r="U54" s="54" t="s">
        <x:v>798</x:v>
      </x:c>
      <x:c r="V54" s="51" t="s">
        <x:v>798</x:v>
      </x:c>
      <x:c r="W54" s="55">
        <x:v>0.00089120370370370373</x:v>
      </x:c>
      <x:c r="X54" s="55">
        <x:v>0.00081018518518518516</x:v>
      </x:c>
      <x:c r="Y54" s="55">
        <x:v>0.00076967592592592582</x:v>
      </x:c>
      <x:c r="Z54" s="50"/>
      <x:c r="AA54" s="50"/>
      <x:c r="AB54" s="50"/>
      <x:c r="AC54" s="50"/>
      <x:c r="AD54" s="43"/>
    </x:row>
    <x:row r="55" spans="1:30" ht="50.10000000000000142109" customHeight="1">
      <x:c r="A55" s="50" t="s">
        <x:v>901</x:v>
      </x:c>
      <x:c r="B55" s="51">
        <x:v>51</x:v>
      </x:c>
      <x:c r="C55" s="51">
        <x:v>1</x:v>
      </x:c>
      <x:c r="D55" s="51">
        <x:v>9</x:v>
      </x:c>
      <x:c r="E55" s="50" t="s">
        <x:v>813</x:v>
      </x:c>
      <x:c r="F55" s="50" t="s">
        <x:v>557</x:v>
      </x:c>
      <x:c r="G55" s="50" t="s">
        <x:v>64</x:v>
      </x:c>
      <x:c r="H55" s="50" t="s">
        <x:v>451</x:v>
      </x:c>
      <x:c r="I55" s="51">
        <x:v>1</x:v>
      </x:c>
      <x:c r="J55" s="50" t="s">
        <x:v>896</x:v>
      </x:c>
      <x:c r="K55" s="50" t="s">
        <x:v>792</x:v>
      </x:c>
      <x:c r="L55" s="50" t="s">
        <x:v>793</x:v>
      </x:c>
      <x:c r="M55" s="50" t="s">
        <x:v>761</x:v>
      </x:c>
      <x:c r="N55" s="52">
        <x:f t="shared" si="1"/>
        <x:v>0.05271990740740741</x:v>
      </x:c>
      <x:c r="O55" s="50" t="s">
        <x:v>811</x:v>
      </x:c>
      <x:c r="P55" s="51">
        <x:v>242</x:v>
      </x:c>
      <x:c r="Q55" s="53">
        <x:v>5</x:v>
      </x:c>
      <x:c r="R55" s="53">
        <x:v>962.26999999999998</x:v>
      </x:c>
      <x:c r="S55" s="54" t="s">
        <x:v>502</x:v>
      </x:c>
      <x:c r="T55" s="54" t="s">
        <x:v>798</x:v>
      </x:c>
      <x:c r="U55" s="54" t="s">
        <x:v>798</x:v>
      </x:c>
      <x:c r="V55" s="51" t="s">
        <x:v>798</x:v>
      </x:c>
      <x:c r="W55" s="55">
        <x:v>0.00063657407407407413</x:v>
      </x:c>
      <x:c r="X55" s="55">
        <x:v>0.00057870370370370367</x:v>
      </x:c>
      <x:c r="Y55" s="55">
        <x:v>0.00054976851851851844</x:v>
      </x:c>
      <x:c r="Z55" s="50"/>
      <x:c r="AA55" s="50"/>
      <x:c r="AB55" s="50"/>
      <x:c r="AC55" s="50"/>
      <x:c r="AD55" s="43"/>
    </x:row>
    <x:row r="56" spans="1:30" ht="50.10000000000000142109" customHeight="1">
      <x:c r="A56" s="50" t="s">
        <x:v>901</x:v>
      </x:c>
      <x:c r="B56" s="51">
        <x:v>52</x:v>
      </x:c>
      <x:c r="C56" s="51">
        <x:v>2</x:v>
      </x:c>
      <x:c r="D56" s="51">
        <x:v>9</x:v>
      </x:c>
      <x:c r="E56" s="50" t="s">
        <x:v>499</x:v>
      </x:c>
      <x:c r="F56" s="50" t="s">
        <x:v>444</x:v>
      </x:c>
      <x:c r="G56" s="50" t="s">
        <x:v>84</x:v>
      </x:c>
      <x:c r="H56" s="50" t="s">
        <x:v>199</x:v>
      </x:c>
      <x:c r="I56" s="51">
        <x:v>3</x:v>
      </x:c>
      <x:c r="J56" s="50" t="s">
        <x:v>151</x:v>
      </x:c>
      <x:c r="K56" s="50" t="s">
        <x:v>792</x:v>
      </x:c>
      <x:c r="L56" s="50" t="s">
        <x:v>463</x:v>
      </x:c>
      <x:c r="M56" s="50" t="s">
        <x:v>359</x:v>
      </x:c>
      <x:c r="N56" s="52">
        <x:f t="shared" si="1"/>
        <x:v>0.053819444444444448</x:v>
      </x:c>
      <x:c r="O56" s="50" t="s">
        <x:v>811</x:v>
      </x:c>
      <x:c r="P56" s="51">
        <x:v>248</x:v>
      </x:c>
      <x:c r="Q56" s="53">
        <x:v>6</x:v>
      </x:c>
      <x:c r="R56" s="53">
        <x:v>1001.95</x:v>
      </x:c>
      <x:c r="S56" s="54" t="s">
        <x:v>502</x:v>
      </x:c>
      <x:c r="T56" s="54" t="s">
        <x:v>798</x:v>
      </x:c>
      <x:c r="U56" s="54" t="s">
        <x:v>798</x:v>
      </x:c>
      <x:c r="V56" s="51" t="s">
        <x:v>798</x:v>
      </x:c>
      <x:c r="W56" s="55">
        <x:v>0.001209490740740741</x:v>
      </x:c>
      <x:c r="X56" s="55">
        <x:v>0.0010995370370370371</x:v>
      </x:c>
      <x:c r="Y56" s="55">
        <x:v>0.0010445601851851853</x:v>
      </x:c>
      <x:c r="Z56" s="50"/>
      <x:c r="AA56" s="50"/>
      <x:c r="AB56" s="50"/>
      <x:c r="AC56" s="50"/>
      <x:c r="AD56" s="43"/>
    </x:row>
    <x:row r="57" spans="1:30" ht="50.10000000000000142109" customHeight="1">
      <x:c r="A57" s="50" t="s">
        <x:v>901</x:v>
      </x:c>
      <x:c r="B57" s="51">
        <x:v>53</x:v>
      </x:c>
      <x:c r="C57" s="51">
        <x:v>2</x:v>
      </x:c>
      <x:c r="D57" s="51">
        <x:v>5</x:v>
      </x:c>
      <x:c r="E57" s="50" t="s">
        <x:v>914</x:v>
      </x:c>
      <x:c r="F57" s="50" t="s">
        <x:v>140</x:v>
      </x:c>
      <x:c r="G57" s="50" t="s">
        <x:v>198</x:v>
      </x:c>
      <x:c r="H57" s="50" t="s">
        <x:v>582</x:v>
      </x:c>
      <x:c r="I57" s="51">
        <x:v>1</x:v>
      </x:c>
      <x:c r="J57" s="50" t="s">
        <x:v>658</x:v>
      </x:c>
      <x:c r="K57" s="50" t="s">
        <x:v>792</x:v>
      </x:c>
      <x:c r="L57" s="50" t="s">
        <x:v>782</x:v>
      </x:c>
      <x:c r="M57" s="50" t="s">
        <x:v>358</x:v>
      </x:c>
      <x:c r="N57" s="52">
        <x:f t="shared" si="1"/>
        <x:v>0.055208333333333338</x:v>
      </x:c>
      <x:c r="O57" s="50" t="s">
        <x:v>898</x:v>
      </x:c>
      <x:c r="P57" s="51">
        <x:v>252</x:v>
      </x:c>
      <x:c r="Q57" s="53">
        <x:v>4</x:v>
      </x:c>
      <x:c r="R57" s="53">
        <x:v>1028.75</x:v>
      </x:c>
      <x:c r="S57" s="54" t="s">
        <x:v>502</x:v>
      </x:c>
      <x:c r="T57" s="54" t="s">
        <x:v>798</x:v>
      </x:c>
      <x:c r="U57" s="54" t="s">
        <x:v>798</x:v>
      </x:c>
      <x:c r="V57" s="51" t="s">
        <x:v>798</x:v>
      </x:c>
      <x:c r="W57" s="55">
        <x:v>0.0015277777777777779</x:v>
      </x:c>
      <x:c r="X57" s="55">
        <x:v>0.0013888888888888889</x:v>
      </x:c>
      <x:c r="Y57" s="55">
        <x:v>0.0013194444444444445</x:v>
      </x:c>
      <x:c r="Z57" s="50"/>
      <x:c r="AA57" s="50"/>
      <x:c r="AB57" s="50"/>
      <x:c r="AC57" s="50"/>
      <x:c r="AD57" s="43"/>
    </x:row>
    <x:row r="58" spans="1:30" ht="50.10000000000000142109" customHeight="1">
      <x:c r="A58" s="50" t="s">
        <x:v>901</x:v>
      </x:c>
      <x:c r="B58" s="51">
        <x:v>54</x:v>
      </x:c>
      <x:c r="C58" s="51">
        <x:v>1</x:v>
      </x:c>
      <x:c r="D58" s="51">
        <x:v>5</x:v>
      </x:c>
      <x:c r="E58" s="50" t="s">
        <x:v>788</x:v>
      </x:c>
      <x:c r="F58" s="50" t="s">
        <x:v>970</x:v>
      </x:c>
      <x:c r="G58" s="50" t="s">
        <x:v>754</x:v>
      </x:c>
      <x:c r="H58" s="50" t="s">
        <x:v>959</x:v>
      </x:c>
      <x:c r="I58" s="51">
        <x:v>1</x:v>
      </x:c>
      <x:c r="J58" s="50" t="s">
        <x:v>640</x:v>
      </x:c>
      <x:c r="K58" s="50" t="s">
        <x:v>792</x:v>
      </x:c>
      <x:c r="L58" s="50" t="s">
        <x:v>797</x:v>
      </x:c>
      <x:c r="M58" s="50" t="s">
        <x:v>234</x:v>
      </x:c>
      <x:c r="N58" s="52">
        <x:f t="shared" si="1"/>
        <x:v>0.055613425925925934</x:v>
      </x:c>
      <x:c r="O58" s="50" t="s">
        <x:v>898</x:v>
      </x:c>
      <x:c r="P58" s="51">
        <x:v>255</x:v>
      </x:c>
      <x:c r="Q58" s="53">
        <x:v>3</x:v>
      </x:c>
      <x:c r="R58" s="53">
        <x:v>1049.04</x:v>
      </x:c>
      <x:c r="S58" s="54" t="s">
        <x:v>502</x:v>
      </x:c>
      <x:c r="T58" s="54" t="s">
        <x:v>798</x:v>
      </x:c>
      <x:c r="U58" s="54" t="s">
        <x:v>798</x:v>
      </x:c>
      <x:c r="V58" s="51" t="s">
        <x:v>798</x:v>
      </x:c>
      <x:c r="W58" s="55">
        <x:v>0.00044560185185185187</x:v>
      </x:c>
      <x:c r="X58" s="55">
        <x:v>0.00040509259259259258</x:v>
      </x:c>
      <x:c r="Y58" s="55">
        <x:v>0.00038483796296296291</x:v>
      </x:c>
      <x:c r="Z58" s="50"/>
      <x:c r="AA58" s="50"/>
      <x:c r="AB58" s="50"/>
      <x:c r="AC58" s="50"/>
      <x:c r="AD58" s="43"/>
    </x:row>
    <x:row r="59" spans="1:30" ht="50.10000000000000142109" customHeight="1">
      <x:c r="A59" s="50" t="s">
        <x:v>887</x:v>
      </x:c>
      <x:c r="B59" s="51">
        <x:v>55</x:v>
      </x:c>
      <x:c r="C59" s="51">
        <x:v>1</x:v>
      </x:c>
      <x:c r="D59" s="51">
        <x:v>6</x:v>
      </x:c>
      <x:c r="E59" s="50" t="s">
        <x:v>108</x:v>
      </x:c>
      <x:c r="F59" s="50" t="s">
        <x:v>583</x:v>
      </x:c>
      <x:c r="G59" s="50" t="s">
        <x:v>446</x:v>
      </x:c>
      <x:c r="H59" s="50" t="s">
        <x:v>434</x:v>
      </x:c>
      <x:c r="I59" s="51">
        <x:v>2</x:v>
      </x:c>
      <x:c r="J59" s="50" t="s">
        <x:v>221</x:v>
      </x:c>
      <x:c r="K59" s="50" t="s">
        <x:v>792</x:v>
      </x:c>
      <x:c r="L59" s="50" t="s">
        <x:v>786</x:v>
      </x:c>
      <x:c r="M59" s="50" t="s">
        <x:v>337</x:v>
      </x:c>
      <x:c r="N59" s="52">
        <x:f t="shared" si="1"/>
        <x:v>0.056076388888888898</x:v>
      </x:c>
      <x:c r="O59" s="50" t="s">
        <x:v>206</x:v>
      </x:c>
      <x:c r="P59" s="51">
        <x:v>259</x:v>
      </x:c>
      <x:c r="Q59" s="53">
        <x:v>4</x:v>
      </x:c>
      <x:c r="R59" s="53">
        <x:v>1076.3299999999999</x:v>
      </x:c>
      <x:c r="S59" s="54" t="s">
        <x:v>502</x:v>
      </x:c>
      <x:c r="T59" s="54" t="s">
        <x:v>798</x:v>
      </x:c>
      <x:c r="U59" s="54" t="s">
        <x:v>798</x:v>
      </x:c>
      <x:c r="V59" s="51" t="s">
        <x:v>798</x:v>
      </x:c>
      <x:c r="W59" s="55">
        <x:v>0.00050925925925925932</x:v>
      </x:c>
      <x:c r="X59" s="55">
        <x:v>0.00046296296296296298</x:v>
      </x:c>
      <x:c r="Y59" s="55">
        <x:v>0.00043981481481481481</x:v>
      </x:c>
      <x:c r="Z59" s="50"/>
      <x:c r="AA59" s="50"/>
      <x:c r="AB59" s="50"/>
      <x:c r="AC59" s="50"/>
      <x:c r="AD59" s="43"/>
    </x:row>
    <x:row r="60" spans="1:30" ht="50.10000000000000142109" customHeight="1">
      <x:c r="A60" s="50" t="s">
        <x:v>887</x:v>
      </x:c>
      <x:c r="B60" s="51">
        <x:v>56</x:v>
      </x:c>
      <x:c r="C60" s="51">
        <x:v>2</x:v>
      </x:c>
      <x:c r="D60" s="51">
        <x:v>8</x:v>
      </x:c>
      <x:c r="E60" s="50" t="s">
        <x:v>476</x:v>
      </x:c>
      <x:c r="F60" s="50" t="s">
        <x:v>941</x:v>
      </x:c>
      <x:c r="G60" s="50" t="s">
        <x:v>139</x:v>
      </x:c>
      <x:c r="H60" s="50" t="s">
        <x:v>610</x:v>
      </x:c>
      <x:c r="I60" s="51">
        <x:v>3</x:v>
      </x:c>
      <x:c r="J60" s="50" t="s">
        <x:v>311</x:v>
      </x:c>
      <x:c r="K60" s="50" t="s">
        <x:v>792</x:v>
      </x:c>
      <x:c r="L60" s="50" t="s">
        <x:v>457</x:v>
      </x:c>
      <x:c r="M60" s="50" t="s">
        <x:v>369</x:v>
      </x:c>
      <x:c r="N60" s="52">
        <x:f t="shared" si="1"/>
        <x:v>0.056886574074074082</x:v>
      </x:c>
      <x:c r="O60" s="50" t="s">
        <x:v>206</x:v>
      </x:c>
      <x:c r="P60" s="51">
        <x:v>265</x:v>
      </x:c>
      <x:c r="Q60" s="53">
        <x:v>6</x:v>
      </x:c>
      <x:c r="R60" s="53">
        <x:v>1117.78</x:v>
      </x:c>
      <x:c r="S60" s="54" t="s">
        <x:v>502</x:v>
      </x:c>
      <x:c r="T60" s="54" t="s">
        <x:v>798</x:v>
      </x:c>
      <x:c r="U60" s="54" t="s">
        <x:v>798</x:v>
      </x:c>
      <x:c r="V60" s="51" t="s">
        <x:v>798</x:v>
      </x:c>
      <x:c r="W60" s="55">
        <x:v>0.00089120370370370373</x:v>
      </x:c>
      <x:c r="X60" s="55">
        <x:v>0.00081018518518518516</x:v>
      </x:c>
      <x:c r="Y60" s="55">
        <x:v>0.00076967592592592582</x:v>
      </x:c>
      <x:c r="Z60" s="50"/>
      <x:c r="AA60" s="50"/>
      <x:c r="AB60" s="50"/>
      <x:c r="AC60" s="50"/>
      <x:c r="AD60" s="43"/>
    </x:row>
    <x:row r="61" spans="1:30" ht="50.10000000000000142109" customHeight="1">
      <x:c r="A61" s="50" t="s">
        <x:v>887</x:v>
      </x:c>
      <x:c r="B61" s="51">
        <x:v>57</x:v>
      </x:c>
      <x:c r="C61" s="51">
        <x:v>3</x:v>
      </x:c>
      <x:c r="D61" s="51">
        <x:v>7</x:v>
      </x:c>
      <x:c r="E61" s="50" t="s">
        <x:v>803</x:v>
      </x:c>
      <x:c r="F61" s="50" t="s">
        <x:v>12</x:v>
      </x:c>
      <x:c r="G61" s="50" t="s">
        <x:v>266</x:v>
      </x:c>
      <x:c r="H61" s="50" t="s">
        <x:v>11</x:v>
      </x:c>
      <x:c r="I61" s="51">
        <x:v>5</x:v>
      </x:c>
      <x:c r="J61" s="50" t="s">
        <x:v>768</x:v>
      </x:c>
      <x:c r="K61" s="50" t="s">
        <x:v>347</x:v>
      </x:c>
      <x:c r="L61" s="50" t="s">
        <x:v>782</x:v>
      </x:c>
      <x:c r="M61" s="50" t="s">
        <x:v>656</x:v>
      </x:c>
      <x:c r="N61" s="52">
        <x:f t="shared" si="1"/>
        <x:v>0.058275462962962976</x:v>
      </x:c>
      <x:c r="O61" s="50" t="s">
        <x:v>206</x:v>
      </x:c>
      <x:c r="P61" s="51">
        <x:v>271</x:v>
      </x:c>
      <x:c r="Q61" s="53">
        <x:v>6</x:v>
      </x:c>
      <x:c r="R61" s="53">
        <x:v>1159.8399999999999</x:v>
      </x:c>
      <x:c r="S61" s="54" t="s">
        <x:v>502</x:v>
      </x:c>
      <x:c r="T61" s="54" t="s">
        <x:v>798</x:v>
      </x:c>
      <x:c r="U61" s="54" t="s">
        <x:v>798</x:v>
      </x:c>
      <x:c r="V61" s="51" t="s">
        <x:v>798</x:v>
      </x:c>
      <x:c r="W61" s="55">
        <x:v>0.0015902777777777779</x:v>
      </x:c>
      <x:c r="X61" s="55">
        <x:v>0.0013888888888888889</x:v>
      </x:c>
      <x:c r="Y61" s="55">
        <x:v>0.0012847222222222223</x:v>
      </x:c>
      <x:c r="Z61" s="50"/>
      <x:c r="AA61" s="50"/>
      <x:c r="AB61" s="50"/>
      <x:c r="AC61" s="50"/>
      <x:c r="AD61" s="43"/>
    </x:row>
    <x:row r="62" spans="1:30" ht="50.10000000000000142109" customHeight="1">
      <x:c r="A62" s="50" t="s">
        <x:v>887</x:v>
      </x:c>
      <x:c r="B62" s="51">
        <x:v>58</x:v>
      </x:c>
      <x:c r="C62" s="51">
        <x:v>4</x:v>
      </x:c>
      <x:c r="D62" s="51">
        <x:v>9</x:v>
      </x:c>
      <x:c r="E62" s="50" t="s">
        <x:v>814</x:v>
      </x:c>
      <x:c r="F62" s="50" t="s">
        <x:v>90</x:v>
      </x:c>
      <x:c r="G62" s="50" t="s">
        <x:v>197</x:v>
      </x:c>
      <x:c r="H62" s="50" t="s">
        <x:v>21</x:v>
      </x:c>
      <x:c r="I62" s="51">
        <x:v>3</x:v>
      </x:c>
      <x:c r="J62" s="50" t="s">
        <x:v>678</x:v>
      </x:c>
      <x:c r="K62" s="50" t="s">
        <x:v>957</x:v>
      </x:c>
      <x:c r="L62" s="50" t="s">
        <x:v>496</x:v>
      </x:c>
      <x:c r="M62" s="50" t="s">
        <x:v>322</x:v>
      </x:c>
      <x:c r="N62" s="52">
        <x:f t="shared" si="1"/>
        <x:v>0.060127314814814828</x:v>
      </x:c>
      <x:c r="O62" s="50" t="s">
        <x:v>206</x:v>
      </x:c>
      <x:c r="P62" s="51">
        <x:v>279</x:v>
      </x:c>
      <x:c r="Q62" s="53">
        <x:v>8</x:v>
      </x:c>
      <x:c r="R62" s="53">
        <x:v>1216.8800000000001</x:v>
      </x:c>
      <x:c r="S62" s="54" t="s">
        <x:v>502</x:v>
      </x:c>
      <x:c r="T62" s="54" t="s">
        <x:v>798</x:v>
      </x:c>
      <x:c r="U62" s="54" t="s">
        <x:v>798</x:v>
      </x:c>
      <x:c r="V62" s="51" t="s">
        <x:v>798</x:v>
      </x:c>
      <x:c r="W62" s="55">
        <x:v>0.0022037037037037042</x:v>
      </x:c>
      <x:c r="X62" s="55">
        <x:v>0.0018518518518518519</x:v>
      </x:c>
      <x:c r="Y62" s="55">
        <x:v>0.0016666666666666666</x:v>
      </x:c>
      <x:c r="Z62" s="50"/>
      <x:c r="AA62" s="50"/>
      <x:c r="AB62" s="50"/>
      <x:c r="AC62" s="50"/>
      <x:c r="AD62" s="43"/>
    </x:row>
    <x:row r="63" spans="1:30" ht="50.10000000000000142109" customHeight="1">
      <x:c r="A63" s="50" t="s">
        <x:v>887</x:v>
      </x:c>
      <x:c r="B63" s="51">
        <x:v>59</x:v>
      </x:c>
      <x:c r="C63" s="51">
        <x:v>4</x:v>
      </x:c>
      <x:c r="D63" s="51">
        <x:v>8</x:v>
      </x:c>
      <x:c r="E63" s="50" t="s">
        <x:v>214</x:v>
      </x:c>
      <x:c r="F63" s="50" t="s">
        <x:v>964</x:v>
      </x:c>
      <x:c r="G63" s="50" t="s">
        <x:v>952</x:v>
      </x:c>
      <x:c r="H63" s="50" t="s">
        <x:v>431</x:v>
      </x:c>
      <x:c r="I63" s="51">
        <x:v>1</x:v>
      </x:c>
      <x:c r="J63" s="50" t="s">
        <x:v>233</x:v>
      </x:c>
      <x:c r="K63" s="50" t="s">
        <x:v>338</x:v>
      </x:c>
      <x:c r="L63" s="50" t="s">
        <x:v>463</x:v>
      </x:c>
      <x:c r="M63" s="50" t="s">
        <x:v>652</x:v>
      </x:c>
      <x:c r="N63" s="52">
        <x:f t="shared" si="1"/>
        <x:v>0.061226851851851866</x:v>
      </x:c>
      <x:c r="O63" s="50" t="s">
        <x:v>864</x:v>
      </x:c>
      <x:c r="P63" s="51">
        <x:v>287</x:v>
      </x:c>
      <x:c r="Q63" s="53">
        <x:v>8</x:v>
      </x:c>
      <x:c r="R63" s="53">
        <x:v>1274.99</x:v>
      </x:c>
      <x:c r="S63" s="54" t="s">
        <x:v>502</x:v>
      </x:c>
      <x:c r="T63" s="54" t="s">
        <x:v>798</x:v>
      </x:c>
      <x:c r="U63" s="54" t="s">
        <x:v>798</x:v>
      </x:c>
      <x:c r="V63" s="51" t="s">
        <x:v>798</x:v>
      </x:c>
      <x:c r="W63" s="55">
        <x:v>0.0013084490740740743</x:v>
      </x:c>
      <x:c r="X63" s="55">
        <x:v>0.0010995370370370371</x:v>
      </x:c>
      <x:c r="Y63" s="55">
        <x:v>0.0009895833333333332</x:v>
      </x:c>
      <x:c r="Z63" s="50"/>
      <x:c r="AA63" s="50"/>
      <x:c r="AB63" s="50"/>
      <x:c r="AC63" s="50"/>
      <x:c r="AD63" s="43"/>
    </x:row>
    <x:row r="64" spans="1:30" ht="50.10000000000000142109" customHeight="1">
      <x:c r="A64" s="50" t="s">
        <x:v>887</x:v>
      </x:c>
      <x:c r="B64" s="51">
        <x:v>60</x:v>
      </x:c>
      <x:c r="C64" s="51">
        <x:v>5</x:v>
      </x:c>
      <x:c r="D64" s="51">
        <x:v>9</x:v>
      </x:c>
      <x:c r="E64" s="50" t="s">
        <x:v>880</x:v>
      </x:c>
      <x:c r="F64" s="50" t="s">
        <x:v>18</x:v>
      </x:c>
      <x:c r="G64" s="50" t="s">
        <x:v>33</x:v>
      </x:c>
      <x:c r="H64" s="50" t="s">
        <x:v>19</x:v>
      </x:c>
      <x:c r="I64" s="51">
        <x:v>3</x:v>
      </x:c>
      <x:c r="J64" s="50" t="s">
        <x:v>116</x:v>
      </x:c>
      <x:c r="K64" s="50" t="s">
        <x:v>292</x:v>
      </x:c>
      <x:c r="L64" s="50" t="s">
        <x:v>781</x:v>
      </x:c>
      <x:c r="M64" s="50" t="s">
        <x:v>649</x:v>
      </x:c>
      <x:c r="N64" s="52">
        <x:f t="shared" si="1"/>
        <x:v>0.063310185185185205</x:v>
      </x:c>
      <x:c r="O64" s="50" t="s">
        <x:v>864</x:v>
      </x:c>
      <x:c r="P64" s="51">
        <x:v>296</x:v>
      </x:c>
      <x:c r="Q64" s="53">
        <x:v>9</x:v>
      </x:c>
      <x:c r="R64" s="53">
        <x:v>1341.6300000000001</x:v>
      </x:c>
      <x:c r="S64" s="54" t="s">
        <x:v>502</x:v>
      </x:c>
      <x:c r="T64" s="54" t="s">
        <x:v>798</x:v>
      </x:c>
      <x:c r="U64" s="54" t="s">
        <x:v>798</x:v>
      </x:c>
      <x:c r="V64" s="51" t="s">
        <x:v>798</x:v>
      </x:c>
      <x:c r="W64" s="55">
        <x:v>0.0025729166666666669</x:v>
      </x:c>
      <x:c r="X64" s="55">
        <x:v>0.0020833333333333333</x:v>
      </x:c>
      <x:c r="Y64" s="55">
        <x:v>0.0018229166666666667</x:v>
      </x:c>
      <x:c r="Z64" s="50"/>
      <x:c r="AA64" s="50"/>
      <x:c r="AB64" s="50"/>
      <x:c r="AC64" s="50"/>
      <x:c r="AD64" s="43"/>
    </x:row>
    <x:row r="65" spans="1:30" ht="50.10000000000000142109" customHeight="1">
      <x:c r="A65" s="50" t="s">
        <x:v>887</x:v>
      </x:c>
      <x:c r="B65" s="51">
        <x:v>61</x:v>
      </x:c>
      <x:c r="C65" s="51">
        <x:v>5</x:v>
      </x:c>
      <x:c r="D65" s="51">
        <x:v>9</x:v>
      </x:c>
      <x:c r="E65" s="50" t="s">
        <x:v>210</x:v>
      </x:c>
      <x:c r="F65" s="50" t="s">
        <x:v>328</x:v>
      </x:c>
      <x:c r="G65" s="50" t="s">
        <x:v>195</x:v>
      </x:c>
      <x:c r="H65" s="50" t="s">
        <x:v>200</x:v>
      </x:c>
      <x:c r="I65" s="51">
        <x:v>1</x:v>
      </x:c>
      <x:c r="J65" s="50" t="s">
        <x:v>648</x:v>
      </x:c>
      <x:c r="K65" s="50" t="s">
        <x:v>696</x:v>
      </x:c>
      <x:c r="L65" s="50" t="s">
        <x:v>520</x:v>
      </x:c>
      <x:c r="M65" s="50" t="s">
        <x:v>673</x:v>
      </x:c>
      <x:c r="N65" s="52">
        <x:f t="shared" si="1"/>
        <x:v>0.064930555555555575</x:v>
      </x:c>
      <x:c r="O65" s="50" t="s">
        <x:v>864</x:v>
      </x:c>
      <x:c r="P65" s="51">
        <x:v>305</x:v>
      </x:c>
      <x:c r="Q65" s="53">
        <x:v>9</x:v>
      </x:c>
      <x:c r="R65" s="53">
        <x:v>1409.5999999999999</x:v>
      </x:c>
      <x:c r="S65" s="54" t="s">
        <x:v>502</x:v>
      </x:c>
      <x:c r="T65" s="54" t="s">
        <x:v>798</x:v>
      </x:c>
      <x:c r="U65" s="54" t="s">
        <x:v>798</x:v>
      </x:c>
      <x:c r="V65" s="51" t="s">
        <x:v>798</x:v>
      </x:c>
      <x:c r="W65" s="55">
        <x:v>0.0020011574074074077</x:v>
      </x:c>
      <x:c r="X65" s="55">
        <x:v>0.0016203703703703703</x:v>
      </x:c>
      <x:c r="Y65" s="55">
        <x:v>0.001417824074074074</x:v>
      </x:c>
      <x:c r="Z65" s="50"/>
      <x:c r="AA65" s="50"/>
      <x:c r="AB65" s="50"/>
      <x:c r="AC65" s="50"/>
      <x:c r="AD65" s="43"/>
    </x:row>
    <x:row r="66" spans="1:30" ht="50.10000000000000142109" customHeight="1">
      <x:c r="A66" s="50" t="s">
        <x:v>887</x:v>
      </x:c>
      <x:c r="B66" s="51">
        <x:v>62</x:v>
      </x:c>
      <x:c r="C66" s="51">
        <x:v>4</x:v>
      </x:c>
      <x:c r="D66" s="51">
        <x:v>8</x:v>
      </x:c>
      <x:c r="E66" s="50" t="s">
        <x:v>245</x:v>
      </x:c>
      <x:c r="F66" s="50" t="s">
        <x:v>140</x:v>
      </x:c>
      <x:c r="G66" s="50" t="s">
        <x:v>183</x:v>
      </x:c>
      <x:c r="H66" s="50" t="s">
        <x:v>601</x:v>
      </x:c>
      <x:c r="I66" s="51">
        <x:v>1</x:v>
      </x:c>
      <x:c r="J66" s="50" t="s">
        <x:v>316</x:v>
      </x:c>
      <x:c r="K66" s="50" t="s">
        <x:v>792</x:v>
      </x:c>
      <x:c r="L66" s="50" t="s">
        <x:v>517</x:v>
      </x:c>
      <x:c r="M66" s="50" t="s">
        <x:v>358</x:v>
      </x:c>
      <x:c r="N66" s="52">
        <x:f t="shared" si="1"/>
        <x:v>0.06666666666666668</x:v>
      </x:c>
      <x:c r="O66" s="50" t="s">
        <x:v>864</x:v>
      </x:c>
      <x:c r="P66" s="51">
        <x:v>313</x:v>
      </x:c>
      <x:c r="Q66" s="53">
        <x:v>8</x:v>
      </x:c>
      <x:c r="R66" s="53">
        <x:v>1471.1199999999999</x:v>
      </x:c>
      <x:c r="S66" s="54" t="s">
        <x:v>502</x:v>
      </x:c>
      <x:c r="T66" s="54" t="s">
        <x:v>798</x:v>
      </x:c>
      <x:c r="U66" s="54" t="s">
        <x:v>798</x:v>
      </x:c>
      <x:c r="V66" s="51" t="s">
        <x:v>798</x:v>
      </x:c>
      <x:c r="W66" s="55">
        <x:v>0.0020659722222222225</x:v>
      </x:c>
      <x:c r="X66" s="55">
        <x:v>0.001736111111111111</x:v>
      </x:c>
      <x:c r="Y66" s="55">
        <x:v>0.0015624999999999997</x:v>
      </x:c>
      <x:c r="Z66" s="50"/>
      <x:c r="AA66" s="50"/>
      <x:c r="AB66" s="50"/>
      <x:c r="AC66" s="50"/>
      <x:c r="AD66" s="43"/>
    </x:row>
    <x:row r="67" spans="1:30" ht="50.10000000000000142109" customHeight="1">
      <x:c r="A67" s="50" t="s">
        <x:v>887</x:v>
      </x:c>
      <x:c r="B67" s="51">
        <x:v>63</x:v>
      </x:c>
      <x:c r="C67" s="51">
        <x:v>6</x:v>
      </x:c>
      <x:c r="D67" s="51">
        <x:v>9</x:v>
      </x:c>
      <x:c r="E67" s="50" t="s">
        <x:v>114</x:v>
      </x:c>
      <x:c r="F67" s="50" t="s">
        <x:v>421</x:v>
      </x:c>
      <x:c r="G67" s="50" t="s">
        <x:v>281</x:v>
      </x:c>
      <x:c r="H67" s="50" t="s">
        <x:v>34</x:v>
      </x:c>
      <x:c r="I67" s="51">
        <x:v>4</x:v>
      </x:c>
      <x:c r="J67" s="50" t="s">
        <x:v>216</x:v>
      </x:c>
      <x:c r="K67" s="50" t="s">
        <x:v>972</x:v>
      </x:c>
      <x:c r="L67" s="50" t="s">
        <x:v>517</x:v>
      </x:c>
      <x:c r="M67" s="50" t="s">
        <x:v>714</x:v>
      </x:c>
      <x:c r="N67" s="52">
        <x:f t="shared" si="1"/>
        <x:v>0.068402777777777785</x:v>
      </x:c>
      <x:c r="O67" s="50" t="s">
        <x:v>864</x:v>
      </x:c>
      <x:c r="P67" s="51">
        <x:v>323</x:v>
      </x:c>
      <x:c r="Q67" s="53">
        <x:v>10</x:v>
      </x:c>
      <x:c r="R67" s="53">
        <x:v>1549.47</x:v>
      </x:c>
      <x:c r="S67" s="54" t="s">
        <x:v>502</x:v>
      </x:c>
      <x:c r="T67" s="54" t="s">
        <x:v>798</x:v>
      </x:c>
      <x:c r="U67" s="54" t="s">
        <x:v>798</x:v>
      </x:c>
      <x:c r="V67" s="51" t="s">
        <x:v>798</x:v>
      </x:c>
      <x:c r="W67" s="55">
        <x:v>0.0022222222222222222</x:v>
      </x:c>
      <x:c r="X67" s="55">
        <x:v>0.001736111111111111</x:v>
      </x:c>
      <x:c r="Y67" s="55">
        <x:v>0.0014756944444444444</x:v>
      </x:c>
      <x:c r="Z67" s="50"/>
      <x:c r="AA67" s="50"/>
      <x:c r="AB67" s="50"/>
      <x:c r="AC67" s="50"/>
      <x:c r="AD67" s="43"/>
    </x:row>
    <x:row r="68" spans="1:30" ht="50.10000000000000142109" customHeight="1">
      <x:c r="A68" s="50" t="s">
        <x:v>887</x:v>
      </x:c>
      <x:c r="B68" s="51">
        <x:v>64</x:v>
      </x:c>
      <x:c r="C68" s="51">
        <x:v>2</x:v>
      </x:c>
      <x:c r="D68" s="51">
        <x:v>9</x:v>
      </x:c>
      <x:c r="E68" s="50" t="s">
        <x:v>317</x:v>
      </x:c>
      <x:c r="F68" s="50" t="s">
        <x:v>68</x:v>
      </x:c>
      <x:c r="G68" s="50" t="s">
        <x:v>618</x:v>
      </x:c>
      <x:c r="H68" s="50" t="s">
        <x:v>629</x:v>
      </x:c>
      <x:c r="I68" s="51">
        <x:v>1</x:v>
      </x:c>
      <x:c r="J68" s="50" t="s">
        <x:v>680</x:v>
      </x:c>
      <x:c r="K68" s="50" t="s">
        <x:v>419</x:v>
      </x:c>
      <x:c r="L68" s="50" t="s">
        <x:v>779</x:v>
      </x:c>
      <x:c r="M68" s="50" t="s">
        <x:v>546</x:v>
      </x:c>
      <x:c r="N68" s="52">
        <x:f t="shared" si="1"/>
        <x:v>0.068923611111111116</x:v>
      </x:c>
      <x:c r="O68" s="50" t="s">
        <x:v>864</x:v>
      </x:c>
      <x:c r="P68" s="51">
        <x:v>329</x:v>
      </x:c>
      <x:c r="Q68" s="53">
        <x:v>6</x:v>
      </x:c>
      <x:c r="R68" s="53">
        <x:v>1597.25</x:v>
      </x:c>
      <x:c r="S68" s="54" t="s">
        <x:v>502</x:v>
      </x:c>
      <x:c r="T68" s="54" t="s">
        <x:v>798</x:v>
      </x:c>
      <x:c r="U68" s="54" t="s">
        <x:v>798</x:v>
      </x:c>
      <x:c r="V68" s="51" t="s">
        <x:v>798</x:v>
      </x:c>
      <x:c r="W68" s="55">
        <x:v>0.00057291666666666667</x:v>
      </x:c>
      <x:c r="X68" s="55">
        <x:v>0.00052083333333333333</x:v>
      </x:c>
      <x:c r="Y68" s="55">
        <x:v>0.0004947916666666666</x:v>
      </x:c>
      <x:c r="Z68" s="50"/>
      <x:c r="AA68" s="50"/>
      <x:c r="AB68" s="50"/>
      <x:c r="AC68" s="50"/>
      <x:c r="AD68" s="43"/>
    </x:row>
    <x:row r="69" spans="1:30" ht="50.10000000000000142109" customHeight="1">
      <x:c r="A69" s="50" t="s">
        <x:v>887</x:v>
      </x:c>
      <x:c r="B69" s="51">
        <x:v>65</x:v>
      </x:c>
      <x:c r="C69" s="51">
        <x:v>2</x:v>
      </x:c>
      <x:c r="D69" s="51">
        <x:v>8</x:v>
      </x:c>
      <x:c r="E69" s="50" t="s">
        <x:v>879</x:v>
      </x:c>
      <x:c r="F69" s="50" t="s">
        <x:v>941</x:v>
      </x:c>
      <x:c r="G69" s="50" t="s">
        <x:v>139</x:v>
      </x:c>
      <x:c r="H69" s="50" t="s">
        <x:v>610</x:v>
      </x:c>
      <x:c r="I69" s="51">
        <x:v>2</x:v>
      </x:c>
      <x:c r="J69" s="50" t="s">
        <x:v>605</x:v>
      </x:c>
      <x:c r="K69" s="50" t="s">
        <x:v>792</x:v>
      </x:c>
      <x:c r="L69" s="50" t="s">
        <x:v>490</x:v>
      </x:c>
      <x:c r="M69" s="50" t="s">
        <x:v>369</x:v>
      </x:c>
      <x:c r="N69" s="52">
        <x:f t="shared" si="1"/>
        <x:v>0.069849537037037046</x:v>
      </x:c>
      <x:c r="O69" s="50" t="s">
        <x:v>864</x:v>
      </x:c>
      <x:c r="P69" s="51">
        <x:v>335</x:v>
      </x:c>
      <x:c r="Q69" s="53">
        <x:v>6</x:v>
      </x:c>
      <x:c r="R69" s="53">
        <x:v>1645.5999999999999</x:v>
      </x:c>
      <x:c r="S69" s="54" t="s">
        <x:v>502</x:v>
      </x:c>
      <x:c r="T69" s="54" t="s">
        <x:v>798</x:v>
      </x:c>
      <x:c r="U69" s="54" t="s">
        <x:v>798</x:v>
      </x:c>
      <x:c r="V69" s="51" t="s">
        <x:v>798</x:v>
      </x:c>
      <x:c r="W69" s="55">
        <x:v>0.0010185185185185186</x:v>
      </x:c>
      <x:c r="X69" s="55">
        <x:v>0.00092592592592592596</x:v>
      </x:c>
      <x:c r="Y69" s="55">
        <x:v>0.00087962962962962962</x:v>
      </x:c>
      <x:c r="Z69" s="50"/>
      <x:c r="AA69" s="50"/>
      <x:c r="AB69" s="50"/>
      <x:c r="AC69" s="50"/>
      <x:c r="AD69" s="43"/>
    </x:row>
    <x:row r="70" spans="1:30" ht="50.10000000000000142109" customHeight="1">
      <x:c r="A70" s="50" t="s">
        <x:v>887</x:v>
      </x:c>
      <x:c r="B70" s="51">
        <x:v>66</x:v>
      </x:c>
      <x:c r="C70" s="51">
        <x:v>3</x:v>
      </x:c>
      <x:c r="D70" s="51">
        <x:v>8</x:v>
      </x:c>
      <x:c r="E70" s="50" t="s">
        <x:v>867</x:v>
      </x:c>
      <x:c r="F70" s="50" t="s">
        <x:v>140</x:v>
      </x:c>
      <x:c r="G70" s="50" t="s">
        <x:v>568</x:v>
      </x:c>
      <x:c r="H70" s="50" t="s">
        <x:v>596</x:v>
      </x:c>
      <x:c r="I70" s="51">
        <x:v>1</x:v>
      </x:c>
      <x:c r="J70" s="50" t="s">
        <x:v>677</x:v>
      </x:c>
      <x:c r="K70" s="50" t="s">
        <x:v>792</x:v>
      </x:c>
      <x:c r="L70" s="50" t="s">
        <x:v>782</x:v>
      </x:c>
      <x:c r="M70" s="50" t="s">
        <x:v>358</x:v>
      </x:c>
      <x:c r="N70" s="52">
        <x:f t="shared" ref="N70:N101" si="2">N69+(IFERROR(VALUE(LEFT(L70,FIND("분",L70)-1))*60,0)+IFERROR(VALUE(TRIM(MID(L70,IFERROR(FIND("분",L70),0)+1,IFERROR(FIND("초",L70),LEN(L70)+1)-IFERROR(FIND("분",L70),0)-1))),0))/86400</x:f>
        <x:v>0.071238425925925927</x:v>
      </x:c>
      <x:c r="O70" s="50" t="s">
        <x:v>49</x:v>
      </x:c>
      <x:c r="P70" s="51">
        <x:v>342</x:v>
      </x:c>
      <x:c r="Q70" s="53">
        <x:v>7</x:v>
      </x:c>
      <x:c r="R70" s="53">
        <x:v>1702.72</x:v>
      </x:c>
      <x:c r="S70" s="54" t="s">
        <x:v>502</x:v>
      </x:c>
      <x:c r="T70" s="54" t="s">
        <x:v>798</x:v>
      </x:c>
      <x:c r="U70" s="54" t="s">
        <x:v>798</x:v>
      </x:c>
      <x:c r="V70" s="51" t="s">
        <x:v>798</x:v>
      </x:c>
      <x:c r="W70" s="55">
        <x:v>0.0015902777777777779</x:v>
      </x:c>
      <x:c r="X70" s="55">
        <x:v>0.0013888888888888889</x:v>
      </x:c>
      <x:c r="Y70" s="55">
        <x:v>0.0012847222222222223</x:v>
      </x:c>
      <x:c r="Z70" s="50"/>
      <x:c r="AA70" s="50"/>
      <x:c r="AB70" s="50"/>
      <x:c r="AC70" s="50"/>
      <x:c r="AD70" s="43"/>
    </x:row>
    <x:row r="71" spans="1:30" ht="50.10000000000000142109" customHeight="1">
      <x:c r="A71" s="50" t="s">
        <x:v>887</x:v>
      </x:c>
      <x:c r="B71" s="51">
        <x:v>67</x:v>
      </x:c>
      <x:c r="C71" s="51">
        <x:v>1</x:v>
      </x:c>
      <x:c r="D71" s="51">
        <x:v>8</x:v>
      </x:c>
      <x:c r="E71" s="50" t="s">
        <x:v>859</x:v>
      </x:c>
      <x:c r="F71" s="50" t="s">
        <x:v>941</x:v>
      </x:c>
      <x:c r="G71" s="50" t="s">
        <x:v>139</x:v>
      </x:c>
      <x:c r="H71" s="50" t="s">
        <x:v>611</x:v>
      </x:c>
      <x:c r="I71" s="51">
        <x:v>2</x:v>
      </x:c>
      <x:c r="J71" s="50" t="s">
        <x:v>438</x:v>
      </x:c>
      <x:c r="K71" s="50" t="s">
        <x:v>792</x:v>
      </x:c>
      <x:c r="L71" s="50" t="s">
        <x:v>482</x:v>
      </x:c>
      <x:c r="M71" s="50" t="s">
        <x:v>369</x:v>
      </x:c>
      <x:c r="N71" s="52">
        <x:f t="shared" si="2"/>
        <x:v>0.072511574074074076</x:v>
      </x:c>
      <x:c r="O71" s="50" t="s">
        <x:v>49</x:v>
      </x:c>
      <x:c r="P71" s="51">
        <x:v>347</x:v>
      </x:c>
      <x:c r="Q71" s="53">
        <x:v>5</x:v>
      </x:c>
      <x:c r="R71" s="53">
        <x:v>1743.99</x:v>
      </x:c>
      <x:c r="S71" s="54" t="s">
        <x:v>502</x:v>
      </x:c>
      <x:c r="T71" s="54" t="s">
        <x:v>798</x:v>
      </x:c>
      <x:c r="U71" s="54" t="s">
        <x:v>798</x:v>
      </x:c>
      <x:c r="V71" s="51" t="s">
        <x:v>798</x:v>
      </x:c>
      <x:c r="W71" s="55">
        <x:v>0.0014004629629629632</x:v>
      </x:c>
      <x:c r="X71" s="55">
        <x:v>0.0012731481481481483</x:v>
      </x:c>
      <x:c r="Y71" s="55">
        <x:v>0.0012094907407407408</x:v>
      </x:c>
      <x:c r="Z71" s="50"/>
      <x:c r="AA71" s="50"/>
      <x:c r="AB71" s="50"/>
      <x:c r="AC71" s="50"/>
      <x:c r="AD71" s="43"/>
    </x:row>
    <x:row r="72" spans="1:30" ht="50.10000000000000142109" customHeight="1">
      <x:c r="A72" s="50" t="s">
        <x:v>887</x:v>
      </x:c>
      <x:c r="B72" s="51">
        <x:v>68</x:v>
      </x:c>
      <x:c r="C72" s="51">
        <x:v>2</x:v>
      </x:c>
      <x:c r="D72" s="51">
        <x:v>8</x:v>
      </x:c>
      <x:c r="E72" s="50" t="s">
        <x:v>869</x:v>
      </x:c>
      <x:c r="F72" s="50" t="s">
        <x:v>599</x:v>
      </x:c>
      <x:c r="G72" s="50" t="s">
        <x:v>602</x:v>
      </x:c>
      <x:c r="H72" s="50" t="s">
        <x:v>268</x:v>
      </x:c>
      <x:c r="I72" s="51">
        <x:v>3</x:v>
      </x:c>
      <x:c r="J72" s="50" t="s">
        <x:v>842</x:v>
      </x:c>
      <x:c r="K72" s="50" t="s">
        <x:v>709</x:v>
      </x:c>
      <x:c r="L72" s="50" t="s">
        <x:v>489</x:v>
      </x:c>
      <x:c r="M72" s="50" t="s">
        <x:v>645</x:v>
      </x:c>
      <x:c r="N72" s="52">
        <x:f t="shared" si="2"/>
        <x:v>0.073668981481481488</x:v>
      </x:c>
      <x:c r="O72" s="50" t="s">
        <x:v>49</x:v>
      </x:c>
      <x:c r="P72" s="51">
        <x:v>353</x:v>
      </x:c>
      <x:c r="Q72" s="53">
        <x:v>6</x:v>
      </x:c>
      <x:c r="R72" s="53">
        <x:v>1794.02</x:v>
      </x:c>
      <x:c r="S72" s="54" t="s">
        <x:v>502</x:v>
      </x:c>
      <x:c r="T72" s="54" t="s">
        <x:v>798</x:v>
      </x:c>
      <x:c r="U72" s="54" t="s">
        <x:v>798</x:v>
      </x:c>
      <x:c r="V72" s="51" t="s">
        <x:v>798</x:v>
      </x:c>
      <x:c r="W72" s="55">
        <x:v>0.0012731481481481483</x:v>
      </x:c>
      <x:c r="X72" s="55">
        <x:v>0.0011574074074074073</x:v>
      </x:c>
      <x:c r="Y72" s="55">
        <x:v>0.0010995370370370369</x:v>
      </x:c>
      <x:c r="Z72" s="50"/>
      <x:c r="AA72" s="50"/>
      <x:c r="AB72" s="50"/>
      <x:c r="AC72" s="50"/>
      <x:c r="AD72" s="43"/>
    </x:row>
    <x:row r="73" spans="1:30" ht="50.10000000000000142109" customHeight="1">
      <x:c r="A73" s="50" t="s">
        <x:v>887</x:v>
      </x:c>
      <x:c r="B73" s="51">
        <x:v>69</x:v>
      </x:c>
      <x:c r="C73" s="51">
        <x:v>2</x:v>
      </x:c>
      <x:c r="D73" s="51">
        <x:v>9</x:v>
      </x:c>
      <x:c r="E73" s="50" t="s">
        <x:v>217</x:v>
      </x:c>
      <x:c r="F73" s="50" t="s">
        <x:v>599</x:v>
      </x:c>
      <x:c r="G73" s="50" t="s">
        <x:v>278</x:v>
      </x:c>
      <x:c r="H73" s="50" t="s">
        <x:v>270</x:v>
      </x:c>
      <x:c r="I73" s="51">
        <x:v>4</x:v>
      </x:c>
      <x:c r="J73" s="50" t="s">
        <x:v>842</x:v>
      </x:c>
      <x:c r="K73" s="50" t="s">
        <x:v>709</x:v>
      </x:c>
      <x:c r="L73" s="50" t="s">
        <x:v>466</x:v>
      </x:c>
      <x:c r="M73" s="50" t="s">
        <x:v>645</x:v>
      </x:c>
      <x:c r="N73" s="52">
        <x:f t="shared" si="2"/>
        <x:v>0.075173611111111122</x:v>
      </x:c>
      <x:c r="O73" s="50" t="s">
        <x:v>49</x:v>
      </x:c>
      <x:c r="P73" s="51">
        <x:v>359</x:v>
      </x:c>
      <x:c r="Q73" s="53">
        <x:v>6</x:v>
      </x:c>
      <x:c r="R73" s="53">
        <x:v>1844.6199999999999</x:v>
      </x:c>
      <x:c r="S73" s="54" t="s">
        <x:v>502</x:v>
      </x:c>
      <x:c r="T73" s="54" t="s">
        <x:v>798</x:v>
      </x:c>
      <x:c r="U73" s="54" t="s">
        <x:v>798</x:v>
      </x:c>
      <x:c r="V73" s="51" t="s">
        <x:v>798</x:v>
      </x:c>
      <x:c r="W73" s="55">
        <x:v>0.0016550925925925928</x:v>
      </x:c>
      <x:c r="X73" s="55">
        <x:v>0.0015046296296296296</x:v>
      </x:c>
      <x:c r="Y73" s="55">
        <x:v>0.0014293981481481482</x:v>
      </x:c>
      <x:c r="Z73" s="50"/>
      <x:c r="AA73" s="50"/>
      <x:c r="AB73" s="50"/>
      <x:c r="AC73" s="50"/>
      <x:c r="AD73" s="43"/>
    </x:row>
    <x:row r="74" spans="1:30" ht="50.10000000000000142109" customHeight="1">
      <x:c r="A74" s="50" t="s">
        <x:v>887</x:v>
      </x:c>
      <x:c r="B74" s="51">
        <x:v>70</x:v>
      </x:c>
      <x:c r="C74" s="51">
        <x:v>1</x:v>
      </x:c>
      <x:c r="D74" s="51">
        <x:v>9</x:v>
      </x:c>
      <x:c r="E74" s="50" t="s">
        <x:v>827</x:v>
      </x:c>
      <x:c r="F74" s="50" t="s">
        <x:v>598</x:v>
      </x:c>
      <x:c r="G74" s="50" t="s">
        <x:v>71</x:v>
      </x:c>
      <x:c r="H74" s="50" t="s">
        <x:v>429</x:v>
      </x:c>
      <x:c r="I74" s="51">
        <x:v>3</x:v>
      </x:c>
      <x:c r="J74" s="50" t="s">
        <x:v>655</x:v>
      </x:c>
      <x:c r="K74" s="50" t="s">
        <x:v>792</x:v>
      </x:c>
      <x:c r="L74" s="50" t="s">
        <x:v>782</x:v>
      </x:c>
      <x:c r="M74" s="50" t="s">
        <x:v>653</x:v>
      </x:c>
      <x:c r="N74" s="52">
        <x:f t="shared" si="2"/>
        <x:v>0.0765625</x:v>
      </x:c>
      <x:c r="O74" s="50" t="s">
        <x:v>49</x:v>
      </x:c>
      <x:c r="P74" s="51">
        <x:v>364</x:v>
      </x:c>
      <x:c r="Q74" s="53">
        <x:v>5</x:v>
      </x:c>
      <x:c r="R74" s="53">
        <x:v>1887.2</x:v>
      </x:c>
      <x:c r="S74" s="54" t="s">
        <x:v>502</x:v>
      </x:c>
      <x:c r="T74" s="54" t="s">
        <x:v>798</x:v>
      </x:c>
      <x:c r="U74" s="54" t="s">
        <x:v>798</x:v>
      </x:c>
      <x:c r="V74" s="51" t="s">
        <x:v>798</x:v>
      </x:c>
      <x:c r="W74" s="55">
        <x:v>0.0015277777777777779</x:v>
      </x:c>
      <x:c r="X74" s="55">
        <x:v>0.0013888888888888889</x:v>
      </x:c>
      <x:c r="Y74" s="55">
        <x:v>0.0013194444444444445</x:v>
      </x:c>
      <x:c r="Z74" s="50"/>
      <x:c r="AA74" s="50"/>
      <x:c r="AB74" s="50"/>
      <x:c r="AC74" s="50"/>
      <x:c r="AD74" s="43"/>
    </x:row>
    <x:row r="75" spans="1:30" ht="50.10000000000000142109" customHeight="1">
      <x:c r="A75" s="50" t="s">
        <x:v>887</x:v>
      </x:c>
      <x:c r="B75" s="51">
        <x:v>71</x:v>
      </x:c>
      <x:c r="C75" s="51">
        <x:v>1</x:v>
      </x:c>
      <x:c r="D75" s="51">
        <x:v>8</x:v>
      </x:c>
      <x:c r="E75" s="50" t="s">
        <x:v>669</x:v>
      </x:c>
      <x:c r="F75" s="50" t="s">
        <x:v>591</x:v>
      </x:c>
      <x:c r="G75" s="50" t="s">
        <x:v>277</x:v>
      </x:c>
      <x:c r="H75" s="50" t="s">
        <x:v>587</x:v>
      </x:c>
      <x:c r="I75" s="51">
        <x:v>2</x:v>
      </x:c>
      <x:c r="J75" s="50" t="s">
        <x:v>840</x:v>
      </x:c>
      <x:c r="K75" s="50" t="s">
        <x:v>792</x:v>
      </x:c>
      <x:c r="L75" s="50" t="s">
        <x:v>489</x:v>
      </x:c>
      <x:c r="M75" s="50" t="s">
        <x:v>661</x:v>
      </x:c>
      <x:c r="N75" s="52">
        <x:f t="shared" si="2"/>
        <x:v>0.077719907407407418</x:v>
      </x:c>
      <x:c r="O75" s="50" t="s">
        <x:v>49</x:v>
      </x:c>
      <x:c r="P75" s="51">
        <x:v>369</x:v>
      </x:c>
      <x:c r="Q75" s="53">
        <x:v>5</x:v>
      </x:c>
      <x:c r="R75" s="53">
        <x:v>1930.1600000000001</x:v>
      </x:c>
      <x:c r="S75" s="54" t="s">
        <x:v>502</x:v>
      </x:c>
      <x:c r="T75" s="54" t="s">
        <x:v>798</x:v>
      </x:c>
      <x:c r="U75" s="54" t="s">
        <x:v>798</x:v>
      </x:c>
      <x:c r="V75" s="51" t="s">
        <x:v>798</x:v>
      </x:c>
      <x:c r="W75" s="55">
        <x:v>0.0012731481481481483</x:v>
      </x:c>
      <x:c r="X75" s="55">
        <x:v>0.0011574074074074073</x:v>
      </x:c>
      <x:c r="Y75" s="55">
        <x:v>0.0010995370370370369</x:v>
      </x:c>
      <x:c r="Z75" s="50"/>
      <x:c r="AA75" s="50"/>
      <x:c r="AB75" s="50"/>
      <x:c r="AC75" s="50"/>
      <x:c r="AD75" s="43"/>
    </x:row>
    <x:row r="76" spans="1:30" ht="50.10000000000000142109" customHeight="1">
      <x:c r="A76" s="50" t="s">
        <x:v>887</x:v>
      </x:c>
      <x:c r="B76" s="51">
        <x:v>72</x:v>
      </x:c>
      <x:c r="C76" s="51">
        <x:v>1</x:v>
      </x:c>
      <x:c r="D76" s="51">
        <x:v>8</x:v>
      </x:c>
      <x:c r="E76" s="50" t="s">
        <x:v>50</x:v>
      </x:c>
      <x:c r="F76" s="50" t="s">
        <x:v>578</x:v>
      </x:c>
      <x:c r="G76" s="50" t="s">
        <x:v>182</x:v>
      </x:c>
      <x:c r="H76" s="50" t="s">
        <x:v>436</x:v>
      </x:c>
      <x:c r="I76" s="51">
        <x:v>2</x:v>
      </x:c>
      <x:c r="J76" s="50" t="s">
        <x:v>843</x:v>
      </x:c>
      <x:c r="K76" s="50" t="s">
        <x:v>792</x:v>
      </x:c>
      <x:c r="L76" s="50" t="s">
        <x:v>490</x:v>
      </x:c>
      <x:c r="M76" s="50" t="s">
        <x:v>676</x:v>
      </x:c>
      <x:c r="N76" s="52">
        <x:f t="shared" si="2"/>
        <x:v>0.078645833333333345</x:v>
      </x:c>
      <x:c r="O76" s="50" t="s">
        <x:v>205</x:v>
      </x:c>
      <x:c r="P76" s="51">
        <x:v>374</x:v>
      </x:c>
      <x:c r="Q76" s="53">
        <x:v>5</x:v>
      </x:c>
      <x:c r="R76" s="53">
        <x:v>1973.5</x:v>
      </x:c>
      <x:c r="S76" s="54" t="s">
        <x:v>502</x:v>
      </x:c>
      <x:c r="T76" s="54" t="s">
        <x:v>798</x:v>
      </x:c>
      <x:c r="U76" s="54" t="s">
        <x:v>798</x:v>
      </x:c>
      <x:c r="V76" s="51" t="s">
        <x:v>798</x:v>
      </x:c>
      <x:c r="W76" s="55">
        <x:v>0.0010185185185185186</x:v>
      </x:c>
      <x:c r="X76" s="55">
        <x:v>0.00092592592592592596</x:v>
      </x:c>
      <x:c r="Y76" s="55">
        <x:v>0.00087962962962962962</x:v>
      </x:c>
      <x:c r="Z76" s="50"/>
      <x:c r="AA76" s="50"/>
      <x:c r="AB76" s="50"/>
      <x:c r="AC76" s="50"/>
      <x:c r="AD76" s="43"/>
    </x:row>
    <x:row r="77" spans="1:30" ht="50.10000000000000142109" customHeight="1">
      <x:c r="A77" s="50" t="s">
        <x:v>887</x:v>
      </x:c>
      <x:c r="B77" s="51">
        <x:v>73</x:v>
      </x:c>
      <x:c r="C77" s="51">
        <x:v>4</x:v>
      </x:c>
      <x:c r="D77" s="51">
        <x:v>7</x:v>
      </x:c>
      <x:c r="E77" s="50" t="s">
        <x:v>52</x:v>
      </x:c>
      <x:c r="F77" s="50" t="s">
        <x:v>140</x:v>
      </x:c>
      <x:c r="G77" s="50" t="s">
        <x:v>14</x:v>
      </x:c>
      <x:c r="H77" s="50" t="s">
        <x:v>601</x:v>
      </x:c>
      <x:c r="I77" s="51">
        <x:v>1</x:v>
      </x:c>
      <x:c r="J77" s="50" t="s">
        <x:v>767</x:v>
      </x:c>
      <x:c r="K77" s="50" t="s">
        <x:v>792</x:v>
      </x:c>
      <x:c r="L77" s="50" t="s">
        <x:v>520</x:v>
      </x:c>
      <x:c r="M77" s="50" t="s">
        <x:v>358</x:v>
      </x:c>
      <x:c r="N77" s="52">
        <x:f t="shared" si="2"/>
        <x:v>0.080266203703703715</x:v>
      </x:c>
      <x:c r="O77" s="50" t="s">
        <x:v>205</x:v>
      </x:c>
      <x:c r="P77" s="51">
        <x:v>381</x:v>
      </x:c>
      <x:c r="Q77" s="53">
        <x:v>7</x:v>
      </x:c>
      <x:c r="R77" s="53">
        <x:v>2034.8199999999999</x:v>
      </x:c>
      <x:c r="S77" s="54" t="s">
        <x:v>502</x:v>
      </x:c>
      <x:c r="T77" s="54" t="s">
        <x:v>798</x:v>
      </x:c>
      <x:c r="U77" s="54" t="s">
        <x:v>798</x:v>
      </x:c>
      <x:c r="V77" s="51" t="s">
        <x:v>798</x:v>
      </x:c>
      <x:c r="W77" s="55">
        <x:v>0.001928240740740741</x:v>
      </x:c>
      <x:c r="X77" s="55">
        <x:v>0.0016203703703703703</x:v>
      </x:c>
      <x:c r="Y77" s="55">
        <x:v>0.0014583333333333332</x:v>
      </x:c>
      <x:c r="Z77" s="50"/>
      <x:c r="AA77" s="50"/>
      <x:c r="AB77" s="50"/>
      <x:c r="AC77" s="50"/>
      <x:c r="AD77" s="43"/>
    </x:row>
    <x:row r="78" spans="1:30" ht="50.10000000000000142109" customHeight="1">
      <x:c r="A78" s="50" t="s">
        <x:v>887</x:v>
      </x:c>
      <x:c r="B78" s="51">
        <x:v>74</x:v>
      </x:c>
      <x:c r="C78" s="51">
        <x:v>4</x:v>
      </x:c>
      <x:c r="D78" s="51">
        <x:v>7</x:v>
      </x:c>
      <x:c r="E78" s="50" t="s">
        <x:v>829</x:v>
      </x:c>
      <x:c r="F78" s="50" t="s">
        <x:v>441</x:v>
      </x:c>
      <x:c r="G78" s="50" t="s">
        <x:v>415</x:v>
      </x:c>
      <x:c r="H78" s="50" t="s">
        <x:v>413</x:v>
      </x:c>
      <x:c r="I78" s="51">
        <x:v>4</x:v>
      </x:c>
      <x:c r="J78" s="50" t="s">
        <x:v>225</x:v>
      </x:c>
      <x:c r="K78" s="50" t="s">
        <x:v>973</x:v>
      </x:c>
      <x:c r="L78" s="50" t="s">
        <x:v>781</x:v>
      </x:c>
      <x:c r="M78" s="50" t="s">
        <x:v>759</x:v>
      </x:c>
      <x:c r="N78" s="52">
        <x:f t="shared" si="2"/>
        <x:v>0.082349537037037054</x:v>
      </x:c>
      <x:c r="O78" s="50" t="s">
        <x:v>205</x:v>
      </x:c>
      <x:c r="P78" s="51">
        <x:v>388</x:v>
      </x:c>
      <x:c r="Q78" s="53">
        <x:v>7</x:v>
      </x:c>
      <x:c r="R78" s="53">
        <x:v>2096.8699999999999</x:v>
      </x:c>
      <x:c r="S78" s="54" t="s">
        <x:v>502</x:v>
      </x:c>
      <x:c r="T78" s="54" t="s">
        <x:v>798</x:v>
      </x:c>
      <x:c r="U78" s="54" t="s">
        <x:v>798</x:v>
      </x:c>
      <x:c r="V78" s="51" t="s">
        <x:v>798</x:v>
      </x:c>
      <x:c r="W78" s="55">
        <x:v>0.0024791666666666668</x:v>
      </x:c>
      <x:c r="X78" s="55">
        <x:v>0.0020833333333333333</x:v>
      </x:c>
      <x:c r="Y78" s="55">
        <x:v>0.0018749999999999997</x:v>
      </x:c>
      <x:c r="Z78" s="50"/>
      <x:c r="AA78" s="50"/>
      <x:c r="AB78" s="50"/>
      <x:c r="AC78" s="50"/>
      <x:c r="AD78" s="43"/>
    </x:row>
    <x:row r="79" spans="1:30" ht="50.10000000000000142109" customHeight="1">
      <x:c r="A79" s="50" t="s">
        <x:v>887</x:v>
      </x:c>
      <x:c r="B79" s="51">
        <x:v>75</x:v>
      </x:c>
      <x:c r="C79" s="51">
        <x:v>5</x:v>
      </x:c>
      <x:c r="D79" s="51">
        <x:v>7</x:v>
      </x:c>
      <x:c r="E79" s="50" t="s">
        <x:v>515</x:v>
      </x:c>
      <x:c r="F79" s="50" t="s">
        <x:v>323</x:v>
      </x:c>
      <x:c r="G79" s="50" t="s">
        <x:v>39</x:v>
      </x:c>
      <x:c r="H79" s="50" t="s">
        <x:v>580</x:v>
      </x:c>
      <x:c r="I79" s="51">
        <x:v>6</x:v>
      </x:c>
      <x:c r="J79" s="50" t="s">
        <x:v>121</x:v>
      </x:c>
      <x:c r="K79" s="50" t="s">
        <x:v>967</x:v>
      </x:c>
      <x:c r="L79" s="50" t="s">
        <x:v>519</x:v>
      </x:c>
      <x:c r="M79" s="50" t="s">
        <x:v>327</x:v>
      </x:c>
      <x:c r="N79" s="52">
        <x:f t="shared" si="2"/>
        <x:v>0.084664351851851866</x:v>
      </x:c>
      <x:c r="O79" s="50" t="s">
        <x:v>205</x:v>
      </x:c>
      <x:c r="P79" s="51">
        <x:v>396</x:v>
      </x:c>
      <x:c r="Q79" s="53">
        <x:v>8</x:v>
      </x:c>
      <x:c r="R79" s="53">
        <x:v>2168.6900000000001</x:v>
      </x:c>
      <x:c r="S79" s="54" t="s">
        <x:v>502</x:v>
      </x:c>
      <x:c r="T79" s="54" t="s">
        <x:v>798</x:v>
      </x:c>
      <x:c r="U79" s="54" t="s">
        <x:v>798</x:v>
      </x:c>
      <x:c r="V79" s="51" t="s">
        <x:v>798</x:v>
      </x:c>
      <x:c r="W79" s="55">
        <x:v>0.0028587962962962963</x:v>
      </x:c>
      <x:c r="X79" s="55">
        <x:v>0.0023148148148148147</x:v>
      </x:c>
      <x:c r="Y79" s="55">
        <x:v>0.0020254629629629629</x:v>
      </x:c>
      <x:c r="Z79" s="50"/>
      <x:c r="AA79" s="50"/>
      <x:c r="AB79" s="50"/>
      <x:c r="AC79" s="50"/>
      <x:c r="AD79" s="43"/>
    </x:row>
    <x:row r="80" spans="1:30" ht="50.10000000000000142109" customHeight="1">
      <x:c r="A80" s="50" t="s">
        <x:v>887</x:v>
      </x:c>
      <x:c r="B80" s="51">
        <x:v>76</x:v>
      </x:c>
      <x:c r="C80" s="51">
        <x:v>6</x:v>
      </x:c>
      <x:c r="D80" s="51">
        <x:v>7</x:v>
      </x:c>
      <x:c r="E80" s="50" t="s">
        <x:v>826</x:v>
      </x:c>
      <x:c r="F80" s="50" t="s">
        <x:v>378</x:v>
      </x:c>
      <x:c r="G80" s="50" t="s">
        <x:v>403</x:v>
      </x:c>
      <x:c r="H80" s="50" t="s">
        <x:v>177</x:v>
      </x:c>
      <x:c r="I80" s="51">
        <x:v>5</x:v>
      </x:c>
      <x:c r="J80" s="50" t="s">
        <x:v>719</x:v>
      </x:c>
      <x:c r="K80" s="50" t="s">
        <x:v>330</x:v>
      </x:c>
      <x:c r="L80" s="50" t="s">
        <x:v>472</x:v>
      </x:c>
      <x:c r="M80" s="50" t="s">
        <x:v>638</x:v>
      </x:c>
      <x:c r="N80" s="52">
        <x:f t="shared" si="2"/>
        <x:v>0.086863425925925941</x:v>
      </x:c>
      <x:c r="O80" s="50" t="s">
        <x:v>205</x:v>
      </x:c>
      <x:c r="P80" s="51">
        <x:v>405</x:v>
      </x:c>
      <x:c r="Q80" s="53">
        <x:v>9</x:v>
      </x:c>
      <x:c r="R80" s="53">
        <x:v>2250.6100000000001</x:v>
      </x:c>
      <x:c r="S80" s="54" t="s">
        <x:v>502</x:v>
      </x:c>
      <x:c r="T80" s="54" t="s">
        <x:v>798</x:v>
      </x:c>
      <x:c r="U80" s="54" t="s">
        <x:v>798</x:v>
      </x:c>
      <x:c r="V80" s="51" t="s">
        <x:v>798</x:v>
      </x:c>
      <x:c r="W80" s="55">
        <x:v>0.0028148148148148151</x:v>
      </x:c>
      <x:c r="X80" s="55">
        <x:v>0.0021990740740740742</x:v>
      </x:c>
      <x:c r="Y80" s="55">
        <x:v>0.0018692129629629629</x:v>
      </x:c>
      <x:c r="Z80" s="50"/>
      <x:c r="AA80" s="50"/>
      <x:c r="AB80" s="50"/>
      <x:c r="AC80" s="50"/>
      <x:c r="AD80" s="43"/>
    </x:row>
    <x:row r="81" spans="1:30" ht="50.10000000000000142109" customHeight="1">
      <x:c r="A81" s="50" t="s">
        <x:v>887</x:v>
      </x:c>
      <x:c r="B81" s="51">
        <x:v>77</x:v>
      </x:c>
      <x:c r="C81" s="51">
        <x:v>2</x:v>
      </x:c>
      <x:c r="D81" s="51">
        <x:v>6</x:v>
      </x:c>
      <x:c r="E81" s="50" t="s">
        <x:v>721</x:v>
      </x:c>
      <x:c r="F81" s="50" t="s">
        <x:v>258</x:v>
      </x:c>
      <x:c r="G81" s="50" t="s">
        <x:v>1014</x:v>
      </x:c>
      <x:c r="H81" s="50" t="s">
        <x:v>579</x:v>
      </x:c>
      <x:c r="I81" s="51">
        <x:v>3</x:v>
      </x:c>
      <x:c r="J81" s="50" t="s">
        <x:v>928</x:v>
      </x:c>
      <x:c r="K81" s="50" t="s">
        <x:v>792</x:v>
      </x:c>
      <x:c r="L81" s="50" t="s">
        <x:v>457</x:v>
      </x:c>
      <x:c r="M81" s="50" t="s">
        <x:v>392</x:v>
      </x:c>
      <x:c r="N81" s="52">
        <x:f t="shared" si="2"/>
        <x:v>0.087673611111111133</x:v>
      </x:c>
      <x:c r="O81" s="50" t="s">
        <x:v>205</x:v>
      </x:c>
      <x:c r="P81" s="51">
        <x:v>410</x:v>
      </x:c>
      <x:c r="Q81" s="53">
        <x:v>5</x:v>
      </x:c>
      <x:c r="R81" s="53">
        <x:v>2296.6399999999999</x:v>
      </x:c>
      <x:c r="S81" s="54" t="s">
        <x:v>831</x:v>
      </x:c>
      <x:c r="T81" s="54" t="s">
        <x:v>486</x:v>
      </x:c>
      <x:c r="U81" s="54" t="s">
        <x:v>841</x:v>
      </x:c>
      <x:c r="V81" s="51" t="s">
        <x:v>516</x:v>
      </x:c>
      <x:c r="W81" s="55">
        <x:v>0.00089120370370370373</x:v>
      </x:c>
      <x:c r="X81" s="55">
        <x:v>0.00081018518518518516</x:v>
      </x:c>
      <x:c r="Y81" s="55">
        <x:v>0.00076967592592592582</x:v>
      </x:c>
      <x:c r="Z81" s="50"/>
      <x:c r="AA81" s="50"/>
      <x:c r="AB81" s="50"/>
      <x:c r="AC81" s="50"/>
      <x:c r="AD81" s="43"/>
    </x:row>
    <x:row r="82" spans="1:30" ht="50.10000000000000142109" customHeight="1">
      <x:c r="A82" s="50" t="s">
        <x:v>887</x:v>
      </x:c>
      <x:c r="B82" s="51">
        <x:v>78</x:v>
      </x:c>
      <x:c r="C82" s="51">
        <x:v>3</x:v>
      </x:c>
      <x:c r="D82" s="51">
        <x:v>7</x:v>
      </x:c>
      <x:c r="E82" s="50" t="s">
        <x:v>693</x:v>
      </x:c>
      <x:c r="F82" s="50" t="s">
        <x:v>1023</x:v>
      </x:c>
      <x:c r="G82" s="50" t="s">
        <x:v>1003</x:v>
      </x:c>
      <x:c r="H82" s="50" t="s">
        <x:v>987</x:v>
      </x:c>
      <x:c r="I82" s="51">
        <x:v>5</x:v>
      </x:c>
      <x:c r="J82" s="50" t="s">
        <x:v>735</x:v>
      </x:c>
      <x:c r="K82" s="50" t="s">
        <x:v>663</x:v>
      </x:c>
      <x:c r="L82" s="50" t="s">
        <x:v>490</x:v>
      </x:c>
      <x:c r="M82" s="50" t="s">
        <x:v>374</x:v>
      </x:c>
      <x:c r="N82" s="52">
        <x:f t="shared" si="2"/>
        <x:v>0.08859953703703706</x:v>
      </x:c>
      <x:c r="O82" s="50" t="s">
        <x:v>205</x:v>
      </x:c>
      <x:c r="P82" s="51">
        <x:v>416</x:v>
      </x:c>
      <x:c r="Q82" s="53">
        <x:v>6</x:v>
      </x:c>
      <x:c r="R82" s="53">
        <x:v>2352.3600000000001</x:v>
      </x:c>
      <x:c r="S82" s="54" t="s">
        <x:v>831</x:v>
      </x:c>
      <x:c r="T82" s="54" t="s">
        <x:v>486</x:v>
      </x:c>
      <x:c r="U82" s="54" t="s">
        <x:v>841</x:v>
      </x:c>
      <x:c r="V82" s="51" t="s">
        <x:v>516</x:v>
      </x:c>
      <x:c r="W82" s="55">
        <x:v>0.0010601851851851853</x:v>
      </x:c>
      <x:c r="X82" s="55">
        <x:v>0.00092592592592592596</x:v>
      </x:c>
      <x:c r="Y82" s="55">
        <x:v>0.0008564814814814815</x:v>
      </x:c>
      <x:c r="Z82" s="50"/>
      <x:c r="AA82" s="50"/>
      <x:c r="AB82" s="50"/>
      <x:c r="AC82" s="50"/>
      <x:c r="AD82" s="43"/>
    </x:row>
    <x:row r="83" spans="1:30" ht="50.10000000000000142109" customHeight="1">
      <x:c r="A83" s="50" t="s">
        <x:v>887</x:v>
      </x:c>
      <x:c r="B83" s="51">
        <x:v>79</x:v>
      </x:c>
      <x:c r="C83" s="51">
        <x:v>4</x:v>
      </x:c>
      <x:c r="D83" s="51">
        <x:v>7</x:v>
      </x:c>
      <x:c r="E83" s="50" t="s">
        <x:v>651</x:v>
      </x:c>
      <x:c r="F83" s="50" t="s">
        <x:v>980</x:v>
      </x:c>
      <x:c r="G83" s="50" t="s">
        <x:v>556</x:v>
      </x:c>
      <x:c r="H83" s="50" t="s">
        <x:v>558</x:v>
      </x:c>
      <x:c r="I83" s="51">
        <x:v>3</x:v>
      </x:c>
      <x:c r="J83" s="50" t="s">
        <x:v>332</x:v>
      </x:c>
      <x:c r="K83" s="50" t="s">
        <x:v>670</x:v>
      </x:c>
      <x:c r="L83" s="50" t="s">
        <x:v>501</x:v>
      </x:c>
      <x:c r="M83" s="50" t="s">
        <x:v>401</x:v>
      </x:c>
      <x:c r="N83" s="52">
        <x:f t="shared" si="2"/>
        <x:v>0.089641203703703723</x:v>
      </x:c>
      <x:c r="O83" s="50" t="s">
        <x:v>205</x:v>
      </x:c>
      <x:c r="P83" s="51">
        <x:v>423</x:v>
      </x:c>
      <x:c r="Q83" s="53">
        <x:v>7</x:v>
      </x:c>
      <x:c r="R83" s="53">
        <x:v>2418.0300000000002</x:v>
      </x:c>
      <x:c r="S83" s="54" t="s">
        <x:v>831</x:v>
      </x:c>
      <x:c r="T83" s="54" t="s">
        <x:v>486</x:v>
      </x:c>
      <x:c r="U83" s="54" t="s">
        <x:v>841</x:v>
      </x:c>
      <x:c r="V83" s="51" t="s">
        <x:v>516</x:v>
      </x:c>
      <x:c r="W83" s="55">
        <x:v>0.0012395833333333334</x:v>
      </x:c>
      <x:c r="X83" s="55">
        <x:v>0.0010416666666666667</x:v>
      </x:c>
      <x:c r="Y83" s="55">
        <x:v>0.00093749999999999989</x:v>
      </x:c>
      <x:c r="Z83" s="50"/>
      <x:c r="AA83" s="50"/>
      <x:c r="AB83" s="50"/>
      <x:c r="AC83" s="50"/>
      <x:c r="AD83" s="43"/>
    </x:row>
    <x:row r="84" spans="1:30" ht="50.10000000000000142109" customHeight="1">
      <x:c r="A84" s="50" t="s">
        <x:v>887</x:v>
      </x:c>
      <x:c r="B84" s="51">
        <x:v>80</x:v>
      </x:c>
      <x:c r="C84" s="51">
        <x:v>5</x:v>
      </x:c>
      <x:c r="D84" s="51">
        <x:v>8</x:v>
      </x:c>
      <x:c r="E84" s="50" t="s">
        <x:v>662</x:v>
      </x:c>
      <x:c r="F84" s="50" t="s">
        <x:v>998</x:v>
      </x:c>
      <x:c r="G84" s="50" t="s">
        <x:v>984</x:v>
      </x:c>
      <x:c r="H84" s="50" t="s">
        <x:v>995</x:v>
      </x:c>
      <x:c r="I84" s="51">
        <x:v>2</x:v>
      </x:c>
      <x:c r="J84" s="50" t="s">
        <x:v>666</x:v>
      </x:c>
      <x:c r="K84" s="50" t="s">
        <x:v>288</x:v>
      </x:c>
      <x:c r="L84" s="50" t="s">
        <x:v>489</x:v>
      </x:c>
      <x:c r="M84" s="50" t="s">
        <x:v>926</x:v>
      </x:c>
      <x:c r="N84" s="52">
        <x:f t="shared" si="2"/>
        <x:v>0.090798611111111135</x:v>
      </x:c>
      <x:c r="O84" s="50" t="s">
        <x:v>205</x:v>
      </x:c>
      <x:c r="P84" s="51">
        <x:v>432</x:v>
      </x:c>
      <x:c r="Q84" s="53">
        <x:v>9</x:v>
      </x:c>
      <x:c r="R84" s="53">
        <x:v>2503.5</x:v>
      </x:c>
      <x:c r="S84" s="54" t="s">
        <x:v>831</x:v>
      </x:c>
      <x:c r="T84" s="54" t="s">
        <x:v>486</x:v>
      </x:c>
      <x:c r="U84" s="54" t="s">
        <x:v>841</x:v>
      </x:c>
      <x:c r="V84" s="51" t="s">
        <x:v>516</x:v>
      </x:c>
      <x:c r="W84" s="55">
        <x:v>0.0014293981481481482</x:v>
      </x:c>
      <x:c r="X84" s="55">
        <x:v>0.0011574074074074073</x:v>
      </x:c>
      <x:c r="Y84" s="55">
        <x:v>0.0010127314814814814</x:v>
      </x:c>
      <x:c r="Z84" s="50"/>
      <x:c r="AA84" s="50"/>
      <x:c r="AB84" s="50"/>
      <x:c r="AC84" s="50"/>
      <x:c r="AD84" s="43"/>
    </x:row>
    <x:row r="85" spans="1:30" ht="50.10000000000000142109" customHeight="1">
      <x:c r="A85" s="50" t="s">
        <x:v>887</x:v>
      </x:c>
      <x:c r="B85" s="51">
        <x:v>81</x:v>
      </x:c>
      <x:c r="C85" s="51">
        <x:v>4</x:v>
      </x:c>
      <x:c r="D85" s="51">
        <x:v>9</x:v>
      </x:c>
      <x:c r="E85" s="50" t="s">
        <x:v>733</x:v>
      </x:c>
      <x:c r="F85" s="50" t="s">
        <x:v>256</x:v>
      </x:c>
      <x:c r="G85" s="50" t="s">
        <x:v>283</x:v>
      </x:c>
      <x:c r="H85" s="50" t="s">
        <x:v>524</x:v>
      </x:c>
      <x:c r="I85" s="51">
        <x:v>5</x:v>
      </x:c>
      <x:c r="J85" s="50" t="s">
        <x:v>927</x:v>
      </x:c>
      <x:c r="K85" s="50" t="s">
        <x:v>922</x:v>
      </x:c>
      <x:c r="L85" s="50" t="s">
        <x:v>457</x:v>
      </x:c>
      <x:c r="M85" s="50" t="s">
        <x:v>388</x:v>
      </x:c>
      <x:c r="N85" s="52">
        <x:f t="shared" si="2"/>
        <x:v>0.091608796296296327</x:v>
      </x:c>
      <x:c r="O85" s="50" t="s">
        <x:v>205</x:v>
      </x:c>
      <x:c r="P85" s="51">
        <x:v>440</x:v>
      </x:c>
      <x:c r="Q85" s="53">
        <x:v>8</x:v>
      </x:c>
      <x:c r="R85" s="53">
        <x:v>2580.46</x:v>
      </x:c>
      <x:c r="S85" s="54" t="s">
        <x:v>242</x:v>
      </x:c>
      <x:c r="T85" s="54" t="s">
        <x:v>848</x:v>
      </x:c>
      <x:c r="U85" s="54" t="s">
        <x:v>248</x:v>
      </x:c>
      <x:c r="V85" s="51" t="s">
        <x:v>516</x:v>
      </x:c>
      <x:c r="W85" s="55">
        <x:v>0.0009641203703703705</x:v>
      </x:c>
      <x:c r="X85" s="55">
        <x:v>0.00081018518518518516</x:v>
      </x:c>
      <x:c r="Y85" s="55">
        <x:v>0.00072916666666666659</x:v>
      </x:c>
      <x:c r="Z85" s="50"/>
      <x:c r="AA85" s="50"/>
      <x:c r="AB85" s="50"/>
      <x:c r="AC85" s="50"/>
      <x:c r="AD85" s="43"/>
    </x:row>
    <x:row r="86" spans="1:30" ht="50.10000000000000142109" customHeight="1">
      <x:c r="A86" s="50" t="s">
        <x:v>887</x:v>
      </x:c>
      <x:c r="B86" s="51">
        <x:v>82</x:v>
      </x:c>
      <x:c r="C86" s="51">
        <x:v>5</x:v>
      </x:c>
      <x:c r="D86" s="51">
        <x:v>9</x:v>
      </x:c>
      <x:c r="E86" s="50" t="s">
        <x:v>224</x:v>
      </x:c>
      <x:c r="F86" s="50" t="s">
        <x:v>285</x:v>
      </x:c>
      <x:c r="G86" s="50" t="s">
        <x:v>86</x:v>
      </x:c>
      <x:c r="H86" s="50" t="s">
        <x:v>551</x:v>
      </x:c>
      <x:c r="I86" s="51">
        <x:v>4</x:v>
      </x:c>
      <x:c r="J86" s="50" t="s">
        <x:v>740</x:v>
      </x:c>
      <x:c r="K86" s="50" t="s">
        <x:v>741</x:v>
      </x:c>
      <x:c r="L86" s="50" t="s">
        <x:v>501</x:v>
      </x:c>
      <x:c r="M86" s="50" t="s">
        <x:v>411</x:v>
      </x:c>
      <x:c r="N86" s="52">
        <x:f t="shared" si="2"/>
        <x:v>0.092650462962962987</x:v>
      </x:c>
      <x:c r="O86" s="50" t="s">
        <x:v>205</x:v>
      </x:c>
      <x:c r="P86" s="51">
        <x:v>449</x:v>
      </x:c>
      <x:c r="Q86" s="53">
        <x:v>9</x:v>
      </x:c>
      <x:c r="R86" s="53">
        <x:v>2668.1300000000001</x:v>
      </x:c>
      <x:c r="S86" s="54" t="s">
        <x:v>502</x:v>
      </x:c>
      <x:c r="T86" s="54" t="s">
        <x:v>798</x:v>
      </x:c>
      <x:c r="U86" s="54" t="s">
        <x:v>798</x:v>
      </x:c>
      <x:c r="V86" s="51" t="s">
        <x:v>798</x:v>
      </x:c>
      <x:c r="W86" s="55">
        <x:v>0.0012864583333333335</x:v>
      </x:c>
      <x:c r="X86" s="55">
        <x:v>0.0010416666666666667</x:v>
      </x:c>
      <x:c r="Y86" s="55">
        <x:v>0.00091145833333333335</x:v>
      </x:c>
      <x:c r="Z86" s="50"/>
      <x:c r="AA86" s="50"/>
      <x:c r="AB86" s="50"/>
      <x:c r="AC86" s="50"/>
      <x:c r="AD86" s="43"/>
    </x:row>
    <x:row r="87" spans="1:30" ht="50.10000000000000142109" customHeight="1">
      <x:c r="A87" s="50" t="s">
        <x:v>887</x:v>
      </x:c>
      <x:c r="B87" s="51">
        <x:v>83</x:v>
      </x:c>
      <x:c r="C87" s="51">
        <x:v>5</x:v>
      </x:c>
      <x:c r="D87" s="51">
        <x:v>9</x:v>
      </x:c>
      <x:c r="E87" s="50" t="s">
        <x:v>682</x:v>
      </x:c>
      <x:c r="F87" s="50" t="s">
        <x:v>626</x:v>
      </x:c>
      <x:c r="G87" s="50" t="s">
        <x:v>74</x:v>
      </x:c>
      <x:c r="H87" s="50" t="s">
        <x:v>1021</x:v>
      </x:c>
      <x:c r="I87" s="51">
        <x:v>3</x:v>
      </x:c>
      <x:c r="J87" s="50" t="s">
        <x:v>766</x:v>
      </x:c>
      <x:c r="K87" s="50" t="s">
        <x:v>335</x:v>
      </x:c>
      <x:c r="L87" s="50" t="s">
        <x:v>490</x:v>
      </x:c>
      <x:c r="M87" s="50" t="s">
        <x:v>961</x:v>
      </x:c>
      <x:c r="N87" s="52">
        <x:f t="shared" si="2"/>
        <x:v>0.093576388888888917</x:v>
      </x:c>
      <x:c r="O87" s="50" t="s">
        <x:v>205</x:v>
      </x:c>
      <x:c r="P87" s="51">
        <x:v>458</x:v>
      </x:c>
      <x:c r="Q87" s="53">
        <x:v>9</x:v>
      </x:c>
      <x:c r="R87" s="53">
        <x:v>2756.9400000000001</x:v>
      </x:c>
      <x:c r="S87" s="54" t="s">
        <x:v>502</x:v>
      </x:c>
      <x:c r="T87" s="54" t="s">
        <x:v>798</x:v>
      </x:c>
      <x:c r="U87" s="54" t="s">
        <x:v>798</x:v>
      </x:c>
      <x:c r="V87" s="51" t="s">
        <x:v>798</x:v>
      </x:c>
      <x:c r="W87" s="55">
        <x:v>0.0011435185185185188</x:v>
      </x:c>
      <x:c r="X87" s="55">
        <x:v>0.00092592592592592596</x:v>
      </x:c>
      <x:c r="Y87" s="55">
        <x:v>0.00081018518518518527</x:v>
      </x:c>
      <x:c r="Z87" s="50"/>
      <x:c r="AA87" s="50"/>
      <x:c r="AB87" s="50"/>
      <x:c r="AC87" s="50"/>
      <x:c r="AD87" s="43"/>
    </x:row>
    <x:row r="88" spans="1:30" ht="50.10000000000000142109" customHeight="1">
      <x:c r="A88" s="50" t="s">
        <x:v>887</x:v>
      </x:c>
      <x:c r="B88" s="51">
        <x:v>84</x:v>
      </x:c>
      <x:c r="C88" s="51">
        <x:v>6</x:v>
      </x:c>
      <x:c r="D88" s="51">
        <x:v>9</x:v>
      </x:c>
      <x:c r="E88" s="50" t="s">
        <x:v>702</x:v>
      </x:c>
      <x:c r="F88" s="50" t="s">
        <x:v>264</x:v>
      </x:c>
      <x:c r="G88" s="50" t="s">
        <x:v>69</x:v>
      </x:c>
      <x:c r="H88" s="50" t="s">
        <x:v>454</x:v>
      </x:c>
      <x:c r="I88" s="51">
        <x:v>3</x:v>
      </x:c>
      <x:c r="J88" s="50" t="s">
        <x:v>407</x:v>
      </x:c>
      <x:c r="K88" s="50" t="s">
        <x:v>930</x:v>
      </x:c>
      <x:c r="L88" s="50" t="s">
        <x:v>497</x:v>
      </x:c>
      <x:c r="M88" s="50" t="s">
        <x:v>581</x:v>
      </x:c>
      <x:c r="N88" s="52">
        <x:f t="shared" si="2"/>
        <x:v>0.09658564814814817</x:v>
      </x:c>
      <x:c r="O88" s="50" t="s">
        <x:v>205</x:v>
      </x:c>
      <x:c r="P88" s="51">
        <x:v>468</x:v>
      </x:c>
      <x:c r="Q88" s="53">
        <x:v>10</x:v>
      </x:c>
      <x:c r="R88" s="53">
        <x:v>2856.9699999999998</x:v>
      </x:c>
      <x:c r="S88" s="54">
        <x:v>180</x:v>
      </x:c>
      <x:c r="T88" s="55">
        <x:v>0.00052083333333333333</x:v>
      </x:c>
      <x:c r="U88" s="55">
        <x:v>0.0030092592592592593</x:v>
      </x:c>
      <x:c r="V88" s="51">
        <x:v>1</x:v>
      </x:c>
      <x:c r="W88" s="55">
        <x:v>0.003851851851851852</x:v>
      </x:c>
      <x:c r="X88" s="55">
        <x:v>0.0030092592592592593</x:v>
      </x:c>
      <x:c r="Y88" s="55">
        <x:v>0.0025578703703703705</x:v>
      </x:c>
      <x:c r="Z88" s="50">
        <x:f>S88*20</x:f>
        <x:v>3600</x:v>
      </x:c>
      <x:c r="AA88" s="50"/>
      <x:c r="AB88" s="52">
        <x:f>T88*20*0.7</x:f>
        <x:v>0.0072916666666666659</x:v>
      </x:c>
      <x:c r="AC88" s="50"/>
      <x:c r="AD88" s="43"/>
    </x:row>
    <x:row r="89" spans="1:30" ht="50.10000000000000142109" customHeight="1">
      <x:c r="A89" s="50" t="s">
        <x:v>887</x:v>
      </x:c>
      <x:c r="B89" s="51">
        <x:v>85</x:v>
      </x:c>
      <x:c r="C89" s="51">
        <x:v>3</x:v>
      </x:c>
      <x:c r="D89" s="51">
        <x:v>8</x:v>
      </x:c>
      <x:c r="E89" s="50" t="s">
        <x:v>299</x:v>
      </x:c>
      <x:c r="F89" s="50" t="s">
        <x:v>260</x:v>
      </x:c>
      <x:c r="G89" s="50" t="s">
        <x:v>373</x:v>
      </x:c>
      <x:c r="H89" s="50" t="s">
        <x:v>945</x:v>
      </x:c>
      <x:c r="I89" s="51">
        <x:v>2</x:v>
      </x:c>
      <x:c r="J89" s="50" t="s">
        <x:v>301</x:v>
      </x:c>
      <x:c r="K89" s="50" t="s">
        <x:v>792</x:v>
      </x:c>
      <x:c r="L89" s="50" t="s">
        <x:v>785</x:v>
      </x:c>
      <x:c r="M89" s="50" t="s">
        <x:v>681</x:v>
      </x:c>
      <x:c r="N89" s="52">
        <x:f t="shared" si="2"/>
        <x:v>0.097280092592592612</x:v>
      </x:c>
      <x:c r="O89" s="50" t="s">
        <x:v>205</x:v>
      </x:c>
      <x:c r="P89" s="51">
        <x:v>475</x:v>
      </x:c>
      <x:c r="Q89" s="53">
        <x:v>7</x:v>
      </x:c>
      <x:c r="R89" s="53">
        <x:v>2927.8200000000002</x:v>
      </x:c>
      <x:c r="S89" s="54" t="s">
        <x:v>502</x:v>
      </x:c>
      <x:c r="T89" s="55" t="s">
        <x:v>798</x:v>
      </x:c>
      <x:c r="U89" s="55" t="s">
        <x:v>798</x:v>
      </x:c>
      <x:c r="V89" s="51" t="s">
        <x:v>798</x:v>
      </x:c>
      <x:c r="W89" s="55">
        <x:v>0.00079513888888888896</x:v>
      </x:c>
      <x:c r="X89" s="55">
        <x:v>0.00069444444444444447</x:v>
      </x:c>
      <x:c r="Y89" s="55">
        <x:v>0.00064236111111111113</x:v>
      </x:c>
      <x:c r="Z89" s="50"/>
      <x:c r="AA89" s="50"/>
      <x:c r="AB89" s="52"/>
      <x:c r="AC89" s="50"/>
      <x:c r="AD89" s="43"/>
    </x:row>
    <x:row r="90" spans="1:30" ht="50.10000000000000142109" customHeight="1">
      <x:c r="A90" s="50" t="s">
        <x:v>887</x:v>
      </x:c>
      <x:c r="B90" s="51">
        <x:v>86</x:v>
      </x:c>
      <x:c r="C90" s="51">
        <x:v>1</x:v>
      </x:c>
      <x:c r="D90" s="51">
        <x:v>7</x:v>
      </x:c>
      <x:c r="E90" s="50" t="s">
        <x:v>115</x:v>
      </x:c>
      <x:c r="F90" s="50" t="s">
        <x:v>562</x:v>
      </x:c>
      <x:c r="G90" s="50" t="s">
        <x:v>28</x:v>
      </x:c>
      <x:c r="H90" s="50" t="s">
        <x:v>387</x:v>
      </x:c>
      <x:c r="I90" s="51">
        <x:v>2</x:v>
      </x:c>
      <x:c r="J90" s="50" t="s">
        <x:v>202</x:v>
      </x:c>
      <x:c r="K90" s="50" t="s">
        <x:v>642</x:v>
      </x:c>
      <x:c r="L90" s="50" t="s">
        <x:v>490</x:v>
      </x:c>
      <x:c r="M90" s="50" t="s">
        <x:v>646</x:v>
      </x:c>
      <x:c r="N90" s="52">
        <x:f t="shared" si="2"/>
        <x:v>0.09820601851851854</x:v>
      </x:c>
      <x:c r="O90" s="50" t="s">
        <x:v>205</x:v>
      </x:c>
      <x:c r="P90" s="51">
        <x:v>479</x:v>
      </x:c>
      <x:c r="Q90" s="53">
        <x:v>4</x:v>
      </x:c>
      <x:c r="R90" s="53">
        <x:v>2968.6100000000001</x:v>
      </x:c>
      <x:c r="S90" s="54" t="s">
        <x:v>502</x:v>
      </x:c>
      <x:c r="T90" s="55" t="s">
        <x:v>798</x:v>
      </x:c>
      <x:c r="U90" s="55" t="s">
        <x:v>798</x:v>
      </x:c>
      <x:c r="V90" s="51" t="s">
        <x:v>798</x:v>
      </x:c>
      <x:c r="W90" s="55">
        <x:v>0.0010185185185185186</x:v>
      </x:c>
      <x:c r="X90" s="55">
        <x:v>0.00092592592592592596</x:v>
      </x:c>
      <x:c r="Y90" s="55">
        <x:v>0.00087962962962962962</x:v>
      </x:c>
      <x:c r="Z90" s="50"/>
      <x:c r="AA90" s="50"/>
      <x:c r="AB90" s="52"/>
      <x:c r="AC90" s="50"/>
      <x:c r="AD90" s="43"/>
    </x:row>
    <x:row r="91" spans="1:30" ht="50.10000000000000142109" customHeight="1">
      <x:c r="A91" s="50" t="s">
        <x:v>887</x:v>
      </x:c>
      <x:c r="B91" s="51">
        <x:v>87</x:v>
      </x:c>
      <x:c r="C91" s="51">
        <x:v>1</x:v>
      </x:c>
      <x:c r="D91" s="51">
        <x:v>7</x:v>
      </x:c>
      <x:c r="E91" s="50" t="s">
        <x:v>201</x:v>
      </x:c>
      <x:c r="F91" s="50" t="s">
        <x:v>1016</x:v>
      </x:c>
      <x:c r="G91" s="50" t="s">
        <x:v>132</x:v>
      </x:c>
      <x:c r="H91" s="50" t="s">
        <x:v>142</x:v>
      </x:c>
      <x:c r="I91" s="51">
        <x:v>2</x:v>
      </x:c>
      <x:c r="J91" s="50" t="s">
        <x:v>220</x:v>
      </x:c>
      <x:c r="K91" s="50" t="s">
        <x:v>792</x:v>
      </x:c>
      <x:c r="L91" s="50" t="s">
        <x:v>793</x:v>
      </x:c>
      <x:c r="M91" s="50" t="s">
        <x:v>923</x:v>
      </x:c>
      <x:c r="N91" s="52">
        <x:f t="shared" si="2"/>
        <x:v>0.098784722222222246</x:v>
      </x:c>
      <x:c r="O91" s="50" t="s">
        <x:v>207</x:v>
      </x:c>
      <x:c r="P91" s="51">
        <x:v>483</x:v>
      </x:c>
      <x:c r="Q91" s="53">
        <x:v>4</x:v>
      </x:c>
      <x:c r="R91" s="53">
        <x:v>3009.6300000000001</x:v>
      </x:c>
      <x:c r="S91" s="54" t="s">
        <x:v>502</x:v>
      </x:c>
      <x:c r="T91" s="55" t="s">
        <x:v>798</x:v>
      </x:c>
      <x:c r="U91" s="55" t="s">
        <x:v>798</x:v>
      </x:c>
      <x:c r="V91" s="51" t="s">
        <x:v>798</x:v>
      </x:c>
      <x:c r="W91" s="55">
        <x:v>0.00063657407407407413</x:v>
      </x:c>
      <x:c r="X91" s="55">
        <x:v>0.00057870370370370367</x:v>
      </x:c>
      <x:c r="Y91" s="55">
        <x:v>0.00054976851851851844</x:v>
      </x:c>
      <x:c r="Z91" s="50"/>
      <x:c r="AA91" s="50"/>
      <x:c r="AB91" s="52"/>
      <x:c r="AC91" s="50"/>
      <x:c r="AD91" s="43"/>
    </x:row>
    <x:row r="92" spans="1:30" ht="50.10000000000000142109" customHeight="1">
      <x:c r="A92" s="50" t="s">
        <x:v>887</x:v>
      </x:c>
      <x:c r="B92" s="51">
        <x:v>88</x:v>
      </x:c>
      <x:c r="C92" s="51">
        <x:v>4</x:v>
      </x:c>
      <x:c r="D92" s="51">
        <x:v>8</x:v>
      </x:c>
      <x:c r="E92" s="50" t="s">
        <x:v>643</x:v>
      </x:c>
      <x:c r="F92" s="50" t="s">
        <x:v>985</x:v>
      </x:c>
      <x:c r="G92" s="50" t="s">
        <x:v>999</x:v>
      </x:c>
      <x:c r="H92" s="50" t="s">
        <x:v>523</x:v>
      </x:c>
      <x:c r="I92" s="51">
        <x:v>5</x:v>
      </x:c>
      <x:c r="J92" s="50" t="s">
        <x:v>293</x:v>
      </x:c>
      <x:c r="K92" s="50" t="s">
        <x:v>729</x:v>
      </x:c>
      <x:c r="L92" s="50" t="s">
        <x:v>490</x:v>
      </x:c>
      <x:c r="M92" s="50" t="s">
        <x:v>935</x:v>
      </x:c>
      <x:c r="N92" s="52">
        <x:f t="shared" si="2"/>
        <x:v>0.099710648148148173</x:v>
      </x:c>
      <x:c r="O92" s="50" t="s">
        <x:v>207</x:v>
      </x:c>
      <x:c r="P92" s="51">
        <x:v>491</x:v>
      </x:c>
      <x:c r="Q92" s="53">
        <x:v>8</x:v>
      </x:c>
      <x:c r="R92" s="53">
        <x:v>3092.3200000000002</x:v>
      </x:c>
      <x:c r="S92" s="54" t="s">
        <x:v>502</x:v>
      </x:c>
      <x:c r="T92" s="55" t="s">
        <x:v>798</x:v>
      </x:c>
      <x:c r="U92" s="55" t="s">
        <x:v>798</x:v>
      </x:c>
      <x:c r="V92" s="51" t="s">
        <x:v>798</x:v>
      </x:c>
      <x:c r="W92" s="55">
        <x:v>0.0011018518518518521</x:v>
      </x:c>
      <x:c r="X92" s="55">
        <x:v>0.00092592592592592596</x:v>
      </x:c>
      <x:c r="Y92" s="55">
        <x:v>0.00083333333333333328</x:v>
      </x:c>
      <x:c r="Z92" s="50"/>
      <x:c r="AA92" s="50"/>
      <x:c r="AB92" s="52"/>
      <x:c r="AC92" s="50"/>
      <x:c r="AD92" s="43"/>
    </x:row>
    <x:row r="93" spans="1:30" ht="50.10000000000000142109" customHeight="1">
      <x:c r="A93" s="50" t="s">
        <x:v>887</x:v>
      </x:c>
      <x:c r="B93" s="51">
        <x:v>89</x:v>
      </x:c>
      <x:c r="C93" s="51">
        <x:v>6</x:v>
      </x:c>
      <x:c r="D93" s="51">
        <x:v>9</x:v>
      </x:c>
      <x:c r="E93" s="50" t="s">
        <x:v>247</x:v>
      </x:c>
      <x:c r="F93" s="50" t="s">
        <x:v>1010</x:v>
      </x:c>
      <x:c r="G93" s="50" t="s">
        <x:v>156</x:v>
      </x:c>
      <x:c r="H93" s="50" t="s">
        <x:v>1005</x:v>
      </x:c>
      <x:c r="I93" s="51">
        <x:v>4</x:v>
      </x:c>
      <x:c r="J93" s="50" t="s">
        <x:v>668</x:v>
      </x:c>
      <x:c r="K93" s="50" t="s">
        <x:v>929</x:v>
      </x:c>
      <x:c r="L93" s="50" t="s">
        <x:v>501</x:v>
      </x:c>
      <x:c r="M93" s="50" t="s">
        <x:v>425</x:v>
      </x:c>
      <x:c r="N93" s="52">
        <x:f t="shared" si="2"/>
        <x:v>0.10075231481481484</x:v>
      </x:c>
      <x:c r="O93" s="50" t="s">
        <x:v>207</x:v>
      </x:c>
      <x:c r="P93" s="51">
        <x:v>501</x:v>
      </x:c>
      <x:c r="Q93" s="53">
        <x:v>10</x:v>
      </x:c>
      <x:c r="R93" s="53">
        <x:v>3196.9200000000001</x:v>
      </x:c>
      <x:c r="S93" s="54" t="s">
        <x:v>502</x:v>
      </x:c>
      <x:c r="T93" s="55" t="s">
        <x:v>798</x:v>
      </x:c>
      <x:c r="U93" s="55" t="s">
        <x:v>798</x:v>
      </x:c>
      <x:c r="V93" s="51" t="s">
        <x:v>798</x:v>
      </x:c>
      <x:c r="W93" s="55">
        <x:v>0.0013333333333333333</x:v>
      </x:c>
      <x:c r="X93" s="55">
        <x:v>0.0010416666666666667</x:v>
      </x:c>
      <x:c r="Y93" s="55">
        <x:v>0.00088541666666666662</x:v>
      </x:c>
      <x:c r="Z93" s="50"/>
      <x:c r="AA93" s="50"/>
      <x:c r="AB93" s="52"/>
      <x:c r="AC93" s="50"/>
      <x:c r="AD93" s="43"/>
    </x:row>
    <x:row r="94" spans="1:30" ht="50.10000000000000142109" customHeight="1">
      <x:c r="A94" s="50" t="s">
        <x:v>887</x:v>
      </x:c>
      <x:c r="B94" s="51">
        <x:v>90</x:v>
      </x:c>
      <x:c r="C94" s="51">
        <x:v>6</x:v>
      </x:c>
      <x:c r="D94" s="51">
        <x:v>9</x:v>
      </x:c>
      <x:c r="E94" s="50" t="s">
        <x:v>223</x:v>
      </x:c>
      <x:c r="F94" s="50" t="s">
        <x:v>455</x:v>
      </x:c>
      <x:c r="G94" s="50" t="s">
        <x:v>184</x:v>
      </x:c>
      <x:c r="H94" s="50" t="s">
        <x:v>131</x:v>
      </x:c>
      <x:c r="I94" s="51">
        <x:v>2</x:v>
      </x:c>
      <x:c r="J94" s="50" t="s">
        <x:v>165</x:v>
      </x:c>
      <x:c r="K94" s="50" t="s">
        <x:v>697</x:v>
      </x:c>
      <x:c r="L94" s="50" t="s">
        <x:v>797</x:v>
      </x:c>
      <x:c r="M94" s="50" t="s">
        <x:v>426</x:v>
      </x:c>
      <x:c r="N94" s="52">
        <x:f t="shared" si="2"/>
        <x:v>0.10115740740740743</x:v>
      </x:c>
      <x:c r="O94" s="50" t="s">
        <x:v>207</x:v>
      </x:c>
      <x:c r="P94" s="51">
        <x:v>511</x:v>
      </x:c>
      <x:c r="Q94" s="53">
        <x:v>10</x:v>
      </x:c>
      <x:c r="R94" s="53">
        <x:v>3302.8899999999999</x:v>
      </x:c>
      <x:c r="S94" s="54">
        <x:f t="shared" ref="S94:S97" si="3">R94/V94</x:f>
        <x:v>3302.8899999999999</x:v>
      </x:c>
      <x:c r="T94" s="55">
        <x:v>0.00040509259259259258</x:v>
      </x:c>
      <x:c r="U94" s="55">
        <x:f t="shared" ref="U94:U97" si="4">T94*V94</x:f>
        <x:v>0.00040509259259259258</x:v>
      </x:c>
      <x:c r="V94" s="51">
        <x:v>1</x:v>
      </x:c>
      <x:c r="W94" s="55">
        <x:v>0.00051851851851851853</x:v>
      </x:c>
      <x:c r="X94" s="55">
        <x:v>0.00040509259259259258</x:v>
      </x:c>
      <x:c r="Y94" s="55">
        <x:v>0.00034432870370370368</x:v>
      </x:c>
      <x:c r="Z94" s="50">
        <x:f t="shared" ref="Z94:Z142" si="5">S94*20</x:f>
        <x:v>66057.800000000003</x:v>
      </x:c>
      <x:c r="AA94" s="50">
        <x:v>1</x:v>
      </x:c>
      <x:c r="AB94" s="52">
        <x:f t="shared" ref="AB94:AB142" si="6">T94*20*0.7</x:f>
        <x:v>0.0056712962962962958</x:v>
      </x:c>
      <x:c r="AC94" s="50"/>
      <x:c r="AD94" s="43"/>
    </x:row>
    <x:row r="95" spans="1:30" ht="50.10000000000000142109" customHeight="1">
      <x:c r="A95" s="50" t="s">
        <x:v>887</x:v>
      </x:c>
      <x:c r="B95" s="51">
        <x:v>91</x:v>
      </x:c>
      <x:c r="C95" s="51">
        <x:v>4</x:v>
      </x:c>
      <x:c r="D95" s="51">
        <x:v>6</x:v>
      </x:c>
      <x:c r="E95" s="50" t="s">
        <x:v>230</x:v>
      </x:c>
      <x:c r="F95" s="50" t="s">
        <x:v>932</x:v>
      </x:c>
      <x:c r="G95" s="50" t="s">
        <x:v>80</x:v>
      </x:c>
      <x:c r="H95" s="50" t="s">
        <x:v>560</x:v>
      </x:c>
      <x:c r="I95" s="51">
        <x:v>7</x:v>
      </x:c>
      <x:c r="J95" s="50" t="s">
        <x:v>832</x:v>
      </x:c>
      <x:c r="K95" s="50" t="s">
        <x:v>710</x:v>
      </x:c>
      <x:c r="L95" s="50" t="s">
        <x:v>784</x:v>
      </x:c>
      <x:c r="M95" s="50" t="s">
        <x:v>291</x:v>
      </x:c>
      <x:c r="N95" s="52">
        <x:f t="shared" si="2"/>
        <x:v>0.10393518518518521</x:v>
      </x:c>
      <x:c r="O95" s="50" t="s">
        <x:v>722</x:v>
      </x:c>
      <x:c r="P95" s="51">
        <x:v>518</x:v>
      </x:c>
      <x:c r="Q95" s="53">
        <x:v>7</x:v>
      </x:c>
      <x:c r="R95" s="53">
        <x:v>3377.8800000000001</x:v>
      </x:c>
      <x:c r="S95" s="54" t="s">
        <x:v>502</x:v>
      </x:c>
      <x:c r="T95" s="55" t="s">
        <x:v>798</x:v>
      </x:c>
      <x:c r="U95" s="55" t="s">
        <x:v>798</x:v>
      </x:c>
      <x:c r="V95" s="51" t="s">
        <x:v>798</x:v>
      </x:c>
      <x:c r="W95" s="55">
        <x:v>0.0033055555555555559</x:v>
      </x:c>
      <x:c r="X95" s="55">
        <x:v>0.0027777777777777779</x:v>
      </x:c>
      <x:c r="Y95" s="55">
        <x:v>0.0025</x:v>
      </x:c>
      <x:c r="Z95" s="50"/>
      <x:c r="AA95" s="50"/>
      <x:c r="AB95" s="52"/>
      <x:c r="AC95" s="50"/>
      <x:c r="AD95" s="43"/>
    </x:row>
    <x:row r="96" spans="1:30" ht="50.10000000000000142109" customHeight="1">
      <x:c r="A96" s="50" t="s">
        <x:v>887</x:v>
      </x:c>
      <x:c r="B96" s="51">
        <x:v>92</x:v>
      </x:c>
      <x:c r="C96" s="51">
        <x:v>6</x:v>
      </x:c>
      <x:c r="D96" s="51">
        <x:v>9</x:v>
      </x:c>
      <x:c r="E96" s="50" t="s">
        <x:v>727</x:v>
      </x:c>
      <x:c r="F96" s="50" t="s">
        <x:v>191</x:v>
      </x:c>
      <x:c r="G96" s="50" t="s">
        <x:v>81</x:v>
      </x:c>
      <x:c r="H96" s="50" t="s">
        <x:v>1017</x:v>
      </x:c>
      <x:c r="I96" s="51">
        <x:v>3</x:v>
      </x:c>
      <x:c r="J96" s="50" t="s">
        <x:v>726</x:v>
      </x:c>
      <x:c r="K96" s="50" t="s">
        <x:v>933</x:v>
      </x:c>
      <x:c r="L96" s="50" t="s">
        <x:v>501</x:v>
      </x:c>
      <x:c r="M96" s="50" t="s">
        <x:v>414</x:v>
      </x:c>
      <x:c r="N96" s="52">
        <x:f t="shared" si="2"/>
        <x:v>0.10497685185185188</x:v>
      </x:c>
      <x:c r="O96" s="50" t="s">
        <x:v>161</x:v>
      </x:c>
      <x:c r="P96" s="51">
        <x:v>528</x:v>
      </x:c>
      <x:c r="Q96" s="53">
        <x:v>10</x:v>
      </x:c>
      <x:c r="R96" s="53">
        <x:v>3486.1500000000001</x:v>
      </x:c>
      <x:c r="S96" s="54" t="s">
        <x:v>502</x:v>
      </x:c>
      <x:c r="T96" s="55" t="s">
        <x:v>798</x:v>
      </x:c>
      <x:c r="U96" s="55" t="s">
        <x:v>798</x:v>
      </x:c>
      <x:c r="V96" s="51" t="s">
        <x:v>798</x:v>
      </x:c>
      <x:c r="W96" s="55">
        <x:v>0.0013333333333333333</x:v>
      </x:c>
      <x:c r="X96" s="55">
        <x:v>0.0010416666666666667</x:v>
      </x:c>
      <x:c r="Y96" s="55">
        <x:v>0.00088541666666666662</x:v>
      </x:c>
      <x:c r="Z96" s="50"/>
      <x:c r="AA96" s="50"/>
      <x:c r="AB96" s="52"/>
      <x:c r="AC96" s="50"/>
      <x:c r="AD96" s="43"/>
    </x:row>
    <x:row r="97" spans="1:30" ht="50.10000000000000142109" customHeight="1">
      <x:c r="A97" s="50" t="s">
        <x:v>887</x:v>
      </x:c>
      <x:c r="B97" s="51">
        <x:v>93</x:v>
      </x:c>
      <x:c r="C97" s="51">
        <x:v>7</x:v>
      </x:c>
      <x:c r="D97" s="51">
        <x:v>9</x:v>
      </x:c>
      <x:c r="E97" s="50" t="s">
        <x:v>688</x:v>
      </x:c>
      <x:c r="F97" s="50" t="s">
        <x:v>178</x:v>
      </x:c>
      <x:c r="G97" s="50" t="s">
        <x:v>62</x:v>
      </x:c>
      <x:c r="H97" s="50" t="s">
        <x:v>1004</x:v>
      </x:c>
      <x:c r="I97" s="51">
        <x:v>2</x:v>
      </x:c>
      <x:c r="J97" s="50" t="s">
        <x:v>686</x:v>
      </x:c>
      <x:c r="K97" s="50" t="s">
        <x:v>423</x:v>
      </x:c>
      <x:c r="L97" s="50" t="s">
        <x:v>793</x:v>
      </x:c>
      <x:c r="M97" s="50" t="s">
        <x:v>404</x:v>
      </x:c>
      <x:c r="N97" s="52">
        <x:f t="shared" si="2"/>
        <x:v>0.10555555555555558</x:v>
      </x:c>
      <x:c r="O97" s="50" t="s">
        <x:v>161</x:v>
      </x:c>
      <x:c r="P97" s="51">
        <x:v>539</x:v>
      </x:c>
      <x:c r="Q97" s="53">
        <x:v>11</x:v>
      </x:c>
      <x:c r="R97" s="53">
        <x:v>3606.8000000000002</x:v>
      </x:c>
      <x:c r="S97" s="54">
        <x:f t="shared" si="3"/>
        <x:v>1803.4000000000001</x:v>
      </x:c>
      <x:c r="T97" s="55">
        <x:v>0.00028935185185185184</x:v>
      </x:c>
      <x:c r="U97" s="55">
        <x:f t="shared" si="4"/>
        <x:v>0.00057870370370370367</x:v>
      </x:c>
      <x:c r="V97" s="51">
        <x:v>2</x:v>
      </x:c>
      <x:c r="W97" s="55">
        <x:v>0.00076678240740740743</x:v>
      </x:c>
      <x:c r="X97" s="55">
        <x:v>0.00057870370370370367</x:v>
      </x:c>
      <x:c r="Y97" s="55">
        <x:v>0.00047743055555555549</x:v>
      </x:c>
      <x:c r="Z97" s="50">
        <x:f t="shared" si="5"/>
        <x:v>36068</x:v>
      </x:c>
      <x:c r="AA97" s="50">
        <x:v>1</x:v>
      </x:c>
      <x:c r="AB97" s="52">
        <x:f t="shared" si="6"/>
        <x:v>0.0040509259259259257</x:v>
      </x:c>
      <x:c r="AC97" s="50"/>
      <x:c r="AD97" s="43"/>
    </x:row>
    <x:row r="98" spans="1:30" ht="50.10000000000000142109" customHeight="1">
      <x:c r="A98" s="50" t="s">
        <x:v>887</x:v>
      </x:c>
      <x:c r="B98" s="51">
        <x:v>94</x:v>
      </x:c>
      <x:c r="C98" s="51">
        <x:v>1</x:v>
      </x:c>
      <x:c r="D98" s="51">
        <x:v>7</x:v>
      </x:c>
      <x:c r="E98" s="50" t="s">
        <x:v>119</x:v>
      </x:c>
      <x:c r="F98" s="50" t="s">
        <x:v>385</x:v>
      </x:c>
      <x:c r="G98" s="50" t="s">
        <x:v>409</x:v>
      </x:c>
      <x:c r="H98" s="50" t="s">
        <x:v>585</x:v>
      </x:c>
      <x:c r="I98" s="51">
        <x:v>3</x:v>
      </x:c>
      <x:c r="J98" s="50" t="s">
        <x:v>45</x:v>
      </x:c>
      <x:c r="K98" s="50" t="s">
        <x:v>792</x:v>
      </x:c>
      <x:c r="L98" s="50" t="s">
        <x:v>490</x:v>
      </x:c>
      <x:c r="M98" s="50" t="s">
        <x:v>342</x:v>
      </x:c>
      <x:c r="N98" s="52">
        <x:f t="shared" si="2"/>
        <x:v>0.10648148148148151</x:v>
      </x:c>
      <x:c r="O98" s="50" t="s">
        <x:v>722</x:v>
      </x:c>
      <x:c r="P98" s="51">
        <x:v>543</x:v>
      </x:c>
      <x:c r="Q98" s="53">
        <x:v>4</x:v>
      </x:c>
      <x:c r="R98" s="53">
        <x:v>3651.0700000000002</x:v>
      </x:c>
      <x:c r="S98" s="54" t="s">
        <x:v>502</x:v>
      </x:c>
      <x:c r="T98" s="55" t="s">
        <x:v>798</x:v>
      </x:c>
      <x:c r="U98" s="55" t="s">
        <x:v>798</x:v>
      </x:c>
      <x:c r="V98" s="51" t="s">
        <x:v>798</x:v>
      </x:c>
      <x:c r="W98" s="55">
        <x:v>0.0010185185185185186</x:v>
      </x:c>
      <x:c r="X98" s="55">
        <x:v>0.00092592592592592596</x:v>
      </x:c>
      <x:c r="Y98" s="55">
        <x:v>0.00087962962962962962</x:v>
      </x:c>
      <x:c r="Z98" s="50"/>
      <x:c r="AA98" s="50"/>
      <x:c r="AB98" s="52"/>
      <x:c r="AC98" s="50"/>
      <x:c r="AD98" s="43"/>
    </x:row>
    <x:row r="99" spans="1:30" ht="50.10000000000000142109" customHeight="1">
      <x:c r="A99" s="50" t="s">
        <x:v>887</x:v>
      </x:c>
      <x:c r="B99" s="51">
        <x:v>95</x:v>
      </x:c>
      <x:c r="C99" s="51">
        <x:v>3</x:v>
      </x:c>
      <x:c r="D99" s="51">
        <x:v>5</x:v>
      </x:c>
      <x:c r="E99" s="50" t="s">
        <x:v>844</x:v>
      </x:c>
      <x:c r="F99" s="50" t="s">
        <x:v>75</x:v>
      </x:c>
      <x:c r="G99" s="50" t="s">
        <x:v>621</x:v>
      </x:c>
      <x:c r="H99" s="50" t="s">
        <x:v>571</x:v>
      </x:c>
      <x:c r="I99" s="51">
        <x:v>5</x:v>
      </x:c>
      <x:c r="J99" s="50" t="s">
        <x:v>306</x:v>
      </x:c>
      <x:c r="K99" s="50" t="s">
        <x:v>657</x:v>
      </x:c>
      <x:c r="L99" s="50" t="s">
        <x:v>782</x:v>
      </x:c>
      <x:c r="M99" s="50" t="s">
        <x:v>667</x:v>
      </x:c>
      <x:c r="N99" s="52">
        <x:f>N98+(IFERROR(VALUE(LEFT(L99,FIND("분",L99)-1))*60,0)+IFERROR(VALUE(TRIM(MID(L99,IFERROR(FIND("분",L99),0)+1,IFERROR(FIND("초",L99),LEN(L99)+1)-IFERROR(FIND("분",L99),0)-1))),0))/86400</x:f>
        <x:v>0.10787037037037039</x:v>
      </x:c>
      <x:c r="O99" s="50" t="s">
        <x:v>722</x:v>
      </x:c>
      <x:c r="P99" s="51">
        <x:v>548</x:v>
      </x:c>
      <x:c r="Q99" s="53">
        <x:v>5</x:v>
      </x:c>
      <x:c r="R99" s="53">
        <x:v>3706.6999999999998</x:v>
      </x:c>
      <x:c r="S99" s="54" t="s">
        <x:v>502</x:v>
      </x:c>
      <x:c r="T99" s="55" t="s">
        <x:v>798</x:v>
      </x:c>
      <x:c r="U99" s="55" t="s">
        <x:v>798</x:v>
      </x:c>
      <x:c r="V99" s="51" t="s">
        <x:v>798</x:v>
      </x:c>
      <x:c r="W99" s="55">
        <x:v>0.0015902777777777779</x:v>
      </x:c>
      <x:c r="X99" s="55">
        <x:v>0.0013888888888888889</x:v>
      </x:c>
      <x:c r="Y99" s="55">
        <x:v>0.0012847222222222223</x:v>
      </x:c>
      <x:c r="Z99" s="50"/>
      <x:c r="AA99" s="50"/>
      <x:c r="AB99" s="52"/>
      <x:c r="AC99" s="50"/>
      <x:c r="AD99" s="43"/>
    </x:row>
    <x:row r="100" spans="1:30" ht="50.10000000000000142109" customHeight="1">
      <x:c r="A100" s="50" t="s">
        <x:v>836</x:v>
      </x:c>
      <x:c r="B100" s="51">
        <x:v>96</x:v>
      </x:c>
      <x:c r="C100" s="51">
        <x:v>1</x:v>
      </x:c>
      <x:c r="D100" s="51">
        <x:v>7</x:v>
      </x:c>
      <x:c r="E100" s="50" t="s">
        <x:v>822</x:v>
      </x:c>
      <x:c r="F100" s="50" t="s">
        <x:v>920</x:v>
      </x:c>
      <x:c r="G100" s="50" t="s">
        <x:v>176</x:v>
      </x:c>
      <x:c r="H100" s="50" t="s">
        <x:v>399</x:v>
      </x:c>
      <x:c r="I100" s="51">
        <x:v>2</x:v>
      </x:c>
      <x:c r="J100" s="50" t="s">
        <x:v>837</x:v>
      </x:c>
      <x:c r="K100" s="50" t="s">
        <x:v>792</x:v>
      </x:c>
      <x:c r="L100" s="50" t="s">
        <x:v>489</x:v>
      </x:c>
      <x:c r="M100" s="50" t="s">
        <x:v>949</x:v>
      </x:c>
      <x:c r="N100" s="52">
        <x:f>N99+(IFERROR(VALUE(LEFT(L100,FIND("분",L100)-1))*60,0)+IFERROR(VALUE(TRIM(MID(L100,IFERROR(FIND("분",L100),0)+1,IFERROR(FIND("초",L100),LEN(L100)+1)-IFERROR(FIND("분",L100),0)-1))),0))/86400</x:f>
        <x:v>0.10902777777777781</x:v>
      </x:c>
      <x:c r="O100" s="50" t="s">
        <x:v>839</x:v>
      </x:c>
      <x:c r="P100" s="51">
        <x:v>552</x:v>
      </x:c>
      <x:c r="Q100" s="53">
        <x:v>4</x:v>
      </x:c>
      <x:c r="R100" s="53">
        <x:v>3751.4499999999998</x:v>
      </x:c>
      <x:c r="S100" s="54" t="s">
        <x:v>502</x:v>
      </x:c>
      <x:c r="T100" s="55" t="s">
        <x:v>798</x:v>
      </x:c>
      <x:c r="U100" s="55" t="s">
        <x:v>798</x:v>
      </x:c>
      <x:c r="V100" s="51" t="s">
        <x:v>798</x:v>
      </x:c>
      <x:c r="W100" s="55">
        <x:v>0.0012731481481481483</x:v>
      </x:c>
      <x:c r="X100" s="55">
        <x:v>0.0011574074074074073</x:v>
      </x:c>
      <x:c r="Y100" s="55">
        <x:v>0.0010995370370370369</x:v>
      </x:c>
      <x:c r="Z100" s="50"/>
      <x:c r="AA100" s="50"/>
      <x:c r="AB100" s="52"/>
      <x:c r="AC100" s="50"/>
      <x:c r="AD100" s="43"/>
    </x:row>
    <x:row r="101" spans="1:30" ht="50.10000000000000142109" customHeight="1">
      <x:c r="A101" s="50" t="s">
        <x:v>836</x:v>
      </x:c>
      <x:c r="B101" s="51">
        <x:v>97</x:v>
      </x:c>
      <x:c r="C101" s="51">
        <x:v>2</x:v>
      </x:c>
      <x:c r="D101" s="51">
        <x:v>5</x:v>
      </x:c>
      <x:c r="E101" s="50" t="s">
        <x:v>835</x:v>
      </x:c>
      <x:c r="F101" s="50" t="s">
        <x:v>1026</x:v>
      </x:c>
      <x:c r="G101" s="50" t="s">
        <x:v>73</x:v>
      </x:c>
      <x:c r="H101" s="50" t="s">
        <x:v>590</x:v>
      </x:c>
      <x:c r="I101" s="51">
        <x:v>5</x:v>
      </x:c>
      <x:c r="J101" s="50" t="s">
        <x:v>958</x:v>
      </x:c>
      <x:c r="K101" s="50" t="s">
        <x:v>650</x:v>
      </x:c>
      <x:c r="L101" s="50" t="s">
        <x:v>489</x:v>
      </x:c>
      <x:c r="M101" s="50" t="s">
        <x:v>213</x:v>
      </x:c>
      <x:c r="N101" s="52">
        <x:f t="shared" si="2"/>
        <x:v>0.11018518518518522</x:v>
      </x:c>
      <x:c r="O101" s="50" t="s">
        <x:v>839</x:v>
      </x:c>
      <x:c r="P101" s="51">
        <x:v>556</x:v>
      </x:c>
      <x:c r="Q101" s="53">
        <x:v>4</x:v>
      </x:c>
      <x:c r="R101" s="53">
        <x:v>3796.4099999999999</x:v>
      </x:c>
      <x:c r="S101" s="54" t="s">
        <x:v>502</x:v>
      </x:c>
      <x:c r="T101" s="55" t="s">
        <x:v>798</x:v>
      </x:c>
      <x:c r="U101" s="55" t="s">
        <x:v>798</x:v>
      </x:c>
      <x:c r="V101" s="51" t="s">
        <x:v>798</x:v>
      </x:c>
      <x:c r="W101" s="55">
        <x:v>0.0012731481481481483</x:v>
      </x:c>
      <x:c r="X101" s="55">
        <x:v>0.0011574074074074073</x:v>
      </x:c>
      <x:c r="Y101" s="55">
        <x:v>0.0010995370370370369</x:v>
      </x:c>
      <x:c r="Z101" s="50"/>
      <x:c r="AA101" s="50"/>
      <x:c r="AB101" s="52"/>
      <x:c r="AC101" s="50"/>
      <x:c r="AD101" s="43"/>
    </x:row>
    <x:row r="102" spans="1:30" ht="50.10000000000000142109" customHeight="1">
      <x:c r="A102" s="50" t="s">
        <x:v>836</x:v>
      </x:c>
      <x:c r="B102" s="51">
        <x:v>98</x:v>
      </x:c>
      <x:c r="C102" s="51">
        <x:v>2</x:v>
      </x:c>
      <x:c r="D102" s="51">
        <x:v>5</x:v>
      </x:c>
      <x:c r="E102" s="50" t="s">
        <x:v>211</x:v>
      </x:c>
      <x:c r="F102" s="50" t="s">
        <x:v>381</x:v>
      </x:c>
      <x:c r="G102" s="50" t="s">
        <x:v>593</x:v>
      </x:c>
      <x:c r="H102" s="50" t="s">
        <x:v>534</x:v>
      </x:c>
      <x:c r="I102" s="51">
        <x:v>4</x:v>
      </x:c>
      <x:c r="J102" s="50" t="s">
        <x:v>674</x:v>
      </x:c>
      <x:c r="K102" s="50" t="s">
        <x:v>792</x:v>
      </x:c>
      <x:c r="L102" s="50" t="s">
        <x:v>782</x:v>
      </x:c>
      <x:c r="M102" s="50" t="s">
        <x:v>675</x:v>
      </x:c>
      <x:c r="N102" s="52">
        <x:f t="shared" ref="N102:N123" si="7">N101+(IFERROR(VALUE(LEFT(L102,FIND("분",L102)-1))*60,0)+IFERROR(VALUE(TRIM(MID(L102,IFERROR(FIND("분",L102),0)+1,IFERROR(FIND("초",L102),LEN(L102)+1)-IFERROR(FIND("분",L102),0)-1))),0))/86400</x:f>
        <x:v>0.1115740740740741</x:v>
      </x:c>
      <x:c r="O102" s="50" t="s">
        <x:v>839</x:v>
      </x:c>
      <x:c r="P102" s="51">
        <x:v>560</x:v>
      </x:c>
      <x:c r="Q102" s="53">
        <x:v>4</x:v>
      </x:c>
      <x:c r="R102" s="53">
        <x:v>3841.5799999999999</x:v>
      </x:c>
      <x:c r="S102" s="54" t="s">
        <x:v>502</x:v>
      </x:c>
      <x:c r="T102" s="55" t="s">
        <x:v>798</x:v>
      </x:c>
      <x:c r="U102" s="55" t="s">
        <x:v>798</x:v>
      </x:c>
      <x:c r="V102" s="51" t="s">
        <x:v>798</x:v>
      </x:c>
      <x:c r="W102" s="55">
        <x:v>0.0015277777777777779</x:v>
      </x:c>
      <x:c r="X102" s="55">
        <x:v>0.0013888888888888889</x:v>
      </x:c>
      <x:c r="Y102" s="55">
        <x:v>0.0013194444444444445</x:v>
      </x:c>
      <x:c r="Z102" s="50"/>
      <x:c r="AA102" s="50"/>
      <x:c r="AB102" s="52"/>
      <x:c r="AC102" s="50"/>
      <x:c r="AD102" s="43"/>
    </x:row>
    <x:row r="103" spans="1:30" ht="50.10000000000000142109" customHeight="1">
      <x:c r="A103" s="50" t="s">
        <x:v>836</x:v>
      </x:c>
      <x:c r="B103" s="51">
        <x:v>99</x:v>
      </x:c>
      <x:c r="C103" s="51">
        <x:v>3</x:v>
      </x:c>
      <x:c r="D103" s="51">
        <x:v>6</x:v>
      </x:c>
      <x:c r="E103" s="50" t="s">
        <x:v>833</x:v>
      </x:c>
      <x:c r="F103" s="50" t="s">
        <x:v>379</x:v>
      </x:c>
      <x:c r="G103" s="50" t="s">
        <x:v>393</x:v>
      </x:c>
      <x:c r="H103" s="50" t="s">
        <x:v>531</x:v>
      </x:c>
      <x:c r="I103" s="51">
        <x:v>1</x:v>
      </x:c>
      <x:c r="J103" s="50" t="s">
        <x:v>464</x:v>
      </x:c>
      <x:c r="K103" s="50" t="s">
        <x:v>321</x:v>
      </x:c>
      <x:c r="L103" s="50" t="s">
        <x:v>466</x:v>
      </x:c>
      <x:c r="M103" s="50" t="s">
        <x:v>639</x:v>
      </x:c>
      <x:c r="N103" s="52">
        <x:f t="shared" si="7"/>
        <x:v>0.11307870370370374</x:v>
      </x:c>
      <x:c r="O103" s="50" t="s">
        <x:v>818</x:v>
      </x:c>
      <x:c r="P103" s="51">
        <x:v>566</x:v>
      </x:c>
      <x:c r="Q103" s="53">
        <x:v>6</x:v>
      </x:c>
      <x:c r="R103" s="53">
        <x:v>3909.73</x:v>
      </x:c>
      <x:c r="S103" s="54" t="s">
        <x:v>502</x:v>
      </x:c>
      <x:c r="T103" s="55" t="s">
        <x:v>798</x:v>
      </x:c>
      <x:c r="U103" s="55" t="s">
        <x:v>798</x:v>
      </x:c>
      <x:c r="V103" s="51" t="s">
        <x:v>798</x:v>
      </x:c>
      <x:c r="W103" s="55">
        <x:v>0.001722800925925926</x:v>
      </x:c>
      <x:c r="X103" s="55">
        <x:v>0.0015046296296296296</x:v>
      </x:c>
      <x:c r="Y103" s="55">
        <x:v>0.0013917824074074073</x:v>
      </x:c>
      <x:c r="Z103" s="50"/>
      <x:c r="AA103" s="50"/>
      <x:c r="AB103" s="52"/>
      <x:c r="AC103" s="50"/>
      <x:c r="AD103" s="43"/>
    </x:row>
    <x:row r="104" spans="1:30" ht="50.10000000000000142109" customHeight="1">
      <x:c r="A104" s="50" t="s">
        <x:v>836</x:v>
      </x:c>
      <x:c r="B104" s="51">
        <x:v>100</x:v>
      </x:c>
      <x:c r="C104" s="51">
        <x:v>3</x:v>
      </x:c>
      <x:c r="D104" s="51">
        <x:v>6</x:v>
      </x:c>
      <x:c r="E104" s="50" t="s">
        <x:v>807</x:v>
      </x:c>
      <x:c r="F104" s="50" t="s">
        <x:v>946</x:v>
      </x:c>
      <x:c r="G104" s="50" t="s">
        <x:v>561</x:v>
      </x:c>
      <x:c r="H104" s="50" t="s">
        <x:v>586</x:v>
      </x:c>
      <x:c r="I104" s="51">
        <x:v>4</x:v>
      </x:c>
      <x:c r="J104" s="50" t="s">
        <x:v>802</x:v>
      </x:c>
      <x:c r="K104" s="50" t="s">
        <x:v>665</x:v>
      </x:c>
      <x:c r="L104" s="50" t="s">
        <x:v>517</x:v>
      </x:c>
      <x:c r="M104" s="50" t="s">
        <x:v>107</x:v>
      </x:c>
      <x:c r="N104" s="52">
        <x:f t="shared" si="7"/>
        <x:v>0.11481481481481484</x:v>
      </x:c>
      <x:c r="O104" s="50" t="s">
        <x:v>818</x:v>
      </x:c>
      <x:c r="P104" s="51">
        <x:v>572</x:v>
      </x:c>
      <x:c r="Q104" s="53">
        <x:v>6</x:v>
      </x:c>
      <x:c r="R104" s="53">
        <x:v>3978.3499999999999</x:v>
      </x:c>
      <x:c r="S104" s="54" t="s">
        <x:v>502</x:v>
      </x:c>
      <x:c r="T104" s="55" t="s">
        <x:v>798</x:v>
      </x:c>
      <x:c r="U104" s="55" t="s">
        <x:v>798</x:v>
      </x:c>
      <x:c r="V104" s="51" t="s">
        <x:v>798</x:v>
      </x:c>
      <x:c r="W104" s="55">
        <x:v>0.001987847222222222</x:v>
      </x:c>
      <x:c r="X104" s="55">
        <x:v>0.001736111111111111</x:v>
      </x:c>
      <x:c r="Y104" s="55">
        <x:v>0.0016059027777777775</x:v>
      </x:c>
      <x:c r="Z104" s="50"/>
      <x:c r="AA104" s="50"/>
      <x:c r="AB104" s="52"/>
      <x:c r="AC104" s="50"/>
      <x:c r="AD104" s="43"/>
    </x:row>
    <x:row r="105" spans="1:30" ht="50.10000000000000142109" customHeight="1">
      <x:c r="A105" s="50" t="s">
        <x:v>836</x:v>
      </x:c>
      <x:c r="B105" s="51">
        <x:v>101</x:v>
      </x:c>
      <x:c r="C105" s="51">
        <x:v>5</x:v>
      </x:c>
      <x:c r="D105" s="51">
        <x:v>8</x:v>
      </x:c>
      <x:c r="E105" s="50" t="s">
        <x:v>683</x:v>
      </x:c>
      <x:c r="F105" s="50" t="s">
        <x:v>576</x:v>
      </x:c>
      <x:c r="G105" s="50" t="s">
        <x:v>1020</x:v>
      </x:c>
      <x:c r="H105" s="50" t="s">
        <x:v>382</x:v>
      </x:c>
      <x:c r="I105" s="51">
        <x:v>5</x:v>
      </x:c>
      <x:c r="J105" s="50" t="s">
        <x:v>745</x:v>
      </x:c>
      <x:c r="K105" s="50" t="s">
        <x:v>701</x:v>
      </x:c>
      <x:c r="L105" s="50" t="s">
        <x:v>782</x:v>
      </x:c>
      <x:c r="M105" s="50" t="s">
        <x:v>412</x:v>
      </x:c>
      <x:c r="N105" s="52">
        <x:f t="shared" si="7"/>
        <x:v>0.11620370370370373</x:v>
      </x:c>
      <x:c r="O105" s="50" t="s">
        <x:v>51</x:v>
      </x:c>
      <x:c r="P105" s="51">
        <x:v>581</x:v>
      </x:c>
      <x:c r="Q105" s="53">
        <x:v>9</x:v>
      </x:c>
      <x:c r="R105" s="53">
        <x:v>4082.1700000000001</x:v>
      </x:c>
      <x:c r="S105" s="54" t="s">
        <x:v>502</x:v>
      </x:c>
      <x:c r="T105" s="55" t="s">
        <x:v>798</x:v>
      </x:c>
      <x:c r="U105" s="55" t="s">
        <x:v>798</x:v>
      </x:c>
      <x:c r="V105" s="51" t="s">
        <x:v>798</x:v>
      </x:c>
      <x:c r="W105" s="55">
        <x:v>0.001715277777777778</x:v>
      </x:c>
      <x:c r="X105" s="55">
        <x:v>0.0013888888888888889</x:v>
      </x:c>
      <x:c r="Y105" s="55">
        <x:v>0.0012152777777777778</x:v>
      </x:c>
      <x:c r="Z105" s="50"/>
      <x:c r="AA105" s="50"/>
      <x:c r="AB105" s="52"/>
      <x:c r="AC105" s="50"/>
      <x:c r="AD105" s="43"/>
    </x:row>
    <x:row r="106" spans="1:30" ht="50.10000000000000142109" customHeight="1">
      <x:c r="A106" s="50" t="s">
        <x:v>836</x:v>
      </x:c>
      <x:c r="B106" s="51">
        <x:v>102</x:v>
      </x:c>
      <x:c r="C106" s="51">
        <x:v>4</x:v>
      </x:c>
      <x:c r="D106" s="51">
        <x:v>7</x:v>
      </x:c>
      <x:c r="E106" s="50" t="s">
        <x:v>838</x:v>
      </x:c>
      <x:c r="F106" s="50" t="s">
        <x:v>394</x:v>
      </x:c>
      <x:c r="G106" s="50" t="s">
        <x:v>521</x:v>
      </x:c>
      <x:c r="H106" s="50" t="s">
        <x:v>396</x:v>
      </x:c>
      <x:c r="I106" s="51">
        <x:v>6</x:v>
      </x:c>
      <x:c r="J106" s="50" t="s">
        <x:v>770</x:v>
      </x:c>
      <x:c r="K106" s="50" t="s">
        <x:v>792</x:v>
      </x:c>
      <x:c r="L106" s="50" t="s">
        <x:v>508</x:v>
      </x:c>
      <x:c r="M106" s="50" t="s">
        <x:v>698</x:v>
      </x:c>
      <x:c r="N106" s="52">
        <x:f t="shared" si="7"/>
        <x:v>0.11863425925925929</x:v>
      </x:c>
      <x:c r="O106" s="50" t="s">
        <x:v>51</x:v>
      </x:c>
      <x:c r="P106" s="51">
        <x:v>588</x:v>
      </x:c>
      <x:c r="Q106" s="53">
        <x:v>7</x:v>
      </x:c>
      <x:c r="R106" s="53">
        <x:v>4163.6300000000001</x:v>
      </x:c>
      <x:c r="S106" s="54" t="s">
        <x:v>502</x:v>
      </x:c>
      <x:c r="T106" s="55" t="s">
        <x:v>798</x:v>
      </x:c>
      <x:c r="U106" s="55" t="s">
        <x:v>798</x:v>
      </x:c>
      <x:c r="V106" s="51" t="s">
        <x:v>798</x:v>
      </x:c>
      <x:c r="W106" s="55">
        <x:v>0.0028923611111111116</x:v>
      </x:c>
      <x:c r="X106" s="55">
        <x:v>0.0024305555555555556</x:v>
      </x:c>
      <x:c r="Y106" s="55">
        <x:v>0.0021874999999999997</x:v>
      </x:c>
      <x:c r="Z106" s="50"/>
      <x:c r="AA106" s="50"/>
      <x:c r="AB106" s="52"/>
      <x:c r="AC106" s="50"/>
      <x:c r="AD106" s="43"/>
    </x:row>
    <x:row r="107" spans="1:30" ht="50.10000000000000142109" customHeight="1">
      <x:c r="A107" s="50" t="s">
        <x:v>836</x:v>
      </x:c>
      <x:c r="B107" s="51">
        <x:v>103</x:v>
      </x:c>
      <x:c r="C107" s="51">
        <x:v>6</x:v>
      </x:c>
      <x:c r="D107" s="51">
        <x:v>9</x:v>
      </x:c>
      <x:c r="E107" s="50" t="s">
        <x:v>834</x:v>
      </x:c>
      <x:c r="F107" s="50" t="s">
        <x:v>592</x:v>
      </x:c>
      <x:c r="G107" s="50" t="s">
        <x:v>26</x:v>
      </x:c>
      <x:c r="H107" s="50" t="s">
        <x:v>529</x:v>
      </x:c>
      <x:c r="I107" s="51">
        <x:v>5</x:v>
      </x:c>
      <x:c r="J107" s="50" t="s">
        <x:v>290</x:v>
      </x:c>
      <x:c r="K107" s="50" t="s">
        <x:v>948</x:v>
      </x:c>
      <x:c r="L107" s="50" t="s">
        <x:v>781</x:v>
      </x:c>
      <x:c r="M107" s="50" t="s">
        <x:v>117</x:v>
      </x:c>
      <x:c r="N107" s="52">
        <x:f t="shared" si="7"/>
        <x:v>0.12071759259259263</x:v>
      </x:c>
      <x:c r="O107" s="50" t="s">
        <x:v>51</x:v>
      </x:c>
      <x:c r="P107" s="51">
        <x:v>598</x:v>
      </x:c>
      <x:c r="Q107" s="53">
        <x:v>10</x:v>
      </x:c>
      <x:c r="R107" s="53">
        <x:v>4281.1199999999999</x:v>
      </x:c>
      <x:c r="S107" s="54" t="s">
        <x:v>502</x:v>
      </x:c>
      <x:c r="T107" s="55" t="s">
        <x:v>798</x:v>
      </x:c>
      <x:c r="U107" s="55" t="s">
        <x:v>798</x:v>
      </x:c>
      <x:c r="V107" s="51" t="s">
        <x:v>798</x:v>
      </x:c>
      <x:c r="W107" s="55">
        <x:v>0.0026666666666666666</x:v>
      </x:c>
      <x:c r="X107" s="55">
        <x:v>0.0020833333333333333</x:v>
      </x:c>
      <x:c r="Y107" s="55">
        <x:v>0.0017708333333333332</x:v>
      </x:c>
      <x:c r="Z107" s="50"/>
      <x:c r="AA107" s="50"/>
      <x:c r="AB107" s="52"/>
      <x:c r="AC107" s="50"/>
      <x:c r="AD107" s="43"/>
    </x:row>
    <x:row r="108" spans="1:30" ht="50.10000000000000142109" customHeight="1">
      <x:c r="A108" s="50" t="s">
        <x:v>836</x:v>
      </x:c>
      <x:c r="B108" s="51">
        <x:v>104</x:v>
      </x:c>
      <x:c r="C108" s="51">
        <x:v>3</x:v>
      </x:c>
      <x:c r="D108" s="51">
        <x:v>8</x:v>
      </x:c>
      <x:c r="E108" s="50" t="s">
        <x:v>226</x:v>
      </x:c>
      <x:c r="F108" s="50" t="s">
        <x:v>540</x:v>
      </x:c>
      <x:c r="G108" s="50" t="s">
        <x:v>272</x:v>
      </x:c>
      <x:c r="H108" s="50" t="s">
        <x:v>538</x:v>
      </x:c>
      <x:c r="I108" s="51">
        <x:v>5</x:v>
      </x:c>
      <x:c r="J108" s="50" t="s">
        <x:v>215</x:v>
      </x:c>
      <x:c r="K108" s="50" t="s">
        <x:v>777</x:v>
      </x:c>
      <x:c r="L108" s="50" t="s">
        <x:v>519</x:v>
      </x:c>
      <x:c r="M108" s="50" t="s">
        <x:v>671</x:v>
      </x:c>
      <x:c r="N108" s="52">
        <x:f t="shared" si="7"/>
        <x:v>0.12303240740740744</x:v>
      </x:c>
      <x:c r="O108" s="50" t="s">
        <x:v>51</x:v>
      </x:c>
      <x:c r="P108" s="51">
        <x:v>605</x:v>
      </x:c>
      <x:c r="Q108" s="53">
        <x:v>7</x:v>
      </x:c>
      <x:c r="R108" s="53">
        <x:v>4364.1199999999999</x:v>
      </x:c>
      <x:c r="S108" s="54" t="s">
        <x:v>502</x:v>
      </x:c>
      <x:c r="T108" s="55" t="s">
        <x:v>798</x:v>
      </x:c>
      <x:c r="U108" s="55" t="s">
        <x:v>798</x:v>
      </x:c>
      <x:c r="V108" s="51" t="s">
        <x:v>798</x:v>
      </x:c>
      <x:c r="W108" s="55">
        <x:v>0.002650462962962963</x:v>
      </x:c>
      <x:c r="X108" s="55">
        <x:v>0.0023148148148148147</x:v>
      </x:c>
      <x:c r="Y108" s="55">
        <x:v>0.0021412037037037033</x:v>
      </x:c>
      <x:c r="Z108" s="50"/>
      <x:c r="AA108" s="50"/>
      <x:c r="AB108" s="52"/>
      <x:c r="AC108" s="50"/>
      <x:c r="AD108" s="43"/>
    </x:row>
    <x:row r="109" spans="1:30" ht="50.10000000000000142109" customHeight="1">
      <x:c r="A109" s="50" t="s">
        <x:v>836</x:v>
      </x:c>
      <x:c r="B109" s="51">
        <x:v>105</x:v>
      </x:c>
      <x:c r="C109" s="51">
        <x:v>5</x:v>
      </x:c>
      <x:c r="D109" s="51">
        <x:v>7</x:v>
      </x:c>
      <x:c r="E109" s="50" t="s">
        <x:v>208</x:v>
      </x:c>
      <x:c r="F109" s="50" t="s">
        <x:v>944</x:v>
      </x:c>
      <x:c r="G109" s="50" t="s">
        <x:v>627</x:v>
      </x:c>
      <x:c r="H109" s="50" t="s">
        <x:v>997</x:v>
      </x:c>
      <x:c r="I109" s="51">
        <x:v>4</x:v>
      </x:c>
      <x:c r="J109" s="50" t="s">
        <x:v>815</x:v>
      </x:c>
      <x:c r="K109" s="50" t="s">
        <x:v>775</x:v>
      </x:c>
      <x:c r="L109" s="50" t="s">
        <x:v>519</x:v>
      </x:c>
      <x:c r="M109" s="50" t="s">
        <x:v>705</x:v>
      </x:c>
      <x:c r="N109" s="52">
        <x:f t="shared" si="7"/>
        <x:v>0.12534722222222225</x:v>
      </x:c>
      <x:c r="O109" s="50" t="s">
        <x:v>51</x:v>
      </x:c>
      <x:c r="P109" s="51">
        <x:v>613</x:v>
      </x:c>
      <x:c r="Q109" s="53">
        <x:v>8</x:v>
      </x:c>
      <x:c r="R109" s="53">
        <x:v>4459.7399999999998</x:v>
      </x:c>
      <x:c r="S109" s="54" t="s">
        <x:v>502</x:v>
      </x:c>
      <x:c r="T109" s="55" t="s">
        <x:v>798</x:v>
      </x:c>
      <x:c r="U109" s="55" t="s">
        <x:v>798</x:v>
      </x:c>
      <x:c r="V109" s="51" t="s">
        <x:v>798</x:v>
      </x:c>
      <x:c r="W109" s="55">
        <x:v>0.0028587962962962963</x:v>
      </x:c>
      <x:c r="X109" s="55">
        <x:v>0.0023148148148148147</x:v>
      </x:c>
      <x:c r="Y109" s="55">
        <x:v>0.0020254629629629629</x:v>
      </x:c>
      <x:c r="Z109" s="50"/>
      <x:c r="AA109" s="50"/>
      <x:c r="AB109" s="52"/>
      <x:c r="AC109" s="50"/>
      <x:c r="AD109" s="43"/>
    </x:row>
    <x:row r="110" spans="1:30" ht="50.10000000000000142109" customHeight="1">
      <x:c r="A110" s="50" t="s">
        <x:v>836</x:v>
      </x:c>
      <x:c r="B110" s="51">
        <x:v>106</x:v>
      </x:c>
      <x:c r="C110" s="51">
        <x:v>4</x:v>
      </x:c>
      <x:c r="D110" s="51">
        <x:v>7</x:v>
      </x:c>
      <x:c r="E110" s="50" t="s">
        <x:v>95</x:v>
      </x:c>
      <x:c r="F110" s="50" t="s">
        <x:v>964</x:v>
      </x:c>
      <x:c r="G110" s="50" t="s">
        <x:v>934</x:v>
      </x:c>
      <x:c r="H110" s="50" t="s">
        <x:v>431</x:v>
      </x:c>
      <x:c r="I110" s="51">
        <x:v>1</x:v>
      </x:c>
      <x:c r="J110" s="50" t="s">
        <x:v>233</x:v>
      </x:c>
      <x:c r="K110" s="50" t="s">
        <x:v>338</x:v>
      </x:c>
      <x:c r="L110" s="50" t="s">
        <x:v>489</x:v>
      </x:c>
      <x:c r="M110" s="50" t="s">
        <x:v>652</x:v>
      </x:c>
      <x:c r="N110" s="52">
        <x:f t="shared" si="7"/>
        <x:v>0.12650462962962966</x:v>
      </x:c>
      <x:c r="O110" s="50" t="s">
        <x:v>251</x:v>
      </x:c>
      <x:c r="P110" s="51">
        <x:v>620</x:v>
      </x:c>
      <x:c r="Q110" s="53">
        <x:v>7</x:v>
      </x:c>
      <x:c r="R110" s="53">
        <x:v>4544.0799999999999</x:v>
      </x:c>
      <x:c r="S110" s="54" t="s">
        <x:v>502</x:v>
      </x:c>
      <x:c r="T110" s="55" t="s">
        <x:v>798</x:v>
      </x:c>
      <x:c r="U110" s="55" t="s">
        <x:v>798</x:v>
      </x:c>
      <x:c r="V110" s="51" t="s">
        <x:v>798</x:v>
      </x:c>
      <x:c r="W110" s="55">
        <x:v>0.0013773148148148149</x:v>
      </x:c>
      <x:c r="X110" s="55">
        <x:v>0.0011574074074074073</x:v>
      </x:c>
      <x:c r="Y110" s="55">
        <x:v>0.0010416666666666664</x:v>
      </x:c>
      <x:c r="Z110" s="50"/>
      <x:c r="AA110" s="50"/>
      <x:c r="AB110" s="52"/>
      <x:c r="AC110" s="50"/>
      <x:c r="AD110" s="43"/>
    </x:row>
    <x:row r="111" spans="1:30" ht="50.10000000000000142109" customHeight="1">
      <x:c r="A111" s="50" t="s">
        <x:v>836</x:v>
      </x:c>
      <x:c r="B111" s="51">
        <x:v>107</x:v>
      </x:c>
      <x:c r="C111" s="51">
        <x:v>3</x:v>
      </x:c>
      <x:c r="D111" s="51">
        <x:v>8</x:v>
      </x:c>
      <x:c r="E111" s="50" t="s">
        <x:v>218</x:v>
      </x:c>
      <x:c r="F111" s="50" t="s">
        <x:v>444</x:v>
      </x:c>
      <x:c r="G111" s="50" t="s">
        <x:v>619</x:v>
      </x:c>
      <x:c r="H111" s="50" t="s">
        <x:v>574</x:v>
      </x:c>
      <x:c r="I111" s="51">
        <x:v>6</x:v>
      </x:c>
      <x:c r="J111" s="50" t="s">
        <x:v>151</x:v>
      </x:c>
      <x:c r="K111" s="50" t="s">
        <x:v>792</x:v>
      </x:c>
      <x:c r="L111" s="50" t="s">
        <x:v>472</x:v>
      </x:c>
      <x:c r="M111" s="50" t="s">
        <x:v>359</x:v>
      </x:c>
      <x:c r="N111" s="52">
        <x:f t="shared" si="7"/>
        <x:v>0.12870370370370374</x:v>
      </x:c>
      <x:c r="O111" s="50" t="s">
        <x:v>251</x:v>
      </x:c>
      <x:c r="P111" s="51">
        <x:v>627</x:v>
      </x:c>
      <x:c r="Q111" s="53">
        <x:v>7</x:v>
      </x:c>
      <x:c r="R111" s="53">
        <x:v>4629.0500000000002</x:v>
      </x:c>
      <x:c r="S111" s="54" t="s">
        <x:v>502</x:v>
      </x:c>
      <x:c r="T111" s="55" t="s">
        <x:v>798</x:v>
      </x:c>
      <x:c r="U111" s="55" t="s">
        <x:v>798</x:v>
      </x:c>
      <x:c r="V111" s="51" t="s">
        <x:v>798</x:v>
      </x:c>
      <x:c r="W111" s="55">
        <x:v>0.0025179398148148149</x:v>
      </x:c>
      <x:c r="X111" s="55">
        <x:v>0.0021990740740740742</x:v>
      </x:c>
      <x:c r="Y111" s="55">
        <x:v>0.0020341435185185185</x:v>
      </x:c>
      <x:c r="Z111" s="50"/>
      <x:c r="AA111" s="50"/>
      <x:c r="AB111" s="52"/>
      <x:c r="AC111" s="50"/>
      <x:c r="AD111" s="43"/>
    </x:row>
    <x:row r="112" spans="1:30" ht="50.10000000000000142109" customHeight="1">
      <x:c r="A112" s="50" t="s">
        <x:v>836</x:v>
      </x:c>
      <x:c r="B112" s="51">
        <x:v>108</x:v>
      </x:c>
      <x:c r="C112" s="51">
        <x:v>5</x:v>
      </x:c>
      <x:c r="D112" s="51">
        <x:v>9</x:v>
      </x:c>
      <x:c r="E112" s="50" t="s">
        <x:v>246</x:v>
      </x:c>
      <x:c r="F112" s="50" t="s">
        <x:v>137</x:v>
      </x:c>
      <x:c r="G112" s="50" t="s">
        <x:v>78</x:v>
      </x:c>
      <x:c r="H112" s="50" t="s">
        <x:v>395</x:v>
      </x:c>
      <x:c r="I112" s="51">
        <x:v>6</x:v>
      </x:c>
      <x:c r="J112" s="50" t="s">
        <x:v>664</x:v>
      </x:c>
      <x:c r="K112" s="50" t="s">
        <x:v>704</x:v>
      </x:c>
      <x:c r="L112" s="50" t="s">
        <x:v>517</x:v>
      </x:c>
      <x:c r="M112" s="50" t="s">
        <x:v>289</x:v>
      </x:c>
      <x:c r="N112" s="52">
        <x:f t="shared" si="7"/>
        <x:v>0.13043981481481484</x:v>
      </x:c>
      <x:c r="O112" s="50" t="s">
        <x:v>251</x:v>
      </x:c>
      <x:c r="P112" s="51">
        <x:v>636</x:v>
      </x:c>
      <x:c r="Q112" s="53">
        <x:v>9</x:v>
      </x:c>
      <x:c r="R112" s="53">
        <x:v>4739.1899999999996</x:v>
      </x:c>
      <x:c r="S112" s="54" t="s">
        <x:v>502</x:v>
      </x:c>
      <x:c r="T112" s="55" t="s">
        <x:v>798</x:v>
      </x:c>
      <x:c r="U112" s="55" t="s">
        <x:v>798</x:v>
      </x:c>
      <x:c r="V112" s="51" t="s">
        <x:v>798</x:v>
      </x:c>
      <x:c r="W112" s="55">
        <x:v>0.0021440972222222222</x:v>
      </x:c>
      <x:c r="X112" s="55">
        <x:v>0.001736111111111111</x:v>
      </x:c>
      <x:c r="Y112" s="55">
        <x:v>0.001519097222222222</x:v>
      </x:c>
      <x:c r="Z112" s="50"/>
      <x:c r="AA112" s="50"/>
      <x:c r="AB112" s="52"/>
      <x:c r="AC112" s="50"/>
      <x:c r="AD112" s="43"/>
    </x:row>
    <x:row r="113" spans="1:30" ht="50.10000000000000142109" customHeight="1">
      <x:c r="A113" s="50" t="s">
        <x:v>836</x:v>
      </x:c>
      <x:c r="B113" s="51">
        <x:v>109</x:v>
      </x:c>
      <x:c r="C113" s="51">
        <x:v>6</x:v>
      </x:c>
      <x:c r="D113" s="51">
        <x:v>8</x:v>
      </x:c>
      <x:c r="E113" s="50" t="s">
        <x:v>860</x:v>
      </x:c>
      <x:c r="F113" s="50" t="s">
        <x:v>186</x:v>
      </x:c>
      <x:c r="G113" s="50" t="s">
        <x:v>180</x:v>
      </x:c>
      <x:c r="H113" s="50" t="s">
        <x:v>25</x:v>
      </x:c>
      <x:c r="I113" s="51">
        <x:v>5</x:v>
      </x:c>
      <x:c r="J113" s="50" t="s">
        <x:v>695</x:v>
      </x:c>
      <x:c r="K113" s="50" t="s">
        <x:v>760</x:v>
      </x:c>
      <x:c r="L113" s="50" t="s">
        <x:v>782</x:v>
      </x:c>
      <x:c r="M113" s="50" t="s">
        <x:v>758</x:v>
      </x:c>
      <x:c r="N113" s="52">
        <x:f t="shared" si="7"/>
        <x:v>0.13182870370370373</x:v>
      </x:c>
      <x:c r="O113" s="50" t="s">
        <x:v>251</x:v>
      </x:c>
      <x:c r="P113" s="51">
        <x:v>646</x:v>
      </x:c>
      <x:c r="Q113" s="53">
        <x:v>10</x:v>
      </x:c>
      <x:c r="R113" s="53">
        <x:v>4862.7700000000004</x:v>
      </x:c>
      <x:c r="S113" s="54" t="s">
        <x:v>502</x:v>
      </x:c>
      <x:c r="T113" s="55" t="s">
        <x:v>798</x:v>
      </x:c>
      <x:c r="U113" s="55" t="s">
        <x:v>798</x:v>
      </x:c>
      <x:c r="V113" s="51" t="s">
        <x:v>798</x:v>
      </x:c>
      <x:c r="W113" s="55">
        <x:v>0.0017777777777777779</x:v>
      </x:c>
      <x:c r="X113" s="55">
        <x:v>0.0013888888888888889</x:v>
      </x:c>
      <x:c r="Y113" s="55">
        <x:v>0.0011805555555555556</x:v>
      </x:c>
      <x:c r="Z113" s="50"/>
      <x:c r="AA113" s="50"/>
      <x:c r="AB113" s="52"/>
      <x:c r="AC113" s="50"/>
      <x:c r="AD113" s="43"/>
    </x:row>
    <x:row r="114" spans="1:30" ht="50.10000000000000142109" customHeight="1">
      <x:c r="A114" s="50" t="s">
        <x:v>836</x:v>
      </x:c>
      <x:c r="B114" s="51">
        <x:v>110</x:v>
      </x:c>
      <x:c r="C114" s="51">
        <x:v>3</x:v>
      </x:c>
      <x:c r="D114" s="51">
        <x:v>10</x:v>
      </x:c>
      <x:c r="E114" s="50" t="s">
        <x:v>752</x:v>
      </x:c>
      <x:c r="F114" s="50" t="s">
        <x:v>158</x:v>
      </x:c>
      <x:c r="G114" s="50" t="s">
        <x:v>613</x:v>
      </x:c>
      <x:c r="H114" s="50" t="s">
        <x:v>564</x:v>
      </x:c>
      <x:c r="I114" s="51">
        <x:v>2</x:v>
      </x:c>
      <x:c r="J114" s="50" t="s">
        <x:v>694</x:v>
      </x:c>
      <x:c r="K114" s="50" t="s">
        <x:v>792</x:v>
      </x:c>
      <x:c r="L114" s="50" t="s">
        <x:v>457</x:v>
      </x:c>
      <x:c r="M114" s="50" t="s">
        <x:v>950</x:v>
      </x:c>
      <x:c r="N114" s="52">
        <x:f t="shared" si="7"/>
        <x:v>0.13263888888888892</x:v>
      </x:c>
      <x:c r="O114" s="50" t="s">
        <x:v>251</x:v>
      </x:c>
      <x:c r="P114" s="51">
        <x:v>654</x:v>
      </x:c>
      <x:c r="Q114" s="53">
        <x:v>8</x:v>
      </x:c>
      <x:c r="R114" s="53">
        <x:v>4962.5299999999997</x:v>
      </x:c>
      <x:c r="S114" s="54" t="s">
        <x:v>502</x:v>
      </x:c>
      <x:c r="T114" s="55" t="s">
        <x:v>798</x:v>
      </x:c>
      <x:c r="U114" s="55" t="s">
        <x:v>798</x:v>
      </x:c>
      <x:c r="V114" s="51" t="s">
        <x:v>798</x:v>
      </x:c>
      <x:c r="W114" s="55">
        <x:v>0.00092766203703703706</x:v>
      </x:c>
      <x:c r="X114" s="55">
        <x:v>0.00081018518518518516</x:v>
      </x:c>
      <x:c r="Y114" s="55">
        <x:v>0.00074942129629629621</x:v>
      </x:c>
      <x:c r="Z114" s="50"/>
      <x:c r="AA114" s="50"/>
      <x:c r="AB114" s="52"/>
      <x:c r="AC114" s="50"/>
      <x:c r="AD114" s="43"/>
    </x:row>
    <x:row r="115" spans="1:30" ht="50.10000000000000142109" customHeight="1">
      <x:c r="A115" s="50" t="s">
        <x:v>836</x:v>
      </x:c>
      <x:c r="B115" s="51">
        <x:v>111</x:v>
      </x:c>
      <x:c r="C115" s="51">
        <x:v>6</x:v>
      </x:c>
      <x:c r="D115" s="51">
        <x:v>9</x:v>
      </x:c>
      <x:c r="E115" s="50" t="s">
        <x:v>687</x:v>
      </x:c>
      <x:c r="F115" s="50" t="s">
        <x:v>262</x:v>
      </x:c>
      <x:c r="G115" s="50" t="s">
        <x:v>261</x:v>
      </x:c>
      <x:c r="H115" s="50" t="s">
        <x:v>36</x:v>
      </x:c>
      <x:c r="I115" s="51">
        <x:v>1</x:v>
      </x:c>
      <x:c r="J115" s="50" t="s">
        <x:v>691</x:v>
      </x:c>
      <x:c r="K115" s="50" t="s">
        <x:v>756</x:v>
      </x:c>
      <x:c r="L115" s="50" t="s">
        <x:v>797</x:v>
      </x:c>
      <x:c r="M115" s="50" t="s">
        <x:v>426</x:v>
      </x:c>
      <x:c r="N115" s="52">
        <x:f t="shared" si="7"/>
        <x:v>0.1330439814814815</x:v>
      </x:c>
      <x:c r="O115" s="50" t="s">
        <x:v>251</x:v>
      </x:c>
      <x:c r="P115" s="51">
        <x:v>664</x:v>
      </x:c>
      <x:c r="Q115" s="53">
        <x:v>10</x:v>
      </x:c>
      <x:c r="R115" s="53">
        <x:v>5088.3500000000004</x:v>
      </x:c>
      <x:c r="S115" s="54">
        <x:v>180</x:v>
      </x:c>
      <x:c r="T115" s="55">
        <x:v>0.00040509259259259258</x:v>
      </x:c>
      <x:c r="U115" s="55">
        <x:v>0.00040509259259259258</x:v>
      </x:c>
      <x:c r="V115" s="51">
        <x:v>1</x:v>
      </x:c>
      <x:c r="W115" s="55">
        <x:v>0.00051851851851851853</x:v>
      </x:c>
      <x:c r="X115" s="55">
        <x:v>0.00040509259259259258</x:v>
      </x:c>
      <x:c r="Y115" s="55">
        <x:v>0.00034432870370370368</x:v>
      </x:c>
      <x:c r="Z115" s="50">
        <x:f t="shared" si="5"/>
        <x:v>3600</x:v>
      </x:c>
      <x:c r="AA115" s="50">
        <x:v>1</x:v>
      </x:c>
      <x:c r="AB115" s="52">
        <x:f t="shared" si="6"/>
        <x:v>0.0056712962962962958</x:v>
      </x:c>
      <x:c r="AC115" s="50"/>
      <x:c r="AD115" s="43"/>
    </x:row>
    <x:row r="116" spans="1:30" ht="50.10000000000000142109" customHeight="1">
      <x:c r="A116" s="50" t="s">
        <x:v>836</x:v>
      </x:c>
      <x:c r="B116" s="51">
        <x:v>112</x:v>
      </x:c>
      <x:c r="C116" s="51">
        <x:v>6</x:v>
      </x:c>
      <x:c r="D116" s="51">
        <x:v>7</x:v>
      </x:c>
      <x:c r="E116" s="50" t="s">
        <x:v>42</x:v>
      </x:c>
      <x:c r="F116" s="50" t="s">
        <x:v>944</x:v>
      </x:c>
      <x:c r="G116" s="50" t="s">
        <x:v>66</x:v>
      </x:c>
      <x:c r="H116" s="50" t="s">
        <x:v>996</x:v>
      </x:c>
      <x:c r="I116" s="51">
        <x:v>5</x:v>
      </x:c>
      <x:c r="J116" s="50" t="s">
        <x:v>815</x:v>
      </x:c>
      <x:c r="K116" s="50" t="s">
        <x:v>775</x:v>
      </x:c>
      <x:c r="L116" s="50" t="s">
        <x:v>784</x:v>
      </x:c>
      <x:c r="M116" s="50" t="s">
        <x:v>705</x:v>
      </x:c>
      <x:c r="N116" s="52">
        <x:f t="shared" si="7"/>
        <x:v>0.13582175925925927</x:v>
      </x:c>
      <x:c r="O116" s="50" t="s">
        <x:v>251</x:v>
      </x:c>
      <x:c r="P116" s="51">
        <x:v>673</x:v>
      </x:c>
      <x:c r="Q116" s="53">
        <x:v>9</x:v>
      </x:c>
      <x:c r="R116" s="53">
        <x:v>5202.6499999999996</x:v>
      </x:c>
      <x:c r="S116" s="54" t="s">
        <x:v>502</x:v>
      </x:c>
      <x:c r="T116" s="55" t="s">
        <x:v>798</x:v>
      </x:c>
      <x:c r="U116" s="55" t="s">
        <x:v>798</x:v>
      </x:c>
      <x:c r="V116" s="51" t="s">
        <x:v>798</x:v>
      </x:c>
      <x:c r="W116" s="55">
        <x:v>0.0035555555555555557</x:v>
      </x:c>
      <x:c r="X116" s="55">
        <x:v>0.0027777777777777779</x:v>
      </x:c>
      <x:c r="Y116" s="55">
        <x:v>0.0023611111111111111</x:v>
      </x:c>
      <x:c r="Z116" s="50"/>
      <x:c r="AA116" s="50"/>
      <x:c r="AB116" s="52"/>
      <x:c r="AC116" s="50"/>
      <x:c r="AD116" s="43"/>
    </x:row>
    <x:row r="117" spans="1:30" ht="50.10000000000000142109" customHeight="1">
      <x:c r="A117" s="50" t="s">
        <x:v>836</x:v>
      </x:c>
      <x:c r="B117" s="51">
        <x:v>113</x:v>
      </x:c>
      <x:c r="C117" s="51">
        <x:v>4</x:v>
      </x:c>
      <x:c r="D117" s="51">
        <x:v>7</x:v>
      </x:c>
      <x:c r="E117" s="50" t="s">
        <x:v>912</x:v>
      </x:c>
      <x:c r="F117" s="50" t="s">
        <x:v>563</x:v>
      </x:c>
      <x:c r="G117" s="50" t="s">
        <x:v>522</x:v>
      </x:c>
      <x:c r="H117" s="50" t="s">
        <x:v>565</x:v>
      </x:c>
      <x:c r="I117" s="51">
        <x:v>5</x:v>
      </x:c>
      <x:c r="J117" s="50" t="s">
        <x:v>804</x:v>
      </x:c>
      <x:c r="K117" s="50" t="s">
        <x:v>711</x:v>
      </x:c>
      <x:c r="L117" s="50" t="s">
        <x:v>508</x:v>
      </x:c>
      <x:c r="M117" s="50" t="s">
        <x:v>771</x:v>
      </x:c>
      <x:c r="N117" s="52">
        <x:f t="shared" si="7"/>
        <x:v>0.13825231481481481</x:v>
      </x:c>
      <x:c r="O117" s="50" t="s">
        <x:v>251</x:v>
      </x:c>
      <x:c r="P117" s="51">
        <x:v>680</x:v>
      </x:c>
      <x:c r="Q117" s="53">
        <x:v>7</x:v>
      </x:c>
      <x:c r="R117" s="53">
        <x:v>5292.2399999999998</x:v>
      </x:c>
      <x:c r="S117" s="54" t="s">
        <x:v>502</x:v>
      </x:c>
      <x:c r="T117" s="55" t="s">
        <x:v>798</x:v>
      </x:c>
      <x:c r="U117" s="55" t="s">
        <x:v>798</x:v>
      </x:c>
      <x:c r="V117" s="51" t="s">
        <x:v>798</x:v>
      </x:c>
      <x:c r="W117" s="55">
        <x:v>0.0028923611111111116</x:v>
      </x:c>
      <x:c r="X117" s="55">
        <x:v>0.0024305555555555556</x:v>
      </x:c>
      <x:c r="Y117" s="55">
        <x:v>0.0021874999999999997</x:v>
      </x:c>
      <x:c r="Z117" s="50"/>
      <x:c r="AA117" s="50"/>
      <x:c r="AB117" s="52"/>
      <x:c r="AC117" s="50"/>
      <x:c r="AD117" s="43"/>
    </x:row>
    <x:row r="118" spans="1:30" ht="50.10000000000000142109" customHeight="1">
      <x:c r="A118" s="50" t="s">
        <x:v>836</x:v>
      </x:c>
      <x:c r="B118" s="51">
        <x:v>114</x:v>
      </x:c>
      <x:c r="C118" s="51">
        <x:v>4</x:v>
      </x:c>
      <x:c r="D118" s="51">
        <x:v>7</x:v>
      </x:c>
      <x:c r="E118" s="50" t="s">
        <x:v>203</x:v>
      </x:c>
      <x:c r="F118" s="50" t="s">
        <x:v>964</x:v>
      </x:c>
      <x:c r="G118" s="50" t="s">
        <x:v>386</x:v>
      </x:c>
      <x:c r="H118" s="50" t="s">
        <x:v>402</x:v>
      </x:c>
      <x:c r="I118" s="51">
        <x:v>1</x:v>
      </x:c>
      <x:c r="J118" s="50" t="s">
        <x:v>233</x:v>
      </x:c>
      <x:c r="K118" s="50" t="s">
        <x:v>338</x:v>
      </x:c>
      <x:c r="L118" s="50" t="s">
        <x:v>482</x:v>
      </x:c>
      <x:c r="M118" s="50" t="s">
        <x:v>652</x:v>
      </x:c>
      <x:c r="N118" s="52">
        <x:f t="shared" si="7"/>
        <x:v>0.13952546296296298</x:v>
      </x:c>
      <x:c r="O118" s="50" t="s">
        <x:v>118</x:v>
      </x:c>
      <x:c r="P118" s="51">
        <x:v>687</x:v>
      </x:c>
      <x:c r="Q118" s="53">
        <x:v>7</x:v>
      </x:c>
      <x:c r="R118" s="53">
        <x:v>5382.4300000000003</x:v>
      </x:c>
      <x:c r="S118" s="54" t="s">
        <x:v>502</x:v>
      </x:c>
      <x:c r="T118" s="55" t="s">
        <x:v>798</x:v>
      </x:c>
      <x:c r="U118" s="55" t="s">
        <x:v>798</x:v>
      </x:c>
      <x:c r="V118" s="51" t="s">
        <x:v>798</x:v>
      </x:c>
      <x:c r="W118" s="55">
        <x:v>0.0015150462962962967</x:v>
      </x:c>
      <x:c r="X118" s="55">
        <x:v>0.0012731481481481483</x:v>
      </x:c>
      <x:c r="Y118" s="55">
        <x:v>0.0011458333333333333</x:v>
      </x:c>
      <x:c r="Z118" s="50"/>
      <x:c r="AA118" s="50"/>
      <x:c r="AB118" s="52"/>
      <x:c r="AC118" s="50"/>
      <x:c r="AD118" s="43"/>
    </x:row>
    <x:row r="119" spans="1:30" ht="50.10000000000000142109" customHeight="1">
      <x:c r="A119" s="50" t="s">
        <x:v>836</x:v>
      </x:c>
      <x:c r="B119" s="51">
        <x:v>115</x:v>
      </x:c>
      <x:c r="C119" s="51">
        <x:v>5</x:v>
      </x:c>
      <x:c r="D119" s="51">
        <x:v>7</x:v>
      </x:c>
      <x:c r="E119" s="50" t="s">
        <x:v>254</x:v>
      </x:c>
      <x:c r="F119" s="50" t="s">
        <x:v>376</x:v>
      </x:c>
      <x:c r="G119" s="50" t="s">
        <x:v>269</x:v>
      </x:c>
      <x:c r="H119" s="50" t="s">
        <x:v>986</x:v>
      </x:c>
      <x:c r="I119" s="51">
        <x:v>4</x:v>
      </x:c>
      <x:c r="J119" s="50" t="s">
        <x:v>227</x:v>
      </x:c>
      <x:c r="K119" s="50" t="s">
        <x:v>310</x:v>
      </x:c>
      <x:c r="L119" s="50" t="s">
        <x:v>472</x:v>
      </x:c>
      <x:c r="M119" s="50" t="s">
        <x:v>774</x:v>
      </x:c>
      <x:c r="N119" s="52">
        <x:f t="shared" si="7"/>
        <x:v>0.14172453703703705</x:v>
      </x:c>
      <x:c r="O119" s="50" t="s">
        <x:v>118</x:v>
      </x:c>
      <x:c r="P119" s="51">
        <x:v>695</x:v>
      </x:c>
      <x:c r="Q119" s="53">
        <x:v>8</x:v>
      </x:c>
      <x:c r="R119" s="53">
        <x:v>5486.2399999999998</x:v>
      </x:c>
      <x:c r="S119" s="54" t="s">
        <x:v>502</x:v>
      </x:c>
      <x:c r="T119" s="55" t="s">
        <x:v>798</x:v>
      </x:c>
      <x:c r="U119" s="55" t="s">
        <x:v>798</x:v>
      </x:c>
      <x:c r="V119" s="51" t="s">
        <x:v>798</x:v>
      </x:c>
      <x:c r="W119" s="55">
        <x:v>0.0027158564814814819</x:v>
      </x:c>
      <x:c r="X119" s="55">
        <x:v>0.0021990740740740742</x:v>
      </x:c>
      <x:c r="Y119" s="55">
        <x:v>0.001924189814814815</x:v>
      </x:c>
      <x:c r="Z119" s="50"/>
      <x:c r="AA119" s="50"/>
      <x:c r="AB119" s="52"/>
      <x:c r="AC119" s="50"/>
      <x:c r="AD119" s="43"/>
    </x:row>
    <x:row r="120" spans="1:30" ht="50.10000000000000142109" customHeight="1">
      <x:c r="A120" s="50" t="s">
        <x:v>836</x:v>
      </x:c>
      <x:c r="B120" s="51">
        <x:v>116</x:v>
      </x:c>
      <x:c r="C120" s="51">
        <x:v>4</x:v>
      </x:c>
      <x:c r="D120" s="51">
        <x:v>7</x:v>
      </x:c>
      <x:c r="E120" s="50" t="s">
        <x:v>905</x:v>
      </x:c>
      <x:c r="F120" s="50" t="s">
        <x:v>525</x:v>
      </x:c>
      <x:c r="G120" s="50" t="s">
        <x:v>989</x:v>
      </x:c>
      <x:c r="H120" s="50" t="s">
        <x:v>553</x:v>
      </x:c>
      <x:c r="I120" s="51">
        <x:v>6</x:v>
      </x:c>
      <x:c r="J120" s="50" t="s">
        <x:v>925</x:v>
      </x:c>
      <x:c r="K120" s="50" t="s">
        <x:v>792</x:v>
      </x:c>
      <x:c r="L120" s="50" t="s">
        <x:v>508</x:v>
      </x:c>
      <x:c r="M120" s="50" t="s">
        <x:v>943</x:v>
      </x:c>
      <x:c r="N120" s="52">
        <x:f t="shared" si="7"/>
        <x:v>0.1441550925925926</x:v>
      </x:c>
      <x:c r="O120" s="50" t="s">
        <x:v>118</x:v>
      </x:c>
      <x:c r="P120" s="51">
        <x:v>702</x:v>
      </x:c>
      <x:c r="Q120" s="53">
        <x:v>7</x:v>
      </x:c>
      <x:c r="R120" s="53">
        <x:v>5577.71</x:v>
      </x:c>
      <x:c r="S120" s="54" t="s">
        <x:v>502</x:v>
      </x:c>
      <x:c r="T120" s="55" t="s">
        <x:v>798</x:v>
      </x:c>
      <x:c r="U120" s="55" t="s">
        <x:v>798</x:v>
      </x:c>
      <x:c r="V120" s="51" t="s">
        <x:v>798</x:v>
      </x:c>
      <x:c r="W120" s="55">
        <x:v>0.0028923611111111116</x:v>
      </x:c>
      <x:c r="X120" s="55">
        <x:v>0.0024305555555555556</x:v>
      </x:c>
      <x:c r="Y120" s="55">
        <x:v>0.0021874999999999997</x:v>
      </x:c>
      <x:c r="Z120" s="50"/>
      <x:c r="AA120" s="50"/>
      <x:c r="AB120" s="52"/>
      <x:c r="AC120" s="50"/>
      <x:c r="AD120" s="43"/>
    </x:row>
    <x:row r="121" spans="1:30" ht="50.10000000000000142109" customHeight="1">
      <x:c r="A121" s="50" t="s">
        <x:v>836</x:v>
      </x:c>
      <x:c r="B121" s="51">
        <x:v>117</x:v>
      </x:c>
      <x:c r="C121" s="51">
        <x:v>2</x:v>
      </x:c>
      <x:c r="D121" s="51">
        <x:v>8</x:v>
      </x:c>
      <x:c r="E121" s="50" t="s">
        <x:v>916</x:v>
      </x:c>
      <x:c r="F121" s="50" t="s">
        <x:v>946</x:v>
      </x:c>
      <x:c r="G121" s="50" t="s">
        <x:v>548</x:v>
      </x:c>
      <x:c r="H121" s="50" t="s">
        <x:v>572</x:v>
      </x:c>
      <x:c r="I121" s="51">
        <x:v>2</x:v>
      </x:c>
      <x:c r="J121" s="50" t="s">
        <x:v>802</x:v>
      </x:c>
      <x:c r="K121" s="50" t="s">
        <x:v>665</x:v>
      </x:c>
      <x:c r="L121" s="50" t="s">
        <x:v>490</x:v>
      </x:c>
      <x:c r="M121" s="50" t="s">
        <x:v>107</x:v>
      </x:c>
      <x:c r="N121" s="52">
        <x:f t="shared" si="7"/>
        <x:v>0.14508101851851851</x:v>
      </x:c>
      <x:c r="O121" s="50" t="s">
        <x:v>118</x:v>
      </x:c>
      <x:c r="P121" s="51">
        <x:v>708</x:v>
      </x:c>
      <x:c r="Q121" s="53">
        <x:v>6</x:v>
      </x:c>
      <x:c r="R121" s="53">
        <x:v>5656.5900000000001</x:v>
      </x:c>
      <x:c r="S121" s="54" t="s">
        <x:v>502</x:v>
      </x:c>
      <x:c r="T121" s="55" t="s">
        <x:v>798</x:v>
      </x:c>
      <x:c r="U121" s="55" t="s">
        <x:v>798</x:v>
      </x:c>
      <x:c r="V121" s="51" t="s">
        <x:v>798</x:v>
      </x:c>
      <x:c r="W121" s="55">
        <x:v>0.0010185185185185186</x:v>
      </x:c>
      <x:c r="X121" s="55">
        <x:v>0.00092592592592592596</x:v>
      </x:c>
      <x:c r="Y121" s="55">
        <x:v>0.00087962962962962962</x:v>
      </x:c>
      <x:c r="Z121" s="50"/>
      <x:c r="AA121" s="50"/>
      <x:c r="AB121" s="52"/>
      <x:c r="AC121" s="50"/>
      <x:c r="AD121" s="43"/>
    </x:row>
    <x:row r="122" spans="1:30" ht="50.10000000000000142109" customHeight="1">
      <x:c r="A122" s="50" t="s">
        <x:v>836</x:v>
      </x:c>
      <x:c r="B122" s="51">
        <x:v>118</x:v>
      </x:c>
      <x:c r="C122" s="51">
        <x:v>4</x:v>
      </x:c>
      <x:c r="D122" s="51">
        <x:v>10</x:v>
      </x:c>
      <x:c r="E122" s="50" t="s">
        <x:v>167</x:v>
      </x:c>
      <x:c r="F122" s="50" t="s">
        <x:v>59</x:v>
      </x:c>
      <x:c r="G122" s="50" t="s">
        <x:v>67</x:v>
      </x:c>
      <x:c r="H122" s="50" t="s">
        <x:v>35</x:v>
      </x:c>
      <x:c r="I122" s="51">
        <x:v>5</x:v>
      </x:c>
      <x:c r="J122" s="50" t="s">
        <x:v>336</x:v>
      </x:c>
      <x:c r="K122" s="50" t="s">
        <x:v>942</x:v>
      </x:c>
      <x:c r="L122" s="50" t="s">
        <x:v>785</x:v>
      </x:c>
      <x:c r="M122" s="50" t="s">
        <x:v>345</x:v>
      </x:c>
      <x:c r="N122" s="52">
        <x:f t="shared" si="7"/>
        <x:v>0.14577546296296295</x:v>
      </x:c>
      <x:c r="O122" s="50" t="s">
        <x:v>46</x:v>
      </x:c>
      <x:c r="P122" s="51">
        <x:v>717</x:v>
      </x:c>
      <x:c r="Q122" s="53">
        <x:v>9</x:v>
      </x:c>
      <x:c r="R122" s="53">
        <x:v>5775.7299999999996</x:v>
      </x:c>
      <x:c r="S122" s="54" t="s">
        <x:v>502</x:v>
      </x:c>
      <x:c r="T122" s="54" t="s">
        <x:v>798</x:v>
      </x:c>
      <x:c r="U122" s="54" t="s">
        <x:v>798</x:v>
      </x:c>
      <x:c r="V122" s="51" t="s">
        <x:v>798</x:v>
      </x:c>
      <x:c r="W122" s="55">
        <x:v>0.00082638888888888898</x:v>
      </x:c>
      <x:c r="X122" s="55">
        <x:v>0.00069444444444444447</x:v>
      </x:c>
      <x:c r="Y122" s="55">
        <x:v>0.000625</x:v>
      </x:c>
      <x:c r="Z122" s="50"/>
      <x:c r="AA122" s="50"/>
      <x:c r="AB122" s="52"/>
      <x:c r="AC122" s="50"/>
      <x:c r="AD122" s="43"/>
    </x:row>
    <x:row r="123" spans="1:30" ht="50.10000000000000142109" customHeight="1">
      <x:c r="A123" s="50" t="s">
        <x:v>836</x:v>
      </x:c>
      <x:c r="B123" s="51">
        <x:v>119</x:v>
      </x:c>
      <x:c r="C123" s="51">
        <x:v>5</x:v>
      </x:c>
      <x:c r="D123" s="51">
        <x:v>9</x:v>
      </x:c>
      <x:c r="E123" s="50" t="s">
        <x:v>219</x:v>
      </x:c>
      <x:c r="F123" s="50" t="s">
        <x:v>63</x:v>
      </x:c>
      <x:c r="G123" s="50" t="s">
        <x:v>188</x:v>
      </x:c>
      <x:c r="H123" s="50" t="s">
        <x:v>549</x:v>
      </x:c>
      <x:c r="I123" s="51">
        <x:v>3</x:v>
      </x:c>
      <x:c r="J123" s="50" t="s">
        <x:v>731</x:v>
      </x:c>
      <x:c r="K123" s="50" t="s">
        <x:v>295</x:v>
      </x:c>
      <x:c r="L123" s="50" t="s">
        <x:v>489</x:v>
      </x:c>
      <x:c r="M123" s="50" t="s">
        <x:v>417</x:v>
      </x:c>
      <x:c r="N123" s="52">
        <x:f t="shared" si="7"/>
        <x:v>0.14693287037037037</x:v>
      </x:c>
      <x:c r="O123" s="50" t="s">
        <x:v>46</x:v>
      </x:c>
      <x:c r="P123" s="51">
        <x:v>726</x:v>
      </x:c>
      <x:c r="Q123" s="53">
        <x:v>9</x:v>
      </x:c>
      <x:c r="R123" s="53">
        <x:v>5895.8400000000001</x:v>
      </x:c>
      <x:c r="S123" s="54" t="s">
        <x:v>831</x:v>
      </x:c>
      <x:c r="T123" s="54" t="s">
        <x:v>486</x:v>
      </x:c>
      <x:c r="U123" s="54" t="s">
        <x:v>841</x:v>
      </x:c>
      <x:c r="V123" s="51" t="s">
        <x:v>516</x:v>
      </x:c>
      <x:c r="W123" s="55">
        <x:v>0.0014293981481481482</x:v>
      </x:c>
      <x:c r="X123" s="55">
        <x:v>0.0011574074074074073</x:v>
      </x:c>
      <x:c r="Y123" s="55">
        <x:v>0.0010127314814814814</x:v>
      </x:c>
      <x:c r="Z123" s="50"/>
      <x:c r="AA123" s="50"/>
      <x:c r="AB123" s="52"/>
      <x:c r="AC123" s="50"/>
      <x:c r="AD123" s="43"/>
    </x:row>
    <x:row r="124" spans="1:29" ht="50.10000000000000142109" customHeight="1">
      <x:c r="A124" s="50" t="s">
        <x:v>836</x:v>
      </x:c>
      <x:c r="B124" s="51">
        <x:v>120</x:v>
      </x:c>
      <x:c r="C124" s="51">
        <x:v>8</x:v>
      </x:c>
      <x:c r="D124" s="51">
        <x:v>10</x:v>
      </x:c>
      <x:c r="E124" s="50" t="s">
        <x:v>724</x:v>
      </x:c>
      <x:c r="F124" s="50" t="s">
        <x:v>79</x:v>
      </x:c>
      <x:c r="G124" s="50" t="s">
        <x:v>614</x:v>
      </x:c>
      <x:c r="H124" s="50" t="s">
        <x:v>85</x:v>
      </x:c>
      <x:c r="I124" s="51">
        <x:v>3</x:v>
      </x:c>
      <x:c r="J124" s="50" t="s">
        <x:v>346</x:v>
      </x:c>
      <x:c r="K124" s="50" t="s">
        <x:v>304</x:v>
      </x:c>
      <x:c r="L124" s="50" t="s">
        <x:v>508</x:v>
      </x:c>
      <x:c r="M124" s="50" t="s">
        <x:v>647</x:v>
      </x:c>
      <x:c r="N124" s="52">
        <x:v>0.14936342592592591</x:v>
      </x:c>
      <x:c r="O124" s="56" t="s">
        <x:v>46</x:v>
      </x:c>
      <x:c r="P124" s="51">
        <x:v>739</x:v>
      </x:c>
      <x:c r="Q124" s="53">
        <x:v>13</x:v>
      </x:c>
      <x:c r="R124" s="53">
        <x:v>6071.04</x:v>
      </x:c>
      <x:c r="S124" s="54">
        <x:v>900</x:v>
      </x:c>
      <x:c r="T124" s="55">
        <x:v>0.00040509259259259258</x:v>
      </x:c>
      <x:c r="U124" s="55">
        <x:v>0.0024305555555555556</x:v>
      </x:c>
      <x:c r="V124" s="51">
        <x:v>1</x:v>
      </x:c>
      <x:c r="W124" s="55">
        <x:v>0.0033298611111111116</x:v>
      </x:c>
      <x:c r="X124" s="55">
        <x:v>0.0024305555555555556</x:v>
      </x:c>
      <x:c r="Y124" s="55">
        <x:v>0.0019444444444444444</x:v>
      </x:c>
      <x:c r="Z124" s="50">
        <x:f t="shared" si="5"/>
        <x:v>18000</x:v>
      </x:c>
      <x:c r="AA124" s="50">
        <x:v>1</x:v>
      </x:c>
      <x:c r="AB124" s="52">
        <x:f t="shared" si="6"/>
        <x:v>0.0056712962962962958</x:v>
      </x:c>
      <x:c r="AC124" s="57"/>
    </x:row>
    <x:row r="125" spans="1:29" ht="50.10000000000000142109" customHeight="1">
      <x:c r="A125" s="50" t="s">
        <x:v>836</x:v>
      </x:c>
      <x:c r="B125" s="51">
        <x:v>121</x:v>
      </x:c>
      <x:c r="C125" s="51">
        <x:v>8</x:v>
      </x:c>
      <x:c r="D125" s="51">
        <x:v>10</x:v>
      </x:c>
      <x:c r="E125" s="50" t="s">
        <x:v>692</x:v>
      </x:c>
      <x:c r="F125" s="50" t="s">
        <x:v>70</x:v>
      </x:c>
      <x:c r="G125" s="50" t="s">
        <x:v>612</x:v>
      </x:c>
      <x:c r="H125" s="50" t="s">
        <x:v>456</x:v>
      </x:c>
      <x:c r="I125" s="51">
        <x:v>3</x:v>
      </x:c>
      <x:c r="J125" s="50" t="s">
        <x:v>700</x:v>
      </x:c>
      <x:c r="K125" s="50" t="s">
        <x:v>313</x:v>
      </x:c>
      <x:c r="L125" s="50" t="s">
        <x:v>466</x:v>
      </x:c>
      <x:c r="M125" s="50" t="s">
        <x:v>744</x:v>
      </x:c>
      <x:c r="N125" s="52">
        <x:v>0.15086805555555555</x:v>
      </x:c>
      <x:c r="O125" s="56" t="s">
        <x:v>46</x:v>
      </x:c>
      <x:c r="P125" s="51">
        <x:v>752</x:v>
      </x:c>
      <x:c r="Q125" s="53">
        <x:v>13</x:v>
      </x:c>
      <x:c r="R125" s="53">
        <x:v>6248.2600000000002</x:v>
      </x:c>
      <x:c r="S125" s="54" t="s">
        <x:v>479</x:v>
      </x:c>
      <x:c r="T125" s="55">
        <x:v>0.00028935185185185184</x:v>
      </x:c>
      <x:c r="U125" s="55">
        <x:v>0.0015046296296296296</x:v>
      </x:c>
      <x:c r="V125" s="51">
        <x:v>1</x:v>
      </x:c>
      <x:c r="W125" s="55">
        <x:v>0.0020613425925925929</x:v>
      </x:c>
      <x:c r="X125" s="55">
        <x:v>0.0015046296296296296</x:v>
      </x:c>
      <x:c r="Y125" s="55">
        <x:v>0.0012037037037037036</x:v>
      </x:c>
      <x:c r="Z125" s="50"/>
      <x:c r="AA125" s="50"/>
      <x:c r="AB125" s="52"/>
      <x:c r="AC125" s="57"/>
    </x:row>
    <x:row r="126" spans="1:29" ht="50.10000000000000142109" customHeight="1">
      <x:c r="A126" s="56" t="s">
        <x:v>836</x:v>
      </x:c>
      <x:c r="B126" s="51">
        <x:v>122</x:v>
      </x:c>
      <x:c r="C126" s="51">
        <x:v>8</x:v>
      </x:c>
      <x:c r="D126" s="51">
        <x:v>10</x:v>
      </x:c>
      <x:c r="E126" s="56" t="s">
        <x:v>212</x:v>
      </x:c>
      <x:c r="F126" s="56" t="s">
        <x:v>193</x:v>
      </x:c>
      <x:c r="G126" s="56" t="s">
        <x:v>72</x:v>
      </x:c>
      <x:c r="H126" s="56" t="s">
        <x:v>286</x:v>
      </x:c>
      <x:c r="I126" s="51">
        <x:v>3</x:v>
      </x:c>
      <x:c r="J126" s="50" t="s">
        <x:v>736</x:v>
      </x:c>
      <x:c r="K126" s="56" t="s">
        <x:v>40</x:v>
      </x:c>
      <x:c r="L126" s="56" t="s">
        <x:v>779</x:v>
      </x:c>
      <x:c r="M126" s="56" t="s">
        <x:v>939</x:v>
      </x:c>
      <x:c r="N126" s="52">
        <x:v>0.15138888888888888</x:v>
      </x:c>
      <x:c r="O126" s="56" t="s">
        <x:v>46</x:v>
      </x:c>
      <x:c r="P126" s="51">
        <x:v>765</x:v>
      </x:c>
      <x:c r="Q126" s="53">
        <x:v>13</x:v>
      </x:c>
      <x:c r="R126" s="53">
        <x:v>6427.4899999999998</x:v>
      </x:c>
      <x:c r="S126" s="54" t="s">
        <x:v>479</x:v>
      </x:c>
      <x:c r="T126" s="55">
        <x:v>0.00017361111111111112</x:v>
      </x:c>
      <x:c r="U126" s="55">
        <x:v>0.00052083333333333333</x:v>
      </x:c>
      <x:c r="V126" s="51">
        <x:v>1</x:v>
      </x:c>
      <x:c r="W126" s="55">
        <x:v>0.00071354166666666669</x:v>
      </x:c>
      <x:c r="X126" s="55">
        <x:v>0.00052083333333333333</x:v>
      </x:c>
      <x:c r="Y126" s="55">
        <x:v>0.00041666666666666664</x:v>
      </x:c>
      <x:c r="Z126" s="50"/>
      <x:c r="AA126" s="50"/>
      <x:c r="AB126" s="52"/>
      <x:c r="AC126" s="57"/>
    </x:row>
    <x:row r="127" spans="1:29" ht="50.10000000000000142109" customHeight="1">
      <x:c r="A127" s="56" t="s">
        <x:v>836</x:v>
      </x:c>
      <x:c r="B127" s="51">
        <x:v>123</x:v>
      </x:c>
      <x:c r="C127" s="51">
        <x:v>9</x:v>
      </x:c>
      <x:c r="D127" s="51">
        <x:v>10</x:v>
      </x:c>
      <x:c r="E127" s="56" t="s">
        <x:v>343</x:v>
      </x:c>
      <x:c r="F127" s="56" t="s">
        <x:v>615</x:v>
      </x:c>
      <x:c r="G127" s="56" t="s">
        <x:v>58</x:v>
      </x:c>
      <x:c r="H127" s="56" t="s">
        <x:v>17</x:v>
      </x:c>
      <x:c r="I127" s="51">
        <x:v>6</x:v>
      </x:c>
      <x:c r="J127" s="56" t="s">
        <x:v>418</x:v>
      </x:c>
      <x:c r="K127" s="56" t="s">
        <x:v>749</x:v>
      </x:c>
      <x:c r="L127" s="56" t="s">
        <x:v>784</x:v>
      </x:c>
      <x:c r="M127" s="56" t="s">
        <x:v>776</x:v>
      </x:c>
      <x:c r="N127" s="52">
        <x:v>0.15416666666666667</x:v>
      </x:c>
      <x:c r="O127" s="56" t="s">
        <x:v>46</x:v>
      </x:c>
      <x:c r="P127" s="51">
        <x:v>779</x:v>
      </x:c>
      <x:c r="Q127" s="53">
        <x:v>14</x:v>
      </x:c>
      <x:c r="R127" s="53">
        <x:v>6622.7299999999996</x:v>
      </x:c>
      <x:c r="S127" s="54">
        <x:v>1200</x:v>
      </x:c>
      <x:c r="T127" s="55">
        <x:v>0.00046296296296296298</x:v>
      </x:c>
      <x:c r="U127" s="55">
        <x:v>0.0027777777777777779</x:v>
      </x:c>
      <x:c r="V127" s="51">
        <x:v>1</x:v>
      </x:c>
      <x:c r="W127" s="55">
        <x:v>0.0039305555555555561</x:v>
      </x:c>
      <x:c r="X127" s="55">
        <x:v>0.0027777777777777779</x:v>
      </x:c>
      <x:c r="Y127" s="55">
        <x:v>0.0021527777777777778</x:v>
      </x:c>
      <x:c r="Z127" s="50">
        <x:f t="shared" si="5"/>
        <x:v>24000</x:v>
      </x:c>
      <x:c r="AA127" s="50">
        <x:v>1</x:v>
      </x:c>
      <x:c r="AB127" s="52">
        <x:f t="shared" si="6"/>
        <x:v>0.0064814814814814804</x:v>
      </x:c>
      <x:c r="AC127" s="57"/>
    </x:row>
    <x:row r="128" spans="1:29" ht="50.10000000000000142109" customHeight="1">
      <x:c r="A128" s="56" t="s">
        <x:v>836</x:v>
      </x:c>
      <x:c r="B128" s="51">
        <x:v>124</x:v>
      </x:c>
      <x:c r="C128" s="51">
        <x:v>10</x:v>
      </x:c>
      <x:c r="D128" s="51">
        <x:v>10</x:v>
      </x:c>
      <x:c r="E128" s="56" t="s">
        <x:v>48</x:v>
      </x:c>
      <x:c r="F128" s="56" t="s">
        <x:v>625</x:v>
      </x:c>
      <x:c r="G128" s="56" t="s">
        <x:v>55</x:v>
      </x:c>
      <x:c r="H128" s="56" t="s">
        <x:v>29</x:v>
      </x:c>
      <x:c r="I128" s="51">
        <x:v>6</x:v>
      </x:c>
      <x:c r="J128" s="56" t="s">
        <x:v>298</x:v>
      </x:c>
      <x:c r="K128" s="56" t="s">
        <x:v>769</x:v>
      </x:c>
      <x:c r="L128" s="56" t="s">
        <x:v>496</x:v>
      </x:c>
      <x:c r="M128" s="56" t="s">
        <x:v>340</x:v>
      </x:c>
      <x:c r="N128" s="52">
        <x:v>0.15601851851851853</x:v>
      </x:c>
      <x:c r="O128" s="56" t="s">
        <x:v>46</x:v>
      </x:c>
      <x:c r="P128" s="51">
        <x:v>794</x:v>
      </x:c>
      <x:c r="Q128" s="53">
        <x:v>15</x:v>
      </x:c>
      <x:c r="R128" s="53">
        <x:v>6834.4499999999998</x:v>
      </x:c>
      <x:c r="S128" s="54" t="s">
        <x:v>479</x:v>
      </x:c>
      <x:c r="T128" s="55">
        <x:v>0.00023148148148148149</x:v>
      </x:c>
      <x:c r="U128" s="55">
        <x:v>0.0018518518518518519</x:v>
      </x:c>
      <x:c r="V128" s="51">
        <x:v>1</x:v>
      </x:c>
      <x:c r="W128" s="55">
        <x:v>0.0027037037037037038</x:v>
      </x:c>
      <x:c r="X128" s="55">
        <x:v>0.0018518518518518519</x:v>
      </x:c>
      <x:c r="Y128" s="55">
        <x:v>0.0013888888888888889</x:v>
      </x:c>
      <x:c r="Z128" s="50"/>
      <x:c r="AA128" s="50">
        <x:v>1</x:v>
      </x:c>
      <x:c r="AB128" s="52"/>
      <x:c r="AC128" s="52">
        <x:f>$T$127*30*0.7*0.55</x:f>
        <x:v>0.0053472222222222228</x:v>
      </x:c>
    </x:row>
    <x:row r="129" spans="1:29" ht="50.10000000000000142109" customHeight="1">
      <x:c r="A129" s="56" t="s">
        <x:v>836</x:v>
      </x:c>
      <x:c r="B129" s="51">
        <x:v>125</x:v>
      </x:c>
      <x:c r="C129" s="51">
        <x:v>7</x:v>
      </x:c>
      <x:c r="D129" s="51">
        <x:v>10</x:v>
      </x:c>
      <x:c r="E129" s="56" t="s">
        <x:v>906</x:v>
      </x:c>
      <x:c r="F129" s="56" t="s">
        <x:v>947</x:v>
      </x:c>
      <x:c r="G129" s="56" t="s">
        <x:v>566</x:v>
      </x:c>
      <x:c r="H129" s="56" t="s">
        <x:v>994</x:v>
      </x:c>
      <x:c r="I129" s="51">
        <x:v>5</x:v>
      </x:c>
      <x:c r="J129" s="56" t="s">
        <x:v>44</x:v>
      </x:c>
      <x:c r="K129" s="56" t="s">
        <x:v>742</x:v>
      </x:c>
      <x:c r="L129" s="56" t="s">
        <x:v>520</x:v>
      </x:c>
      <x:c r="M129" s="56" t="s">
        <x:v>163</x:v>
      </x:c>
      <x:c r="N129" s="52">
        <x:v>0.15763888888888888</x:v>
      </x:c>
      <x:c r="O129" s="56" t="s">
        <x:v>46</x:v>
      </x:c>
      <x:c r="P129" s="51">
        <x:v>806</x:v>
      </x:c>
      <x:c r="Q129" s="53">
        <x:v>12</x:v>
      </x:c>
      <x:c r="R129" s="53">
        <x:v>7005.7200000000003</x:v>
      </x:c>
      <x:c r="S129" s="54" t="s">
        <x:v>502</x:v>
      </x:c>
      <x:c r="T129" s="55" t="s">
        <x:v>798</x:v>
      </x:c>
      <x:c r="U129" s="55" t="s">
        <x:v>798</x:v>
      </x:c>
      <x:c r="V129" s="51" t="s">
        <x:v>798</x:v>
      </x:c>
      <x:c r="W129" s="55">
        <x:v>0.002146990740740741</x:v>
      </x:c>
      <x:c r="X129" s="55">
        <x:v>0.0016203703703703703</x:v>
      </x:c>
      <x:c r="Y129" s="55">
        <x:v>0.0013368055555555555</x:v>
      </x:c>
      <x:c r="Z129" s="50"/>
      <x:c r="AA129" s="50"/>
      <x:c r="AB129" s="52"/>
      <x:c r="AC129" s="57"/>
    </x:row>
    <x:row r="130" spans="1:29" ht="50.10000000000000142109" customHeight="1">
      <x:c r="A130" s="56" t="s">
        <x:v>836</x:v>
      </x:c>
      <x:c r="B130" s="51">
        <x:v>126</x:v>
      </x:c>
      <x:c r="C130" s="51">
        <x:v>1</x:v>
      </x:c>
      <x:c r="D130" s="51">
        <x:v>10</x:v>
      </x:c>
      <x:c r="E130" s="56" t="s">
        <x:v>913</x:v>
      </x:c>
      <x:c r="F130" s="56" t="s">
        <x:v>397</x:v>
      </x:c>
      <x:c r="G130" s="56" t="s">
        <x:v>5</x:v>
      </x:c>
      <x:c r="H130" s="56" t="s">
        <x:v>528</x:v>
      </x:c>
      <x:c r="I130" s="51">
        <x:v>1</x:v>
      </x:c>
      <x:c r="J130" s="56" t="s">
        <x:v>805</x:v>
      </x:c>
      <x:c r="K130" s="56" t="s">
        <x:v>723</x:v>
      </x:c>
      <x:c r="L130" s="56" t="s">
        <x:v>501</x:v>
      </x:c>
      <x:c r="M130" s="56" t="s">
        <x:v>918</x:v>
      </x:c>
      <x:c r="N130" s="52">
        <x:v>0.15868055555555555</x:v>
      </x:c>
      <x:c r="O130" s="56" t="s">
        <x:v>46</x:v>
      </x:c>
      <x:c r="P130" s="51">
        <x:v>812</x:v>
      </x:c>
      <x:c r="Q130" s="53">
        <x:v>6</x:v>
      </x:c>
      <x:c r="R130" s="53">
        <x:v>7091.9799999999996</x:v>
      </x:c>
      <x:c r="S130" s="54" t="s">
        <x:v>502</x:v>
      </x:c>
      <x:c r="T130" s="54" t="s">
        <x:v>798</x:v>
      </x:c>
      <x:c r="U130" s="54" t="s">
        <x:v>798</x:v>
      </x:c>
      <x:c r="V130" s="51" t="s">
        <x:v>798</x:v>
      </x:c>
      <x:c r="W130" s="55">
        <x:v>0.0011458333333333333</x:v>
      </x:c>
      <x:c r="X130" s="55">
        <x:v>0.0010416666666666667</x:v>
      </x:c>
      <x:c r="Y130" s="55">
        <x:v>0.0009895833333333332</x:v>
      </x:c>
      <x:c r="Z130" s="50"/>
      <x:c r="AA130" s="50"/>
      <x:c r="AB130" s="52"/>
      <x:c r="AC130" s="57"/>
    </x:row>
    <x:row r="131" spans="1:29" ht="50.10000000000000142109" customHeight="1">
      <x:c r="A131" s="56" t="s">
        <x:v>836</x:v>
      </x:c>
      <x:c r="B131" s="51">
        <x:v>127</x:v>
      </x:c>
      <x:c r="C131" s="51">
        <x:v>2</x:v>
      </x:c>
      <x:c r="D131" s="51">
        <x:v>10</x:v>
      </x:c>
      <x:c r="E131" s="56" t="s">
        <x:v>209</x:v>
      </x:c>
      <x:c r="F131" s="56" t="s">
        <x:v>533</x:v>
      </x:c>
      <x:c r="G131" s="56" t="s">
        <x:v>991</x:v>
      </x:c>
      <x:c r="H131" s="56" t="s">
        <x:v>977</x:v>
      </x:c>
      <x:c r="I131" s="51">
        <x:v>3</x:v>
      </x:c>
      <x:c r="J131" s="56" t="s">
        <x:v>228</x:v>
      </x:c>
      <x:c r="K131" s="56" t="s">
        <x:v>720</x:v>
      </x:c>
      <x:c r="L131" s="56" t="s">
        <x:v>520</x:v>
      </x:c>
      <x:c r="M131" s="56" t="s">
        <x:v>333</x:v>
      </x:c>
      <x:c r="N131" s="52">
        <x:v>0.16030092592592593</x:v>
      </x:c>
      <x:c r="O131" s="56" t="s">
        <x:v>46</x:v>
      </x:c>
      <x:c r="P131" s="51">
        <x:v>819</x:v>
      </x:c>
      <x:c r="Q131" s="53">
        <x:v>7</x:v>
      </x:c>
      <x:c r="R131" s="53">
        <x:v>7193.1400000000003</x:v>
      </x:c>
      <x:c r="S131" s="54" t="s">
        <x:v>502</x:v>
      </x:c>
      <x:c r="T131" s="54" t="s">
        <x:v>798</x:v>
      </x:c>
      <x:c r="U131" s="54" t="s">
        <x:v>798</x:v>
      </x:c>
      <x:c r="V131" s="51" t="s">
        <x:v>798</x:v>
      </x:c>
      <x:c r="W131" s="55">
        <x:v>0.0017824074074074075</x:v>
      </x:c>
      <x:c r="X131" s="55">
        <x:v>0.0016203703703703703</x:v>
      </x:c>
      <x:c r="Y131" s="55">
        <x:v>0.0015393518518518516</x:v>
      </x:c>
      <x:c r="Z131" s="50"/>
      <x:c r="AA131" s="50"/>
      <x:c r="AB131" s="52"/>
      <x:c r="AC131" s="57"/>
    </x:row>
    <x:row r="132" spans="1:29" ht="50.10000000000000142109" customHeight="1">
      <x:c r="A132" s="56" t="s">
        <x:v>836</x:v>
      </x:c>
      <x:c r="B132" s="51">
        <x:v>128</x:v>
      </x:c>
      <x:c r="C132" s="51">
        <x:v>6</x:v>
      </x:c>
      <x:c r="D132" s="51">
        <x:v>9</x:v>
      </x:c>
      <x:c r="E132" s="56" t="s">
        <x:v>821</x:v>
      </x:c>
      <x:c r="F132" s="56" t="s">
        <x:v>390</x:v>
      </x:c>
      <x:c r="G132" s="56" t="s">
        <x:v>380</x:v>
      </x:c>
      <x:c r="H132" s="56" t="s">
        <x:v>27</x:v>
      </x:c>
      <x:c r="I132" s="51">
        <x:v>1</x:v>
      </x:c>
      <x:c r="J132" s="56" t="s">
        <x:v>170</x:v>
      </x:c>
      <x:c r="K132" s="56" t="s">
        <x:v>699</x:v>
      </x:c>
      <x:c r="L132" s="56" t="s">
        <x:v>781</x:v>
      </x:c>
      <x:c r="M132" s="56" t="s">
        <x:v>746</x:v>
      </x:c>
      <x:c r="N132" s="52">
        <x:v>0.16238425925925926</x:v>
      </x:c>
      <x:c r="O132" s="56" t="s">
        <x:v>204</x:v>
      </x:c>
      <x:c r="P132" s="51">
        <x:v>829</x:v>
      </x:c>
      <x:c r="Q132" s="53">
        <x:v>10</x:v>
      </x:c>
      <x:c r="R132" s="53">
        <x:v>7338.6300000000001</x:v>
      </x:c>
      <x:c r="S132" s="54" t="s">
        <x:v>502</x:v>
      </x:c>
      <x:c r="T132" s="54" t="s">
        <x:v>798</x:v>
      </x:c>
      <x:c r="U132" s="54" t="s">
        <x:v>798</x:v>
      </x:c>
      <x:c r="V132" s="51" t="s">
        <x:v>798</x:v>
      </x:c>
      <x:c r="W132" s="55">
        <x:v>0.0026666666666666666</x:v>
      </x:c>
      <x:c r="X132" s="55">
        <x:v>0.0020833333333333333</x:v>
      </x:c>
      <x:c r="Y132" s="55">
        <x:v>0.0017708333333333332</x:v>
      </x:c>
      <x:c r="Z132" s="50"/>
      <x:c r="AA132" s="50"/>
      <x:c r="AB132" s="52"/>
      <x:c r="AC132" s="57"/>
    </x:row>
    <x:row r="133" spans="1:29" ht="50.10000000000000142109" customHeight="1">
      <x:c r="A133" s="56" t="s">
        <x:v>836</x:v>
      </x:c>
      <x:c r="B133" s="51">
        <x:v>129</x:v>
      </x:c>
      <x:c r="C133" s="51">
        <x:v>1</x:v>
      </x:c>
      <x:c r="D133" s="51">
        <x:v>8</x:v>
      </x:c>
      <x:c r="E133" s="56" t="s">
        <x:v>222</x:v>
      </x:c>
      <x:c r="F133" s="56" t="s">
        <x:v>562</x:v>
      </x:c>
      <x:c r="G133" s="56" t="s">
        <x:v>274</x:v>
      </x:c>
      <x:c r="H133" s="56" t="s">
        <x:v>375</x:v>
      </x:c>
      <x:c r="I133" s="51">
        <x:v>3</x:v>
      </x:c>
      <x:c r="J133" s="56" t="s">
        <x:v>202</x:v>
      </x:c>
      <x:c r="K133" s="56" t="s">
        <x:v>642</x:v>
      </x:c>
      <x:c r="L133" s="56" t="s">
        <x:v>482</x:v>
      </x:c>
      <x:c r="M133" s="56" t="s">
        <x:v>646</x:v>
      </x:c>
      <x:c r="N133" s="52">
        <x:v>0.16365740740740742</x:v>
      </x:c>
      <x:c r="O133" s="56" t="s">
        <x:v>204</x:v>
      </x:c>
      <x:c r="P133" s="51">
        <x:v>834</x:v>
      </x:c>
      <x:c r="Q133" s="53">
        <x:v>5</x:v>
      </x:c>
      <x:c r="R133" s="53">
        <x:v>7411.8000000000002</x:v>
      </x:c>
      <x:c r="S133" s="54" t="s">
        <x:v>502</x:v>
      </x:c>
      <x:c r="T133" s="54" t="s">
        <x:v>798</x:v>
      </x:c>
      <x:c r="U133" s="54" t="s">
        <x:v>798</x:v>
      </x:c>
      <x:c r="V133" s="51" t="s">
        <x:v>798</x:v>
      </x:c>
      <x:c r="W133" s="55">
        <x:v>0.0014004629629629632</x:v>
      </x:c>
      <x:c r="X133" s="55">
        <x:v>0.0012731481481481483</x:v>
      </x:c>
      <x:c r="Y133" s="55">
        <x:v>0.0012094907407407408</x:v>
      </x:c>
      <x:c r="Z133" s="50"/>
      <x:c r="AA133" s="50"/>
      <x:c r="AB133" s="52"/>
      <x:c r="AC133" s="57"/>
    </x:row>
    <x:row r="134" spans="1:29" ht="50.10000000000000142109" customHeight="1">
      <x:c r="A134" s="56" t="s">
        <x:v>904</x:v>
      </x:c>
      <x:c r="B134" s="51">
        <x:v>130</x:v>
      </x:c>
      <x:c r="C134" s="51">
        <x:v>1</x:v>
      </x:c>
      <x:c r="D134" s="51">
        <x:v>8</x:v>
      </x:c>
      <x:c r="E134" s="56" t="s">
        <x:v>487</x:v>
      </x:c>
      <x:c r="F134" s="56" t="s">
        <x:v>983</x:v>
      </x:c>
      <x:c r="G134" s="56" t="s">
        <x:v>993</x:v>
      </x:c>
      <x:c r="H134" s="56" t="s">
        <x:v>400</x:v>
      </x:c>
      <x:c r="I134" s="51">
        <x:v>2</x:v>
      </x:c>
      <x:c r="J134" s="56" t="s">
        <x:v>816</x:v>
      </x:c>
      <x:c r="K134" s="56" t="s">
        <x:v>792</x:v>
      </x:c>
      <x:c r="L134" s="56" t="s">
        <x:v>489</x:v>
      </x:c>
      <x:c r="M134" s="56" t="s">
        <x:v>296</x:v>
      </x:c>
      <x:c r="N134" s="52">
        <x:v>0.1648148148148148</x:v>
      </x:c>
      <x:c r="O134" s="56" t="s">
        <x:v>123</x:v>
      </x:c>
      <x:c r="P134" s="51">
        <x:v>839</x:v>
      </x:c>
      <x:c r="Q134" s="53">
        <x:v>5</x:v>
      </x:c>
      <x:c r="R134" s="53">
        <x:v>7485.2700000000004</x:v>
      </x:c>
      <x:c r="S134" s="54" t="s">
        <x:v>502</x:v>
      </x:c>
      <x:c r="T134" s="54" t="s">
        <x:v>798</x:v>
      </x:c>
      <x:c r="U134" s="54" t="s">
        <x:v>798</x:v>
      </x:c>
      <x:c r="V134" s="51" t="s">
        <x:v>798</x:v>
      </x:c>
      <x:c r="W134" s="55">
        <x:v>0.0012731481481481483</x:v>
      </x:c>
      <x:c r="X134" s="55">
        <x:v>0.0011574074074074073</x:v>
      </x:c>
      <x:c r="Y134" s="55">
        <x:v>0.0010995370370370369</x:v>
      </x:c>
      <x:c r="Z134" s="50"/>
      <x:c r="AA134" s="50"/>
      <x:c r="AB134" s="52"/>
      <x:c r="AC134" s="57"/>
    </x:row>
    <x:row r="135" spans="1:29" ht="50.10000000000000142109" customHeight="1">
      <x:c r="A135" s="56" t="s">
        <x:v>904</x:v>
      </x:c>
      <x:c r="B135" s="51">
        <x:v>131</x:v>
      </x:c>
      <x:c r="C135" s="51">
        <x:v>1</x:v>
      </x:c>
      <x:c r="D135" s="51">
        <x:v>9</x:v>
      </x:c>
      <x:c r="E135" s="56" t="s">
        <x:v>244</x:v>
      </x:c>
      <x:c r="F135" s="56" t="s">
        <x:v>530</x:v>
      </x:c>
      <x:c r="G135" s="56" t="s">
        <x:v>65</x:v>
      </x:c>
      <x:c r="H135" s="56" t="s">
        <x:v>3</x:v>
      </x:c>
      <x:c r="I135" s="51">
        <x:v>4</x:v>
      </x:c>
      <x:c r="J135" s="56" t="s">
        <x:v>830</x:v>
      </x:c>
      <x:c r="K135" s="56" t="s">
        <x:v>792</x:v>
      </x:c>
      <x:c r="L135" s="56" t="s">
        <x:v>520</x:v>
      </x:c>
      <x:c r="M135" s="56" t="s">
        <x:v>717</x:v>
      </x:c>
      <x:c r="N135" s="52">
        <x:v>0.16643518518518519</x:v>
      </x:c>
      <x:c r="O135" s="56" t="s">
        <x:v>123</x:v>
      </x:c>
      <x:c r="P135" s="51">
        <x:v>844</x:v>
      </x:c>
      <x:c r="Q135" s="53">
        <x:v>5</x:v>
      </x:c>
      <x:c r="R135" s="53">
        <x:v>7559.0100000000002</x:v>
      </x:c>
      <x:c r="S135" s="54" t="s">
        <x:v>502</x:v>
      </x:c>
      <x:c r="T135" s="54" t="s">
        <x:v>798</x:v>
      </x:c>
      <x:c r="U135" s="54" t="s">
        <x:v>798</x:v>
      </x:c>
      <x:c r="V135" s="51" t="s">
        <x:v>798</x:v>
      </x:c>
      <x:c r="W135" s="55">
        <x:v>0.0017824074074074075</x:v>
      </x:c>
      <x:c r="X135" s="55">
        <x:v>0.0016203703703703703</x:v>
      </x:c>
      <x:c r="Y135" s="55">
        <x:v>0.0015393518518518516</x:v>
      </x:c>
      <x:c r="Z135" s="50"/>
      <x:c r="AA135" s="50"/>
      <x:c r="AB135" s="52"/>
      <x:c r="AC135" s="57"/>
    </x:row>
    <x:row r="136" spans="1:29" ht="50.10000000000000142109" customHeight="1">
      <x:c r="A136" s="56" t="s">
        <x:v>904</x:v>
      </x:c>
      <x:c r="B136" s="51">
        <x:v>132</x:v>
      </x:c>
      <x:c r="C136" s="51">
        <x:v>5</x:v>
      </x:c>
      <x:c r="D136" s="51">
        <x:v>9</x:v>
      </x:c>
      <x:c r="E136" s="56" t="s">
        <x:v>120</x:v>
      </x:c>
      <x:c r="F136" s="56" t="s">
        <x:v>140</x:v>
      </x:c>
      <x:c r="G136" s="56" t="s">
        <x:v>1022</x:v>
      </x:c>
      <x:c r="H136" s="56" t="s">
        <x:v>550</x:v>
      </x:c>
      <x:c r="I136" s="51">
        <x:v>1</x:v>
      </x:c>
      <x:c r="J136" s="56" t="s">
        <x:v>320</x:v>
      </x:c>
      <x:c r="K136" s="56" t="s">
        <x:v>792</x:v>
      </x:c>
      <x:c r="L136" s="56" t="s">
        <x:v>781</x:v>
      </x:c>
      <x:c r="M136" s="56" t="s">
        <x:v>358</x:v>
      </x:c>
      <x:c r="N136" s="52">
        <x:v>0.16851851851851851</x:v>
      </x:c>
      <x:c r="O136" s="56" t="s">
        <x:v>123</x:v>
      </x:c>
      <x:c r="P136" s="51">
        <x:v>853</x:v>
      </x:c>
      <x:c r="Q136" s="53">
        <x:v>9</x:v>
      </x:c>
      <x:c r="R136" s="53">
        <x:v>7692.4700000000003</x:v>
      </x:c>
      <x:c r="S136" s="54" t="s">
        <x:v>502</x:v>
      </x:c>
      <x:c r="T136" s="54" t="s">
        <x:v>798</x:v>
      </x:c>
      <x:c r="U136" s="54" t="s">
        <x:v>798</x:v>
      </x:c>
      <x:c r="V136" s="51" t="s">
        <x:v>798</x:v>
      </x:c>
      <x:c r="W136" s="55">
        <x:v>0.0025729166666666669</x:v>
      </x:c>
      <x:c r="X136" s="55">
        <x:v>0.0020833333333333333</x:v>
      </x:c>
      <x:c r="Y136" s="55">
        <x:v>0.0018229166666666667</x:v>
      </x:c>
      <x:c r="Z136" s="50"/>
      <x:c r="AA136" s="50"/>
      <x:c r="AB136" s="52"/>
      <x:c r="AC136" s="57"/>
    </x:row>
    <x:row r="137" spans="1:29" ht="50.10000000000000142109" customHeight="1">
      <x:c r="A137" s="56" t="s">
        <x:v>904</x:v>
      </x:c>
      <x:c r="B137" s="51">
        <x:v>133</x:v>
      </x:c>
      <x:c r="C137" s="51">
        <x:v>6</x:v>
      </x:c>
      <x:c r="D137" s="51">
        <x:v>10</x:v>
      </x:c>
      <x:c r="E137" s="56" t="s">
        <x:v>808</x:v>
      </x:c>
      <x:c r="F137" s="56" t="s">
        <x:v>919</x:v>
      </x:c>
      <x:c r="G137" s="56" t="s">
        <x:v>1002</x:v>
      </x:c>
      <x:c r="H137" s="56" t="s">
        <x:v>536</x:v>
      </x:c>
      <x:c r="I137" s="51">
        <x:v>3</x:v>
      </x:c>
      <x:c r="J137" s="56" t="s">
        <x:v>43</x:v>
      </x:c>
      <x:c r="K137" s="56" t="s">
        <x:v>734</x:v>
      </x:c>
      <x:c r="L137" s="56" t="s">
        <x:v>466</x:v>
      </x:c>
      <x:c r="M137" s="56" t="s">
        <x:v>160</x:v>
      </x:c>
      <x:c r="N137" s="52">
        <x:v>0.17002314814814815</x:v>
      </x:c>
      <x:c r="O137" s="56" t="s">
        <x:v>915</x:v>
      </x:c>
      <x:c r="P137" s="51">
        <x:v>864</x:v>
      </x:c>
      <x:c r="Q137" s="53">
        <x:v>11</x:v>
      </x:c>
      <x:c r="R137" s="53">
        <x:v>7856.8400000000001</x:v>
      </x:c>
      <x:c r="S137" s="54" t="s">
        <x:v>502</x:v>
      </x:c>
      <x:c r="T137" s="54" t="s">
        <x:v>798</x:v>
      </x:c>
      <x:c r="U137" s="54" t="s">
        <x:v>798</x:v>
      </x:c>
      <x:c r="V137" s="51" t="s">
        <x:v>798</x:v>
      </x:c>
      <x:c r="W137" s="55">
        <x:v>0.001925925925925926</x:v>
      </x:c>
      <x:c r="X137" s="55">
        <x:v>0.0015046296296296296</x:v>
      </x:c>
      <x:c r="Y137" s="55">
        <x:v>0.0012789351851851853</x:v>
      </x:c>
      <x:c r="Z137" s="50"/>
      <x:c r="AA137" s="50"/>
      <x:c r="AB137" s="52"/>
      <x:c r="AC137" s="57"/>
    </x:row>
    <x:row r="138" spans="1:29" ht="50.10000000000000142109" customHeight="1">
      <x:c r="A138" s="56" t="s">
        <x:v>904</x:v>
      </x:c>
      <x:c r="B138" s="51">
        <x:v>134</x:v>
      </x:c>
      <x:c r="C138" s="51">
        <x:v>5</x:v>
      </x:c>
      <x:c r="D138" s="51">
        <x:v>9</x:v>
      </x:c>
      <x:c r="E138" s="56" t="s">
        <x:v>812</x:v>
      </x:c>
      <x:c r="F138" s="56" t="s">
        <x:v>432</x:v>
      </x:c>
      <x:c r="G138" s="56" t="s">
        <x:v>1025</x:v>
      </x:c>
      <x:c r="H138" s="56" t="s">
        <x:v>6</x:v>
      </x:c>
      <x:c r="I138" s="51">
        <x:v>8</x:v>
      </x:c>
      <x:c r="J138" s="56" t="s">
        <x:v>819</x:v>
      </x:c>
      <x:c r="K138" s="56" t="s">
        <x:v>319</x:v>
      </x:c>
      <x:c r="L138" s="56" t="s">
        <x:v>474</x:v>
      </x:c>
      <x:c r="M138" s="56" t="s">
        <x:v>708</x:v>
      </x:c>
      <x:c r="N138" s="52">
        <x:v>0.17256944444444444</x:v>
      </x:c>
      <x:c r="O138" s="56" t="s">
        <x:v>915</x:v>
      </x:c>
      <x:c r="P138" s="51">
        <x:v>873</x:v>
      </x:c>
      <x:c r="Q138" s="53">
        <x:v>9</x:v>
      </x:c>
      <x:c r="R138" s="53">
        <x:v>7992.3299999999999</x:v>
      </x:c>
      <x:c r="S138" s="54" t="s">
        <x:v>502</x:v>
      </x:c>
      <x:c r="T138" s="54" t="s">
        <x:v>798</x:v>
      </x:c>
      <x:c r="U138" s="54" t="s">
        <x:v>798</x:v>
      </x:c>
      <x:c r="V138" s="51" t="s">
        <x:v>798</x:v>
      </x:c>
      <x:c r="W138" s="55">
        <x:v>0.0031446759259259266</x:v>
      </x:c>
      <x:c r="X138" s="55">
        <x:v>0.0025462962962962965</x:v>
      </x:c>
      <x:c r="Y138" s="55">
        <x:v>0.0022280092592592594</x:v>
      </x:c>
      <x:c r="Z138" s="50"/>
      <x:c r="AA138" s="50"/>
      <x:c r="AB138" s="52"/>
      <x:c r="AC138" s="57"/>
    </x:row>
    <x:row r="139" spans="1:29" ht="50.10000000000000142109" customHeight="1">
      <x:c r="A139" s="56" t="s">
        <x:v>904</x:v>
      </x:c>
      <x:c r="B139" s="51">
        <x:v>135</x:v>
      </x:c>
      <x:c r="C139" s="51">
        <x:v>2</x:v>
      </x:c>
      <x:c r="D139" s="51">
        <x:v>10</x:v>
      </x:c>
      <x:c r="E139" s="56" t="s">
        <x:v>809</x:v>
      </x:c>
      <x:c r="F139" s="56" t="s">
        <x:v>428</x:v>
      </x:c>
      <x:c r="G139" s="56" t="s">
        <x:v>990</x:v>
      </x:c>
      <x:c r="H139" s="56" t="s">
        <x:v>537</x:v>
      </x:c>
      <x:c r="I139" s="51">
        <x:v>5</x:v>
      </x:c>
      <x:c r="J139" s="56" t="s">
        <x:v>122</x:v>
      </x:c>
      <x:c r="K139" s="56" t="s">
        <x:v>792</x:v>
      </x:c>
      <x:c r="L139" s="56" t="s">
        <x:v>508</x:v>
      </x:c>
      <x:c r="M139" s="56" t="s">
        <x:v>334</x:v>
      </x:c>
      <x:c r="N139" s="52">
        <x:v>0.17499999999999999</x:v>
      </x:c>
      <x:c r="O139" s="56" t="s">
        <x:v>915</x:v>
      </x:c>
      <x:c r="P139" s="51">
        <x:v>880</x:v>
      </x:c>
      <x:c r="Q139" s="53">
        <x:v>7</x:v>
      </x:c>
      <x:c r="R139" s="53">
        <x:v>8098.3500000000004</x:v>
      </x:c>
      <x:c r="S139" s="54" t="s">
        <x:v>502</x:v>
      </x:c>
      <x:c r="T139" s="54" t="s">
        <x:v>798</x:v>
      </x:c>
      <x:c r="U139" s="54" t="s">
        <x:v>798</x:v>
      </x:c>
      <x:c r="V139" s="51" t="s">
        <x:v>798</x:v>
      </x:c>
      <x:c r="W139" s="55">
        <x:v>0.0026736111111111114</x:v>
      </x:c>
      <x:c r="X139" s="55">
        <x:v>0.0024305555555555556</x:v>
      </x:c>
      <x:c r="Y139" s="55">
        <x:v>0.0023090277777777779</x:v>
      </x:c>
      <x:c r="Z139" s="50"/>
      <x:c r="AA139" s="50"/>
      <x:c r="AB139" s="52"/>
      <x:c r="AC139" s="57"/>
    </x:row>
    <x:row r="140" spans="1:29" ht="50.10000000000000142109" customHeight="1">
      <x:c r="A140" s="56" t="s">
        <x:v>904</x:v>
      </x:c>
      <x:c r="B140" s="51">
        <x:v>136</x:v>
      </x:c>
      <x:c r="C140" s="51">
        <x:v>7</x:v>
      </x:c>
      <x:c r="D140" s="51">
        <x:v>10</x:v>
      </x:c>
      <x:c r="E140" s="56" t="s">
        <x:v>253</x:v>
      </x:c>
      <x:c r="F140" s="56" t="s">
        <x:v>535</x:v>
      </x:c>
      <x:c r="G140" s="56" t="s">
        <x:v>628</x:v>
      </x:c>
      <x:c r="H140" s="56" t="s">
        <x:v>982</x:v>
      </x:c>
      <x:c r="I140" s="51">
        <x:v>6</x:v>
      </x:c>
      <x:c r="J140" s="56" t="s">
        <x:v>155</x:v>
      </x:c>
      <x:c r="K140" s="56" t="s">
        <x:v>324</x:v>
      </x:c>
      <x:c r="L140" s="56" t="s">
        <x:v>497</x:v>
      </x:c>
      <x:c r="M140" s="56" t="s">
        <x:v>672</x:v>
      </x:c>
      <x:c r="N140" s="52">
        <x:v>0.17800925925925926</x:v>
      </x:c>
      <x:c r="O140" s="56" t="s">
        <x:v>915</x:v>
      </x:c>
      <x:c r="P140" s="51">
        <x:v>892</x:v>
      </x:c>
      <x:c r="Q140" s="53">
        <x:v>12</x:v>
      </x:c>
      <x:c r="R140" s="53">
        <x:v>8281.3700000000008</x:v>
      </x:c>
      <x:c r="S140" s="54">
        <x:v>250</x:v>
      </x:c>
      <x:c r="T140" s="55">
        <x:v>0.00063657407407407413</x:v>
      </x:c>
      <x:c r="U140" s="55">
        <x:v>0.0019097222222222224</x:v>
      </x:c>
      <x:c r="V140" s="51">
        <x:v>3</x:v>
      </x:c>
      <x:c r="W140" s="55">
        <x:v>0.0039872685185185193</x:v>
      </x:c>
      <x:c r="X140" s="55">
        <x:v>0.0030092592592592593</x:v>
      </x:c>
      <x:c r="Y140" s="55">
        <x:v>0.0024826388888888888</x:v>
      </x:c>
      <x:c r="Z140" s="50">
        <x:f t="shared" si="5"/>
        <x:v>5000</x:v>
      </x:c>
      <x:c r="AA140" s="50">
        <x:v>1</x:v>
      </x:c>
      <x:c r="AB140" s="52">
        <x:f t="shared" si="6"/>
        <x:v>0.0089120370370370378</x:v>
      </x:c>
      <x:c r="AC140" s="57"/>
    </x:row>
    <x:row r="141" spans="1:29" ht="50.10000000000000142109" customHeight="1">
      <x:c r="A141" s="56" t="s">
        <x:v>904</x:v>
      </x:c>
      <x:c r="B141" s="51">
        <x:v>137</x:v>
      </x:c>
      <x:c r="C141" s="51">
        <x:v>7</x:v>
      </x:c>
      <x:c r="D141" s="51">
        <x:v>9</x:v>
      </x:c>
      <x:c r="E141" s="56" t="s">
        <x:v>294</x:v>
      </x:c>
      <x:c r="F141" s="56" t="s">
        <x:v>157</x:v>
      </x:c>
      <x:c r="G141" s="56" t="s">
        <x:v>265</x:v>
      </x:c>
      <x:c r="H141" s="56" t="s">
        <x:v>8</x:v>
      </x:c>
      <x:c r="I141" s="51">
        <x:v>6</x:v>
      </x:c>
      <x:c r="J141" s="56" t="s">
        <x:v>931</x:v>
      </x:c>
      <x:c r="K141" s="56" t="s">
        <x:v>732</x:v>
      </x:c>
      <x:c r="L141" s="56" t="s">
        <x:v>472</x:v>
      </x:c>
      <x:c r="M141" s="56" t="s">
        <x:v>921</x:v>
      </x:c>
      <x:c r="N141" s="52">
        <x:v>0.18020833333333333</x:v>
      </x:c>
      <x:c r="O141" s="56" t="s">
        <x:v>915</x:v>
      </x:c>
      <x:c r="P141" s="51">
        <x:v>903</x:v>
      </x:c>
      <x:c r="Q141" s="53">
        <x:v>11</x:v>
      </x:c>
      <x:c r="R141" s="53">
        <x:v>8450.5499999999993</x:v>
      </x:c>
      <x:c r="S141" s="54" t="s">
        <x:v>502</x:v>
      </x:c>
      <x:c r="T141" s="55" t="s">
        <x:v>798</x:v>
      </x:c>
      <x:c r="U141" s="55" t="s">
        <x:v>798</x:v>
      </x:c>
      <x:c r="V141" s="51" t="s">
        <x:v>798</x:v>
      </x:c>
      <x:c r="W141" s="55">
        <x:v>0.0029137731481481488</x:v>
      </x:c>
      <x:c r="X141" s="55">
        <x:v>0.0021990740740740742</x:v>
      </x:c>
      <x:c r="Y141" s="55">
        <x:v>0.0018142361111111111</x:v>
      </x:c>
      <x:c r="Z141" s="50"/>
      <x:c r="AA141" s="50"/>
      <x:c r="AB141" s="52"/>
      <x:c r="AC141" s="57"/>
    </x:row>
    <x:row r="142" spans="1:29" ht="50.10000000000000142109" customHeight="1">
      <x:c r="A142" s="56" t="s">
        <x:v>904</x:v>
      </x:c>
      <x:c r="B142" s="51">
        <x:v>138</x:v>
      </x:c>
      <x:c r="C142" s="51">
        <x:v>9</x:v>
      </x:c>
      <x:c r="D142" s="51">
        <x:v>10</x:v>
      </x:c>
      <x:c r="E142" s="56" t="s">
        <x:v>98</x:v>
      </x:c>
      <x:c r="F142" s="56" t="s">
        <x:v>917</x:v>
      </x:c>
      <x:c r="G142" s="56" t="s">
        <x:v>988</x:v>
      </x:c>
      <x:c r="H142" s="56" t="s">
        <x:v>57</x:v>
      </x:c>
      <x:c r="I142" s="51">
        <x:v>10</x:v>
      </x:c>
      <x:c r="J142" s="56" t="s">
        <x:v>630</x:v>
      </x:c>
      <x:c r="K142" s="56" t="s">
        <x:v>315</x:v>
      </x:c>
      <x:c r="L142" s="56" t="s">
        <x:v>519</x:v>
      </x:c>
      <x:c r="M142" s="56" t="s">
        <x:v>329</x:v>
      </x:c>
      <x:c r="N142" s="52">
        <x:v>0.18252314814814816</x:v>
      </x:c>
      <x:c r="O142" s="56" t="s">
        <x:v>915</x:v>
      </x:c>
      <x:c r="P142" s="51">
        <x:v>917</x:v>
      </x:c>
      <x:c r="Q142" s="53">
        <x:v>14</x:v>
      </x:c>
      <x:c r="R142" s="53">
        <x:v>8667.8099999999995</x:v>
      </x:c>
      <x:c r="S142" s="54">
        <x:v>1500</x:v>
      </x:c>
      <x:c r="T142" s="55">
        <x:v>0.00034722222222222224</x:v>
      </x:c>
      <x:c r="U142" s="55">
        <x:v>0.0023148148148148147</x:v>
      </x:c>
      <x:c r="V142" s="51">
        <x:v>1</x:v>
      </x:c>
      <x:c r="W142" s="55">
        <x:v>0.0032754629629629627</x:v>
      </x:c>
      <x:c r="X142" s="55">
        <x:v>0.0023148148148148147</x:v>
      </x:c>
      <x:c r="Y142" s="55">
        <x:v>0.0017939814814814813</x:v>
      </x:c>
      <x:c r="Z142" s="50">
        <x:f t="shared" si="5"/>
        <x:v>30000</x:v>
      </x:c>
      <x:c r="AA142" s="50">
        <x:v>1</x:v>
      </x:c>
      <x:c r="AB142" s="52">
        <x:f t="shared" si="6"/>
        <x:v>0.0048611111111111112</x:v>
      </x:c>
      <x:c r="AC142" s="57"/>
    </x:row>
    <x:row r="143" spans="1:29" ht="50.10000000000000142109" customHeight="1">
      <x:c r="A143" s="56" t="s">
        <x:v>904</x:v>
      </x:c>
      <x:c r="B143" s="51">
        <x:v>139</x:v>
      </x:c>
      <x:c r="C143" s="51">
        <x:v>6</x:v>
      </x:c>
      <x:c r="D143" s="51">
        <x:v>10</x:v>
      </x:c>
      <x:c r="E143" s="56" t="s">
        <x:v>154</x:v>
      </x:c>
      <x:c r="F143" s="56" t="s">
        <x:v>532</x:v>
      </x:c>
      <x:c r="G143" s="56" t="s">
        <x:v>1000</x:v>
      </x:c>
      <x:c r="H143" s="56" t="s">
        <x:v>4</x:v>
      </x:c>
      <x:c r="I143" s="51">
        <x:v>1</x:v>
      </x:c>
      <x:c r="J143" s="56" t="s">
        <x:v>484</x:v>
      </x:c>
      <x:c r="K143" s="56" t="s">
        <x:v>344</x:v>
      </x:c>
      <x:c r="L143" s="56" t="s">
        <x:v>517</x:v>
      </x:c>
      <x:c r="M143" s="56" t="s">
        <x:v>633</x:v>
      </x:c>
      <x:c r="N143" s="52">
        <x:v>0.18425925925925926</x:v>
      </x:c>
      <x:c r="O143" s="56" t="s">
        <x:v>94</x:v>
      </x:c>
      <x:c r="P143" s="51">
        <x:v>928</x:v>
      </x:c>
      <x:c r="Q143" s="53">
        <x:v>11</x:v>
      </x:c>
      <x:c r="R143" s="53">
        <x:v>8840.0400000000009</x:v>
      </x:c>
      <x:c r="S143" s="54" t="s">
        <x:v>502</x:v>
      </x:c>
      <x:c r="T143" s="54" t="s">
        <x:v>798</x:v>
      </x:c>
      <x:c r="U143" s="54" t="s">
        <x:v>798</x:v>
      </x:c>
      <x:c r="V143" s="51" t="s">
        <x:v>798</x:v>
      </x:c>
      <x:c r="W143" s="55">
        <x:v>0.0022222222222222222</x:v>
      </x:c>
      <x:c r="X143" s="55">
        <x:v>0.001736111111111111</x:v>
      </x:c>
      <x:c r="Y143" s="55">
        <x:v>0.0014756944444444444</x:v>
      </x:c>
      <x:c r="Z143" s="50"/>
      <x:c r="AA143" s="50"/>
      <x:c r="AB143" s="52"/>
      <x:c r="AC143" s="57"/>
    </x:row>
    <x:row r="144" spans="1:29" ht="50.10000000000000142109" customHeight="1">
      <x:c r="A144" s="56" t="s">
        <x:v>904</x:v>
      </x:c>
      <x:c r="B144" s="51">
        <x:v>140</x:v>
      </x:c>
      <x:c r="C144" s="51">
        <x:v>1</x:v>
      </x:c>
      <x:c r="D144" s="51">
        <x:v>10</x:v>
      </x:c>
      <x:c r="E144" s="56" t="s">
        <x:v>825</x:v>
      </x:c>
      <x:c r="F144" s="56" t="s">
        <x:v>450</x:v>
      </x:c>
      <x:c r="G144" s="56" t="s">
        <x:v>1</x:v>
      </x:c>
      <x:c r="H144" s="56" t="s">
        <x:v>555</x:v>
      </x:c>
      <x:c r="I144" s="51">
        <x:v>4</x:v>
      </x:c>
      <x:c r="J144" s="56" t="s">
        <x:v>105</x:v>
      </x:c>
      <x:c r="K144" s="56" t="s">
        <x:v>792</x:v>
      </x:c>
      <x:c r="L144" s="56" t="s">
        <x:v>472</x:v>
      </x:c>
      <x:c r="M144" s="56" t="s">
        <x:v>339</x:v>
      </x:c>
      <x:c r="N144" s="52">
        <x:v>0.18645833333333334</x:v>
      </x:c>
      <x:c r="O144" s="56" t="s">
        <x:v>94</x:v>
      </x:c>
      <x:c r="P144" s="51">
        <x:v>934</x:v>
      </x:c>
      <x:c r="Q144" s="53">
        <x:v>6</x:v>
      </x:c>
      <x:c r="R144" s="53">
        <x:v>8934.5400000000009</x:v>
      </x:c>
      <x:c r="S144" s="54" t="s">
        <x:v>502</x:v>
      </x:c>
      <x:c r="T144" s="54" t="s">
        <x:v>798</x:v>
      </x:c>
      <x:c r="U144" s="54" t="s">
        <x:v>798</x:v>
      </x:c>
      <x:c r="V144" s="51" t="s">
        <x:v>798</x:v>
      </x:c>
      <x:c r="W144" s="55">
        <x:v>0.002418981481481482</x:v>
      </x:c>
      <x:c r="X144" s="55">
        <x:v>0.0021990740740740742</x:v>
      </x:c>
      <x:c r="Y144" s="55">
        <x:v>0.0020891203703703705</x:v>
      </x:c>
      <x:c r="Z144" s="50"/>
      <x:c r="AA144" s="50"/>
      <x:c r="AB144" s="52"/>
      <x:c r="AC144" s="57"/>
    </x:row>
    <x:row r="145" spans="1:29" ht="50.10000000000000142109" customHeight="1">
      <x:c r="A145" s="56" t="s">
        <x:v>904</x:v>
      </x:c>
      <x:c r="B145" s="51">
        <x:v>141</x:v>
      </x:c>
      <x:c r="C145" s="51">
        <x:v>1</x:v>
      </x:c>
      <x:c r="D145" s="51">
        <x:v>10</x:v>
      </x:c>
      <x:c r="E145" s="56" t="s">
        <x:v>241</x:v>
      </x:c>
      <x:c r="F145" s="56" t="s">
        <x:v>442</x:v>
      </x:c>
      <x:c r="G145" s="56" t="s">
        <x:v>87</x:v>
      </x:c>
      <x:c r="H145" s="56" t="s">
        <x:v>445</x:v>
      </x:c>
      <x:c r="I145" s="51">
        <x:v>3</x:v>
      </x:c>
      <x:c r="J145" s="56" t="s">
        <x:v>492</x:v>
      </x:c>
      <x:c r="K145" s="56" t="s">
        <x:v>792</x:v>
      </x:c>
      <x:c r="L145" s="56" t="s">
        <x:v>496</x:v>
      </x:c>
      <x:c r="M145" s="56" t="s">
        <x:v>632</x:v>
      </x:c>
      <x:c r="N145" s="52">
        <x:v>0.18831018518518519</x:v>
      </x:c>
      <x:c r="O145" s="56" t="s">
        <x:v>94</x:v>
      </x:c>
      <x:c r="P145" s="51">
        <x:v>940</x:v>
      </x:c>
      <x:c r="Q145" s="53">
        <x:v>6</x:v>
      </x:c>
      <x:c r="R145" s="53">
        <x:v>9029.4400000000005</x:v>
      </x:c>
      <x:c r="S145" s="54" t="s">
        <x:v>502</x:v>
      </x:c>
      <x:c r="T145" s="54" t="s">
        <x:v>798</x:v>
      </x:c>
      <x:c r="U145" s="54" t="s">
        <x:v>798</x:v>
      </x:c>
      <x:c r="V145" s="51" t="s">
        <x:v>798</x:v>
      </x:c>
      <x:c r="W145" s="55">
        <x:v>0.0020370370370370373</x:v>
      </x:c>
      <x:c r="X145" s="55">
        <x:v>0.0018518518518518519</x:v>
      </x:c>
      <x:c r="Y145" s="55">
        <x:v>0.0017592592592592592</x:v>
      </x:c>
      <x:c r="Z145" s="50"/>
      <x:c r="AA145" s="50"/>
      <x:c r="AB145" s="52"/>
      <x:c r="AC145" s="57"/>
    </x:row>
    <x:row r="146" spans="1:29" ht="50.10000000000000142109" customHeight="1">
      <x:c r="A146" s="56" t="s">
        <x:v>904</x:v>
      </x:c>
      <x:c r="B146" s="51">
        <x:v>142</x:v>
      </x:c>
      <x:c r="C146" s="51">
        <x:v>1</x:v>
      </x:c>
      <x:c r="D146" s="51">
        <x:v>10</x:v>
      </x:c>
      <x:c r="E146" s="56" t="s">
        <x:v>824</x:v>
      </x:c>
      <x:c r="F146" s="56" t="s">
        <x:v>541</x:v>
      </x:c>
      <x:c r="G146" s="56" t="s">
        <x:v>282</x:v>
      </x:c>
      <x:c r="H146" s="56" t="s">
        <x:v>542</x:v>
      </x:c>
      <x:c r="I146" s="51">
        <x:v>3</x:v>
      </x:c>
      <x:c r="J146" s="56" t="s">
        <x:v>828</x:v>
      </x:c>
      <x:c r="K146" s="56" t="s">
        <x:v>792</x:v>
      </x:c>
      <x:c r="L146" s="56" t="s">
        <x:v>517</x:v>
      </x:c>
      <x:c r="M146" s="56" t="s">
        <x:v>716</x:v>
      </x:c>
      <x:c r="N146" s="52">
        <x:v>0.1900462962962963</x:v>
      </x:c>
      <x:c r="O146" s="56" t="s">
        <x:v>94</x:v>
      </x:c>
      <x:c r="P146" s="51">
        <x:v>946</x:v>
      </x:c>
      <x:c r="Q146" s="53">
        <x:v>6</x:v>
      </x:c>
      <x:c r="R146" s="53">
        <x:v>9124.7399999999998</x:v>
      </x:c>
      <x:c r="S146" s="54" t="s">
        <x:v>502</x:v>
      </x:c>
      <x:c r="T146" s="54" t="s">
        <x:v>798</x:v>
      </x:c>
      <x:c r="U146" s="54" t="s">
        <x:v>798</x:v>
      </x:c>
      <x:c r="V146" s="51" t="s">
        <x:v>798</x:v>
      </x:c>
      <x:c r="W146" s="55">
        <x:v>0.0019097222222222224</x:v>
      </x:c>
      <x:c r="X146" s="55">
        <x:v>0.001736111111111111</x:v>
      </x:c>
      <x:c r="Y146" s="55">
        <x:v>0.0016493055555555553</x:v>
      </x:c>
      <x:c r="Z146" s="50"/>
      <x:c r="AA146" s="50"/>
      <x:c r="AB146" s="52"/>
      <x:c r="AC146" s="57"/>
    </x:row>
    <x:row r="147" spans="1:29" ht="50.10000000000000142109" customHeight="1">
      <x:c r="A147" s="56" t="s">
        <x:v>904</x:v>
      </x:c>
      <x:c r="B147" s="51">
        <x:v>143</x:v>
      </x:c>
      <x:c r="C147" s="51">
        <x:v>4</x:v>
      </x:c>
      <x:c r="D147" s="51">
        <x:v>10</x:v>
      </x:c>
      <x:c r="E147" s="56" t="s">
        <x:v>823</x:v>
      </x:c>
      <x:c r="F147" s="56" t="s">
        <x:v>410</x:v>
      </x:c>
      <x:c r="G147" s="56" t="s">
        <x:v>1006</x:v>
      </x:c>
      <x:c r="H147" s="56" t="s">
        <x:v>181</x:v>
      </x:c>
      <x:c r="I147" s="51">
        <x:v>5</x:v>
      </x:c>
      <x:c r="J147" s="56" t="s">
        <x:v>801</x:v>
      </x:c>
      <x:c r="K147" s="56" t="s">
        <x:v>326</x:v>
      </x:c>
      <x:c r="L147" s="56" t="s">
        <x:v>519</x:v>
      </x:c>
      <x:c r="M147" s="56" t="s">
        <x:v>331</x:v>
      </x:c>
      <x:c r="N147" s="52">
        <x:v>0.19236111111111112</x:v>
      </x:c>
      <x:c r="O147" s="56" t="s">
        <x:v>94</x:v>
      </x:c>
      <x:c r="P147" s="51">
        <x:v>955</x:v>
      </x:c>
      <x:c r="Q147" s="53">
        <x:v>9</x:v>
      </x:c>
      <x:c r="R147" s="53">
        <x:v>9268.4200000000001</x:v>
      </x:c>
      <x:c r="S147" s="54" t="s">
        <x:v>502</x:v>
      </x:c>
      <x:c r="T147" s="54" t="s">
        <x:v>798</x:v>
      </x:c>
      <x:c r="U147" s="54" t="s">
        <x:v>798</x:v>
      </x:c>
      <x:c r="V147" s="51" t="s">
        <x:v>798</x:v>
      </x:c>
      <x:c r="W147" s="55">
        <x:v>0.0027546296296296299</x:v>
      </x:c>
      <x:c r="X147" s="55">
        <x:v>0.0023148148148148147</x:v>
      </x:c>
      <x:c r="Y147" s="55">
        <x:v>0.0020833333333333329</x:v>
      </x:c>
      <x:c r="Z147" s="50"/>
      <x:c r="AA147" s="50"/>
      <x:c r="AB147" s="52"/>
      <x:c r="AC147" s="57"/>
    </x:row>
    <x:row r="148" spans="1:29" ht="50.10000000000000142109" customHeight="1">
      <x:c r="A148" s="56" t="s">
        <x:v>904</x:v>
      </x:c>
      <x:c r="B148" s="51">
        <x:v>144</x:v>
      </x:c>
      <x:c r="C148" s="51">
        <x:v>7</x:v>
      </x:c>
      <x:c r="D148" s="51">
        <x:v>10</x:v>
      </x:c>
      <x:c r="E148" s="56" t="s">
        <x:v>817</x:v>
      </x:c>
      <x:c r="F148" s="56" t="s">
        <x:v>447</x:v>
      </x:c>
      <x:c r="G148" s="56" t="s">
        <x:v>263</x:v>
      </x:c>
      <x:c r="H148" s="56" t="s">
        <x:v>1009</x:v>
      </x:c>
      <x:c r="I148" s="51">
        <x:v>4</x:v>
      </x:c>
      <x:c r="J148" s="56" t="s">
        <x:v>239</x:v>
      </x:c>
      <x:c r="K148" s="56" t="s">
        <x:v>725</x:v>
      </x:c>
      <x:c r="L148" s="56" t="s">
        <x:v>781</x:v>
      </x:c>
      <x:c r="M148" s="56" t="s">
        <x:v>636</x:v>
      </x:c>
      <x:c r="N148" s="52">
        <x:v>0.19444444444444445</x:v>
      </x:c>
      <x:c r="O148" s="56" t="s">
        <x:v>94</x:v>
      </x:c>
      <x:c r="P148" s="51">
        <x:v>967</x:v>
      </x:c>
      <x:c r="Q148" s="53">
        <x:v>12</x:v>
      </x:c>
      <x:c r="R148" s="53">
        <x:v>9461.3600000000006</x:v>
      </x:c>
      <x:c r="S148" s="54" t="s">
        <x:v>502</x:v>
      </x:c>
      <x:c r="T148" s="54" t="s">
        <x:v>798</x:v>
      </x:c>
      <x:c r="U148" s="54" t="s">
        <x:v>798</x:v>
      </x:c>
      <x:c r="V148" s="51" t="s">
        <x:v>798</x:v>
      </x:c>
      <x:c r="W148" s="55">
        <x:v>0.0027604166666666671</x:v>
      </x:c>
      <x:c r="X148" s="55">
        <x:v>0.0020833333333333333</x:v>
      </x:c>
      <x:c r="Y148" s="55">
        <x:v>0.0017187499999999997</x:v>
      </x:c>
      <x:c r="Z148" s="50"/>
      <x:c r="AA148" s="50"/>
      <x:c r="AB148" s="52"/>
      <x:c r="AC148" s="57"/>
    </x:row>
    <x:row r="149" spans="1:29" ht="50.10000000000000142109" customHeight="1">
      <x:c r="A149" s="56" t="s">
        <x:v>904</x:v>
      </x:c>
      <x:c r="B149" s="51">
        <x:v>145</x:v>
      </x:c>
      <x:c r="C149" s="51">
        <x:v>6</x:v>
      </x:c>
      <x:c r="D149" s="51">
        <x:v>10</x:v>
      </x:c>
      <x:c r="E149" s="56" t="s">
        <x:v>820</x:v>
      </x:c>
      <x:c r="F149" s="56" t="s">
        <x:v>406</x:v>
      </x:c>
      <x:c r="G149" s="56" t="s">
        <x:v>622</x:v>
      </x:c>
      <x:c r="H149" s="56" t="s">
        <x:v>276</x:v>
      </x:c>
      <x:c r="I149" s="51">
        <x:v>6</x:v>
      </x:c>
      <x:c r="J149" s="56" t="s">
        <x:v>243</x:v>
      </x:c>
      <x:c r="K149" s="56" t="s">
        <x:v>772</x:v>
      </x:c>
      <x:c r="L149" s="56" t="s">
        <x:v>474</x:v>
      </x:c>
      <x:c r="M149" s="56" t="s">
        <x:v>300</x:v>
      </x:c>
      <x:c r="N149" s="52">
        <x:v>0.19699074074074074</x:v>
      </x:c>
      <x:c r="O149" s="56" t="s">
        <x:v>94</x:v>
      </x:c>
      <x:c r="P149" s="51">
        <x:v>978</x:v>
      </x:c>
      <x:c r="Q149" s="53">
        <x:v>11</x:v>
      </x:c>
      <x:c r="R149" s="53">
        <x:v>9639.6000000000004</x:v>
      </x:c>
      <x:c r="S149" s="54" t="s">
        <x:v>502</x:v>
      </x:c>
      <x:c r="T149" s="54" t="s">
        <x:v>798</x:v>
      </x:c>
      <x:c r="U149" s="54" t="s">
        <x:v>798</x:v>
      </x:c>
      <x:c r="V149" s="51" t="s">
        <x:v>798</x:v>
      </x:c>
      <x:c r="W149" s="55">
        <x:v>0.0032592592592592595</x:v>
      </x:c>
      <x:c r="X149" s="55">
        <x:v>0.0025462962962962965</x:v>
      </x:c>
      <x:c r="Y149" s="55">
        <x:v>0.0021643518518518518</x:v>
      </x:c>
      <x:c r="Z149" s="50"/>
      <x:c r="AA149" s="50"/>
      <x:c r="AB149" s="52"/>
      <x:c r="AC149" s="57"/>
    </x:row>
    <x:row r="150" spans="1:29" ht="50.10000000000000142109" customHeight="1">
      <x:c r="A150" s="56" t="s">
        <x:v>904</x:v>
      </x:c>
      <x:c r="B150" s="51">
        <x:v>146</x:v>
      </x:c>
      <x:c r="C150" s="51">
        <x:v>1</x:v>
      </x:c>
      <x:c r="D150" s="51">
        <x:v>10</x:v>
      </x:c>
      <x:c r="E150" s="56" t="s">
        <x:v>810</x:v>
      </x:c>
      <x:c r="F150" s="56" t="s">
        <x:v>554</x:v>
      </x:c>
      <x:c r="G150" s="56" t="s">
        <x:v>24</x:v>
      </x:c>
      <x:c r="H150" s="56" t="s">
        <x:v>433</x:v>
      </x:c>
      <x:c r="I150" s="51">
        <x:v>1</x:v>
      </x:c>
      <x:c r="J150" s="56" t="s">
        <x:v>250</x:v>
      </x:c>
      <x:c r="K150" s="56" t="s">
        <x:v>792</x:v>
      </x:c>
      <x:c r="L150" s="56" t="s">
        <x:v>782</x:v>
      </x:c>
      <x:c r="M150" s="56" t="s">
        <x:v>252</x:v>
      </x:c>
      <x:c r="N150" s="52">
        <x:v>0.19837962962962963</x:v>
      </x:c>
      <x:c r="O150" s="56" t="s">
        <x:v>235</x:v>
      </x:c>
      <x:c r="P150" s="51">
        <x:v>984</x:v>
      </x:c>
      <x:c r="Q150" s="53">
        <x:v>6</x:v>
      </x:c>
      <x:c r="R150" s="53">
        <x:v>9737.3799999999992</x:v>
      </x:c>
      <x:c r="S150" s="54" t="s">
        <x:v>502</x:v>
      </x:c>
      <x:c r="T150" s="54" t="s">
        <x:v>798</x:v>
      </x:c>
      <x:c r="U150" s="54" t="s">
        <x:v>798</x:v>
      </x:c>
      <x:c r="V150" s="51" t="s">
        <x:v>798</x:v>
      </x:c>
      <x:c r="W150" s="55">
        <x:v>0.0015277777777777779</x:v>
      </x:c>
      <x:c r="X150" s="55">
        <x:v>0.0013888888888888889</x:v>
      </x:c>
      <x:c r="Y150" s="55">
        <x:v>0.0013194444444444445</x:v>
      </x:c>
      <x:c r="Z150" s="50"/>
      <x:c r="AA150" s="50"/>
      <x:c r="AB150" s="52"/>
      <x:c r="AC150" s="57"/>
    </x:row>
    <x:row r="151" spans="1:29" ht="50.10000000000000142109" customHeight="1">
      <x:c r="A151" s="56" t="s">
        <x:v>904</x:v>
      </x:c>
      <x:c r="B151" s="51">
        <x:v>147</x:v>
      </x:c>
      <x:c r="C151" s="51">
        <x:v>1</x:v>
      </x:c>
      <x:c r="D151" s="51">
        <x:v>10</x:v>
      </x:c>
      <x:c r="E151" s="56" t="s">
        <x:v>96</x:v>
      </x:c>
      <x:c r="F151" s="56" t="s">
        <x:v>437</x:v>
      </x:c>
      <x:c r="G151" s="56" t="s">
        <x:v>179</x:v>
      </x:c>
      <x:c r="H151" s="56" t="s">
        <x:v>30</x:v>
      </x:c>
      <x:c r="I151" s="51">
        <x:v>4</x:v>
      </x:c>
      <x:c r="J151" s="56" t="s">
        <x:v>249</x:v>
      </x:c>
      <x:c r="K151" s="56" t="s">
        <x:v>792</x:v>
      </x:c>
      <x:c r="L151" s="56" t="s">
        <x:v>517</x:v>
      </x:c>
      <x:c r="M151" s="56" t="s">
        <x:v>713</x:v>
      </x:c>
      <x:c r="N151" s="52">
        <x:v>0.20011574074074073</x:v>
      </x:c>
      <x:c r="O151" s="56" t="s">
        <x:v>235</x:v>
      </x:c>
      <x:c r="P151" s="51">
        <x:v>990</x:v>
      </x:c>
      <x:c r="Q151" s="53">
        <x:v>6</x:v>
      </x:c>
      <x:c r="R151" s="53">
        <x:v>9835.5400000000009</x:v>
      </x:c>
      <x:c r="S151" s="54" t="s">
        <x:v>502</x:v>
      </x:c>
      <x:c r="T151" s="54" t="s">
        <x:v>798</x:v>
      </x:c>
      <x:c r="U151" s="54" t="s">
        <x:v>798</x:v>
      </x:c>
      <x:c r="V151" s="51" t="s">
        <x:v>798</x:v>
      </x:c>
      <x:c r="W151" s="55">
        <x:v>0.0019097222222222224</x:v>
      </x:c>
      <x:c r="X151" s="55">
        <x:v>0.001736111111111111</x:v>
      </x:c>
      <x:c r="Y151" s="55">
        <x:v>0.0016493055555555553</x:v>
      </x:c>
      <x:c r="Z151" s="50"/>
      <x:c r="AA151" s="50"/>
      <x:c r="AB151" s="52"/>
      <x:c r="AC151" s="57"/>
    </x:row>
    <x:row r="152" spans="1:29" ht="50.10000000000000142109" customHeight="1">
      <x:c r="A152" s="56" t="s">
        <x:v>904</x:v>
      </x:c>
      <x:c r="B152" s="51">
        <x:v>148</x:v>
      </x:c>
      <x:c r="C152" s="51">
        <x:v>1</x:v>
      </x:c>
      <x:c r="D152" s="51">
        <x:v>9</x:v>
      </x:c>
      <x:c r="E152" s="56" t="s">
        <x:v>237</x:v>
      </x:c>
      <x:c r="F152" s="56" t="s">
        <x:v>437</x:v>
      </x:c>
      <x:c r="G152" s="56" t="s">
        <x:v>267</x:v>
      </x:c>
      <x:c r="H152" s="56" t="s">
        <x:v>31</x:v>
      </x:c>
      <x:c r="I152" s="51">
        <x:v>5</x:v>
      </x:c>
      <x:c r="J152" s="56" t="s">
        <x:v>249</x:v>
      </x:c>
      <x:c r="K152" s="56" t="s">
        <x:v>792</x:v>
      </x:c>
      <x:c r="L152" s="56" t="s">
        <x:v>784</x:v>
      </x:c>
      <x:c r="M152" s="56" t="s">
        <x:v>713</x:v>
      </x:c>
      <x:c r="N152" s="52">
        <x:v>0.20289351851851853</x:v>
      </x:c>
      <x:c r="O152" s="56" t="s">
        <x:v>235</x:v>
      </x:c>
      <x:c r="P152" s="51">
        <x:v>995</x:v>
      </x:c>
      <x:c r="Q152" s="53">
        <x:v>5</x:v>
      </x:c>
      <x:c r="R152" s="53">
        <x:v>9917.6299999999992</x:v>
      </x:c>
      <x:c r="S152" s="54" t="s">
        <x:v>502</x:v>
      </x:c>
      <x:c r="T152" s="54" t="s">
        <x:v>798</x:v>
      </x:c>
      <x:c r="U152" s="54" t="s">
        <x:v>798</x:v>
      </x:c>
      <x:c r="V152" s="51" t="s">
        <x:v>798</x:v>
      </x:c>
      <x:c r="W152" s="55">
        <x:v>0.0030555555555555557</x:v>
      </x:c>
      <x:c r="X152" s="55">
        <x:v>0.0027777777777777779</x:v>
      </x:c>
      <x:c r="Y152" s="55">
        <x:v>0.002638888888888889</x:v>
      </x:c>
      <x:c r="Z152" s="50"/>
      <x:c r="AA152" s="50"/>
      <x:c r="AB152" s="52"/>
      <x:c r="AC152" s="57"/>
    </x:row>
    <x:row r="153" spans="1:29" ht="50.10000000000000142109" customHeight="1">
      <x:c r="A153" s="56" t="s">
        <x:v>904</x:v>
      </x:c>
      <x:c r="B153" s="51">
        <x:v>149</x:v>
      </x:c>
      <x:c r="C153" s="51">
        <x:v>1</x:v>
      </x:c>
      <x:c r="D153" s="51">
        <x:v>9</x:v>
      </x:c>
      <x:c r="E153" s="56" t="s">
        <x:v>806</x:v>
      </x:c>
      <x:c r="F153" s="56" t="s">
        <x:v>924</x:v>
      </x:c>
      <x:c r="G153" s="56" t="s">
        <x:v>594</x:v>
      </x:c>
      <x:c r="H153" s="56" t="s">
        <x:v>527</x:v>
      </x:c>
      <x:c r="I153" s="51">
        <x:v>1</x:v>
      </x:c>
      <x:c r="J153" s="56" t="s">
        <x:v>518</x:v>
      </x:c>
      <x:c r="K153" s="56" t="s">
        <x:v>792</x:v>
      </x:c>
      <x:c r="L153" s="56" t="s">
        <x:v>781</x:v>
      </x:c>
      <x:c r="M153" s="56" t="s">
        <x:v>169</x:v>
      </x:c>
      <x:c r="N153" s="52">
        <x:v>0.20497685185185185</x:v>
      </x:c>
      <x:c r="O153" s="56" t="s">
        <x:v>235</x:v>
      </x:c>
      <x:c r="P153" s="51">
        <x:v>1000</x:v>
      </x:c>
      <x:c r="Q153" s="53">
        <x:v>5</x:v>
      </x:c>
      <x:c r="R153" s="53">
        <x:v>10000</x:v>
      </x:c>
      <x:c r="S153" s="54" t="s">
        <x:v>502</x:v>
      </x:c>
      <x:c r="T153" s="54" t="s">
        <x:v>798</x:v>
      </x:c>
      <x:c r="U153" s="54" t="s">
        <x:v>798</x:v>
      </x:c>
      <x:c r="V153" s="51" t="s">
        <x:v>798</x:v>
      </x:c>
      <x:c r="W153" s="55">
        <x:v>0.0022916666666666667</x:v>
      </x:c>
      <x:c r="X153" s="55">
        <x:v>0.0020833333333333333</x:v>
      </x:c>
      <x:c r="Y153" s="55">
        <x:v>0.0019791666666666664</x:v>
      </x:c>
      <x:c r="Z153" s="50"/>
      <x:c r="AA153" s="50"/>
      <x:c r="AB153" s="52"/>
      <x:c r="AC153" s="57"/>
    </x:row>
  </x:sheetData>
  <x:conditionalFormatting sqref="A4:A123">
    <x:cfRule type="colorScale" priority="114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13">
      <x:colorScale>
        <x:cfvo type="min"/>
        <x:cfvo type="max"/>
        <x:color rgb="ff63be7b"/>
        <x:color rgb="fffcfcff"/>
      </x:colorScale>
    </x:cfRule>
    <x:cfRule type="colorScale" priority="112">
      <x:colorScale>
        <x:cfvo type="min"/>
        <x:cfvo type="max"/>
        <x:color rgb="ff9bcfd9"/>
        <x:color rgb="ffc6a5cb"/>
      </x:colorScale>
    </x:cfRule>
  </x:conditionalFormatting>
  <x:conditionalFormatting sqref="I5:I123">
    <x:cfRule type="dataBar" priority="10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{08142C74-489B-4AD4-82B9-36601E0814DB}</x14:id>
        </x:ext>
      </x:extLst>
    </x:cfRule>
  </x:conditionalFormatting>
  <x:conditionalFormatting sqref="D1:D1048574">
    <x:cfRule type="iconSet" priority="106">
      <x:iconSet iconSet="3Signs">
        <x:cfvo type="percent" val="0"/>
        <x:cfvo type="percent" val="33"/>
        <x:cfvo type="percent" val="67"/>
      </x:iconSet>
    </x:cfRule>
    <x:cfRule type="iconSet" priority="101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C1:C1048574">
    <x:cfRule type="iconSet" priority="103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I124:I153">
    <x:cfRule type="dataBar" priority="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{E5178FC2-0365-4D85-8C68-ED8CD7F3D05E}</x14:id>
        </x:ext>
      </x:extLst>
    </x:cfRule>
  </x:conditionalFormatting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142C74-489B-4AD4-82B9-36601E0814D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E5178FC2-0365-4D85-8C68-ED8CD7F3D05E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</x14:conditionalFormattings>
    </x:ext>
  </x:extLst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Z72"/>
  <x:sheetViews>
    <x:sheetView topLeftCell="A1" zoomScaleNormal="100" zoomScaleSheetLayoutView="100" workbookViewId="0">
      <x:selection activeCell="A1" activeCellId="0" sqref="A1:A1"/>
    </x:sheetView>
  </x:sheetViews>
  <x:sheetFormatPr defaultColWidth="9" defaultRowHeight="11.30000000000000071054"/>
  <x:cols>
    <x:col min="1" max="52" width="4.25" style="30" customWidth="1"/>
    <x:col min="53" max="16384" width="9" style="30"/>
  </x:cols>
  <x:sheetData>
    <x:row r="1" spans="1:1" ht="18" customHeight="1">
      <x:c r="A1" s="29"/>
    </x:row>
    <x:row r="2" spans="1:22" ht="18" customHeight="1">
      <x:c r="A2" s="31"/>
      <x:c r="B2" s="58" t="s">
        <x:v>473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</x:row>
    <x:row r="3" spans="2:22" ht="18" customHeight="1"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  <x:c r="U3" s="58"/>
      <x:c r="V3" s="58"/>
    </x:row>
    <x:row r="4" spans="2:22" ht="18" customHeight="1">
      <x:c r="B4" s="58" t="s">
        <x:v>273</x:v>
      </x:c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  <x:c r="R4" s="58"/>
      <x:c r="S4" s="58"/>
      <x:c r="T4" s="58"/>
      <x:c r="U4" s="58"/>
      <x:c r="V4" s="58"/>
    </x:row>
    <x:row r="5" spans="2:22" ht="18" customHeight="1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8"/>
      <x:c r="R5" s="58"/>
      <x:c r="S5" s="58"/>
      <x:c r="T5" s="58"/>
      <x:c r="U5" s="58"/>
      <x:c r="V5" s="58"/>
    </x:row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spans="1:1" ht="18" customHeight="1">
      <x:c r="A56" s="32"/>
    </x:row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spans="2:26" ht="18" customHeight="1">
      <x:c r="B70" s="58" t="s">
        <x:v>284</x:v>
      </x:c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  <x:c r="P70" s="58"/>
      <x:c r="Q70" s="58"/>
      <x:c r="R70" s="58"/>
      <x:c r="S70" s="58"/>
      <x:c r="T70" s="58"/>
      <x:c r="U70" s="58"/>
      <x:c r="V70" s="58"/>
      <x:c r="W70" s="58"/>
      <x:c r="X70" s="58"/>
      <x:c r="Y70" s="58"/>
      <x:c r="Z70" s="58"/>
    </x:row>
    <x:row r="71" spans="2:26" ht="18" customHeight="1"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  <x:c r="P71" s="58"/>
      <x:c r="Q71" s="58"/>
      <x:c r="R71" s="58"/>
      <x:c r="S71" s="58"/>
      <x:c r="T71" s="58"/>
      <x:c r="U71" s="58"/>
      <x:c r="V71" s="58"/>
      <x:c r="W71" s="58"/>
      <x:c r="X71" s="58"/>
      <x:c r="Y71" s="58"/>
      <x:c r="Z71" s="58"/>
    </x:row>
    <x:row r="72" spans="2:26" ht="18" customHeight="1"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  <x:c r="P72" s="58"/>
      <x:c r="Q72" s="58"/>
      <x:c r="R72" s="58"/>
      <x:c r="S72" s="58"/>
      <x:c r="T72" s="58"/>
      <x:c r="U72" s="58"/>
      <x:c r="V72" s="58"/>
      <x:c r="W72" s="58"/>
      <x:c r="X72" s="58"/>
      <x:c r="Y72" s="58"/>
      <x:c r="Z72" s="58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 count="3">
    <x:mergeCell ref="B2:V3"/>
    <x:mergeCell ref="B4:V5"/>
    <x:mergeCell ref="B70:Z72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18"/>
  <x:sheetViews>
    <x:sheetView topLeftCell="A1" zoomScaleNormal="100" zoomScaleSheetLayoutView="100" workbookViewId="0">
      <x:selection activeCell="A1" activeCellId="0" sqref="A1:A1"/>
    </x:sheetView>
  </x:sheetViews>
  <x:sheetFormatPr defaultColWidth="8.875" defaultRowHeight="13.55000000000000071054"/>
  <x:cols>
    <x:col min="1" max="1" width="20" customWidth="1"/>
    <x:col min="2" max="2" width="42" customWidth="1"/>
    <x:col min="3" max="3" width="22" customWidth="1"/>
    <x:col min="4" max="4" width="50" customWidth="1"/>
  </x:cols>
  <x:sheetData>
    <x:row r="1" spans="1:4">
      <x:c r="A1" s="59" t="s">
        <x:v>150</x:v>
      </x:c>
      <x:c r="B1" s="59"/>
      <x:c r="C1" s="59"/>
      <x:c r="D1" s="59"/>
    </x:row>
    <x:row r="3" spans="1:4">
      <x:c r="A3" s="1" t="s">
        <x:v>778</x:v>
      </x:c>
      <x:c r="B3" s="2" t="s">
        <x:v>477</x:v>
      </x:c>
      <x:c r="C3" s="2" t="s">
        <x:v>459</x:v>
      </x:c>
      <x:c r="D3" s="3" t="s">
        <x:v>853</x:v>
      </x:c>
    </x:row>
    <x:row r="4" spans="1:4" ht="57.95000000000000284217" customHeight="1">
      <x:c r="A4" s="5" t="s">
        <x:v>512</x:v>
      </x:c>
      <x:c r="B4" s="6" t="s">
        <x:v>384</x:v>
      </x:c>
      <x:c r="C4" s="6" t="s">
        <x:v>503</x:v>
      </x:c>
      <x:c r="D4" s="7" t="s">
        <x:v>422</x:v>
      </x:c>
    </x:row>
    <x:row r="5" spans="1:4" ht="57.95000000000000284217" customHeight="1">
      <x:c r="A5" s="8" t="s">
        <x:v>800</x:v>
      </x:c>
      <x:c r="B5" s="4" t="s">
        <x:v>16</x:v>
      </x:c>
      <x:c r="C5" s="4" t="s">
        <x:v>503</x:v>
      </x:c>
      <x:c r="D5" s="9" t="s">
        <x:v>389</x:v>
      </x:c>
    </x:row>
    <x:row r="6" spans="1:4" ht="57.95000000000000284217" customHeight="1">
      <x:c r="A6" s="8" t="s">
        <x:v>855</x:v>
      </x:c>
      <x:c r="B6" s="4" t="s">
        <x:v>543</x:v>
      </x:c>
      <x:c r="C6" s="4" t="s">
        <x:v>851</x:v>
      </x:c>
      <x:c r="D6" s="9" t="s">
        <x:v>32</x:v>
      </x:c>
    </x:row>
    <x:row r="7" spans="1:4" ht="57.95000000000000284217" customHeight="1">
      <x:c r="A7" s="8" t="s">
        <x:v>791</x:v>
      </x:c>
      <x:c r="B7" s="4" t="s">
        <x:v>420</x:v>
      </x:c>
      <x:c r="C7" s="4" t="s">
        <x:v>475</x:v>
      </x:c>
      <x:c r="D7" s="9" t="s">
        <x:v>416</x:v>
      </x:c>
    </x:row>
    <x:row r="8" spans="1:4" ht="57.95000000000000284217" customHeight="1">
      <x:c r="A8" s="8" t="s">
        <x:v>461</x:v>
      </x:c>
      <x:c r="B8" s="4" t="s">
        <x:v>175</x:v>
      </x:c>
      <x:c r="C8" s="4" t="s">
        <x:v>493</x:v>
      </x:c>
      <x:c r="D8" s="9" t="s">
        <x:v>547</x:v>
      </x:c>
    </x:row>
    <x:row r="9" spans="1:4" ht="57.95000000000000284217" customHeight="1">
      <x:c r="A9" s="8" t="s">
        <x:v>480</x:v>
      </x:c>
      <x:c r="B9" s="4" t="s">
        <x:v>453</x:v>
      </x:c>
      <x:c r="C9" s="4" t="s">
        <x:v>868</x:v>
      </x:c>
      <x:c r="D9" s="9" t="s">
        <x:v>747</x:v>
      </x:c>
    </x:row>
    <x:row r="10" spans="1:4" ht="57.95000000000000284217" customHeight="1">
      <x:c r="A10" s="8" t="s">
        <x:v>876</x:v>
      </x:c>
      <x:c r="B10" s="4" t="s">
        <x:v>383</x:v>
      </x:c>
      <x:c r="C10" s="4" t="s">
        <x:v>149</x:v>
      </x:c>
      <x:c r="D10" s="9" t="s">
        <x:v>974</x:v>
      </x:c>
    </x:row>
    <x:row r="11" spans="1:4" ht="57.95000000000000284217" customHeight="1">
      <x:c r="A11" s="8" t="s">
        <x:v>462</x:v>
      </x:c>
      <x:c r="B11" s="4" t="s">
        <x:v>439</x:v>
      </x:c>
      <x:c r="C11" s="4" t="s">
        <x:v>795</x:v>
      </x:c>
      <x:c r="D11" s="9" t="s">
        <x:v>956</x:v>
      </x:c>
    </x:row>
    <x:row r="12" spans="1:4" ht="57.95000000000000284217" customHeight="1">
      <x:c r="A12" s="8" t="s">
        <x:v>488</x:v>
      </x:c>
      <x:c r="B12" s="4" t="s">
        <x:v>307</x:v>
      </x:c>
      <x:c r="C12" s="4" t="s">
        <x:v>847</x:v>
      </x:c>
      <x:c r="D12" s="9" t="s">
        <x:v>305</x:v>
      </x:c>
    </x:row>
    <x:row r="13" spans="1:4" ht="57.95000000000000284217" customHeight="1">
      <x:c r="A13" s="8" t="s">
        <x:v>494</x:v>
      </x:c>
      <x:c r="B13" s="4" t="s">
        <x:v>969</x:v>
      </x:c>
      <x:c r="C13" s="4" t="s">
        <x:v>637</x:v>
      </x:c>
      <x:c r="D13" s="9" t="s">
        <x:v>440</x:v>
      </x:c>
    </x:row>
    <x:row r="14" spans="1:4" ht="57.95000000000000284217" customHeight="1">
      <x:c r="A14" s="8" t="s">
        <x:v>871</x:v>
      </x:c>
      <x:c r="B14" s="4" t="s">
        <x:v>173</x:v>
      </x:c>
      <x:c r="C14" s="4" t="s">
        <x:v>790</x:v>
      </x:c>
      <x:c r="D14" s="9" t="s">
        <x:v>971</x:v>
      </x:c>
    </x:row>
    <x:row r="15" spans="1:4" ht="57.95000000000000284217" customHeight="1">
      <x:c r="A15" s="8" t="s">
        <x:v>873</x:v>
      </x:c>
      <x:c r="B15" s="4" t="s">
        <x:v>449</x:v>
      </x:c>
      <x:c r="C15" s="4" t="s">
        <x:v>852</x:v>
      </x:c>
      <x:c r="D15" s="9" t="s">
        <x:v>398</x:v>
      </x:c>
    </x:row>
    <x:row r="16" spans="1:4" ht="57.95000000000000284217" customHeight="1">
      <x:c r="A16" s="8" t="s">
        <x:v>507</x:v>
      </x:c>
      <x:c r="B16" s="4" t="s">
        <x:v>965</x:v>
      </x:c>
      <x:c r="C16" s="4" t="s">
        <x:v>478</x:v>
      </x:c>
      <x:c r="D16" s="9" t="s">
        <x:v>125</x:v>
      </x:c>
    </x:row>
    <x:row r="17" spans="1:4" ht="57.95000000000000284217" customHeight="1">
      <x:c r="A17" s="8" t="s">
        <x:v>504</x:v>
      </x:c>
      <x:c r="B17" s="4" t="s">
        <x:v>962</x:v>
      </x:c>
      <x:c r="C17" s="4" t="s">
        <x:v>478</x:v>
      </x:c>
      <x:c r="D17" s="9" t="s">
        <x:v>966</x:v>
      </x:c>
    </x:row>
    <x:row r="18" spans="1:4" ht="57.95000000000000284217" customHeight="1">
      <x:c r="A18" s="10" t="s">
        <x:v>495</x:v>
      </x:c>
      <x:c r="B18" s="11" t="s">
        <x:v>730</x:v>
      </x:c>
      <x:c r="C18" s="11" t="s">
        <x:v>870</x:v>
      </x:c>
      <x:c r="D18" s="12" t="s">
        <x:v>707</x:v>
      </x:c>
    </x:row>
  </x:sheetData>
  <x:mergeCells count="1">
    <x:mergeCell ref="A1:D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J153"/>
  <x:sheetViews>
    <x:sheetView topLeftCell="A1" zoomScaleNormal="100" zoomScaleSheetLayoutView="100" workbookViewId="0">
      <x:selection activeCell="A1" activeCellId="0" sqref="A1:A1"/>
    </x:sheetView>
  </x:sheetViews>
  <x:sheetFormatPr defaultColWidth="8.875" defaultRowHeight="13.55000000000000071054"/>
  <x:cols>
    <x:col min="1" max="1" width="25" customWidth="1"/>
    <x:col min="2" max="2" width="14" customWidth="1"/>
    <x:col min="3" max="3" width="18" customWidth="1"/>
    <x:col min="4" max="4" width="14" customWidth="1"/>
    <x:col min="5" max="5" width="20" customWidth="1"/>
    <x:col min="6" max="10" width="12" customWidth="1"/>
  </x:cols>
  <x:sheetData>
    <x:row r="1" spans="1:10">
      <x:c r="A1" s="59" t="s">
        <x:v>145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3" spans="1:10" ht="32.10000000000000142109" customHeight="1">
      <x:c r="A3" s="13" t="s">
        <x:v>511</x:v>
      </x:c>
      <x:c r="B3" s="14">
        <x:v>149</x:v>
      </x:c>
      <x:c r="C3" s="14" t="s">
        <x:v>878</x:v>
      </x:c>
      <x:c r="D3" s="16">
        <x:v>3.2483221476510069</x:v>
      </x:c>
      <x:c r="E3" s="16" t="s">
        <x:v>458</x:v>
      </x:c>
      <x:c r="F3" s="16">
        <x:v>7.5302013422818792</x:v>
      </x:c>
      <x:c r="G3" s="14" t="s">
        <x:v>865</x:v>
      </x:c>
      <x:c r="H3" s="14">
        <x:v>10</x:v>
      </x:c>
      <x:c r="I3" s="14" t="s">
        <x:v>514</x:v>
      </x:c>
      <x:c r="J3" s="15">
        <x:v>10</x:v>
      </x:c>
    </x:row>
    <x:row r="5" spans="1:5">
      <x:c r="A5" s="1">
        <x:v>1</x:v>
      </x:c>
      <x:c r="B5" s="2">
        <x:v>5</x:v>
      </x:c>
      <x:c r="C5" s="2">
        <x:v>1.6000000000000001</x:v>
      </x:c>
      <x:c r="D5" s="35">
        <x:v>0.0010416666666666667</x:v>
      </x:c>
      <x:c r="E5" s="3" t="s">
        <x:v>861</x:v>
      </x:c>
    </x:row>
    <x:row r="6" spans="1:5" ht="24.94999999999999928946" customHeight="1">
      <x:c r="A6" s="17">
        <x:v>2</x:v>
      </x:c>
      <x:c r="B6" s="18">
        <x:v>7</x:v>
      </x:c>
      <x:c r="C6" s="26">
        <x:v>2.7799999999999998</x:v>
      </x:c>
      <x:c r="D6" s="36">
        <x:v>0.0012731481481481483</x:v>
      </x:c>
      <x:c r="E6" s="19">
        <x:v>6</x:v>
      </x:c>
    </x:row>
    <x:row r="7" spans="1:5" ht="24.94999999999999928946" customHeight="1">
      <x:c r="A7" s="20">
        <x:v>3</x:v>
      </x:c>
      <x:c r="B7" s="21">
        <x:v>10</x:v>
      </x:c>
      <x:c r="C7" s="27">
        <x:v>5.0099999999999998</x:v>
      </x:c>
      <x:c r="D7" s="37">
        <x:v>0.0019675925925925924</x:v>
      </x:c>
      <x:c r="E7" s="22">
        <x:v>7</x:v>
      </x:c>
    </x:row>
    <x:row r="8" spans="1:5" ht="24.94999999999999928946" customHeight="1">
      <x:c r="A8" s="20">
        <x:v>4</x:v>
      </x:c>
      <x:c r="B8" s="21">
        <x:v>12</x:v>
      </x:c>
      <x:c r="C8" s="27">
        <x:v>6.7699999999999996</x:v>
      </x:c>
      <x:c r="D8" s="37">
        <x:v>0.0024305555555555556</x:v>
      </x:c>
      <x:c r="E8" s="22">
        <x:v>7</x:v>
      </x:c>
    </x:row>
    <x:row r="9" spans="1:5" ht="24.94999999999999928946" customHeight="1">
      <x:c r="A9" s="20">
        <x:v>5</x:v>
      </x:c>
      <x:c r="B9" s="21">
        <x:v>14</x:v>
      </x:c>
      <x:c r="C9" s="27">
        <x:v>8.7300000000000004</x:v>
      </x:c>
      <x:c r="D9" s="37">
        <x:v>0.0027777777777777779</x:v>
      </x:c>
      <x:c r="E9" s="22">
        <x:v>9</x:v>
      </x:c>
    </x:row>
    <x:row r="10" spans="1:5" ht="24.94999999999999928946" customHeight="1">
      <x:c r="A10" s="23">
        <x:v>6</x:v>
      </x:c>
      <x:c r="B10" s="24">
        <x:v>17</x:v>
      </x:c>
      <x:c r="C10" s="28">
        <x:v>12.029999999999999</x:v>
      </x:c>
      <x:c r="D10" s="38">
        <x:v>0.0030092592592592593</x:v>
      </x:c>
      <x:c r="E10" s="25">
        <x:v>9</x:v>
      </x:c>
    </x:row>
    <x:row r="11" spans="1:4">
      <x:c r="A11">
        <x:v>7</x:v>
      </x:c>
      <x:c r="B11">
        <x:v>21</x:v>
      </x:c>
      <x:c r="C11">
        <x:v>17.050000000000001</x:v>
      </x:c>
      <x:c r="D11" s="34">
        <x:v>0.0038773148148148148</x:v>
      </x:c>
    </x:row>
    <x:row r="12" spans="1:4">
      <x:c r="A12">
        <x:v>8</x:v>
      </x:c>
      <x:c r="B12">
        <x:v>26</x:v>
      </x:c>
      <x:c r="C12">
        <x:v>24.25</x:v>
      </x:c>
      <x:c r="D12" s="34">
        <x:v>0.0049189814814814816</x:v>
      </x:c>
    </x:row>
    <x:row r="13" spans="1:4">
      <x:c r="A13">
        <x:v>9</x:v>
      </x:c>
      <x:c r="B13">
        <x:v>29</x:v>
      </x:c>
      <x:c r="C13">
        <x:v>29.039999999999999</x:v>
      </x:c>
      <x:c r="D13" s="34">
        <x:v>0.005324074074074074</x:v>
      </x:c>
    </x:row>
    <x:row r="14" spans="1:4">
      <x:c r="A14" s="1">
        <x:v>10</x:v>
      </x:c>
      <x:c r="B14" s="2">
        <x:v>33</x:v>
      </x:c>
      <x:c r="C14" s="3">
        <x:v>35.939999999999998</x:v>
      </x:c>
      <x:c r="D14" s="34">
        <x:v>0.0061921296296296299</x:v>
      </x:c>
    </x:row>
    <x:row r="15" spans="1:4">
      <x:c r="A15" s="33">
        <x:v>11</x:v>
      </x:c>
      <x:c r="B15" s="33">
        <x:v>37</x:v>
      </x:c>
      <x:c r="C15" s="33">
        <x:v>43.399999999999999</x:v>
      </x:c>
      <x:c r="D15" s="34">
        <x:v>0.0072337962962962963</x:v>
      </x:c>
    </x:row>
    <x:row r="16" spans="1:4">
      <x:c r="A16" s="33">
        <x:v>12</x:v>
      </x:c>
      <x:c r="B16" s="33">
        <x:v>42</x:v>
      </x:c>
      <x:c r="C16" s="33">
        <x:v>53.5</x:v>
      </x:c>
      <x:c r="D16" s="34">
        <x:v>0.0085069444444444437</x:v>
      </x:c>
    </x:row>
    <x:row r="17" spans="1:4">
      <x:c r="A17" s="33">
        <x:v>13</x:v>
      </x:c>
      <x:c r="B17" s="33">
        <x:v>45</x:v>
      </x:c>
      <x:c r="C17" s="33">
        <x:v>59.950000000000003</x:v>
      </x:c>
      <x:c r="D17" s="34">
        <x:v>0.0090856481481481483</x:v>
      </x:c>
    </x:row>
    <x:row r="18" spans="1:4">
      <x:c r="A18" s="33">
        <x:v>14</x:v>
      </x:c>
      <x:c r="B18" s="33">
        <x:v>49</x:v>
      </x:c>
      <x:c r="C18" s="33">
        <x:v>69</x:v>
      </x:c>
      <x:c r="D18" s="34">
        <x:v>0.010474537037037038</x:v>
      </x:c>
    </x:row>
    <x:row r="19" spans="1:4">
      <x:c r="A19" s="33">
        <x:v>15</x:v>
      </x:c>
      <x:c r="B19" s="33">
        <x:v>53</x:v>
      </x:c>
      <x:c r="C19" s="33">
        <x:v>78.530000000000001</x:v>
      </x:c>
      <x:c r="D19" s="34">
        <x:v>0.011400462962962961</x:v>
      </x:c>
    </x:row>
    <x:row r="20" spans="1:4">
      <x:c r="A20" s="33">
        <x:v>16</x:v>
      </x:c>
      <x:c r="B20" s="33">
        <x:v>57</x:v>
      </x:c>
      <x:c r="C20" s="33">
        <x:v>88.549999999999997</x:v>
      </x:c>
      <x:c r="D20" s="34">
        <x:v>0.011689814814814814</x:v>
      </x:c>
    </x:row>
    <x:row r="21" spans="1:4">
      <x:c r="A21" s="33">
        <x:v>17</x:v>
      </x:c>
      <x:c r="B21" s="33">
        <x:v>63</x:v>
      </x:c>
      <x:c r="C21" s="33">
        <x:v>104.45</x:v>
      </x:c>
      <x:c r="D21" s="34">
        <x:v>0.0125</x:v>
      </x:c>
    </x:row>
    <x:row r="22" spans="1:4">
      <x:c r="A22" s="33">
        <x:v>18</x:v>
      </x:c>
      <x:c r="B22" s="33">
        <x:v>72</x:v>
      </x:c>
      <x:c r="C22" s="33">
        <x:v>130.19999999999999</x:v>
      </x:c>
      <x:c r="D22" s="34">
        <x:v>0.013888888888888888</x:v>
      </x:c>
    </x:row>
    <x:row r="23" spans="1:4">
      <x:c r="A23" s="33">
        <x:v>19</x:v>
      </x:c>
      <x:c r="B23" s="33">
        <x:v>81</x:v>
      </x:c>
      <x:c r="C23" s="33">
        <x:v>158.12</x:v>
      </x:c>
      <x:c r="D23" s="34">
        <x:v>0.014814814814814815</x:v>
      </x:c>
    </x:row>
    <x:row r="24" spans="1:4">
      <x:c r="A24" s="33">
        <x:v>20</x:v>
      </x:c>
      <x:c r="B24" s="33">
        <x:v>88</x:v>
      </x:c>
      <x:c r="C24" s="33">
        <x:v>181.30000000000001</x:v>
      </x:c>
      <x:c r="D24" s="34">
        <x:v>0.015972222222222221</x:v>
      </x:c>
    </x:row>
    <x:row r="25" spans="1:4">
      <x:c r="A25" s="33">
        <x:v>21</x:v>
      </x:c>
      <x:c r="B25" s="33">
        <x:v>92</x:v>
      </x:c>
      <x:c r="C25" s="33">
        <x:v>195.09999999999999</x:v>
      </x:c>
      <x:c r="D25" s="34">
        <x:v>0.016608796296296295</x:v>
      </x:c>
    </x:row>
    <x:row r="26" spans="1:4">
      <x:c r="A26" s="33">
        <x:v>22</x:v>
      </x:c>
      <x:c r="B26" s="33">
        <x:v>95</x:v>
      </x:c>
      <x:c r="C26" s="33">
        <x:v>205.69999999999999</x:v>
      </x:c>
      <x:c r="D26" s="34">
        <x:v>0.017418981481481483</x:v>
      </x:c>
    </x:row>
    <x:row r="27" spans="1:4">
      <x:c r="A27" s="33">
        <x:v>23</x:v>
      </x:c>
      <x:c r="B27" s="33">
        <x:v>99</x:v>
      </x:c>
      <x:c r="C27" s="33">
        <x:v>220.19</x:v>
      </x:c>
      <x:c r="D27" s="34">
        <x:v>0.019155092592592592</x:v>
      </x:c>
    </x:row>
    <x:row r="28" spans="1:4">
      <x:c r="A28" s="33">
        <x:v>24</x:v>
      </x:c>
      <x:c r="B28" s="33">
        <x:v>104</x:v>
      </x:c>
      <x:c r="C28" s="33">
        <x:v>238.84</x:v>
      </x:c>
      <x:c r="D28" s="34">
        <x:v>0.020196759259259258</x:v>
      </x:c>
    </x:row>
    <x:row r="29" spans="1:4">
      <x:c r="A29" s="33">
        <x:v>25</x:v>
      </x:c>
      <x:c r="B29" s="33">
        <x:v>111</x:v>
      </x:c>
      <x:c r="C29" s="33">
        <x:v>265.94</x:v>
      </x:c>
      <x:c r="D29" s="34">
        <x:v>0.021585648148148149</x:v>
      </x:c>
    </x:row>
    <x:row r="30" spans="1:4">
      <x:c r="A30" s="33">
        <x:v>26</x:v>
      </x:c>
      <x:c r="B30" s="33">
        <x:v>114</x:v>
      </x:c>
      <x:c r="C30" s="33">
        <x:v>277.89999999999998</x:v>
      </x:c>
      <x:c r="D30" s="34">
        <x:v>0.022337962962962962</x:v>
      </x:c>
    </x:row>
    <x:row r="31" spans="1:4">
      <x:c r="A31" s="33">
        <x:v>27</x:v>
      </x:c>
      <x:c r="B31" s="33">
        <x:v>118</x:v>
      </x:c>
      <x:c r="C31" s="33">
        <x:v>294.17000000000002</x:v>
      </x:c>
      <x:c r="D31" s="34">
        <x:v>0.02361111111111111</x:v>
      </x:c>
    </x:row>
    <x:row r="32" spans="1:4">
      <x:c r="A32" s="33">
        <x:v>28</x:v>
      </x:c>
      <x:c r="B32" s="33">
        <x:v>121</x:v>
      </x:c>
      <x:c r="C32" s="33">
        <x:v>306.62</x:v>
      </x:c>
      <x:c r="D32" s="34">
        <x:v>0.024479166666666666</x:v>
      </x:c>
    </x:row>
    <x:row r="33" spans="1:4">
      <x:c r="A33" s="33">
        <x:v>29</x:v>
      </x:c>
      <x:c r="B33" s="33">
        <x:v>125</x:v>
      </x:c>
      <x:c r="C33" s="33">
        <x:v>323.51999999999998</x:v>
      </x:c>
      <x:c r="D33" s="34">
        <x:v>0.024884259259259259</x:v>
      </x:c>
    </x:row>
    <x:row r="34" spans="1:4">
      <x:c r="A34" s="33">
        <x:v>30</x:v>
      </x:c>
      <x:c r="B34" s="33">
        <x:v>128</x:v>
      </x:c>
      <x:c r="C34" s="33">
        <x:v>336.43000000000001</x:v>
      </x:c>
      <x:c r="D34" s="34">
        <x:v>0.025405092592592594</x:v>
      </x:c>
    </x:row>
    <x:row r="35" spans="1:4">
      <x:c r="A35" s="33">
        <x:v>31</x:v>
      </x:c>
      <x:c r="B35" s="33">
        <x:v>132</x:v>
      </x:c>
      <x:c r="C35" s="33">
        <x:v>353.94999999999999</x:v>
      </x:c>
      <x:c r="D35" s="34">
        <x:v>0.026388888888888889</x:v>
      </x:c>
    </x:row>
    <x:row r="36" spans="1:4">
      <x:c r="A36" s="33">
        <x:v>32</x:v>
      </x:c>
      <x:c r="B36" s="33">
        <x:v>140</x:v>
      </x:c>
      <x:c r="C36" s="33">
        <x:v>390.04000000000002</x:v>
      </x:c>
      <x:c r="D36" s="34">
        <x:v>0.027314814814814816</x:v>
      </x:c>
    </x:row>
    <x:row r="37" spans="1:4">
      <x:c r="A37" s="33">
        <x:v>33</x:v>
      </x:c>
      <x:c r="B37" s="33">
        <x:v>143</x:v>
      </x:c>
      <x:c r="C37" s="33">
        <x:v>403.93000000000001</x:v>
      </x:c>
      <x:c r="D37" s="34">
        <x:v>0.02795138888888889</x:v>
      </x:c>
    </x:row>
    <x:row r="38" spans="1:4">
      <x:c r="A38" s="33">
        <x:v>34</x:v>
      </x:c>
      <x:c r="B38" s="33">
        <x:v>148</x:v>
      </x:c>
      <x:c r="C38" s="33">
        <x:v>427.5</x:v>
      </x:c>
      <x:c r="D38" s="34">
        <x:v>0.030034722222222223</x:v>
      </x:c>
    </x:row>
    <x:row r="39" spans="1:4">
      <x:c r="A39" s="33">
        <x:v>35</x:v>
      </x:c>
      <x:c r="B39" s="33">
        <x:v>153</x:v>
      </x:c>
      <x:c r="C39" s="33">
        <x:v>451.58999999999997</x:v>
      </x:c>
      <x:c r="D39" s="34">
        <x:v>0.031886574074074074</x:v>
      </x:c>
    </x:row>
    <x:row r="40" spans="1:4">
      <x:c r="A40" s="33">
        <x:v>36</x:v>
      </x:c>
      <x:c r="B40" s="33">
        <x:v>159</x:v>
      </x:c>
      <x:c r="C40" s="33">
        <x:v>481.18000000000001</x:v>
      </x:c>
      <x:c r="D40" s="34">
        <x:v>0.033622685185185186</x:v>
      </x:c>
    </x:row>
    <x:row r="41" spans="1:4">
      <x:c r="A41" s="33">
        <x:v>37</x:v>
      </x:c>
      <x:c r="B41" s="33">
        <x:v>162</x:v>
      </x:c>
      <x:c r="C41" s="33">
        <x:v>496.25</x:v>
      </x:c>
      <x:c r="D41" s="34">
        <x:v>0.034664351851851849</x:v>
      </x:c>
    </x:row>
    <x:row r="42" spans="1:4">
      <x:c r="A42" s="33">
        <x:v>38</x:v>
      </x:c>
      <x:c r="B42" s="33">
        <x:v>166</x:v>
      </x:c>
      <x:c r="C42" s="33">
        <x:v>516.63</x:v>
      </x:c>
      <x:c r="D42" s="34">
        <x:v>0.036284722222222225</x:v>
      </x:c>
    </x:row>
    <x:row r="43" spans="1:4">
      <x:c r="A43" s="33">
        <x:v>39</x:v>
      </x:c>
      <x:c r="B43" s="33">
        <x:v>174</x:v>
      </x:c>
      <x:c r="C43" s="33">
        <x:v>558.35000000000002</x:v>
      </x:c>
      <x:c r="D43" s="34">
        <x:v>0.037673611111111109</x:v>
      </x:c>
    </x:row>
    <x:row r="44" spans="1:4">
      <x:c r="A44" s="33">
        <x:v>40</x:v>
      </x:c>
      <x:c r="B44" s="33">
        <x:v>179</x:v>
      </x:c>
      <x:c r="C44" s="33">
        <x:v>585.07000000000005</x:v>
      </x:c>
      <x:c r="D44" s="34">
        <x:v>0.038541666666666669</x:v>
      </x:c>
    </x:row>
    <x:row r="45" spans="1:4">
      <x:c r="A45" s="33">
        <x:v>41</x:v>
      </x:c>
      <x:c r="B45" s="33">
        <x:v>187</x:v>
      </x:c>
      <x:c r="C45" s="33">
        <x:v>628.84000000000003</x:v>
      </x:c>
      <x:c r="D45" s="34">
        <x:v>0.039930555555555552</x:v>
      </x:c>
    </x:row>
    <x:row r="46" spans="1:4">
      <x:c r="A46" s="33">
        <x:v>42</x:v>
      </x:c>
      <x:c r="B46" s="33">
        <x:v>193</x:v>
      </x:c>
      <x:c r="C46" s="33">
        <x:v>662.48000000000002</x:v>
      </x:c>
      <x:c r="D46" s="34">
        <x:v>0.04189814814814815</x:v>
      </x:c>
    </x:row>
    <x:row r="47" spans="1:4">
      <x:c r="A47" s="33">
        <x:v>43</x:v>
      </x:c>
      <x:c r="B47" s="33">
        <x:v>198</x:v>
      </x:c>
      <x:c r="C47" s="33">
        <x:v>691.02999999999997</x:v>
      </x:c>
      <x:c r="D47" s="34">
        <x:v>0.042708333333333334</x:v>
      </x:c>
    </x:row>
    <x:row r="48" spans="1:4">
      <x:c r="A48" s="33">
        <x:v>44</x:v>
      </x:c>
      <x:c r="B48" s="33">
        <x:v>201</x:v>
      </x:c>
      <x:c r="C48" s="33">
        <x:v>708.38999999999999</x:v>
      </x:c>
      <x:c r="D48" s="34">
        <x:v>0.04375</x:v>
      </x:c>
    </x:row>
    <x:row r="49" spans="1:4">
      <x:c r="A49" s="33">
        <x:v>45</x:v>
      </x:c>
      <x:c r="B49" s="33">
        <x:v>206</x:v>
      </x:c>
      <x:c r="C49" s="33">
        <x:v>737.70000000000005</x:v>
      </x:c>
      <x:c r="D49" s="34">
        <x:v>0.044618055555555557</x:v>
      </x:c>
    </x:row>
    <x:row r="50" spans="1:4">
      <x:c r="A50" s="33">
        <x:v>46</x:v>
      </x:c>
      <x:c r="B50" s="33">
        <x:v>211</x:v>
      </x:c>
      <x:c r="C50" s="33">
        <x:v>767.48000000000002</x:v>
      </x:c>
      <x:c r="D50" s="34">
        <x:v>0.046238425925925926</x:v>
      </x:c>
    </x:row>
    <x:row r="51" spans="1:4">
      <x:c r="A51" s="33">
        <x:v>47</x:v>
      </x:c>
      <x:c r="B51" s="33">
        <x:v>217</x:v>
      </x:c>
      <x:c r="C51" s="33">
        <x:v>803.82000000000005</x:v>
      </x:c>
      <x:c r="D51" s="34">
        <x:v>0.048321759259259259</x:v>
      </x:c>
    </x:row>
    <x:row r="52" spans="1:4">
      <x:c r="A52" s="33">
        <x:v>48</x:v>
      </x:c>
      <x:c r="B52" s="33">
        <x:v>223</x:v>
      </x:c>
      <x:c r="C52" s="33">
        <x:v>840.82000000000005</x:v>
      </x:c>
      <x:c r="D52" s="34">
        <x:v>0.050173611111111113</x:v>
      </x:c>
    </x:row>
    <x:row r="53" spans="1:4">
      <x:c r="A53" s="33">
        <x:v>49</x:v>
      </x:c>
      <x:c r="B53" s="33">
        <x:v>232</x:v>
      </x:c>
      <x:c r="C53" s="33">
        <x:v>897.53999999999996</x:v>
      </x:c>
      <x:c r="D53" s="34">
        <x:v>0.051331018518518519</x:v>
      </x:c>
    </x:row>
    <x:row r="54" spans="1:4">
      <x:c r="A54" s="33">
        <x:v>50</x:v>
      </x:c>
      <x:c r="B54" s="33">
        <x:v>237</x:v>
      </x:c>
      <x:c r="C54" s="33">
        <x:v>929.67999999999995</x:v>
      </x:c>
      <x:c r="D54" s="34">
        <x:v>0.052141203703703703</x:v>
      </x:c>
    </x:row>
    <x:row r="55" spans="1:4">
      <x:c r="A55" s="33">
        <x:v>51</x:v>
      </x:c>
      <x:c r="B55" s="33">
        <x:v>242</x:v>
      </x:c>
      <x:c r="C55" s="33">
        <x:v>962.26999999999998</x:v>
      </x:c>
      <x:c r="D55" s="34">
        <x:v>0.05271990740740741</x:v>
      </x:c>
    </x:row>
    <x:row r="56" spans="1:4">
      <x:c r="A56" s="33">
        <x:v>52</x:v>
      </x:c>
      <x:c r="B56" s="33">
        <x:v>248</x:v>
      </x:c>
      <x:c r="C56" s="33">
        <x:v>1001.95</x:v>
      </x:c>
      <x:c r="D56" s="34">
        <x:v>0.053819444444444448</x:v>
      </x:c>
    </x:row>
    <x:row r="57" spans="1:4">
      <x:c r="A57" s="33">
        <x:v>53</x:v>
      </x:c>
      <x:c r="B57" s="33">
        <x:v>252</x:v>
      </x:c>
      <x:c r="C57" s="33">
        <x:v>1028.75</x:v>
      </x:c>
      <x:c r="D57" s="34">
        <x:v>0.055208333333333331</x:v>
      </x:c>
    </x:row>
    <x:row r="58" spans="1:4">
      <x:c r="A58" s="33">
        <x:v>54</x:v>
      </x:c>
      <x:c r="B58" s="33">
        <x:v>255</x:v>
      </x:c>
      <x:c r="C58" s="33">
        <x:v>1049.04</x:v>
      </x:c>
      <x:c r="D58" s="34">
        <x:v>0.055613425925925927</x:v>
      </x:c>
    </x:row>
    <x:row r="59" spans="1:4">
      <x:c r="A59" s="33">
        <x:v>55</x:v>
      </x:c>
      <x:c r="B59" s="33">
        <x:v>259</x:v>
      </x:c>
      <x:c r="C59" s="33">
        <x:v>1076.3299999999999</x:v>
      </x:c>
      <x:c r="D59" s="34">
        <x:v>0.056076388888888891</x:v>
      </x:c>
    </x:row>
    <x:row r="60" spans="1:4">
      <x:c r="A60" s="33">
        <x:v>56</x:v>
      </x:c>
      <x:c r="B60" s="33">
        <x:v>265</x:v>
      </x:c>
      <x:c r="C60" s="33">
        <x:v>1117.78</x:v>
      </x:c>
      <x:c r="D60" s="34">
        <x:v>0.056886574074074076</x:v>
      </x:c>
    </x:row>
    <x:row r="61" spans="1:4">
      <x:c r="A61" s="33">
        <x:v>57</x:v>
      </x:c>
      <x:c r="B61" s="33">
        <x:v>271</x:v>
      </x:c>
      <x:c r="C61" s="33">
        <x:v>1159.8399999999999</x:v>
      </x:c>
      <x:c r="D61" s="34">
        <x:v>0.058275462962962965</x:v>
      </x:c>
    </x:row>
    <x:row r="62" spans="1:4">
      <x:c r="A62" s="33">
        <x:v>58</x:v>
      </x:c>
      <x:c r="B62" s="33">
        <x:v>279</x:v>
      </x:c>
      <x:c r="C62" s="33">
        <x:v>1216.8800000000001</x:v>
      </x:c>
      <x:c r="D62" s="34">
        <x:v>0.060127314814814814</x:v>
      </x:c>
    </x:row>
    <x:row r="63" spans="1:4">
      <x:c r="A63" s="33">
        <x:v>59</x:v>
      </x:c>
      <x:c r="B63" s="33">
        <x:v>287</x:v>
      </x:c>
      <x:c r="C63" s="33">
        <x:v>1274.99</x:v>
      </x:c>
      <x:c r="D63" s="34">
        <x:v>0.061226851851851852</x:v>
      </x:c>
    </x:row>
    <x:row r="64" spans="1:4">
      <x:c r="A64" s="33">
        <x:v>60</x:v>
      </x:c>
      <x:c r="B64" s="33">
        <x:v>296</x:v>
      </x:c>
      <x:c r="C64" s="33">
        <x:v>1341.6300000000001</x:v>
      </x:c>
      <x:c r="D64" s="34">
        <x:v>0.063310185185185192</x:v>
      </x:c>
    </x:row>
    <x:row r="65" spans="1:4">
      <x:c r="A65" s="33">
        <x:v>61</x:v>
      </x:c>
      <x:c r="B65" s="33">
        <x:v>305</x:v>
      </x:c>
      <x:c r="C65" s="33">
        <x:v>1409.5999999999999</x:v>
      </x:c>
      <x:c r="D65" s="34">
        <x:v>0.064930555555555561</x:v>
      </x:c>
    </x:row>
    <x:row r="66" spans="1:4">
      <x:c r="A66" s="33">
        <x:v>62</x:v>
      </x:c>
      <x:c r="B66" s="33">
        <x:v>313</x:v>
      </x:c>
      <x:c r="C66" s="33">
        <x:v>1471.1199999999999</x:v>
      </x:c>
      <x:c r="D66" s="34">
        <x:v>0.066666666666666666</x:v>
      </x:c>
    </x:row>
    <x:row r="67" spans="1:4">
      <x:c r="A67" s="33">
        <x:v>63</x:v>
      </x:c>
      <x:c r="B67" s="33">
        <x:v>323</x:v>
      </x:c>
      <x:c r="C67" s="33">
        <x:v>1549.47</x:v>
      </x:c>
      <x:c r="D67" s="34">
        <x:v>0.068402777777777785</x:v>
      </x:c>
    </x:row>
    <x:row r="68" spans="1:4">
      <x:c r="A68" s="33">
        <x:v>64</x:v>
      </x:c>
      <x:c r="B68" s="33">
        <x:v>329</x:v>
      </x:c>
      <x:c r="C68" s="33">
        <x:v>1597.25</x:v>
      </x:c>
      <x:c r="D68" s="34">
        <x:v>0.068923611111111116</x:v>
      </x:c>
    </x:row>
    <x:row r="69" spans="1:4">
      <x:c r="A69" s="33">
        <x:v>65</x:v>
      </x:c>
      <x:c r="B69" s="33">
        <x:v>335</x:v>
      </x:c>
      <x:c r="C69" s="33">
        <x:v>1645.5999999999999</x:v>
      </x:c>
      <x:c r="D69" s="34">
        <x:v>0.069849537037037046</x:v>
      </x:c>
    </x:row>
    <x:row r="70" spans="1:4">
      <x:c r="A70" s="33">
        <x:v>66</x:v>
      </x:c>
      <x:c r="B70" s="33">
        <x:v>342</x:v>
      </x:c>
      <x:c r="C70" s="33">
        <x:v>1702.72</x:v>
      </x:c>
      <x:c r="D70" s="34">
        <x:v>0.071238425925925927</x:v>
      </x:c>
    </x:row>
    <x:row r="71" spans="1:4">
      <x:c r="A71" s="33">
        <x:v>67</x:v>
      </x:c>
      <x:c r="B71" s="33">
        <x:v>347</x:v>
      </x:c>
      <x:c r="C71" s="33">
        <x:v>1743.99</x:v>
      </x:c>
      <x:c r="D71" s="34">
        <x:v>0.072511574074074076</x:v>
      </x:c>
    </x:row>
    <x:row r="72" spans="1:4">
      <x:c r="A72" s="33">
        <x:v>68</x:v>
      </x:c>
      <x:c r="B72" s="33">
        <x:v>353</x:v>
      </x:c>
      <x:c r="C72" s="33">
        <x:v>1794.02</x:v>
      </x:c>
      <x:c r="D72" s="34">
        <x:v>0.073668981481481488</x:v>
      </x:c>
    </x:row>
    <x:row r="73" spans="1:4">
      <x:c r="A73" s="33">
        <x:v>69</x:v>
      </x:c>
      <x:c r="B73" s="33">
        <x:v>359</x:v>
      </x:c>
      <x:c r="C73" s="33">
        <x:v>1844.6199999999999</x:v>
      </x:c>
      <x:c r="D73" s="34">
        <x:v>0.075173611111111108</x:v>
      </x:c>
    </x:row>
    <x:row r="74" spans="1:4">
      <x:c r="A74" s="33">
        <x:v>70</x:v>
      </x:c>
      <x:c r="B74" s="33">
        <x:v>364</x:v>
      </x:c>
      <x:c r="C74" s="33">
        <x:v>1887.2</x:v>
      </x:c>
      <x:c r="D74" s="34">
        <x:v>0.0765625</x:v>
      </x:c>
    </x:row>
    <x:row r="75" spans="1:4">
      <x:c r="A75" s="33">
        <x:v>71</x:v>
      </x:c>
      <x:c r="B75" s="33">
        <x:v>369</x:v>
      </x:c>
      <x:c r="C75" s="33">
        <x:v>1930.1600000000001</x:v>
      </x:c>
      <x:c r="D75" s="34">
        <x:v>0.077719907407407404</x:v>
      </x:c>
    </x:row>
    <x:row r="76" spans="1:4">
      <x:c r="A76" s="33">
        <x:v>72</x:v>
      </x:c>
      <x:c r="B76" s="33">
        <x:v>374</x:v>
      </x:c>
      <x:c r="C76" s="33">
        <x:v>1973.5</x:v>
      </x:c>
      <x:c r="D76" s="34">
        <x:v>0.078645833333333331</x:v>
      </x:c>
    </x:row>
    <x:row r="77" spans="1:4">
      <x:c r="A77" s="33">
        <x:v>73</x:v>
      </x:c>
      <x:c r="B77" s="33">
        <x:v>381</x:v>
      </x:c>
      <x:c r="C77" s="33">
        <x:v>2034.8199999999999</x:v>
      </x:c>
      <x:c r="D77" s="34">
        <x:v>0.080266203703703701</x:v>
      </x:c>
    </x:row>
    <x:row r="78" spans="1:4">
      <x:c r="A78" s="33">
        <x:v>74</x:v>
      </x:c>
      <x:c r="B78" s="33">
        <x:v>388</x:v>
      </x:c>
      <x:c r="C78" s="33">
        <x:v>2096.8699999999999</x:v>
      </x:c>
      <x:c r="D78" s="34">
        <x:v>0.082349537037037046</x:v>
      </x:c>
    </x:row>
    <x:row r="79" spans="1:4">
      <x:c r="A79" s="33">
        <x:v>75</x:v>
      </x:c>
      <x:c r="B79" s="33">
        <x:v>396</x:v>
      </x:c>
      <x:c r="C79" s="33">
        <x:v>2168.6900000000001</x:v>
      </x:c>
      <x:c r="D79" s="34">
        <x:v>0.084664351851851852</x:v>
      </x:c>
    </x:row>
    <x:row r="80" spans="1:4">
      <x:c r="A80" s="33">
        <x:v>76</x:v>
      </x:c>
      <x:c r="B80" s="33">
        <x:v>405</x:v>
      </x:c>
      <x:c r="C80" s="33">
        <x:v>2250.6100000000001</x:v>
      </x:c>
      <x:c r="D80" s="34">
        <x:v>0.086863425925925927</x:v>
      </x:c>
    </x:row>
    <x:row r="81" spans="1:4">
      <x:c r="A81" s="33">
        <x:v>77</x:v>
      </x:c>
      <x:c r="B81" s="33">
        <x:v>410</x:v>
      </x:c>
      <x:c r="C81" s="33">
        <x:v>2296.6399999999999</x:v>
      </x:c>
      <x:c r="D81" s="34">
        <x:v>0.087673611111111105</x:v>
      </x:c>
    </x:row>
    <x:row r="82" spans="1:4">
      <x:c r="A82" s="33">
        <x:v>78</x:v>
      </x:c>
      <x:c r="B82" s="33">
        <x:v>416</x:v>
      </x:c>
      <x:c r="C82" s="33">
        <x:v>2352.3600000000001</x:v>
      </x:c>
      <x:c r="D82" s="34">
        <x:v>0.088599537037037035</x:v>
      </x:c>
    </x:row>
    <x:row r="83" spans="1:4">
      <x:c r="A83" s="33">
        <x:v>79</x:v>
      </x:c>
      <x:c r="B83" s="33">
        <x:v>423</x:v>
      </x:c>
      <x:c r="C83" s="33">
        <x:v>2418.0300000000002</x:v>
      </x:c>
      <x:c r="D83" s="34">
        <x:v>0.089641203703703709</x:v>
      </x:c>
    </x:row>
    <x:row r="84" spans="1:4">
      <x:c r="A84" s="33">
        <x:v>80</x:v>
      </x:c>
      <x:c r="B84" s="33">
        <x:v>432</x:v>
      </x:c>
      <x:c r="C84" s="33">
        <x:v>2503.5</x:v>
      </x:c>
      <x:c r="D84" s="34">
        <x:v>0.090798611111111108</x:v>
      </x:c>
    </x:row>
    <x:row r="85" spans="1:4">
      <x:c r="A85" s="33">
        <x:v>81</x:v>
      </x:c>
      <x:c r="B85" s="33">
        <x:v>440</x:v>
      </x:c>
      <x:c r="C85" s="33">
        <x:v>2580.46</x:v>
      </x:c>
      <x:c r="D85" s="34">
        <x:v>0.091608796296296299</x:v>
      </x:c>
    </x:row>
    <x:row r="86" spans="1:4">
      <x:c r="A86" s="33">
        <x:v>82</x:v>
      </x:c>
      <x:c r="B86" s="33">
        <x:v>449</x:v>
      </x:c>
      <x:c r="C86" s="33">
        <x:v>2668.1300000000001</x:v>
      </x:c>
      <x:c r="D86" s="34">
        <x:v>0.092650462962962965</x:v>
      </x:c>
    </x:row>
    <x:row r="87" spans="1:4">
      <x:c r="A87" s="33">
        <x:v>83</x:v>
      </x:c>
      <x:c r="B87" s="33">
        <x:v>458</x:v>
      </x:c>
      <x:c r="C87" s="33">
        <x:v>2756.9400000000001</x:v>
      </x:c>
      <x:c r="D87" s="34">
        <x:v>0.09357638888888889</x:v>
      </x:c>
    </x:row>
    <x:row r="88" spans="1:4">
      <x:c r="A88" s="33">
        <x:v>84</x:v>
      </x:c>
      <x:c r="B88" s="33">
        <x:v>468</x:v>
      </x:c>
      <x:c r="C88" s="33">
        <x:v>2856.9699999999998</x:v>
      </x:c>
      <x:c r="D88" s="34">
        <x:v>0.096585648148148143</x:v>
      </x:c>
    </x:row>
    <x:row r="89" spans="1:4">
      <x:c r="A89" s="33">
        <x:v>85</x:v>
      </x:c>
      <x:c r="B89" s="33">
        <x:v>475</x:v>
      </x:c>
      <x:c r="C89" s="33">
        <x:v>2927.8200000000002</x:v>
      </x:c>
      <x:c r="D89" s="34">
        <x:v>0.097280092592592599</x:v>
      </x:c>
    </x:row>
    <x:row r="90" spans="1:4">
      <x:c r="A90" s="33">
        <x:v>86</x:v>
      </x:c>
      <x:c r="B90" s="33">
        <x:v>479</x:v>
      </x:c>
      <x:c r="C90" s="33">
        <x:v>2968.6100000000001</x:v>
      </x:c>
      <x:c r="D90" s="34">
        <x:v>0.098206018518518512</x:v>
      </x:c>
    </x:row>
    <x:row r="91" spans="1:4">
      <x:c r="A91" s="33">
        <x:v>87</x:v>
      </x:c>
      <x:c r="B91" s="33">
        <x:v>483</x:v>
      </x:c>
      <x:c r="C91" s="33">
        <x:v>3009.6300000000001</x:v>
      </x:c>
      <x:c r="D91" s="34">
        <x:v>0.098784722222222218</x:v>
      </x:c>
    </x:row>
    <x:row r="92" spans="1:4">
      <x:c r="A92" s="33">
        <x:v>88</x:v>
      </x:c>
      <x:c r="B92" s="33">
        <x:v>491</x:v>
      </x:c>
      <x:c r="C92" s="33">
        <x:v>3092.3200000000002</x:v>
      </x:c>
      <x:c r="D92" s="34">
        <x:v>0.099710648148148145</x:v>
      </x:c>
    </x:row>
    <x:row r="93" spans="1:4">
      <x:c r="A93" s="33">
        <x:v>89</x:v>
      </x:c>
      <x:c r="B93" s="33">
        <x:v>501</x:v>
      </x:c>
      <x:c r="C93" s="33">
        <x:v>3196.9200000000001</x:v>
      </x:c>
      <x:c r="D93" s="34">
        <x:v>0.10075231481481481</x:v>
      </x:c>
    </x:row>
    <x:row r="94" spans="1:4">
      <x:c r="A94" s="33">
        <x:v>90</x:v>
      </x:c>
      <x:c r="B94" s="33">
        <x:v>511</x:v>
      </x:c>
      <x:c r="C94" s="33">
        <x:v>3302.8899999999999</x:v>
      </x:c>
      <x:c r="D94" s="34">
        <x:v>0.1011574074074074</x:v>
      </x:c>
    </x:row>
    <x:row r="95" spans="1:4">
      <x:c r="A95" s="33">
        <x:v>91</x:v>
      </x:c>
      <x:c r="B95" s="33">
        <x:v>518</x:v>
      </x:c>
      <x:c r="C95" s="33">
        <x:v>3377.8800000000001</x:v>
      </x:c>
      <x:c r="D95" s="34">
        <x:v>0.10393518518518519</x:v>
      </x:c>
    </x:row>
    <x:row r="96" spans="1:4">
      <x:c r="A96" s="33">
        <x:v>92</x:v>
      </x:c>
      <x:c r="B96" s="33">
        <x:v>528</x:v>
      </x:c>
      <x:c r="C96" s="33">
        <x:v>3486.1500000000001</x:v>
      </x:c>
      <x:c r="D96" s="34">
        <x:v>0.10497685185185185</x:v>
      </x:c>
    </x:row>
    <x:row r="97" spans="1:4">
      <x:c r="A97" s="33">
        <x:v>93</x:v>
      </x:c>
      <x:c r="B97" s="33">
        <x:v>539</x:v>
      </x:c>
      <x:c r="C97" s="33">
        <x:v>3606.8000000000002</x:v>
      </x:c>
      <x:c r="D97" s="34">
        <x:v>0.10555555555555556</x:v>
      </x:c>
    </x:row>
    <x:row r="98" spans="1:4">
      <x:c r="A98" s="33">
        <x:v>94</x:v>
      </x:c>
      <x:c r="B98" s="33">
        <x:v>543</x:v>
      </x:c>
      <x:c r="C98" s="33">
        <x:v>3651.0700000000002</x:v>
      </x:c>
      <x:c r="D98" s="34">
        <x:v>0.10648148148148148</x:v>
      </x:c>
    </x:row>
    <x:row r="99" spans="1:4">
      <x:c r="A99" s="33">
        <x:v>95</x:v>
      </x:c>
      <x:c r="B99" s="33">
        <x:v>548</x:v>
      </x:c>
      <x:c r="C99" s="33">
        <x:v>3706.6999999999998</x:v>
      </x:c>
      <x:c r="D99" s="34">
        <x:v>0.10787037037037037</x:v>
      </x:c>
    </x:row>
    <x:row r="100" spans="1:4">
      <x:c r="A100" s="33">
        <x:v>96</x:v>
      </x:c>
      <x:c r="B100" s="33">
        <x:v>552</x:v>
      </x:c>
      <x:c r="C100" s="33">
        <x:v>3751.4499999999998</x:v>
      </x:c>
      <x:c r="D100" s="34">
        <x:v>0.10902777777777778</x:v>
      </x:c>
    </x:row>
    <x:row r="101" spans="1:4">
      <x:c r="A101" s="33">
        <x:v>97</x:v>
      </x:c>
      <x:c r="B101" s="33">
        <x:v>556</x:v>
      </x:c>
      <x:c r="C101" s="33">
        <x:v>3796.4099999999999</x:v>
      </x:c>
      <x:c r="D101" s="34">
        <x:v>0.11018518518518519</x:v>
      </x:c>
    </x:row>
    <x:row r="102" spans="1:4">
      <x:c r="A102" s="33">
        <x:v>98</x:v>
      </x:c>
      <x:c r="B102" s="33">
        <x:v>560</x:v>
      </x:c>
      <x:c r="C102" s="33">
        <x:v>3841.5799999999999</x:v>
      </x:c>
      <x:c r="D102" s="34">
        <x:v>0.11157407407407408</x:v>
      </x:c>
    </x:row>
    <x:row r="103" spans="1:4">
      <x:c r="A103" s="33">
        <x:v>99</x:v>
      </x:c>
      <x:c r="B103" s="33">
        <x:v>566</x:v>
      </x:c>
      <x:c r="C103" s="33">
        <x:v>3909.73</x:v>
      </x:c>
      <x:c r="D103" s="34">
        <x:v>0.11307870370370371</x:v>
      </x:c>
    </x:row>
    <x:row r="104" spans="1:4">
      <x:c r="A104" s="33">
        <x:v>100</x:v>
      </x:c>
      <x:c r="B104" s="33">
        <x:v>572</x:v>
      </x:c>
      <x:c r="C104" s="33">
        <x:v>3978.3499999999999</x:v>
      </x:c>
      <x:c r="D104" s="34">
        <x:v>0.11481481481481481</x:v>
      </x:c>
    </x:row>
    <x:row r="105" spans="1:4">
      <x:c r="A105" s="33">
        <x:v>101</x:v>
      </x:c>
      <x:c r="B105" s="33">
        <x:v>581</x:v>
      </x:c>
      <x:c r="C105" s="33">
        <x:v>4082.1700000000001</x:v>
      </x:c>
      <x:c r="D105" s="34">
        <x:v>0.1162037037037037</x:v>
      </x:c>
    </x:row>
    <x:row r="106" spans="1:4">
      <x:c r="A106" s="33">
        <x:v>102</x:v>
      </x:c>
      <x:c r="B106" s="33">
        <x:v>588</x:v>
      </x:c>
      <x:c r="C106" s="33">
        <x:v>4163.6300000000001</x:v>
      </x:c>
      <x:c r="D106" s="34">
        <x:v>0.11863425925925926</x:v>
      </x:c>
    </x:row>
    <x:row r="107" spans="1:4">
      <x:c r="A107" s="33">
        <x:v>103</x:v>
      </x:c>
      <x:c r="B107" s="33">
        <x:v>598</x:v>
      </x:c>
      <x:c r="C107" s="33">
        <x:v>4281.1199999999999</x:v>
      </x:c>
      <x:c r="D107" s="34">
        <x:v>0.1207175925925926</x:v>
      </x:c>
    </x:row>
    <x:row r="108" spans="1:4">
      <x:c r="A108" s="33">
        <x:v>104</x:v>
      </x:c>
      <x:c r="B108" s="33">
        <x:v>605</x:v>
      </x:c>
      <x:c r="C108" s="33">
        <x:v>4364.1199999999999</x:v>
      </x:c>
      <x:c r="D108" s="34">
        <x:v>0.12303240740740741</x:v>
      </x:c>
    </x:row>
    <x:row r="109" spans="1:4">
      <x:c r="A109" s="33">
        <x:v>105</x:v>
      </x:c>
      <x:c r="B109" s="33">
        <x:v>613</x:v>
      </x:c>
      <x:c r="C109" s="33">
        <x:v>4459.7399999999998</x:v>
      </x:c>
      <x:c r="D109" s="34">
        <x:v>0.12534722222222222</x:v>
      </x:c>
    </x:row>
    <x:row r="110" spans="1:4">
      <x:c r="A110" s="33">
        <x:v>106</x:v>
      </x:c>
      <x:c r="B110" s="33">
        <x:v>620</x:v>
      </x:c>
      <x:c r="C110" s="33">
        <x:v>4544.0799999999999</x:v>
      </x:c>
      <x:c r="D110" s="34">
        <x:v>0.12650462962962963</x:v>
      </x:c>
    </x:row>
    <x:row r="111" spans="1:4">
      <x:c r="A111" s="33">
        <x:v>107</x:v>
      </x:c>
      <x:c r="B111" s="33">
        <x:v>627</x:v>
      </x:c>
      <x:c r="C111" s="33">
        <x:v>4629.0500000000002</x:v>
      </x:c>
      <x:c r="D111" s="34">
        <x:v>0.12870370370370371</x:v>
      </x:c>
    </x:row>
    <x:row r="112" spans="1:4">
      <x:c r="A112" s="33">
        <x:v>108</x:v>
      </x:c>
      <x:c r="B112" s="33">
        <x:v>636</x:v>
      </x:c>
      <x:c r="C112" s="33">
        <x:v>4739.1899999999996</x:v>
      </x:c>
      <x:c r="D112" s="34">
        <x:v>0.13043981481481481</x:v>
      </x:c>
    </x:row>
    <x:row r="113" spans="1:4">
      <x:c r="A113" s="33">
        <x:v>109</x:v>
      </x:c>
      <x:c r="B113" s="33">
        <x:v>646</x:v>
      </x:c>
      <x:c r="C113" s="33">
        <x:v>4862.7700000000004</x:v>
      </x:c>
      <x:c r="D113" s="34">
        <x:v>0.1318287037037037</x:v>
      </x:c>
    </x:row>
    <x:row r="114" spans="1:4">
      <x:c r="A114" s="33">
        <x:v>110</x:v>
      </x:c>
      <x:c r="B114" s="33">
        <x:v>654</x:v>
      </x:c>
      <x:c r="C114" s="33">
        <x:v>4962.5299999999997</x:v>
      </x:c>
      <x:c r="D114" s="34">
        <x:v>0.13263888888888889</x:v>
      </x:c>
    </x:row>
    <x:row r="115" spans="1:4">
      <x:c r="A115" s="33">
        <x:v>111</x:v>
      </x:c>
      <x:c r="B115" s="33">
        <x:v>664</x:v>
      </x:c>
      <x:c r="C115" s="33">
        <x:v>5088.3500000000004</x:v>
      </x:c>
      <x:c r="D115" s="34">
        <x:v>0.13304398148148147</x:v>
      </x:c>
    </x:row>
    <x:row r="116" spans="1:4">
      <x:c r="A116" s="33">
        <x:v>112</x:v>
      </x:c>
      <x:c r="B116" s="33">
        <x:v>673</x:v>
      </x:c>
      <x:c r="C116" s="33">
        <x:v>5202.6499999999996</x:v>
      </x:c>
      <x:c r="D116" s="34">
        <x:v>0.13582175925925927</x:v>
      </x:c>
    </x:row>
    <x:row r="117" spans="1:4">
      <x:c r="A117" s="33">
        <x:v>113</x:v>
      </x:c>
      <x:c r="B117" s="33">
        <x:v>680</x:v>
      </x:c>
      <x:c r="C117" s="33">
        <x:v>5292.2399999999998</x:v>
      </x:c>
      <x:c r="D117" s="34">
        <x:v>0.13825231481481481</x:v>
      </x:c>
    </x:row>
    <x:row r="118" spans="1:4">
      <x:c r="A118" s="33">
        <x:v>114</x:v>
      </x:c>
      <x:c r="B118" s="33">
        <x:v>687</x:v>
      </x:c>
      <x:c r="C118" s="33">
        <x:v>5382.4300000000003</x:v>
      </x:c>
      <x:c r="D118" s="34">
        <x:v>0.13952546296296298</x:v>
      </x:c>
    </x:row>
    <x:row r="119" spans="1:4">
      <x:c r="A119" s="33">
        <x:v>115</x:v>
      </x:c>
      <x:c r="B119" s="33">
        <x:v>695</x:v>
      </x:c>
      <x:c r="C119" s="33">
        <x:v>5486.2399999999998</x:v>
      </x:c>
      <x:c r="D119" s="34">
        <x:v>0.14172453703703702</x:v>
      </x:c>
    </x:row>
    <x:row r="120" spans="1:4">
      <x:c r="A120" s="33">
        <x:v>116</x:v>
      </x:c>
      <x:c r="B120" s="33">
        <x:v>702</x:v>
      </x:c>
      <x:c r="C120" s="33">
        <x:v>5577.71</x:v>
      </x:c>
      <x:c r="D120" s="34">
        <x:v>0.1441550925925926</x:v>
      </x:c>
    </x:row>
    <x:row r="121" spans="1:4">
      <x:c r="A121" s="33">
        <x:v>117</x:v>
      </x:c>
      <x:c r="B121" s="33">
        <x:v>708</x:v>
      </x:c>
      <x:c r="C121" s="33">
        <x:v>5656.5900000000001</x:v>
      </x:c>
      <x:c r="D121" s="34">
        <x:v>0.14508101851851851</x:v>
      </x:c>
    </x:row>
    <x:row r="122" spans="1:4">
      <x:c r="A122" s="33">
        <x:v>118</x:v>
      </x:c>
      <x:c r="B122" s="33">
        <x:v>717</x:v>
      </x:c>
      <x:c r="C122" s="33">
        <x:v>5775.7299999999996</x:v>
      </x:c>
      <x:c r="D122" s="34">
        <x:v>0.14577546296296295</x:v>
      </x:c>
    </x:row>
    <x:row r="123" spans="1:4">
      <x:c r="A123" s="33">
        <x:v>119</x:v>
      </x:c>
      <x:c r="B123" s="33">
        <x:v>726</x:v>
      </x:c>
      <x:c r="C123" s="33">
        <x:v>5895.8400000000001</x:v>
      </x:c>
      <x:c r="D123" s="34">
        <x:v>0.14693287037037037</x:v>
      </x:c>
    </x:row>
    <x:row r="124" spans="1:4">
      <x:c r="A124" s="33">
        <x:v>120</x:v>
      </x:c>
      <x:c r="B124" s="33">
        <x:v>739</x:v>
      </x:c>
      <x:c r="C124" s="33">
        <x:v>6071.04</x:v>
      </x:c>
      <x:c r="D124" s="34">
        <x:v>0.14936342592592591</x:v>
      </x:c>
    </x:row>
    <x:row r="125" spans="1:4">
      <x:c r="A125" s="33">
        <x:v>121</x:v>
      </x:c>
      <x:c r="B125" s="33">
        <x:v>752</x:v>
      </x:c>
      <x:c r="C125" s="33">
        <x:v>6248.2600000000002</x:v>
      </x:c>
      <x:c r="D125" s="34">
        <x:v>0.15086805555555555</x:v>
      </x:c>
    </x:row>
    <x:row r="126" spans="1:4">
      <x:c r="A126" s="33">
        <x:v>122</x:v>
      </x:c>
      <x:c r="B126" s="33">
        <x:v>765</x:v>
      </x:c>
      <x:c r="C126" s="33">
        <x:v>6427.4899999999998</x:v>
      </x:c>
      <x:c r="D126" s="34">
        <x:v>0.15138888888888888</x:v>
      </x:c>
    </x:row>
    <x:row r="127" spans="1:4">
      <x:c r="A127" s="33">
        <x:v>123</x:v>
      </x:c>
      <x:c r="B127" s="33">
        <x:v>779</x:v>
      </x:c>
      <x:c r="C127" s="33">
        <x:v>6622.7299999999996</x:v>
      </x:c>
      <x:c r="D127" s="34">
        <x:v>0.15416666666666667</x:v>
      </x:c>
    </x:row>
    <x:row r="128" spans="1:4">
      <x:c r="A128" s="33">
        <x:v>124</x:v>
      </x:c>
      <x:c r="B128" s="33">
        <x:v>794</x:v>
      </x:c>
      <x:c r="C128" s="33">
        <x:v>6834.4499999999998</x:v>
      </x:c>
      <x:c r="D128" s="34">
        <x:v>0.15601851851851853</x:v>
      </x:c>
    </x:row>
    <x:row r="129" spans="1:4">
      <x:c r="A129" s="33">
        <x:v>125</x:v>
      </x:c>
      <x:c r="B129" s="33">
        <x:v>806</x:v>
      </x:c>
      <x:c r="C129" s="33">
        <x:v>7005.7200000000003</x:v>
      </x:c>
      <x:c r="D129" s="34">
        <x:v>0.15763888888888888</x:v>
      </x:c>
    </x:row>
    <x:row r="130" spans="1:4">
      <x:c r="A130" s="33">
        <x:v>126</x:v>
      </x:c>
      <x:c r="B130" s="33">
        <x:v>812</x:v>
      </x:c>
      <x:c r="C130" s="33">
        <x:v>7091.9799999999996</x:v>
      </x:c>
      <x:c r="D130" s="34">
        <x:v>0.15868055555555555</x:v>
      </x:c>
    </x:row>
    <x:row r="131" spans="1:4">
      <x:c r="A131" s="33">
        <x:v>127</x:v>
      </x:c>
      <x:c r="B131" s="33">
        <x:v>819</x:v>
      </x:c>
      <x:c r="C131" s="33">
        <x:v>7193.1400000000003</x:v>
      </x:c>
      <x:c r="D131" s="34">
        <x:v>0.16030092592592593</x:v>
      </x:c>
    </x:row>
    <x:row r="132" spans="1:4">
      <x:c r="A132" s="33">
        <x:v>128</x:v>
      </x:c>
      <x:c r="B132" s="33">
        <x:v>829</x:v>
      </x:c>
      <x:c r="C132" s="33">
        <x:v>7338.6300000000001</x:v>
      </x:c>
      <x:c r="D132" s="34">
        <x:v>0.16238425925925926</x:v>
      </x:c>
    </x:row>
    <x:row r="133" spans="1:4">
      <x:c r="A133" s="33">
        <x:v>129</x:v>
      </x:c>
      <x:c r="B133" s="33">
        <x:v>834</x:v>
      </x:c>
      <x:c r="C133" s="33">
        <x:v>7411.8000000000002</x:v>
      </x:c>
      <x:c r="D133" s="34">
        <x:v>0.16365740740740742</x:v>
      </x:c>
    </x:row>
    <x:row r="134" spans="1:4">
      <x:c r="A134">
        <x:v>130</x:v>
      </x:c>
      <x:c r="B134">
        <x:v>839</x:v>
      </x:c>
      <x:c r="C134">
        <x:v>7485.2700000000004</x:v>
      </x:c>
      <x:c r="D134" s="34">
        <x:v>0.1648148148148148</x:v>
      </x:c>
    </x:row>
    <x:row r="135" spans="1:4">
      <x:c r="A135">
        <x:v>131</x:v>
      </x:c>
      <x:c r="B135">
        <x:v>844</x:v>
      </x:c>
      <x:c r="C135">
        <x:v>7559.0100000000002</x:v>
      </x:c>
      <x:c r="D135" s="34">
        <x:v>0.16643518518518519</x:v>
      </x:c>
    </x:row>
    <x:row r="136" spans="1:4">
      <x:c r="A136">
        <x:v>132</x:v>
      </x:c>
      <x:c r="B136">
        <x:v>853</x:v>
      </x:c>
      <x:c r="C136">
        <x:v>7692.4700000000003</x:v>
      </x:c>
      <x:c r="D136" s="34">
        <x:v>0.16851851851851851</x:v>
      </x:c>
    </x:row>
    <x:row r="137" spans="1:4">
      <x:c r="A137">
        <x:v>133</x:v>
      </x:c>
      <x:c r="B137">
        <x:v>864</x:v>
      </x:c>
      <x:c r="C137">
        <x:v>7856.8400000000001</x:v>
      </x:c>
      <x:c r="D137" s="34">
        <x:v>0.17002314814814815</x:v>
      </x:c>
    </x:row>
    <x:row r="138" spans="1:4">
      <x:c r="A138">
        <x:v>134</x:v>
      </x:c>
      <x:c r="B138">
        <x:v>873</x:v>
      </x:c>
      <x:c r="C138">
        <x:v>7992.3299999999999</x:v>
      </x:c>
      <x:c r="D138" s="34">
        <x:v>0.17256944444444444</x:v>
      </x:c>
    </x:row>
    <x:row r="139" spans="1:4">
      <x:c r="A139">
        <x:v>135</x:v>
      </x:c>
      <x:c r="B139">
        <x:v>880</x:v>
      </x:c>
      <x:c r="C139">
        <x:v>8098.3500000000004</x:v>
      </x:c>
      <x:c r="D139" s="34">
        <x:v>0.17499999999999999</x:v>
      </x:c>
    </x:row>
    <x:row r="140" spans="1:4">
      <x:c r="A140">
        <x:v>136</x:v>
      </x:c>
      <x:c r="B140">
        <x:v>892</x:v>
      </x:c>
      <x:c r="C140">
        <x:v>8281.3700000000008</x:v>
      </x:c>
      <x:c r="D140" s="34">
        <x:v>0.17800925925925926</x:v>
      </x:c>
    </x:row>
    <x:row r="141" spans="1:4">
      <x:c r="A141">
        <x:v>137</x:v>
      </x:c>
      <x:c r="B141">
        <x:v>903</x:v>
      </x:c>
      <x:c r="C141">
        <x:v>8450.5499999999993</x:v>
      </x:c>
      <x:c r="D141" s="34">
        <x:v>0.18020833333333333</x:v>
      </x:c>
    </x:row>
    <x:row r="142" spans="1:4">
      <x:c r="A142">
        <x:v>138</x:v>
      </x:c>
      <x:c r="B142">
        <x:v>917</x:v>
      </x:c>
      <x:c r="C142">
        <x:v>8667.8099999999995</x:v>
      </x:c>
      <x:c r="D142" s="34">
        <x:v>0.18252314814814816</x:v>
      </x:c>
    </x:row>
    <x:row r="143" spans="1:4">
      <x:c r="A143">
        <x:v>139</x:v>
      </x:c>
      <x:c r="B143">
        <x:v>928</x:v>
      </x:c>
      <x:c r="C143">
        <x:v>8840.0400000000009</x:v>
      </x:c>
      <x:c r="D143" s="34">
        <x:v>0.18425925925925926</x:v>
      </x:c>
    </x:row>
    <x:row r="144" spans="1:4">
      <x:c r="A144">
        <x:v>140</x:v>
      </x:c>
      <x:c r="B144">
        <x:v>934</x:v>
      </x:c>
      <x:c r="C144">
        <x:v>8934.5400000000009</x:v>
      </x:c>
      <x:c r="D144" s="34">
        <x:v>0.18645833333333334</x:v>
      </x:c>
    </x:row>
    <x:row r="145" spans="1:4">
      <x:c r="A145">
        <x:v>141</x:v>
      </x:c>
      <x:c r="B145">
        <x:v>940</x:v>
      </x:c>
      <x:c r="C145">
        <x:v>9029.4400000000005</x:v>
      </x:c>
      <x:c r="D145" s="34">
        <x:v>0.18831018518518519</x:v>
      </x:c>
    </x:row>
    <x:row r="146" spans="1:4">
      <x:c r="A146">
        <x:v>142</x:v>
      </x:c>
      <x:c r="B146">
        <x:v>946</x:v>
      </x:c>
      <x:c r="C146">
        <x:v>9124.7399999999998</x:v>
      </x:c>
      <x:c r="D146" s="34">
        <x:v>0.1900462962962963</x:v>
      </x:c>
    </x:row>
    <x:row r="147" spans="1:4">
      <x:c r="A147">
        <x:v>143</x:v>
      </x:c>
      <x:c r="B147">
        <x:v>955</x:v>
      </x:c>
      <x:c r="C147">
        <x:v>9268.4200000000001</x:v>
      </x:c>
      <x:c r="D147" s="34">
        <x:v>0.19236111111111112</x:v>
      </x:c>
    </x:row>
    <x:row r="148" spans="1:4">
      <x:c r="A148">
        <x:v>144</x:v>
      </x:c>
      <x:c r="B148">
        <x:v>967</x:v>
      </x:c>
      <x:c r="C148">
        <x:v>9461.3600000000006</x:v>
      </x:c>
      <x:c r="D148" s="34">
        <x:v>0.19444444444444445</x:v>
      </x:c>
    </x:row>
    <x:row r="149" spans="1:4">
      <x:c r="A149">
        <x:v>145</x:v>
      </x:c>
      <x:c r="B149">
        <x:v>978</x:v>
      </x:c>
      <x:c r="C149">
        <x:v>9639.6000000000004</x:v>
      </x:c>
      <x:c r="D149" s="34">
        <x:v>0.19699074074074074</x:v>
      </x:c>
    </x:row>
    <x:row r="150" spans="1:4">
      <x:c r="A150">
        <x:v>146</x:v>
      </x:c>
      <x:c r="B150">
        <x:v>984</x:v>
      </x:c>
      <x:c r="C150">
        <x:v>9737.3799999999992</x:v>
      </x:c>
      <x:c r="D150" s="34">
        <x:v>0.19837962962962963</x:v>
      </x:c>
    </x:row>
    <x:row r="151" spans="1:4">
      <x:c r="A151">
        <x:v>147</x:v>
      </x:c>
      <x:c r="B151">
        <x:v>990</x:v>
      </x:c>
      <x:c r="C151">
        <x:v>9835.5400000000009</x:v>
      </x:c>
      <x:c r="D151" s="34">
        <x:v>0.20011574074074073</x:v>
      </x:c>
    </x:row>
    <x:row r="152" spans="1:4">
      <x:c r="A152">
        <x:v>148</x:v>
      </x:c>
      <x:c r="B152">
        <x:v>995</x:v>
      </x:c>
      <x:c r="C152">
        <x:v>9917.6299999999992</x:v>
      </x:c>
      <x:c r="D152" s="34">
        <x:v>0.20289351851851853</x:v>
      </x:c>
    </x:row>
    <x:row r="153" spans="1:4">
      <x:c r="A153">
        <x:v>149</x:v>
      </x:c>
      <x:c r="B153">
        <x:v>1000</x:v>
      </x:c>
      <x:c r="C153">
        <x:v>10000</x:v>
      </x:c>
      <x:c r="D153" s="34">
        <x:v>0.20497685185185185</x:v>
      </x:c>
    </x:row>
  </x:sheetData>
  <x:mergeCells count="1">
    <x:mergeCell ref="A1:J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밸런스 문서</vt:lpstr>
      <vt:lpstr>밸런스 팩터</vt:lpstr>
      <vt:lpstr>작성 기준</vt:lpstr>
      <vt:lpstr>밸런스 곡선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82103</cp:lastModifiedBy>
  <cp:revision>4</cp:revision>
  <dcterms:created xsi:type="dcterms:W3CDTF">2026-07-27T02:30:30.000</dcterms:created>
  <dcterms:modified xsi:type="dcterms:W3CDTF">2026-07-28T00:51:37.779</dcterms:modified>
  <cp:version>1200.0100.01</cp:version>
</cp:coreProperties>
</file>
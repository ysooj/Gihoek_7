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5f67febe1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밸런스 문서" sheetId="1" r:id="Re4f33ce70ef644da"/>
    <x:sheet xmlns:r="http://schemas.openxmlformats.org/officeDocument/2006/relationships" name="작성 기준" sheetId="2" r:id="Rc6e5f2b49ae149e9"/>
    <x:sheet xmlns:r="http://schemas.openxmlformats.org/officeDocument/2006/relationships" name="밸런스 곡선" sheetId="3" r:id="Rcfc75353a87d4428"/>
  </x:sheets>
</x:workbook>
</file>

<file path=xl/sharedStrings.xml><?xml version="1.0" encoding="utf-8"?>
<x:sst xmlns:x="http://schemas.openxmlformats.org/spreadsheetml/2006/main">
  <x:si>
    <x:t xml:space="preserve">플레이 난이도</x:t>
  </x:si>
  <x:si>
    <x:t xml:space="preserve">플레이 흥미도</x:t>
  </x:si>
  <x:si>
    <x:t xml:space="preserve">콘텐츠 진행 순서</x:t>
  </x:si>
  <x:si>
    <x:t xml:space="preserve">플레이 목표</x:t>
  </x:si>
  <x:si>
    <x:t xml:space="preserve">플레이 난관</x:t>
  </x:si>
  <x:si>
    <x:t xml:space="preserve">공략 방법</x:t>
  </x:si>
  <x:si>
    <x:t xml:space="preserve">체감 난이도</x:t>
  </x:si>
  <x:si>
    <x:t xml:space="preserve">수행 과제 수</x:t>
  </x:si>
  <x:si>
    <x:t xml:space="preserve">목표 달성 조건</x:t>
  </x:si>
  <x:si>
    <x:t xml:space="preserve">실패 결과</x:t>
  </x:si>
  <x:si>
    <x:t xml:space="preserve">예상 소요 시간</x:t>
  </x:si>
  <x:si>
    <x:t xml:space="preserve">난이도 조절 요소</x:t>
  </x:si>
  <x:si>
    <x:t xml:space="preserve">차한해의 과거 오프닝 감상</x:t>
  </x:si>
  <x:si>
    <x:t xml:space="preserve">입양 이후 가족 안에서 희생을 요구받아 온 과거를 보여주는 연출이 길게 이어져 플레이어가 핵심 정보를 놓칠 수 있음</x:t>
  </x:si>
  <x:si>
    <x:t xml:space="preserve">핵심 장면의 시선 유도와 짧은 자막을 통해 관계와 감정 변화를 이해함</x:t>
  </x:si>
  <x:si>
    <x:t xml:space="preserve">1 – 연출 길이와 정보량이 난이도를 결정함</x:t>
  </x:si>
  <x:si>
    <x:t xml:space="preserve">오프닝 재생이 끝나면 자동 완료</x:t>
  </x:si>
  <x:si>
    <x:t xml:space="preserve">-</x:t>
  </x:si>
  <x:si>
    <x:t xml:space="preserve">1분 30초</x:t>
  </x:si>
  <x:si>
    <x:t xml:space="preserve">스킵·다시 보기 기능 제공</x:t>
  </x:si>
  <x:si>
    <x:t xml:space="preserve">빨래 개기</x:t>
  </x:si>
  <x:si>
    <x:t xml:space="preserve">조사 가능한 가구가 많아 조작 가능한 대상을 바로 알아보기 어려움</x:t>
  </x:si>
  <x:si>
    <x:t xml:space="preserve">주인공 주변의 상호작용 표시를 확인하고 조사 키를 누름</x:t>
  </x:si>
  <x:si>
    <x:t xml:space="preserve">1 – 상호작용 표시의 가시성과 조사 범위가 난이도를 결정함</x:t>
  </x:si>
  <x:si>
    <x:t xml:space="preserve">소파 옆 주인공에서 조사 입력 1회 완료</x:t>
  </x:si>
  <x:si>
    <x:t xml:space="preserve">20초</x:t>
  </x:si>
  <x:si>
    <x:t xml:space="preserve">첫 상호작용 대상에 반짝임 표시</x:t>
  </x:si>
  <x:si>
    <x:t xml:space="preserve">동생에게 심부름 지시 받기</x:t>
  </x:si>
  <x:si>
    <x:t xml:space="preserve">대화 속에 다음 목적지와 필요한 물품 정보가 섞여 있음</x:t>
  </x:si>
  <x:si>
    <x:t xml:space="preserve">강조되는 핵심 단어와 NPC의 요구를 확인하며 대화를 끝까지 진행함</x:t>
  </x:si>
  <x:si>
    <x:t xml:space="preserve">1 – 대사 길이·핵심 정보의 명확성·선택지 수가 난이도를 결정함</x:t>
  </x:si>
  <x:si>
    <x:t xml:space="preserve">신상 과자·헤어롤·팝콘 심부름에 관한 대화를 마지막 문장까지 진행</x:t>
  </x:si>
  <x:si>
    <x:t xml:space="preserve">1분</x:t>
  </x:si>
  <x:si>
    <x:t xml:space="preserve">대화 종료 후 핵심 내용을 화면 한쪽에 요약 표시</x:t>
  </x:si>
  <x:si>
    <x:t xml:space="preserve">이동 조작 안내 확인</x:t>
  </x:si>
  <x:si>
    <x:t xml:space="preserve">여러 조작을 한 번에 제시하면 입력 방법을 혼동할 수 있음</x:t>
  </x:si>
  <x:si>
    <x:t xml:space="preserve">화면에 표시되는 키를 순서대로 입력하고 각 동작의 결과를 확인함</x:t>
  </x:si>
  <x:si>
    <x:t xml:space="preserve">1 – 동시에 제시되는 조작 수와 입력 허용 시간이 난이도를 결정함</x:t>
  </x:si>
  <x:si>
    <x:t xml:space="preserve">상하좌우 이동과 조사 키를 안내 순서대로 모두 수행</x:t>
  </x:si>
  <x:si>
    <x:t xml:space="preserve">40초</x:t>
  </x:si>
  <x:si>
    <x:t xml:space="preserve">입력하지 않은 키 안내를 계속 유지</x:t>
  </x:si>
  <x:si>
    <x:t xml:space="preserve">현관으로 이동하기</x:t>
  </x:si>
  <x:si>
    <x:t xml:space="preserve">갈림길과 주변 상호작용 오브젝트 때문에 목적지 방향을 놓칠 수 있음</x:t>
  </x:si>
  <x:si>
    <x:t xml:space="preserve">표지판·미니맵·NPC 이동 방향을 확인하며 거실에서 현관문까지 이동함</x:t>
  </x:si>
  <x:si>
    <x:t xml:space="preserve">1 – 맵 크기·갈림길 수·목적지 표식의 가시성이 난이도를 결정함</x:t>
  </x:si>
  <x:si>
    <x:t xml:space="preserve">거실에서 현관문의 도착 트리거에 진입</x:t>
  </x:si>
  <x:si>
    <x:t xml:space="preserve">30초</x:t>
  </x:si>
  <x:si>
    <x:t xml:space="preserve">일정 시간 정체 시 목적지 방향 화살표 표시</x:t>
  </x:si>
  <x:si>
    <x:t xml:space="preserve">집 밖으로 나가기</x:t>
  </x:si>
  <x:si>
    <x:t xml:space="preserve">조사 대상이 배경 오브젝트와 비슷해 상호작용 가능 여부를 놓칠 수 있음</x:t>
  </x:si>
  <x:si>
    <x:t xml:space="preserve">현관문 가까이 이동한 뒤 상호작용 아이콘이 나타날 때 조사함</x:t>
  </x:si>
  <x:si>
    <x:t xml:space="preserve">1 – 조사 대상의 크기·배경과의 대비·상호작용 범위가 난이도를 결정함</x:t>
  </x:si>
  <x:si>
    <x:t xml:space="preserve">현관문 조사 완료</x:t>
  </x:si>
  <x:si>
    <x:t xml:space="preserve">상호작용 가능 범위를 넓히고 아이콘 표시</x:t>
  </x:si>
  <x:si>
    <x:t xml:space="preserve">편의점으로 이동하기</x:t>
  </x:si>
  <x:si>
    <x:t xml:space="preserve">표지판·미니맵·NPC 이동 방향을 확인하며 아파트에서 편의점까지 이동함</x:t>
  </x:si>
  <x:si>
    <x:t xml:space="preserve">2 – 맵 크기·갈림길 수·목적지 표식의 가시성이 난이도를 결정함</x:t>
  </x:si>
  <x:si>
    <x:t xml:space="preserve">아파트에서 편의점의 도착 트리거에 진입</x:t>
  </x:si>
  <x:si>
    <x:t xml:space="preserve">1분 15초</x:t>
  </x:si>
  <x:si>
    <x:t xml:space="preserve">신상 과자 진열대 찾기</x:t>
  </x:si>
  <x:si>
    <x:t xml:space="preserve">비슷한 오브젝트와 진열대가 많아 목표 대상을 한 번에 찾기 어려움</x:t>
  </x:si>
  <x:si>
    <x:t xml:space="preserve">구역별 표지와 상품 외형을 비교하며 편의점 안 신상 과자 진열대를 조사함</x:t>
  </x:si>
  <x:si>
    <x:t xml:space="preserve">3 – 후보 오브젝트 수·외형 유사도·탐색 범위가 난이도를 결정함</x:t>
  </x:si>
  <x:si>
    <x:t xml:space="preserve">편의점 안 신상 과자 진열대 발견 및 조사 완료</x:t>
  </x:si>
  <x:si>
    <x:t xml:space="preserve">30초 이상 미발견 시 목표 구역에 약한 반짝임 표시</x:t>
  </x:si>
  <x:si>
    <x:t xml:space="preserve">품절 안내 조사하기</x:t>
  </x:si>
  <x:si>
    <x:t xml:space="preserve">비어 있는 진열칸과 손글씨 품절 안내 가까이 이동한 뒤 상호작용 아이콘이 나타날 때 조사함</x:t>
  </x:si>
  <x:si>
    <x:t xml:space="preserve">2 – 조사 대상의 크기·배경과의 대비·상호작용 범위가 난이도를 결정함</x:t>
  </x:si>
  <x:si>
    <x:t xml:space="preserve">비어 있는 진열칸과 손글씨 품절 안내 조사 완료</x:t>
  </x:si>
  <x:si>
    <x:t xml:space="preserve">35초</x:t>
  </x:si>
  <x:si>
    <x:t xml:space="preserve">알바생 NPC와 대화하기</x:t>
  </x:si>
  <x:si>
    <x:t xml:space="preserve">2 – 대사 길이·핵심 정보의 명확성·선택지 수가 난이도를 결정함</x:t>
  </x:si>
  <x:si>
    <x:t xml:space="preserve">재입고 시간과 물류 트럭 정보에 관한 대화를 마지막 문장까지 진행</x:t>
  </x:si>
  <x:si>
    <x:t xml:space="preserve">다이소로 이동하기</x:t>
  </x:si>
  <x:si>
    <x:t xml:space="preserve">표지판·미니맵·NPC 이동 방향을 확인하며 편의점에서 다이소까지 이동함</x:t>
  </x:si>
  <x:si>
    <x:t xml:space="preserve">편의점에서 다이소의 도착 트리거에 진입</x:t>
  </x:si>
  <x:si>
    <x:t xml:space="preserve">헤어롤 진열대 찾기</x:t>
  </x:si>
  <x:si>
    <x:t xml:space="preserve">구역별 표지와 상품 외형을 비교하며 생활용품 코너의 헤어롤를 조사함</x:t>
  </x:si>
  <x:si>
    <x:t xml:space="preserve">생활용품 코너의 헤어롤 발견 및 조사 완료</x:t>
  </x:si>
  <x:si>
    <x:t xml:space="preserve">1분 50초</x:t>
  </x:si>
  <x:si>
    <x:t xml:space="preserve">헤어롤 구매하기</x:t>
  </x:si>
  <x:si>
    <x:t xml:space="preserve">구매 대상·수량·결제 순서를 잘못 선택할 수 있음</x:t>
  </x:si>
  <x:si>
    <x:t xml:space="preserve">요청받은 품목을 확인하고 상품 선택→계산대 상호작용→결제를 순서대로 진행함</x:t>
  </x:si>
  <x:si>
    <x:t xml:space="preserve">2 – 상품 후보 수·품목 유사도·구매 단계 수가 난이도를 결정함</x:t>
  </x:si>
  <x:si>
    <x:t xml:space="preserve">헤어롤 1개 구매 후 인벤토리에 등록</x:t>
  </x:si>
  <x:si>
    <x:t xml:space="preserve">잘못된 품목 구매 시 다시 선택해야 함</x:t>
  </x:si>
  <x:si>
    <x:t xml:space="preserve">50초</x:t>
  </x:si>
  <x:si>
    <x:t xml:space="preserve">요청 품목에 작은 임무 아이콘 표시</x:t>
  </x:si>
  <x:si>
    <x:t xml:space="preserve">영화관으로 이동하기</x:t>
  </x:si>
  <x:si>
    <x:t xml:space="preserve">표지판·미니맵·NPC 이동 방향을 확인하며 다이소에서 영화관까지 이동함</x:t>
  </x:si>
  <x:si>
    <x:t xml:space="preserve">다이소에서 영화관의 도착 트리거에 진입</x:t>
  </x:si>
  <x:si>
    <x:t xml:space="preserve">2분</x:t>
  </x:si>
  <x:si>
    <x:t xml:space="preserve">팝콘 구매하기</x:t>
  </x:si>
  <x:si>
    <x:t xml:space="preserve">동생이 지정한 팝콘 구매 후 인벤토리에 등록</x:t>
  </x:si>
  <x:si>
    <x:t xml:space="preserve">1분 20초</x:t>
  </x:si>
  <x:si>
    <x:t xml:space="preserve">편의점 물류 트럭 발견하기</x:t>
  </x:si>
  <x:si>
    <x:t xml:space="preserve">짧은 시간 동안 화면을 지나가는 대상이라 시선을 다른 곳에 두면 놓칠 수 있음</x:t>
  </x:si>
  <x:si>
    <x:t xml:space="preserve">카메라 이동과 NPC 시선을 따라 영화관 출구 앞을 지나가는 편의점 물류 트럭를 확인함</x:t>
  </x:si>
  <x:si>
    <x:t xml:space="preserve">2 – 대상 노출 시간·화면 내 이동속도·시선 유도 강도가 난이도를 결정함</x:t>
  </x:si>
  <x:si>
    <x:t xml:space="preserve">영화관 출구 앞을 지나가는 편의점 물류 트럭를 화면 안에서 확인</x:t>
  </x:si>
  <x:si>
    <x:t xml:space="preserve">대상을 놓치면 짧은 연출이 다시 재생됨</x:t>
  </x:si>
  <x:si>
    <x:t xml:space="preserve">25초</x:t>
  </x:si>
  <x:si>
    <x:t xml:space="preserve">대상 등장 직전 효과음과 화면 가장자리 표시</x:t>
  </x:si>
  <x:si>
    <x:t xml:space="preserve">편의점 물류 트럭 따라가기</x:t>
  </x:si>
  <x:si>
    <x:t xml:space="preserve">대상이 빠르게 이동하고 시민과 건물이 시야를 가려 추적이 끊길 수 있음</x:t>
  </x:si>
  <x:si>
    <x:t xml:space="preserve">목표 아이콘과 도로 방향을 보며 허용 거리 안에서 물류 트럭를 따라감</x:t>
  </x:si>
  <x:si>
    <x:t xml:space="preserve">6 – 플레이어와 대상의 속도 차이·허용 거리·시야 차단물이 난이도를 결정함</x:t>
  </x:si>
  <x:si>
    <x:t xml:space="preserve">허용 거리 안에서 추적 종료 지점 도착</x:t>
  </x:si>
  <x:si>
    <x:t xml:space="preserve">대상과 6초 이상 거리 초과 시 추격 구간 재시작</x:t>
  </x:si>
  <x:si>
    <x:t xml:space="preserve">실패 2회 후 대상 속도 감소 및 경로 화살표 표시</x:t>
  </x:si>
  <x:si>
    <x:t xml:space="preserve">신상 과자 오픈런 참가하기</x:t>
  </x:si>
  <x:si>
    <x:t xml:space="preserve">여러 NPC가 동시에 진열대로 이동해 접근 경로와 상호작용 위치가 막힘</x:t>
  </x:si>
  <x:si>
    <x:t xml:space="preserve">군중의 이동 방향을 예측하고 빈 공간으로 우회해 편의점 진열대 앞 군중에 접근함</x:t>
  </x:si>
  <x:si>
    <x:t xml:space="preserve">6 – 경쟁 NPC 수·충돌 범위·재고 수량·접근 가능 시간이 난이도를 결정함</x:t>
  </x:si>
  <x:si>
    <x:t xml:space="preserve">재고가 남아 있을 때 목표 상품 상호작용 성공</x:t>
  </x:si>
  <x:si>
    <x:t xml:space="preserve">재고가 모두 소진되면 직전 체크포인트에서 재시도</x:t>
  </x:si>
  <x:si>
    <x:t xml:space="preserve">1분 40초</x:t>
  </x:si>
  <x:si>
    <x:t xml:space="preserve">재시도 시 경쟁 NPC 수 1명 감소</x:t>
  </x:si>
  <x:si>
    <x:t xml:space="preserve">Q1-19 | 신상 과자 구매하기</x:t>
  </x:si>
  <x:si>
    <x:t xml:space="preserve">3/10 – 상품 후보 수·품목 유사도·구매 단계 수가 난이도를 결정함</x:t>
  </x:si>
  <x:si>
    <x:t xml:space="preserve">신상 과자 1봉 구매 후 인벤토리에 등록</x:t>
  </x:si>
  <x:si>
    <x:t xml:space="preserve">55초</x:t>
  </x:si>
  <x:si>
    <x:t xml:space="preserve">Q1-20 | 동생 연락 받기</x:t>
  </x:si>
  <x:si>
    <x:t xml:space="preserve">2/10 – 대사 길이·핵심 정보의 명확성·선택지 수가 난이도를 결정함</x:t>
  </x:si>
  <x:si>
    <x:t xml:space="preserve">중고 거래 물품 수령 요청에 관한 대화를 마지막 문장까지 진행</x:t>
  </x:si>
  <x:si>
    <x:t xml:space="preserve">1분 10초</x:t>
  </x:si>
  <x:si>
    <x:t xml:space="preserve">Q1-21 | 지하철역으로 이동하기</x:t>
  </x:si>
  <x:si>
    <x:t xml:space="preserve">표지판·미니맵·NPC 이동 방향을 확인하며 편의점에서 지하철역 개찰구까지 이동함</x:t>
  </x:si>
  <x:si>
    <x:t xml:space="preserve">2/10 – 맵 크기·갈림길 수·목적지 표식의 가시성이 난이도를 결정함</x:t>
  </x:si>
  <x:si>
    <x:t xml:space="preserve">편의점에서 지하철역 개찰구의 도착 트리거에 진입</x:t>
  </x:si>
  <x:si>
    <x:t xml:space="preserve">2분 30초</x:t>
  </x:si>
  <x:si>
    <x:t xml:space="preserve">Q1-22 | 거래자 후보 3명 관찰하기</x:t>
  </x:si>
  <x:si>
    <x:t xml:space="preserve">중요한 단서가 여러 인물과 배경 오브젝트 사이에 분산되어 있음</x:t>
  </x:si>
  <x:si>
    <x:t xml:space="preserve">시선·행동·복장·주변 오브젝트를 순서대로 확인해 회색 후드 특징이 겹치는 세 명의 후보의 특징을 파악함</x:t>
  </x:si>
  <x:si>
    <x:t xml:space="preserve">5/10 – 관찰 대상 수·단서의 명확성·외형 유사도가 난이도를 결정함</x:t>
  </x:si>
  <x:si>
    <x:t xml:space="preserve">필수 관찰 대상 모두 조사</x:t>
  </x:si>
  <x:si>
    <x:t xml:space="preserve">필수 대상 위에 짧은 시선 유도 아이콘 표시</x:t>
  </x:si>
  <x:si>
    <x:t xml:space="preserve">Q1-23 | 중고 거래자 찾기</x:t>
  </x:si>
  <x:si>
    <x:t xml:space="preserve">후보들이 공통 특징을 가지고 있어 한 가지 단서만으로는 구별할 수 없음</x:t>
  </x:si>
  <x:si>
    <x:t xml:space="preserve">복장·소지품·대화 반응을 함께 비교해 대화 단서와 복장 단서가 일치하는 거래자를 선택함</x:t>
  </x:si>
  <x:si>
    <x:t xml:space="preserve">6/10 – 후보 수·공통 특징 수·추가 단서의 명확성이 난이도를 결정함</x:t>
  </x:si>
  <x:si>
    <x:t xml:space="preserve">올바른 거래자와 대화 시작</x:t>
  </x:si>
  <x:si>
    <x:t xml:space="preserve">오답 후보 선택 시 경계 대사가 출력되고 다시 선택</x:t>
  </x:si>
  <x:si>
    <x:t xml:space="preserve">오답 2회 후 확인하지 않은 단서 목록 표시</x:t>
  </x:si>
  <x:si>
    <x:t xml:space="preserve">Q1-24 | 중고 거래 완료하기</x:t>
  </x:si>
  <x:si>
    <x:t xml:space="preserve">2/10 – 상품 후보 수·품목 유사도·구매 단계 수가 난이도를 결정함</x:t>
  </x:si>
  <x:si>
    <x:t xml:space="preserve">동생이 부탁한 중고 물품 구매 후 인벤토리에 등록</x:t>
  </x:si>
  <x:si>
    <x:t xml:space="preserve">1분 5초</x:t>
  </x:si>
  <x:si>
    <x:t xml:space="preserve">Q1-25 | 집으로 돌아가는 길에 공원 진입하기</x:t>
  </x:si>
  <x:si>
    <x:t xml:space="preserve">표지판·미니맵·NPC 이동 방향을 확인하며 지하철역에서 축제 종료 공원까지 이동함</x:t>
  </x:si>
  <x:si>
    <x:t xml:space="preserve">지하철역에서 축제 종료 공원의 도착 트리거에 진입</x:t>
  </x:si>
  <x:si>
    <x:t xml:space="preserve">Q2-01 | 축제 종료 현장 관찰하기</x:t>
  </x:si>
  <x:si>
    <x:t xml:space="preserve">시선·행동·복장·주변 오브젝트를 순서대로 확인해 떠나는 시민과 공원에 남은 쓰레기의 특징을 파악함</x:t>
  </x:si>
  <x:si>
    <x:t xml:space="preserve">3/10 – 관찰 대상 수·단서의 명확성·외형 유사도가 난이도를 결정함</x:t>
  </x:si>
  <x:si>
    <x:t xml:space="preserve">Q2-02 | 아이가 쓰레기에 걸려 넘어질 뻔한 장면 목격하기</x:t>
  </x:si>
  <x:si>
    <x:t xml:space="preserve">짧은 연출 안에서 사건의 원인과 인물의 태도를 동시에 이해해야 함</x:t>
  </x:si>
  <x:si>
    <x:t xml:space="preserve">카메라가 강조하는 인물과 오브젝트를 보며 아이와 가족의 행동를 확인함</x:t>
  </x:si>
  <x:si>
    <x:t xml:space="preserve">1/10 – 연출 속도·동시에 제시되는 정보량이 난이도를 결정함</x:t>
  </x:si>
  <x:si>
    <x:t xml:space="preserve">사건 연출 종료</x:t>
  </x:si>
  <x:si>
    <x:t xml:space="preserve">핵심 오브젝트에 카메라 줌과 효과음 적용</x:t>
  </x:si>
  <x:si>
    <x:t xml:space="preserve">Q2-03 | 쓰레기를 치우기로 결정하기</x:t>
  </x:si>
  <x:si>
    <x:t xml:space="preserve">두 선택 모두 이후 상황에 영향을 주므로 감정적 판단 부담이 발생함</x:t>
  </x:si>
  <x:si>
    <x:t xml:space="preserve">현재 상황과 주인공의 독백을 확인한 뒤 공원을 지나갈지 쓰레기를 치울지 판단에 대한 행동을 결정함</x:t>
  </x:si>
  <x:si>
    <x:t xml:space="preserve">3/10 – 정보의 불완전성·결과 예측 가능성·감정적 부담이 난이도를 결정함</x:t>
  </x:si>
  <x:si>
    <x:t xml:space="preserve">선택지 1개 확정</x:t>
  </x:si>
  <x:si>
    <x:t xml:space="preserve">45초</x:t>
  </x:si>
  <x:si>
    <x:t xml:space="preserve">선택 직전 핵심 상황을 한 문장으로 다시 표시</x:t>
  </x:si>
  <x:si>
    <x:t xml:space="preserve">Q2-04 | 청소 도구 찾기</x:t>
  </x:si>
  <x:si>
    <x:t xml:space="preserve">구역별 표지와 상품 외형을 비교하며 공원 관리함의 집게와 봉투를 조사함</x:t>
  </x:si>
  <x:si>
    <x:t xml:space="preserve">3/10 – 후보 오브젝트 수·외형 유사도·탐색 범위가 난이도를 결정함</x:t>
  </x:si>
  <x:si>
    <x:t xml:space="preserve">공원 관리함의 집게와 봉투 발견 및 조사 완료</x:t>
  </x:si>
  <x:si>
    <x:t xml:space="preserve">1분 25초</x:t>
  </x:si>
  <x:si>
    <x:t xml:space="preserve">Q2-05 | 첫 쓰레기 줍기</x:t>
  </x:si>
  <x:si>
    <x:t xml:space="preserve">수거 대상과 배경 장식의 차이를 처음에는 구별하기 어려움</x:t>
  </x:si>
  <x:si>
    <x:t xml:space="preserve">반짝임 표시가 있는 산책로의 첫 쓰레기에 접근해 줍기 입력을 수행함</x:t>
  </x:si>
  <x:si>
    <x:t xml:space="preserve">2/10 – 대상 가시성·입력 단계 수가 난이도를 결정함</x:t>
  </x:si>
  <x:si>
    <x:t xml:space="preserve">안내된 수거 행동 3회 완료</x:t>
  </x:si>
  <x:si>
    <x:t xml:space="preserve">수거 대상 반짝임과 상호작용 범위를 크게 설정</x:t>
  </x:si>
  <x:si>
    <x:t xml:space="preserve">Q2-06 | 잔디 구역 쓰레기 수거하기</x:t>
  </x:si>
  <x:si>
    <x:t xml:space="preserve">쓰레기가 넓은 구역과 가려진 틈에 흩어져 있어 남은 대상을 찾기 어려움</x:t>
  </x:si>
  <x:si>
    <x:t xml:space="preserve">구역을 일정한 방향으로 순회하고 반짝임·잔여 개수 UI를 확인하며 잔디 구역 쓰레기 8개를 수거함</x:t>
  </x:si>
  <x:si>
    <x:t xml:space="preserve">4/10 – 목표 수량·배치 밀도·가림 오브젝트·탐색 범위가 난이도를 결정함</x:t>
  </x:si>
  <x:si>
    <x:t xml:space="preserve">잔디 구역 쓰레기 8개 전부 수거</x:t>
  </x:si>
  <x:si>
    <x:t xml:space="preserve">필수 수량을 채우지 못하면 다음 구역 진행 불가</x:t>
  </x:si>
  <x:si>
    <x:t xml:space="preserve">3분</x:t>
  </x:si>
  <x:si>
    <x:t xml:space="preserve">60초 이상 미발견 시 가장 가까운 미수거 대상 방향 표시</x:t>
  </x:si>
  <x:si>
    <x:t xml:space="preserve">Q2-07 | 산책로 쓰레기 수거하기</x:t>
  </x:si>
  <x:si>
    <x:t xml:space="preserve">구역을 일정한 방향으로 순회하고 반짝임·잔여 개수 UI를 확인하며 산책로 쓰레기 7개를 수거함</x:t>
  </x:si>
  <x:si>
    <x:t xml:space="preserve">산책로 쓰레기 7개 전부 수거</x:t>
  </x:si>
  <x:si>
    <x:t xml:space="preserve">2분 40초</x:t>
  </x:si>
  <x:si>
    <x:t xml:space="preserve">Q2-08 | 벤치 주변 쓰레기 수거하기</x:t>
  </x:si>
  <x:si>
    <x:t xml:space="preserve">구역을 일정한 방향으로 순회하고 반짝임·잔여 개수 UI를 확인하며 벤치와 가려진 틈의 쓰레기 6개를 수거함</x:t>
  </x:si>
  <x:si>
    <x:t xml:space="preserve">5/10 – 목표 수량·배치 밀도·가림 오브젝트·탐색 범위가 난이도를 결정함</x:t>
  </x:si>
  <x:si>
    <x:t xml:space="preserve">벤치와 가려진 틈의 쓰레기 6개 전부 수거</x:t>
  </x:si>
  <x:si>
    <x:t xml:space="preserve">Q2-09 | 한도윤과 대화하기</x:t>
  </x:si>
  <x:si>
    <x:t xml:space="preserve">혼자 청소하는 이유와 도움 제안에 관한 대화를 마지막 문장까지 진행</x:t>
  </x:si>
  <x:si>
    <x:t xml:space="preserve">Q2-10 | 한도윤과 구역 분담하기</x:t>
  </x:si>
  <x:si>
    <x:t xml:space="preserve">동료가 담당하는 구역과 플레이어 구역이 겹치면 불필요한 이동이 발생함</x:t>
  </x:si>
  <x:si>
    <x:t xml:space="preserve">대화에서 정한 담당 구역을 확인하고 서로 다른 공원 구역를 순서대로 처리함</x:t>
  </x:si>
  <x:si>
    <x:t xml:space="preserve">4/10 – 구역 수·동료 행동 예측 가능성·이동 동선이 난이도를 결정함</x:t>
  </x:si>
  <x:si>
    <x:t xml:space="preserve">플레이어 담당 구역의 목표 수량 달성</x:t>
  </x:si>
  <x:si>
    <x:t xml:space="preserve">2분 20초</x:t>
  </x:si>
  <x:si>
    <x:t xml:space="preserve">미니맵에 담당 구역을 서로 다른 테두리로 표시</x:t>
  </x:si>
  <x:si>
    <x:t xml:space="preserve">Q2-11 | 우정 반지 단서 발견하기</x:t>
  </x:si>
  <x:si>
    <x:t xml:space="preserve">작은 단서가 쓰레기와 배경에 섞여 있어 일반 수거물로 오인할 수 있음</x:t>
  </x:si>
  <x:si>
    <x:t xml:space="preserve">중학생이 잃어버린 반지의 흔적의 형태와 주변 대사를 확인하고 별도 조사함</x:t>
  </x:si>
  <x:si>
    <x:t xml:space="preserve">4/10 – 단서 크기·배경 대비·오인 가능성이 난이도를 결정함</x:t>
  </x:si>
  <x:si>
    <x:t xml:space="preserve">필수 단서 모두 조사</x:t>
  </x:si>
  <x:si>
    <x:t xml:space="preserve">단서를 버리려 하면 경고 후 행동 취소</x:t>
  </x:si>
  <x:si>
    <x:t xml:space="preserve">단서에 일반 쓰레기와 다른 약한 빛 효과 적용</x:t>
  </x:si>
  <x:si>
    <x:t xml:space="preserve">Q2-12 | 우정 반지 찾기</x:t>
  </x:si>
  <x:si>
    <x:t xml:space="preserve">목표물이 작고 수거 가능한 쓰레기 사이에 섞여 있어 탐색 부담이 큼</x:t>
  </x:si>
  <x:si>
    <x:t xml:space="preserve">마지막 목격 위치와 반짝임 주기를 이용해 쓰레기 사이에 섞인 작은 반지를 찾음</x:t>
  </x:si>
  <x:si>
    <x:t xml:space="preserve">6/10 – 목표물 크기·탐색 범위·가짜 후보 수가 난이도를 결정함</x:t>
  </x:si>
  <x:si>
    <x:t xml:space="preserve">쓰레기 사이에 섞인 작은 반지 발견 후 획득</x:t>
  </x:si>
  <x:si>
    <x:t xml:space="preserve">2분 50초</x:t>
  </x:si>
  <x:si>
    <x:t xml:space="preserve">90초 이상 미발견 시 탐색 범위를 단계적으로 축소</x:t>
  </x:si>
  <x:si>
    <x:t xml:space="preserve">Q2-13 | 중학생에게 반지 전달하기</x:t>
  </x:si>
  <x:si>
    <x:t xml:space="preserve">비슷한 복장의 NPC가 있어 물건의 주인을 잘못 선택할 수 있음</x:t>
  </x:si>
  <x:si>
    <x:t xml:space="preserve">의뢰 대사와 위치를 확인한 뒤 반지의 주인에게 전달함</x:t>
  </x:si>
  <x:si>
    <x:t xml:space="preserve">2/10 – NPC 후보 수·위치 이동 여부·의뢰 단서 명확성이 난이도를 결정함</x:t>
  </x:si>
  <x:si>
    <x:t xml:space="preserve">올바른 NPC에게 물품 전달</x:t>
  </x:si>
  <x:si>
    <x:t xml:space="preserve">오답 NPC 선택 시 전달이 취소되고 다시 선택</x:t>
  </x:si>
  <x:si>
    <x:t xml:space="preserve">의뢰 NPC 머리 위에 약한 대화 아이콘 표시</x:t>
  </x:si>
  <x:si>
    <x:t xml:space="preserve">Q2-14 | 남은 쓰레기 확인하기</x:t>
  </x:si>
  <x:si>
    <x:t xml:space="preserve">완료한 것처럼 보여도 남은 대상이나 오분류 항목이 존재할 수 있음</x:t>
  </x:si>
  <x:si>
    <x:t xml:space="preserve">잔여 수량과 각 구역 상태를 확인해 공원 미수거 구역과 남은 수량의 미완료 항목을 점검함</x:t>
  </x:si>
  <x:si>
    <x:t xml:space="preserve">4/10 – 검사 항목 수·오류 위치의 분산 정도가 난이도를 결정함</x:t>
  </x:si>
  <x:si>
    <x:t xml:space="preserve">잔여 수량 0 및 오류 항목 0</x:t>
  </x:si>
  <x:si>
    <x:t xml:space="preserve">조건 미달 시 완료 상호작용이 비활성화됨</x:t>
  </x:si>
  <x:si>
    <x:t xml:space="preserve">미완료 구역과 오류 수량을 별도 UI로 표시</x:t>
  </x:si>
  <x:si>
    <x:t xml:space="preserve">Q2-15 | 분리수거장으로 이동하기</x:t>
  </x:si>
  <x:si>
    <x:t xml:space="preserve">표지판·미니맵·NPC 이동 방향을 확인하며 공원에서 분리수거장까지 이동함</x:t>
  </x:si>
  <x:si>
    <x:t xml:space="preserve">공원에서 분리수거장의 도착 트리거에 진입</x:t>
  </x:si>
  <x:si>
    <x:t xml:space="preserve">Q2-16 | 일반쓰레기 분류하기</x:t>
  </x:si>
  <x:si>
    <x:t xml:space="preserve">외형이 비슷하거나 내용물이 남은 쓰레기는 분류 기준을 혼동하기 쉬움</x:t>
  </x:si>
  <x:si>
    <x:t xml:space="preserve">재질·오염 여부·남은 내용물을 확인하고 일반쓰레기 8개를 올바른 수거함에 넣음</x:t>
  </x:si>
  <x:si>
    <x:t xml:space="preserve">4/10 – 분류 종류 수·외형 유사도·오답 허용 횟수가 난이도를 결정함</x:t>
  </x:si>
  <x:si>
    <x:t xml:space="preserve">일반쓰레기 8개 전부 올바르게 분류</x:t>
  </x:si>
  <x:si>
    <x:t xml:space="preserve">오분류 5회 누적 시 해당 분류 단계 재시작</x:t>
  </x:si>
  <x:si>
    <x:t xml:space="preserve">오답 2회 후 분류 기준 그림 표시</x:t>
  </x:si>
  <x:si>
    <x:t xml:space="preserve">Q2-17 | 재활용품 분류하기</x:t>
  </x:si>
  <x:si>
    <x:t xml:space="preserve">재질·오염 여부·남은 내용물을 확인하고 플라스틱·캔·종이 10개를 올바른 수거함에 넣음</x:t>
  </x:si>
  <x:si>
    <x:t xml:space="preserve">6/10 – 분류 종류 수·외형 유사도·오답 허용 횟수가 난이도를 결정함</x:t>
  </x:si>
  <x:si>
    <x:t xml:space="preserve">플라스틱·캔·종이 10개 전부 올바르게 분류</x:t>
  </x:si>
  <x:si>
    <x:t xml:space="preserve">Q2-18 | 오염된 쓰레기 분류하기</x:t>
  </x:si>
  <x:si>
    <x:t xml:space="preserve">재질·오염 여부·남은 내용물을 확인하고 내용물이 남거나 오염된 쓰레기 6개를 올바른 수거함에 넣음</x:t>
  </x:si>
  <x:si>
    <x:t xml:space="preserve">7/10 – 분류 종류 수·외형 유사도·오답 허용 횟수가 난이도를 결정함</x:t>
  </x:si>
  <x:si>
    <x:t xml:space="preserve">내용물이 남거나 오염된 쓰레기 6개 전부 올바르게 분류</x:t>
  </x:si>
  <x:si>
    <x:t xml:space="preserve">Q2-19 | 분리수거 완료하기</x:t>
  </x:si>
  <x:si>
    <x:t xml:space="preserve">잔여 수량과 각 구역 상태를 확인해 모든 분류함과 오분류 여부의 미완료 항목을 점검함</x:t>
  </x:si>
  <x:si>
    <x:t xml:space="preserve">Q2-20 | 균열 발생을 목격하기</x:t>
  </x:si>
  <x:si>
    <x:t xml:space="preserve">카메라가 강조하는 인물과 오브젝트를 보며 분리수거장 바닥에서 열리는 도덕 균열를 확인함</x:t>
  </x:si>
  <x:si>
    <x:t xml:space="preserve">Q2-21 | 균열 구경하기</x:t>
  </x:si>
  <x:si>
    <x:t xml:space="preserve">시선·행동·복장·주변 오브젝트를 순서대로 확인해 균열의 빛·소리·주변 반응의 특징을 파악함</x:t>
  </x:si>
  <x:si>
    <x:t xml:space="preserve">4/10 – 관찰 대상 수·단서의 명확성·외형 유사도가 난이도를 결정함</x:t>
  </x:si>
  <x:si>
    <x:t xml:space="preserve">1분 35초</x:t>
  </x:si>
  <x:si>
    <x:t xml:space="preserve">Q2-22 | 집으로 귀가하기</x:t>
  </x:si>
  <x:si>
    <x:t xml:space="preserve">표지판·미니맵·NPC 이동 방향을 확인하며 공원에서 집까지 이동함</x:t>
  </x:si>
  <x:si>
    <x:t xml:space="preserve">공원에서 집의 도착 트리거에 진입</x:t>
  </x:si>
  <x:si>
    <x:t xml:space="preserve">Q2-23 | 잠자기</x:t>
  </x:si>
  <x:si>
    <x:t xml:space="preserve">다음 날로 넘어가는 상호작용임을 알아차리지 못할 수 있음</x:t>
  </x:si>
  <x:si>
    <x:t xml:space="preserve">침대를 조사하고 휴식 확인 선택지를 선택함</x:t>
  </x:si>
  <x:si>
    <x:t xml:space="preserve">1/10 – 상호작용 대상의 명확성이 난이도를 결정함</x:t>
  </x:si>
  <x:si>
    <x:t xml:space="preserve">잠자기 확인 후 다음 장면 전환</x:t>
  </x:si>
  <x:si>
    <x:t xml:space="preserve">침대에 임무 아이콘 표시</x:t>
  </x:si>
  <x:si>
    <x:t xml:space="preserve">Q3-01 | 새벽 재난 문자 확인하기</x:t>
  </x:si>
  <x:si>
    <x:t xml:space="preserve">재난 문자와 주변 효과음이 동시에 출력되어 핵심 행동을 놓칠 수 있음</x:t>
  </x:si>
  <x:si>
    <x:t xml:space="preserve">균열 인근 대피 안내의 대피 위치와 위험 지역을 먼저 확인함</x:t>
  </x:si>
  <x:si>
    <x:t xml:space="preserve">2/10 – 동시 정보량·경고 문구의 명확성이 난이도를 결정함</x:t>
  </x:si>
  <x:si>
    <x:t xml:space="preserve">재난 문자 핵심 항목 확인</x:t>
  </x:si>
  <x:si>
    <x:t xml:space="preserve">문자를 닫은 뒤 화면에 대피 목표를 고정 표시</x:t>
  </x:si>
  <x:si>
    <x:t xml:space="preserve">Q3-02 | 가족 찾기</x:t>
  </x:si>
  <x:si>
    <x:t xml:space="preserve">3/10 – 대사 길이·핵심 정보의 명확성·선택지 수가 난이도를 결정함</x:t>
  </x:si>
  <x:si>
    <x:t xml:space="preserve">부모와 동생에 관한 대화를 마지막 문장까지 진행</x:t>
  </x:si>
  <x:si>
    <x:t xml:space="preserve">Q3-03 | 비상 물품 챙기기</x:t>
  </x:si>
  <x:si>
    <x:t xml:space="preserve">제한된 가방 칸 때문에 모든 물품을 챙길 수 없고 우선순위 판단이 필요함</x:t>
  </x:si>
  <x:si>
    <x:t xml:space="preserve">대피 상황에 필요한 물품을 비교해 가방·물·손전등·구급품 중 필수 물품를 선택함</x:t>
  </x:si>
  <x:si>
    <x:t xml:space="preserve">5/10 – 후보 물품 수·인벤토리 제한·필수 조합 수가 난이도를 결정함</x:t>
  </x:si>
  <x:si>
    <x:t xml:space="preserve">필수 물품이 포함된 상태로 준비 완료</x:t>
  </x:si>
  <x:si>
    <x:t xml:space="preserve">필수 물품이 없으면 확인 단계에서 진행 불가</x:t>
  </x:si>
  <x:si>
    <x:t xml:space="preserve">필수 물품 누락 시 용도 힌트 표시</x:t>
  </x:si>
  <x:si>
    <x:t xml:space="preserve">Q3-04 | 가족들 대피시키기</x:t>
  </x:si>
  <x:si>
    <x:t xml:space="preserve">동행 NPC가 장애물에 걸리거나 플레이어와 멀어지면 대피가 중단됨</x:t>
  </x:si>
  <x:si>
    <x:t xml:space="preserve">동행자 속도에 맞춰 이동하고 위험 구역 앞에서 부모와 동생를 기다림</x:t>
  </x:si>
  <x:si>
    <x:t xml:space="preserve">6/10 – 동행 인원·속도 차이·장애물 수·허용 거리가 난이도를 결정함</x:t>
  </x:si>
  <x:si>
    <x:t xml:space="preserve">모든 동행 NPC가 대피 지점 도착</x:t>
  </x:si>
  <x:si>
    <x:t xml:space="preserve">동행 NPC가 위험 구역에 8초 이상 고립되면 재시작</x:t>
  </x:si>
  <x:si>
    <x:t xml:space="preserve">동행 NPC가 멀어지면 화면 가장자리에 방향 표시</x:t>
  </x:si>
  <x:si>
    <x:t xml:space="preserve">Q3-05 | 아파트 계단으로 이동하기</x:t>
  </x:si>
  <x:si>
    <x:t xml:space="preserve">좁은 통로·어두운 조명·장애물로 이동 경로가 제한됨</x:t>
  </x:si>
  <x:si>
    <x:t xml:space="preserve">손전등과 안전한 발판을 확인하며 정전된 계단를 통과함</x:t>
  </x:si>
  <x:si>
    <x:t xml:space="preserve">5/10 – 통로 폭·시야 범위·장애물 간격이 난이도를 결정함</x:t>
  </x:si>
  <x:si>
    <x:t xml:space="preserve">다음 층 도착 트리거 진입</x:t>
  </x:si>
  <x:si>
    <x:t xml:space="preserve">낙하 또는 장애물 피격 3회 시 구간 재시작</x:t>
  </x:si>
  <x:si>
    <x:t xml:space="preserve">안전 발판 테두리와 체크포인트 제공</x:t>
  </x:si>
  <x:si>
    <x:t xml:space="preserve">Q3-06 | 이웃 주민 구조하기</x:t>
  </x:si>
  <x:si>
    <x:t xml:space="preserve">위험이 지속되는 동안 대상 상태를 확인하고 구조 행동을 여러 번 수행해야 함</x:t>
  </x:si>
  <x:si>
    <x:t xml:space="preserve">위험 패턴이 멈춘 순간에 접근해 계단에 쓰러진 이웃 주민를 안전 지점으로 옮김</x:t>
  </x:si>
  <x:si>
    <x:t xml:space="preserve">7/10 – 위험 주기·대상 체력·이동 거리·구조 단계 수가 난이도를 결정함</x:t>
  </x:si>
  <x:si>
    <x:t xml:space="preserve">구조 대상이 안전 지점 도착</x:t>
  </x:si>
  <x:si>
    <x:t xml:space="preserve">구조 대상 체력이 0이 되면 체크포인트 재시작</x:t>
  </x:si>
  <x:si>
    <x:t xml:space="preserve">대상 체력 경고와 안전 경로 표시</x:t>
  </x:si>
  <x:si>
    <x:t xml:space="preserve">Q3-07 | 아파트 밖으로 탈출하기</x:t>
  </x:si>
  <x:si>
    <x:t xml:space="preserve">출구가 무너지고 안전 경로가 짧은 시간마다 바뀜</x:t>
  </x:si>
  <x:si>
    <x:t xml:space="preserve">붕괴 경고 표시를 보고 붕괴되는 출입구의 열린 통로로 빠르게 이동함</x:t>
  </x:si>
  <x:si>
    <x:t xml:space="preserve">7/10 – 제한시간·안전 경로 폭·장애물 발생 주기가 난이도를 결정함</x:t>
  </x:si>
  <x:si>
    <x:t xml:space="preserve">제한시간 안에 탈출 지점 도착</x:t>
  </x:si>
  <x:si>
    <x:t xml:space="preserve">제한시간 종료 또는 3회 피격 시 재시작</x:t>
  </x:si>
  <x:si>
    <x:t xml:space="preserve">실패 후 제한시간 10초 증가</x:t>
  </x:si>
  <x:si>
    <x:t xml:space="preserve">Q3-08 | 안전 구역으로 이동하기</x:t>
  </x:si>
  <x:si>
    <x:t xml:space="preserve">표지판·미니맵·NPC 이동 방향을 확인하며 아파트에서 임시 안전 구역까지 이동함</x:t>
  </x:si>
  <x:si>
    <x:t xml:space="preserve">5/10 – 맵 크기·갈림길 수·목적지 표식의 가시성이 난이도를 결정함</x:t>
  </x:si>
  <x:si>
    <x:t xml:space="preserve">아파트에서 임시 안전 구역의 도착 트리거에 진입</x:t>
  </x:si>
  <x:si>
    <x:t xml:space="preserve">Q3-09 | 괴물의 첫 습격 회피하기</x:t>
  </x:si>
  <x:si>
    <x:t xml:space="preserve">적의 시야와 공격 범위가 넓어 직선 이동만으로는 회피하기 어려움</x:t>
  </x:si>
  <x:si>
    <x:t xml:space="preserve">장애물 뒤로 이동하고 공격 예고를 확인하며 새벽에 출현한 균열 괴물의 공격을 피함</x:t>
  </x:si>
  <x:si>
    <x:t xml:space="preserve">7/10 – 적 속도·공격 범위·예고 시간·안전 지점 수가 난이도를 결정함</x:t>
  </x:si>
  <x:si>
    <x:t xml:space="preserve">회피 구간 종료 지점 도착</x:t>
  </x:si>
  <x:si>
    <x:t xml:space="preserve">체력 0 또는 연속 피격 4회 시 체크포인트 재시작</x:t>
  </x:si>
  <x:si>
    <x:t xml:space="preserve">공격 예고 시간을 늘리고 안전 지점 표시</x:t>
  </x:si>
  <x:si>
    <x:t xml:space="preserve">Q3-10 | 한도윤과 합류하기</x:t>
  </x:si>
  <x:si>
    <x:t xml:space="preserve">혼란 속에서 신호를 보내는 한도윤에 관한 대화를 마지막 문장까지 진행</x:t>
  </x:si>
  <x:si>
    <x:t xml:space="preserve">Q3-11 | 임시 대피소 도착하기</x:t>
  </x:si>
  <x:si>
    <x:t xml:space="preserve">표지판·미니맵·NPC 이동 방향을 확인하며 임시 대피소까지 이동함</x:t>
  </x:si>
  <x:si>
    <x:t xml:space="preserve">4/10 – 맵 크기·갈림길 수·목적지 표식의 가시성이 난이도를 결정함</x:t>
  </x:si>
  <x:si>
    <x:t xml:space="preserve">임시 대피소의 도착 트리거에 진입</x:t>
  </x:si>
  <x:si>
    <x:t xml:space="preserve">Q3-12 | 선의관리국 안내 듣기</x:t>
  </x:si>
  <x:si>
    <x:t xml:space="preserve">선의 측정과 등급제 설명에 관한 대화를 마지막 문장까지 진행</x:t>
  </x:si>
  <x:si>
    <x:t xml:space="preserve">Q3-13 | 선의 측정 받기</x:t>
  </x:si>
  <x:si>
    <x:t xml:space="preserve">장치 반응과 안내 문구가 평소와 달라 오류인지 결과인지 판단하기 어려움</x:t>
  </x:si>
  <x:si>
    <x:t xml:space="preserve">안내에 따라 손을 올리고 재측정 절차를 완료해 선의 측정 장치를 확인함</x:t>
  </x:si>
  <x:si>
    <x:t xml:space="preserve">4/10 – 측정 단계 수·대기 시간·비정상 결과의 설명 명확성이 난이도를 결정함</x:t>
  </x:si>
  <x:si>
    <x:t xml:space="preserve">측정 절차 모두 완료</x:t>
  </x:si>
  <x:si>
    <x:t xml:space="preserve">중간 이탈 시 측정 단계 처음부터 재진행</x:t>
  </x:si>
  <x:si>
    <x:t xml:space="preserve">현재 측정 단계와 남은 시간을 표시</x:t>
  </x:si>
  <x:si>
    <x:t xml:space="preserve">Q3-14 | 무한대 수치 재측정하기</x:t>
  </x:si>
  <x:si>
    <x:t xml:space="preserve">안내에 따라 손을 올리고 재측정 절차를 완료해 오류로 의심받는 무한대 수치를 확인함</x:t>
  </x:si>
  <x:si>
    <x:t xml:space="preserve">5/10 – 측정 단계 수·대기 시간·비정상 결과의 설명 명확성이 난이도를 결정함</x:t>
  </x:si>
  <x:si>
    <x:t xml:space="preserve">2분 10초</x:t>
  </x:si>
  <x:si>
    <x:t xml:space="preserve">Q3-15 | 영웅화 보도 확인하기</x:t>
  </x:si>
  <x:si>
    <x:t xml:space="preserve">방송 화면·시민 반응·관리국 설명이 동시에 제시되어 의미가 분산됨</x:t>
  </x:si>
  <x:si>
    <x:t xml:space="preserve">주요 보도 문구와 주변 인물 반응을 순서대로 확인해 생방송과 주변 시민의 반응를 이해함</x:t>
  </x:si>
  <x:si>
    <x:t xml:space="preserve">3/10 – 동시 정보량·필수 관찰 대상 수가 난이도를 결정함</x:t>
  </x:si>
  <x:si>
    <x:t xml:space="preserve">필수 방송 및 NPC 반응 확인</x:t>
  </x:si>
  <x:si>
    <x:t xml:space="preserve">필수 확인 대상을 목록으로 표시</x:t>
  </x:si>
  <x:si>
    <x:t xml:space="preserve">Q3-16 | 호화 숙소와 전용 지원 제안 받기</x:t>
  </x:si>
  <x:si>
    <x:t xml:space="preserve">호의처럼 보이는 제안 안에 이후 행동을 제한하는 조건이 포함되어 있음</x:t>
  </x:si>
  <x:si>
    <x:t xml:space="preserve">제안 내용과 조건을 확인해 영웅 대우를 전제로 한 관리국의 제안의 의미를 파악함</x:t>
  </x:si>
  <x:si>
    <x:t xml:space="preserve">3/10 – 조건 문구의 간접성·선택지의 감정적 부담이 난이도를 결정함</x:t>
  </x:si>
  <x:si>
    <x:t xml:space="preserve">제안 대화 종료</x:t>
  </x:si>
  <x:si>
    <x:t xml:space="preserve">제안 조건의 핵심 문구를 강조</x:t>
  </x:si>
  <x:si>
    <x:t xml:space="preserve">Q3-17 | 첫 구조 임무 수락하기</x:t>
  </x:si>
  <x:si>
    <x:t xml:space="preserve">임무 목표와 위험 요소가 한 번에 제시되어 우선순위를 놓칠 수 있음</x:t>
  </x:si>
  <x:si>
    <x:t xml:space="preserve">요청 지역·구조 대상·예상 위험을 확인한 뒤 도심 잔해 구역 구조 요청를 수락함</x:t>
  </x:si>
  <x:si>
    <x:t xml:space="preserve">3/10 – 목표 수·위험 정보량·선택지 수가 난이도를 결정함</x:t>
  </x:si>
  <x:si>
    <x:t xml:space="preserve">임무 수락 선택 완료</x:t>
  </x:si>
  <x:si>
    <x:t xml:space="preserve">수락 후 목표를 세 줄로 요약 표시</x:t>
  </x:si>
  <x:si>
    <x:t xml:space="preserve">Q3-18 | 도심 잔해 구역으로 이동하기</x:t>
  </x:si>
  <x:si>
    <x:t xml:space="preserve">표지판·미니맵·NPC 이동 방향을 확인하며 대피소에서 붕괴 지역까지 이동함</x:t>
  </x:si>
  <x:si>
    <x:t xml:space="preserve">대피소에서 붕괴 지역의 도착 트리거에 진입</x:t>
  </x:si>
  <x:si>
    <x:t xml:space="preserve">Q3-19 | 고립 시민 찾기</x:t>
  </x:si>
  <x:si>
    <x:t xml:space="preserve">잔해와 효과음 때문에 구조 신호의 방향을 정확히 판단하기 어려움</x:t>
  </x:si>
  <x:si>
    <x:t xml:space="preserve">소리 크기와 탐지기 반응을 비교하며 잔해 속 구조 신호를 탐색함</x:t>
  </x:si>
  <x:si>
    <x:t xml:space="preserve">6/10 – 탐색 범위·가짜 신호 수·제한시간이 난이도를 결정함</x:t>
  </x:si>
  <x:si>
    <x:t xml:space="preserve">모든 구조 대상 위치 확인</x:t>
  </x:si>
  <x:si>
    <x:t xml:space="preserve">제한시간 종료 시 가장 가까운 체크포인트에서 재시작</x:t>
  </x:si>
  <x:si>
    <x:t xml:space="preserve">탐지기 반응 범위를 넓히고 방향 표시 제공</x:t>
  </x:si>
  <x:si>
    <x:t xml:space="preserve">Q3-20 | 잔해 제거하기</x:t>
  </x:si>
  <x:si>
    <x:t xml:space="preserve">잔해마다 필요한 조작과 안전한 제거 순서가 다름</x:t>
  </x:si>
  <x:si>
    <x:t xml:space="preserve">균열이 적은 잔해부터 선택하고 반복 입력으로 통로를 막는 잔해 6개를 제거함</x:t>
  </x:si>
  <x:si>
    <x:t xml:space="preserve">7/10 – 잔해 수·입력 횟수·위험 순서·피격 빈도가 난이도를 결정함</x:t>
  </x:si>
  <x:si>
    <x:t xml:space="preserve">통로를 막는 잔해 전부 제거</x:t>
  </x:si>
  <x:si>
    <x:t xml:space="preserve">위험 잔해를 먼저 제거하면 체력 감소 및 진행 지연</x:t>
  </x:si>
  <x:si>
    <x:t xml:space="preserve">3분 20초</x:t>
  </x:si>
  <x:si>
    <x:t xml:space="preserve">안전한 제거 순서를 색이 아닌 아이콘으로 표시</x:t>
  </x:si>
  <x:si>
    <x:t xml:space="preserve">Q3-21 | 시민 대피 유도하기</x:t>
  </x:si>
  <x:si>
    <x:t xml:space="preserve">시민들이 서로 다른 속도로 이동하고 공포 상태에서 경로를 이탈함</x:t>
  </x:si>
  <x:si>
    <x:t xml:space="preserve">가장 느린 시민 속도에 맞추고 위험 앞에서 집결 명령을 사용함</x:t>
  </x:si>
  <x:si>
    <x:t xml:space="preserve">7/10 – 동행 인원·속도 편차·위험 구간 수·명령 재사용 시간이 난이도를 결정함</x:t>
  </x:si>
  <x:si>
    <x:t xml:space="preserve">고립 시민 5명 전원이 안전 지점 도착</x:t>
  </x:si>
  <x:si>
    <x:t xml:space="preserve">시민 1명이라도 체력 0이 되면 체크포인트 재시작</x:t>
  </x:si>
  <x:si>
    <x:t xml:space="preserve">3분 10초</x:t>
  </x:si>
  <x:si>
    <x:t xml:space="preserve">이탈 시민 방향과 안전 경로를 표시</x:t>
  </x:si>
  <x:si>
    <x:t xml:space="preserve">Q3-22 | 균열 괴물과 첫 전투 치르기</x:t>
  </x:si>
  <x:si>
    <x:t xml:space="preserve">공격·회피·회복 조작을 처음 전투에서 동시에 익혀야 함</x:t>
  </x:si>
  <x:si>
    <x:t xml:space="preserve">공격 예고를 보고 회피한 뒤 빈틈에 공격하며 하급 균열 괴물를 처치함</x:t>
  </x:si>
  <x:si>
    <x:t xml:space="preserve">7/10 – 적 수·공격 빈도·회피 타이밍·회복 수단이 난이도를 결정함</x:t>
  </x:si>
  <x:si>
    <x:t xml:space="preserve">모든 적 처치 및 주인공 생존</x:t>
  </x:si>
  <x:si>
    <x:t xml:space="preserve">주인공 체력 0 시 전투 시작 지점 재시작</x:t>
  </x:si>
  <x:si>
    <x:t xml:space="preserve">3분 40초</x:t>
  </x:si>
  <x:si>
    <x:t xml:space="preserve">첫 패턴은 느리게 재생하고 회복 아이템 자동 지급</x:t>
  </x:si>
  <x:si>
    <x:t xml:space="preserve">Q3-23 | 구조 임무 완료 보고하기</x:t>
  </x:si>
  <x:si>
    <x:t xml:space="preserve">완료 정보와 새로 발견한 사실 중 무엇을 보고해야 하는지 구분해야 함</x:t>
  </x:si>
  <x:si>
    <x:t xml:space="preserve">임무 결과·인원·특이사항을 확인하고 구조 인원과 현장 상태를 순서대로 보고함</x:t>
  </x:si>
  <x:si>
    <x:t xml:space="preserve">2/10 – 보고 항목 수·정보 분산 정도가 난이도를 결정함</x:t>
  </x:si>
  <x:si>
    <x:t xml:space="preserve">필수 보고 항목 모두 선택</x:t>
  </x:si>
  <x:si>
    <x:t xml:space="preserve">누락 항목이 있으면 보고 완료 불가</x:t>
  </x:si>
  <x:si>
    <x:t xml:space="preserve">미보고 항목을 체크리스트로 표시</x:t>
  </x:si>
  <x:si>
    <x:t xml:space="preserve">Q3-24 | 시민들의 연속 부탁 처리하기</x:t>
  </x:si>
  <x:si>
    <x:t xml:space="preserve">작은 목표가 연속으로 추가되어 피로와 동선 낭비가 누적됨</x:t>
  </x:si>
  <x:si>
    <x:t xml:space="preserve">요청 위치를 묶어 처리하고 우선순위를 정해 작은 부탁이 끊임없이 추가되는 상황를 완료함</x:t>
  </x:si>
  <x:si>
    <x:t xml:space="preserve">7/10 – 요청 수·이동 거리·동시 활성 목표 수가 난이도를 결정함</x:t>
  </x:si>
  <x:si>
    <x:t xml:space="preserve">필수 부탁 전부 완료</x:t>
  </x:si>
  <x:si>
    <x:t xml:space="preserve">필수 부탁을 포기하면 해당 구간 보상 감소</x:t>
  </x:si>
  <x:si>
    <x:t xml:space="preserve">4분</x:t>
  </x:si>
  <x:si>
    <x:t xml:space="preserve">비슷한 위치의 부탁을 한 묶음으로 지도에 표시</x:t>
  </x:si>
  <x:si>
    <x:t xml:space="preserve">Q3-25 | 자아 마모도 변화 확인하기</x:t>
  </x:si>
  <x:si>
    <x:t xml:space="preserve">UI 변화가 서서히 나타나 원인과 의미를 알아차리기 어려움</x:t>
  </x:si>
  <x:si>
    <x:t xml:space="preserve">이전 상태와 비교하며 표정·UI 색상·독백 변화의 변화 단계를 확인함</x:t>
  </x:si>
  <x:si>
    <x:t xml:space="preserve">4/10 – 변화의 시각적 차이·설명 문구의 명확성이 난이도를 결정함</x:t>
  </x:si>
  <x:si>
    <x:t xml:space="preserve">상태 안내와 독백 확인</x:t>
  </x:si>
  <x:si>
    <x:t xml:space="preserve">첫 변화 발생 시 이전·현재 상태 비교 창 제공</x:t>
  </x:si>
  <x:si>
    <x:t xml:space="preserve">Q3-26 | 다음 출동 준비하기</x:t>
  </x:si>
  <x:si>
    <x:t xml:space="preserve">장비·회복품·동료 상태를 동시에 확인해야 하며 준비 누락이 다음 임무에 영향을 줌</x:t>
  </x:si>
  <x:si>
    <x:t xml:space="preserve">체력과 보유 자원을 확인해 회복 아이템·장비·동료 상태를 기준 이상으로 맞춤</x:t>
  </x:si>
  <x:si>
    <x:t xml:space="preserve">5/10 – 확인 항목 수·인벤토리 복잡도·추천 정보가 난이도를 결정함</x:t>
  </x:si>
  <x:si>
    <x:t xml:space="preserve">필수 장비 장착 및 회복품 보유</x:t>
  </x:si>
  <x:si>
    <x:t xml:space="preserve">필수 장비 미장착 시 출동 불가</x:t>
  </x:si>
  <x:si>
    <x:t xml:space="preserve">누락 항목 경고와 추천 장비 표시</x:t>
  </x:si>
  <x:si>
    <x:t xml:space="preserve">Q4-01 | 폐교 조사 명령 받기</x:t>
  </x:si>
  <x:si>
    <x:t xml:space="preserve">관리국의 공식 목표와 주인공이 느끼는 개인적 목적이 다름</x:t>
  </x:si>
  <x:si>
    <x:t xml:space="preserve">대화와 자료를 확인해 폐교 균열 조사와 실종자 수색의 공식 목표와 숨은 위험을 구분함</x:t>
  </x:si>
  <x:si>
    <x:t xml:space="preserve">3/10 – 목표 간 충돌 정도·브리핑 정보량이 난이도를 결정함</x:t>
  </x:si>
  <x:si>
    <x:t xml:space="preserve">명령 브리핑 종료</x:t>
  </x:si>
  <x:si>
    <x:t xml:space="preserve">브리핑 종료 후 공식 목표와 개인 목표를 분리 표시</x:t>
  </x:si>
  <x:si>
    <x:t xml:space="preserve">Q4-02 | 조사 장비 수령하기</x:t>
  </x:si>
  <x:si>
    <x:t xml:space="preserve">장비 칸이 제한되어 탐색과 전투 장비를 모두 챙길 수 없음</x:t>
  </x:si>
  <x:si>
    <x:t xml:space="preserve">예상 위험에 맞춰 손전등·회복품·탐지기·전투 장비 중 필수 장비를 선택함</x:t>
  </x:si>
  <x:si>
    <x:t xml:space="preserve">4/10 – 장비 후보 수·슬롯 제한·역할 중복이 난이도를 결정함</x:t>
  </x:si>
  <x:si>
    <x:t xml:space="preserve">필수 장비가 포함된 상태로 준비 완료</x:t>
  </x:si>
  <x:si>
    <x:t xml:space="preserve">필수 장비 누락 시 출발 불가</x:t>
  </x:si>
  <x:si>
    <x:t xml:space="preserve">장비 역할과 추천 조합 표시</x:t>
  </x:si>
  <x:si>
    <x:t xml:space="preserve">Q4-03 | 고등급자 파티에 합류하기</x:t>
  </x:si>
  <x:si>
    <x:t xml:space="preserve">동료마다 역할과 행동 우선순위가 달라 협력 방식을 이해해야 함</x:t>
  </x:si>
  <x:si>
    <x:t xml:space="preserve">대화를 통해 역할이 다른 고등급자 3명의 역할과 지원 조건을 확인함</x:t>
  </x:si>
  <x:si>
    <x:t xml:space="preserve">4/10 – 파티원 수·역할 차이·지원 조건 수가 난이도를 결정함</x:t>
  </x:si>
  <x:si>
    <x:t xml:space="preserve">모든 파티원 소개 및 역할 확인</x:t>
  </x:si>
  <x:si>
    <x:t xml:space="preserve">전투 UI에 역할 아이콘 고정 표시</x:t>
  </x:si>
  <x:si>
    <x:t xml:space="preserve">Q4-04 | 폐교 정문에 도착하기</x:t>
  </x:si>
  <x:si>
    <x:t xml:space="preserve">목적지 주변에 잘못된 진입로와 위험 오브젝트가 배치되어 있음</x:t>
  </x:si>
  <x:si>
    <x:t xml:space="preserve">탐지기와 표지물을 확인하며 폐교 정문의 안전한 진입로로 이동함</x:t>
  </x:si>
  <x:si>
    <x:t xml:space="preserve">4/10 – 진입로 수·위험 구역 범위·탐지기 명확성이 난이도를 결정함</x:t>
  </x:si>
  <x:si>
    <x:t xml:space="preserve">목적지 도착</x:t>
  </x:si>
  <x:si>
    <x:t xml:space="preserve">위험 지역 진입 후 체력 0 시 체크포인트 재시작</x:t>
  </x:si>
  <x:si>
    <x:t xml:space="preserve">안전 진입로에 탐지기 반응 강화</x:t>
  </x:si>
  <x:si>
    <x:t xml:space="preserve">Q4-05 | 정문 봉인 해제하기</x:t>
  </x:si>
  <x:si>
    <x:t xml:space="preserve">여러 장치와 열쇠 조건을 올바른 순서로 충족해야 함</x:t>
  </x:si>
  <x:si>
    <x:t xml:space="preserve">주변 단서와 장치 반응을 확인해 균열 문양 4개를 순서대로 해제함</x:t>
  </x:si>
  <x:si>
    <x:t xml:space="preserve">6/10 – 단계 수·단서 위치·오답 초기화 범위가 난이도를 결정함</x:t>
  </x:si>
  <x:si>
    <x:t xml:space="preserve">모든 봉인 조건 해제</x:t>
  </x:si>
  <x:si>
    <x:t xml:space="preserve">오답 입력 5회 시 장치 초기화</x:t>
  </x:si>
  <x:si>
    <x:t xml:space="preserve">오답 후 잘못된 단계만 표시</x:t>
  </x:si>
  <x:si>
    <x:t xml:space="preserve">Q4-06 | 본관 1층 탐색하기</x:t>
  </x:si>
  <x:si>
    <x:t xml:space="preserve">방 구조가 반복되고 일부 길이 연결되어 현재 위치를 잃기 쉬움</x:t>
  </x:si>
  <x:si>
    <x:t xml:space="preserve">지도에 방문 구역을 표시하며 교실·교무실·복도를 한 방향으로 탐색함</x:t>
  </x:si>
  <x:si>
    <x:t xml:space="preserve">6/10 – 방 수·연결 구조·지도 정보량이 난이도를 결정함</x:t>
  </x:si>
  <x:si>
    <x:t xml:space="preserve">필수 구역과 상호작용 대상 모두 확인</x:t>
  </x:si>
  <x:si>
    <x:t xml:space="preserve">3분 30초</x:t>
  </x:si>
  <x:si>
    <x:t xml:space="preserve">방문한 문과 미방문 문을 아이콘으로 구분</x:t>
  </x:si>
  <x:si>
    <x:t xml:space="preserve">Q4-07 | 환영체 회피하기</x:t>
  </x:si>
  <x:si>
    <x:t xml:space="preserve">적이 소리에 반응하고 시야 밖에서도 이동해 안전 구간을 예측하기 어려움</x:t>
  </x:si>
  <x:si>
    <x:t xml:space="preserve">적 이동 소리와 순찰 경로를 확인해 소리에 반응하는 환영체를 피하며 이동함</x:t>
  </x:si>
  <x:si>
    <x:t xml:space="preserve">7/10 – 적 감지 범위·순찰 주기·은폐물 간격이 난이도를 결정함</x:t>
  </x:si>
  <x:si>
    <x:t xml:space="preserve">발각되지 않거나 추적을 끊고 종료 지점 도착</x:t>
  </x:si>
  <x:si>
    <x:t xml:space="preserve">연속 발각 3회 또는 체력 0 시 체크포인트 재시작</x:t>
  </x:si>
  <x:si>
    <x:t xml:space="preserve">실패 후 적 청각 범위 감소</x:t>
  </x:si>
  <x:si>
    <x:t xml:space="preserve">Q4-08 | 교실 기억 단서 수집하기</x:t>
  </x:si>
  <x:si>
    <x:t xml:space="preserve">필수 단서가 여러 방에 흩어져 있고 일부는 환영 연출 뒤에 숨겨짐</x:t>
  </x:si>
  <x:si>
    <x:t xml:space="preserve">방문 기록과 단서 목록을 확인하며 친구의 과거를 보여주는 기억 단서 5개를 수집함</x:t>
  </x:si>
  <x:si>
    <x:t xml:space="preserve">6/10 – 단서 수·방 분산 정도·환영 연출 길이가 난이도를 결정함</x:t>
  </x:si>
  <x:si>
    <x:t xml:space="preserve">필수 기억 단서 전부 수집</x:t>
  </x:si>
  <x:si>
    <x:t xml:space="preserve">단서 부족 시 다음 퍼즐 활성화 불가</x:t>
  </x:si>
  <x:si>
    <x:t xml:space="preserve">미수집 단서가 있는 방에 지도 표시</x:t>
  </x:si>
  <x:si>
    <x:t xml:space="preserve">Q4-09 | 컴퓨터 잠금 퍼즐 해결하기</x:t>
  </x:si>
  <x:si>
    <x:t xml:space="preserve">여러 단서를 조합해 입력 순서나 의미를 추론해야 함</x:t>
  </x:si>
  <x:si>
    <x:t xml:space="preserve">수집한 기록을 비교하고 교실 단서를 순서대로 입력하는 잠금 장치의 규칙에 맞게 단계별로 입력함</x:t>
  </x:si>
  <x:si>
    <x:t xml:space="preserve">7/10 – 단서 수·추론 단계·오답 페널티·초기화 범위가 난이도를 결정함</x:t>
  </x:si>
  <x:si>
    <x:t xml:space="preserve">정답 순서 완성</x:t>
  </x:si>
  <x:si>
    <x:t xml:space="preserve">오답 누적 시 퍼즐 단계 일부 초기화</x:t>
  </x:si>
  <x:si>
    <x:t xml:space="preserve">오답 3회 후 사용하지 않은 단서 강조</x:t>
  </x:si>
  <x:si>
    <x:t xml:space="preserve">Q4-10 | 본관 2층으로 이동하기</x:t>
  </x:si>
  <x:si>
    <x:t xml:space="preserve">손전등과 안전한 발판을 확인하며 붕괴된 계단를 통과함</x:t>
  </x:si>
  <x:si>
    <x:t xml:space="preserve">Q4-11 | 학교폭력 흔적 조사하기</x:t>
  </x:si>
  <x:si>
    <x:t xml:space="preserve">시선·행동·복장·주변 오브젝트를 순서대로 확인해 낙서·찢어진 공책·잠긴 사물함의 특징을 파악함</x:t>
  </x:si>
  <x:si>
    <x:t xml:space="preserve">6/10 – 관찰 대상 수·단서의 명확성·외형 유사도가 난이도를 결정함</x:t>
  </x:si>
  <x:si>
    <x:t xml:space="preserve">Q4-12 | 선택의 분기 퍼즐 해결하기</x:t>
  </x:si>
  <x:si>
    <x:t xml:space="preserve">수집한 기록을 비교하고 서로 다른 기억 문을 선택하는 퍼즐의 규칙에 맞게 단계별로 입력함</x:t>
  </x:si>
  <x:si>
    <x:t xml:space="preserve">8/10 – 단서 수·추론 단계·오답 페널티·초기화 범위가 난이도를 결정함</x:t>
  </x:si>
  <x:si>
    <x:t xml:space="preserve">Q4-13 | 아군 환영 구분하기</x:t>
  </x:si>
  <x:si>
    <x:t xml:space="preserve">환영이 동료의 외형과 목소리를 복제해 단순 외형만으로 구분할 수 없음</x:t>
  </x:si>
  <x:si>
    <x:t xml:space="preserve">이전 대화와 행동 습관을 비교해 동료와 똑같이 행동하는 환영를 판별함</x:t>
  </x:si>
  <x:si>
    <x:t xml:space="preserve">8/10 – 후보 수·복제 정확도·행동 단서의 명확성이 난이도를 결정함</x:t>
  </x:si>
  <x:si>
    <x:t xml:space="preserve">진짜 동료 전원 선택</x:t>
  </x:si>
  <x:si>
    <x:t xml:space="preserve">환영 선택 시 전투 또는 체력 감소 발생</x:t>
  </x:si>
  <x:si>
    <x:t xml:space="preserve">오답 후 구분 가능한 행동 단서 1개 표시</x:t>
  </x:si>
  <x:si>
    <x:t xml:space="preserve">Q4-14 | 본관 3층으로 이동하기</x:t>
  </x:si>
  <x:si>
    <x:t xml:space="preserve">손전등과 안전한 발판을 확인하며 환영이 반복되는 계단를 통과함</x:t>
  </x:si>
  <x:si>
    <x:t xml:space="preserve">6/10 – 통로 폭·시야 범위·장애물 간격이 난이도를 결정함</x:t>
  </x:si>
  <x:si>
    <x:t xml:space="preserve">Q4-15 | 친구의 목소리 추적하기</x:t>
  </x:si>
  <x:si>
    <x:t xml:space="preserve">반사음과 가짜 목소리 때문에 실제 방향을 잘못 판단할 수 있음</x:t>
  </x:si>
  <x:si>
    <x:t xml:space="preserve">소리 크기 변화와 파티원의 반응을 비교하며 복도마다 방향이 달라지는 목소리를 추적함</x:t>
  </x:si>
  <x:si>
    <x:t xml:space="preserve">7/10 – 가짜 신호 수·방향 변화 빈도·이동 거리의 차이가 난이도를 결정함</x:t>
  </x:si>
  <x:si>
    <x:t xml:space="preserve">올바른 강당 방향 도착</x:t>
  </x:si>
  <x:si>
    <x:t xml:space="preserve">가짜 경로 끝에 도달하면 추가 환영 전투 발생</x:t>
  </x:si>
  <x:si>
    <x:t xml:space="preserve">정체 45초 후 실제 방향의 음량을 강화</x:t>
  </x:si>
  <x:si>
    <x:t xml:space="preserve">Q4-16 | 강당 열쇠 찾기</x:t>
  </x:si>
  <x:si>
    <x:t xml:space="preserve">구역별 표지와 상품 외형을 비교하며 관리실·음악실·방송실의 열쇠 후보를 조사함</x:t>
  </x:si>
  <x:si>
    <x:t xml:space="preserve">7/10 – 후보 오브젝트 수·외형 유사도·탐색 범위가 난이도를 결정함</x:t>
  </x:si>
  <x:si>
    <x:t xml:space="preserve">관리실·음악실·방송실의 열쇠 후보 발견 및 조사 완료</x:t>
  </x:si>
  <x:si>
    <x:t xml:space="preserve">Q4-17 | 강당에 진입하기</x:t>
  </x:si>
  <x:si>
    <x:t xml:space="preserve">주변 단서와 장치 반응을 확인해 봉인된 강당 출입문를 순서대로 해제함</x:t>
  </x:si>
  <x:si>
    <x:t xml:space="preserve">5/10 – 단계 수·단서 위치·오답 초기화 범위가 난이도를 결정함</x:t>
  </x:si>
  <x:si>
    <x:t xml:space="preserve">Q4-18 | 괴물형 보스 1페이즈 공략하기</x:t>
  </x:si>
  <x:si>
    <x:t xml:space="preserve">넓은 공격 범위와 소환 패턴이 겹쳐 이동 공간이 빠르게 줄어듦</x:t>
  </x:si>
  <x:si>
    <x:t xml:space="preserve">공격 예고를 보고 안전 구역으로 이동한 뒤 소환체부터 제거하며 친구의 괴물형 보스를 공략함</x:t>
  </x:si>
  <x:si>
    <x:t xml:space="preserve">9/10 – 패턴 수·공격 범위·소환체 수·안전 구역 크기가 난이도를 결정함</x:t>
  </x:si>
  <x:si>
    <x:t xml:space="preserve">보스 체력 50% 이하 도달</x:t>
  </x:si>
  <x:si>
    <x:t xml:space="preserve">주인공 또는 필수 동료 전멸 시 페이즈 재시작</x:t>
  </x:si>
  <x:si>
    <x:t xml:space="preserve">5분</x:t>
  </x:si>
  <x:si>
    <x:t xml:space="preserve">3회 실패 후 공격 예고 시간 증가</x:t>
  </x:si>
  <x:si>
    <x:t xml:space="preserve">Q4-19 | 기억 개입 패턴 공략하기</x:t>
  </x:si>
  <x:si>
    <x:t xml:space="preserve">가짜 기억과 실제 전투 화면이 겹쳐 입력 대상과 회피 방향을 혼동함</x:t>
  </x:si>
  <x:si>
    <x:t xml:space="preserve">기억 속 모순 단서를 찾아 가짜 기억을 강제로 재생하는 패턴를 끊고 실제 공격 타이밍에 회피함</x:t>
  </x:si>
  <x:si>
    <x:t xml:space="preserve">9/10 – 동시 정보량·모순 단서 수·입력 제한시간이 난이도를 결정함</x:t>
  </x:si>
  <x:si>
    <x:t xml:space="preserve">기억 개입 패턴 전부 해제</x:t>
  </x:si>
  <x:si>
    <x:t xml:space="preserve">오답 선택 누적 시 죄책감 수치와 피격 위험 증가</x:t>
  </x:si>
  <x:si>
    <x:t xml:space="preserve">4분 20초</x:t>
  </x:si>
  <x:si>
    <x:t xml:space="preserve">실패 후 모순 단서 노출 시간을 늘림</x:t>
  </x:si>
  <x:si>
    <x:t xml:space="preserve">Q4-20 | 인간형 보스 2페이즈 공략하기</x:t>
  </x:si>
  <x:si>
    <x:t xml:space="preserve">빠른 공격과 선택 강요 패턴이 연속으로 이어져 회복할 시간이 부족함</x:t>
  </x:si>
  <x:si>
    <x:t xml:space="preserve">거리 유지와 방어를 우선하고 선택 패턴이 끝난 직후 빠른 근접 공격과 선택 강요 패턴를 공격함</x:t>
  </x:si>
  <x:si>
    <x:t xml:space="preserve">10/10 – 공격 속도·연속 패턴 수·회복 가능 시간·선택 제한시간이 난이도를 결정함</x:t>
  </x:si>
  <x:si>
    <x:t xml:space="preserve">보스 체력 0 또는 인간형 상태 해제</x:t>
  </x:si>
  <x:si>
    <x:t xml:space="preserve">파티 전멸 시 2페이즈 시작 지점 재시작</x:t>
  </x:si>
  <x:si>
    <x:t xml:space="preserve">5분 40초</x:t>
  </x:si>
  <x:si>
    <x:t xml:space="preserve">반복 실패 시 회복 아이템 1개 추가</x:t>
  </x:si>
  <x:si>
    <x:t xml:space="preserve">Q4-21 | 죄책감 축적 패턴 버티기</x:t>
  </x:si>
  <x:si>
    <x:t xml:space="preserve">공격 회피만으로 해결되지 않고 이전 선택에 따라 누적 수치가 달라짐</x:t>
  </x:si>
  <x:si>
    <x:t xml:space="preserve">안전 행동을 유지하고 올바른 기억 선택으로 피격보다 선택 실패로 쌓이는 죄책감의 누적을 낮춤</x:t>
  </x:si>
  <x:si>
    <x:t xml:space="preserve">9/10 – 누적 속도·감소 수단·제한시간·체력 회복량이 난이도를 결정함</x:t>
  </x:si>
  <x:si>
    <x:t xml:space="preserve">제한시간 동안 생존하고 죄책감 수치 기준 이하 유지</x:t>
  </x:si>
  <x:si>
    <x:t xml:space="preserve">죄책감 최대치 또는 체력 0 시 재시작</x:t>
  </x:si>
  <x:si>
    <x:t xml:space="preserve">3분 50초</x:t>
  </x:si>
  <x:si>
    <x:t xml:space="preserve">누적 수치가 높을 때 감소 가능한 선택을 강조</x:t>
  </x:si>
  <x:si>
    <x:t xml:space="preserve">Q4-22 | 친구에게 다가가기</x:t>
  </x:si>
  <x:si>
    <x:t xml:space="preserve">보스가 공격을 멈추더라도 잔류 패턴과 화면 왜곡이 계속됨</x:t>
  </x:si>
  <x:si>
    <x:t xml:space="preserve">잔류 공격 사이의 빈틈을 이용해 공격을 멈춘 친구에게 접근에 단계적으로 접근함</x:t>
  </x:si>
  <x:si>
    <x:t xml:space="preserve">8/10 – 잔류 패턴 수·안전 구간 길이·필요 접근 횟수가 난이도를 결정함</x:t>
  </x:si>
  <x:si>
    <x:t xml:space="preserve">보스 앞 상호작용 지점 도착</x:t>
  </x:si>
  <x:si>
    <x:t xml:space="preserve">잔류 공격에 4회 피격 시 구간 재시작</x:t>
  </x:si>
  <x:si>
    <x:t xml:space="preserve">접근 실패 후 안전 지점 표시</x:t>
  </x:si>
  <x:si>
    <x:t xml:space="preserve">Q4-23 | 친구를 포옹하기</x:t>
  </x:si>
  <x:si>
    <x:t xml:space="preserve">전투에서 사용하던 공격 입력과 반대되는 행동을 선택해야 함</x:t>
  </x:si>
  <x:si>
    <x:t xml:space="preserve">주인공의 기억과 친구의 상태를 확인하고 처치 대신 포옹하는 선택를 선택함</x:t>
  </x:si>
  <x:si>
    <x:t xml:space="preserve">5/10 – 기존 조작 습관과 선택의 감정적 부담이 난이도를 결정함</x:t>
  </x:si>
  <x:si>
    <x:t xml:space="preserve">포옹 상호작용 완료</x:t>
  </x:si>
  <x:si>
    <x:t xml:space="preserve">공격 선택 시 다른 결말 분기로 전환</x:t>
  </x:si>
  <x:si>
    <x:t xml:space="preserve">상호작용 직전 공격 버튼 안내를 숨기고 선택 문구 강조</x:t>
  </x:si>
  <x:si>
    <x:t xml:space="preserve">Q4-24 | 친구를 인간으로 복원하기</x:t>
  </x:si>
  <x:si>
    <x:t xml:space="preserve">복원 과정 중 친구의 상태와 주인공의 선의 수치를 동시에 유지해야 함</x:t>
  </x:si>
  <x:si>
    <x:t xml:space="preserve">안내되는 타이밍에 상호작용해 선의가 고갈된 친구의 변이 수치를 단계적으로 낮춤</x:t>
  </x:si>
  <x:si>
    <x:t xml:space="preserve">4/10 – 입력 타이밍·유지 시간·실패 시 초기화 범위가 난이도를 결정함</x:t>
  </x:si>
  <x:si>
    <x:t xml:space="preserve">복원 게이지 100% 달성</x:t>
  </x:si>
  <x:si>
    <x:t xml:space="preserve">중단 게이지 최대 시 복원 단계 재시작</x:t>
  </x:si>
  <x:si>
    <x:t xml:space="preserve">입력 타이밍 범위를 넓히고 단계 체크포인트 제공</x:t>
  </x:si>
  <x:si>
    <x:t xml:space="preserve">Q4-25 | 폐교에서 탈출하기</x:t>
  </x:si>
  <x:si>
    <x:t xml:space="preserve">붕괴로 기존 길이 막히고 동료와 함께 제한시간 안에 탈출해야 함</x:t>
  </x:si>
  <x:si>
    <x:t xml:space="preserve">새로 열린 우회로를 따라가며 붕괴하는 폐교에서 파티원을 기다림</x:t>
  </x:si>
  <x:si>
    <x:t xml:space="preserve">7/10 – 제한시간·우회로 길이·동행 인원·붕괴 주기가 난이도를 결정함</x:t>
  </x:si>
  <x:si>
    <x:t xml:space="preserve">모든 생존 파티원이 출구 도착</x:t>
  </x:si>
  <x:si>
    <x:t xml:space="preserve">제한시간 종료 또는 파티원 전멸 시 재시작</x:t>
  </x:si>
  <x:si>
    <x:t xml:space="preserve">실패 후 붕괴 주기 완화 및 우회로 표시</x:t>
  </x:si>
  <x:si>
    <x:t xml:space="preserve">Q4-26 | 관리국에 귀환 보고하기</x:t>
  </x:si>
  <x:si>
    <x:t xml:space="preserve">임무 결과·인원·특이사항을 확인하고 친구 복원 사실과 균열 정보를 순서대로 보고함</x:t>
  </x:si>
  <x:si>
    <x:t xml:space="preserve">3/10 – 보고 항목 수·정보 분산 정도가 난이도를 결정함</x:t>
  </x:si>
  <x:si>
    <x:t xml:space="preserve">Q5-01 | 균열 탐색 명령 확인하기</x:t>
  </x:si>
  <x:si>
    <x:t xml:space="preserve">공식 명령과 주인공의 생존 가능성이 충돌해 목표를 단순히 받아들이기 어려움</x:t>
  </x:si>
  <x:si>
    <x:t xml:space="preserve">자료와 대화를 확인해 주인공만 진입 가능한 대형 균열의 목적과 위험을 이해함</x:t>
  </x:si>
  <x:si>
    <x:t xml:space="preserve">3/10 – 정보 비대칭·목표 충돌 정도가 난이도를 결정함</x:t>
  </x:si>
  <x:si>
    <x:t xml:space="preserve">최종 브리핑 종료</x:t>
  </x:si>
  <x:si>
    <x:t xml:space="preserve">명령의 공개 정보와 숨겨진 조건을 구분해 표시</x:t>
  </x:si>
  <x:si>
    <x:t xml:space="preserve">Q5-02 | 강제 출동 압박 견디기</x:t>
  </x:si>
  <x:si>
    <x:t xml:space="preserve">여러 인물이 서로 다른 이유로 같은 희생을 요구해 감정적 압박이 커짐</x:t>
  </x:si>
  <x:si>
    <x:t xml:space="preserve">각 인물의 요구와 주인공의 상태를 비교하며 가족·관리국·시민의 희생 요구의 의미를 판단함</x:t>
  </x:si>
  <x:si>
    <x:t xml:space="preserve">6/10 – 요구 인물 수·대사 강도·선택지의 감정적 부담이 난이도를 결정함</x:t>
  </x:si>
  <x:si>
    <x:t xml:space="preserve">압박 대화 전부 확인</x:t>
  </x:si>
  <x:si>
    <x:t xml:space="preserve">대화 사이에 독백과 상태 확인 시간을 제공</x:t>
  </x:si>
  <x:si>
    <x:t xml:space="preserve">Q5-03 | 균열 중심부로 이동하기</x:t>
  </x:si>
  <x:si>
    <x:t xml:space="preserve">표지판·미니맵·NPC 이동 방향을 확인하며 도시에서 대형 균열 중심까지 이동함</x:t>
  </x:si>
  <x:si>
    <x:t xml:space="preserve">6/10 – 맵 크기·갈림길 수·목적지 표식의 가시성이 난이도를 결정함</x:t>
  </x:si>
  <x:si>
    <x:t xml:space="preserve">도시에서 대형 균열 중심의 도착 트리거에 진입</x:t>
  </x:si>
  <x:si>
    <x:t xml:space="preserve">Q5-04 | 균열 내부에 진입하기</x:t>
  </x:si>
  <x:si>
    <x:t xml:space="preserve">공간 왜곡으로 이동 방향과 상호작용 위치가 계속 바뀜</x:t>
  </x:si>
  <x:si>
    <x:t xml:space="preserve">고정된 빛 표식과 바닥 파동을 기준으로 왜곡된 진입 통로의 통로를 통과함</x:t>
  </x:si>
  <x:si>
    <x:t xml:space="preserve">7/10 – 화면 왜곡 강도·안전 표식 수·통로 폭이 난이도를 결정함</x:t>
  </x:si>
  <x:si>
    <x:t xml:space="preserve">균열 내부 첫 구역 도착</x:t>
  </x:si>
  <x:si>
    <x:t xml:space="preserve">왜곡 구역 낙하 3회 시 체크포인트 재시작</x:t>
  </x:si>
  <x:si>
    <x:t xml:space="preserve">실패 후 고정 표식의 밝기 증가</x:t>
  </x:si>
  <x:si>
    <x:t xml:space="preserve">Q5-05 | 선의 조각 수집하기</x:t>
  </x:si>
  <x:si>
    <x:t xml:space="preserve">자원이 움직이는 지형과 위험 구역에 분산되어 수집 동선이 길어짐</x:t>
  </x:si>
  <x:si>
    <x:t xml:space="preserve">위험 주기를 피하며 가까운 순서로 균열 내부에 흩어진 선의 조각 8개를 수집함</x:t>
  </x:si>
  <x:si>
    <x:t xml:space="preserve">7/10 – 목표 수량·배치 거리·위험 주기·이동 지형이 난이도를 결정함</x:t>
  </x:si>
  <x:si>
    <x:t xml:space="preserve">필수 자원 전부 수집</x:t>
  </x:si>
  <x:si>
    <x:t xml:space="preserve">필수 수량 미달 시 심층부 통로 활성화 불가</x:t>
  </x:si>
  <x:si>
    <x:t xml:space="preserve">남은 자원의 대략적 방향과 거리 표시</x:t>
  </x:si>
  <x:si>
    <x:t xml:space="preserve">Q5-06 | 과거 기억 재생하기</x:t>
  </x:si>
  <x:si>
    <x:t xml:space="preserve">현재와 과거 장면이 교차해 사건의 시간 순서를 혼동할 수 있음</x:t>
  </x:si>
  <x:si>
    <x:t xml:space="preserve">반복되는 사물과 대사를 기준으로 주인공의 탄생과 가족의 기억의 순서를 맞춤</x:t>
  </x:si>
  <x:si>
    <x:t xml:space="preserve">5/10 – 장면 수·시간 순서의 복잡도·인물 수가 난이도를 결정함</x:t>
  </x:si>
  <x:si>
    <x:t xml:space="preserve">필수 기억 장면 모두 확인</x:t>
  </x:si>
  <x:si>
    <x:t xml:space="preserve">기억 장면마다 시간 표식과 인물 관계 아이콘 표시</x:t>
  </x:si>
  <x:si>
    <x:t xml:space="preserve">Q5-07 | 가짜 가족 환영 돌파하기</x:t>
  </x:si>
  <x:si>
    <x:t xml:space="preserve">칭찬과 비난이 번갈아 제시되어 올바른 길보다 감정적 반응을 유도함</x:t>
  </x:si>
  <x:si>
    <x:t xml:space="preserve">말의 내용보다 행동과 기억의 모순을 확인해 칭찬과 비난을 반복하는 가족 환영를 무시하고 진행함</x:t>
  </x:si>
  <x:si>
    <x:t xml:space="preserve">9/10 – 환영 수·가짜 단서의 설득력·자아 마모도 누적량이 난이도를 결정함</x:t>
  </x:si>
  <x:si>
    <x:t xml:space="preserve">환영 구역 종료 지점 도착</x:t>
  </x:si>
  <x:si>
    <x:t xml:space="preserve">잘못된 환영 선택 누적 시 자아 마모도 증가</x:t>
  </x:si>
  <x:si>
    <x:t xml:space="preserve">실패 후 모순되는 대사의 일부 강조</x:t>
  </x:si>
  <x:si>
    <x:t xml:space="preserve">Q5-08 | 균열 수호체 전투 치르기</x:t>
  </x:si>
  <x:si>
    <x:t xml:space="preserve">다단계 패턴·환경 공격·자아 마모도 관리가 동시에 요구됨</x:t>
  </x:si>
  <x:si>
    <x:t xml:space="preserve">안전 구역을 확보하고 약점 노출 때 집중 공격해 균열 심층부 수호체를 처치함</x:t>
  </x:si>
  <x:si>
    <x:t xml:space="preserve">10/10 – 패턴 수·동시 관리 자원·안전 구역 크기·체크포인트 간격이 난이도를 결정함</x:t>
  </x:si>
  <x:si>
    <x:t xml:space="preserve">보스 체력 0 및 주인공 생존</x:t>
  </x:si>
  <x:si>
    <x:t xml:space="preserve">체력 0 또는 자아 마모도 최대 시 전투 재시작</x:t>
  </x:si>
  <x:si>
    <x:t xml:space="preserve">6분</x:t>
  </x:si>
  <x:si>
    <x:t xml:space="preserve">반복 실패 시 체크포인트 세분화와 회복 자원 추가</x:t>
  </x:si>
  <x:si>
    <x:t xml:space="preserve">Q5-09 | 균열 심층부로 이동하기</x:t>
  </x:si>
  <x:si>
    <x:t xml:space="preserve">통로가 붕괴하고 화면 왜곡이 심해져 이동 경로를 오래 유지할 수 없음</x:t>
  </x:si>
  <x:si>
    <x:t xml:space="preserve">붕괴 예고와 고정 표식을 보며 붕괴하는 균열 통로까지 짧은 구간 단위로 이동함</x:t>
  </x:si>
  <x:si>
    <x:t xml:space="preserve">7/10 – 붕괴 속도·통로 폭·왜곡 강도·체크포인트 간격이 난이도를 결정함</x:t>
  </x:si>
  <x:si>
    <x:t xml:space="preserve">심층부 도착</x:t>
  </x:si>
  <x:si>
    <x:t xml:space="preserve">낙하 또는 제한시간 종료 시 직전 지점 재시작</x:t>
  </x:si>
  <x:si>
    <x:t xml:space="preserve">구간별 체크포인트와 안전 발판 강조</x:t>
  </x:si>
  <x:si>
    <x:t xml:space="preserve">Q5-10 | 출생의 진실 확인하기</x:t>
  </x:si>
  <x:si>
    <x:t xml:space="preserve">기존에 알고 있던 세계 규칙과 반대되는 정보가 연속으로 제시됨</x:t>
  </x:si>
  <x:si>
    <x:t xml:space="preserve">기록·기억·균열 반응을 비교해 차한해가 균열에서 태어난 존재라는 기록의 사실 관계를 확인함</x:t>
  </x:si>
  <x:si>
    <x:t xml:space="preserve">4/10 – 새 정보량·기존 정보와의 충돌 정도가 난이도를 결정함</x:t>
  </x:si>
  <x:si>
    <x:t xml:space="preserve">필수 진실 기록 전부 확인</x:t>
  </x:si>
  <x:si>
    <x:t xml:space="preserve">핵심 사실을 단계별로 요약해 기록 메뉴에 저장</x:t>
  </x:si>
  <x:si>
    <x:t xml:space="preserve">Q5-11 | 한도윤과 마지막 통신하기</x:t>
  </x:si>
  <x:si>
    <x:t xml:space="preserve">통신이 끊기고 잡음이 섞여 상대의 의도를 정확히 듣기 어려움</x:t>
  </x:si>
  <x:si>
    <x:t xml:space="preserve">반복되는 핵심 문구를 확인하며 귀환을 요청하는 한도윤의 마지막 대화를 진행함</x:t>
  </x:si>
  <x:si>
    <x:t xml:space="preserve">5/10 – 잡음 강도·대사 길이·감정적 부담이 난이도를 결정함</x:t>
  </x:si>
  <x:si>
    <x:t xml:space="preserve">통신 종료</x:t>
  </x:si>
  <x:si>
    <x:t xml:space="preserve">핵심 대사 자막을 화면에 오래 유지</x:t>
  </x:si>
  <x:si>
    <x:t xml:space="preserve">Q5-12 | 소멸 선택지 확인하기</x:t>
  </x:si>
  <x:si>
    <x:t xml:space="preserve">어떤 선택도 완전한 보상이 없고 플레이어가 결말을 직접 확정해야 함</x:t>
  </x:si>
  <x:si>
    <x:t xml:space="preserve">지금까지 수집한 정보와 관계 변화를 확인해 자신의 소멸과 균열 소멸의 관계를 결정함</x:t>
  </x:si>
  <x:si>
    <x:t xml:space="preserve">8/10 – 결과의 비가역성·정보량·감정적 부담이 난이도를 결정함</x:t>
  </x:si>
  <x:si>
    <x:t xml:space="preserve">최종 선택지 확정</x:t>
  </x:si>
  <x:si>
    <x:t xml:space="preserve">선택 전 저장 및 주요 결과 요약 제공</x:t>
  </x:si>
  <x:si>
    <x:t xml:space="preserve">Q5-13 | 마지막 기억 회수하기</x:t>
  </x:si>
  <x:si>
    <x:t xml:space="preserve">기억 조각이 위험 구역과 멀리 떨어져 있어 수집 순서가 중요함</x:t>
  </x:si>
  <x:si>
    <x:t xml:space="preserve">가장 안전한 경로를 정하고 주인공이 지키고 싶었던 사람들의 기억 5개를 회수함</x:t>
  </x:si>
  <x:si>
    <x:t xml:space="preserve">7/10 – 목표 수·동선 길이·위험 구역 밀도·자아 마모도 증가량이 난이도를 결정함</x:t>
  </x:si>
  <x:si>
    <x:t xml:space="preserve">필수 기억 전부 회수</x:t>
  </x:si>
  <x:si>
    <x:t xml:space="preserve">자아 마모도 최대 시 직전 체크포인트 재시작</x:t>
  </x:si>
  <x:si>
    <x:t xml:space="preserve">남은 기억 방향과 안전 경로를 단계적으로 표시</x:t>
  </x:si>
  <x:si>
    <x:t xml:space="preserve">Q5-14 | 균열 핵에 접근하기</x:t>
  </x:si>
  <x:si>
    <x:t xml:space="preserve">핵의 충격파가 일정 주기로 넓어져 접근 가능한 시간이 짧음</x:t>
  </x:si>
  <x:si>
    <x:t xml:space="preserve">충격파 예고를 보고 안전 지점에서 대기한 뒤 주기적으로 충격파를 내보내는 균열 핵에 단계적으로 접근함</x:t>
  </x:si>
  <x:si>
    <x:t xml:space="preserve">9/10 – 충격파 주기·안전 지점 거리·필요 접근 횟수가 난이도를 결정함</x:t>
  </x:si>
  <x:si>
    <x:t xml:space="preserve">균열 핵 상호작용 지점 도착</x:t>
  </x:si>
  <x:si>
    <x:t xml:space="preserve">충격파 5회 피격 또는 체력 0 시 재시작</x:t>
  </x:si>
  <x:si>
    <x:t xml:space="preserve">실패 후 충격파 예고 시간 증가</x:t>
  </x:si>
  <x:si>
    <x:t xml:space="preserve">Q5-15 | 균열 핵과 동기화하기</x:t>
  </x:si>
  <x:si>
    <x:t xml:space="preserve">두 게이지가 서로 반대로 움직여 하나만 맞추면 다른 값이 벗어남</x:t>
  </x:si>
  <x:si>
    <x:t xml:space="preserve">입력 강도와 타이밍을 조절해 선의와 자아 마모도를 맞추는 입력의 두 수치를 목표 범위에 유지함</x:t>
  </x:si>
  <x:si>
    <x:t xml:space="preserve">9/10 – 게이지 이동속도·목표 범위·동시 입력 수·초기화 범위가 난이도를 결정함</x:t>
  </x:si>
  <x:si>
    <x:t xml:space="preserve">동기화 게이지 100% 달성</x:t>
  </x:si>
  <x:si>
    <x:t xml:space="preserve">불안정 수치 최대 시 동기화 단계 재시작</x:t>
  </x:si>
  <x:si>
    <x:t xml:space="preserve">실패 후 목표 범위 확대와 중간 체크포인트 제공</x:t>
  </x:si>
  <x:si>
    <x:t xml:space="preserve">Q5-16 | 최종 선택 실행하기</x:t>
  </x:si>
  <x:si>
    <x:t xml:space="preserve">최종 선택을 실행하면 되돌릴 수 없다는 사실이 강한 심리적 부담을 줌</x:t>
  </x:si>
  <x:si>
    <x:t xml:space="preserve">확인 문구와 지금까지의 결과를 검토한 뒤 균열과 함께 소멸하는 선택를 실행함</x:t>
  </x:si>
  <x:si>
    <x:t xml:space="preserve">7/10 – 선택의 비가역성과 감정적 부담이 난이도를 결정함</x:t>
  </x:si>
  <x:si>
    <x:t xml:space="preserve">최종 행동 확인 입력 완료</x:t>
  </x:si>
  <x:si>
    <x:t xml:space="preserve">이중 확인과 자동 저장 제공</x:t>
  </x:si>
  <x:si>
    <x:t xml:space="preserve">Q5-17 | 균열과 몬스터 소멸 확인하기</x:t>
  </x:si>
  <x:si>
    <x:t xml:space="preserve">여러 지역과 인물의 변화를 짧은 장면 안에서 연결해 이해해야 함</x:t>
  </x:si>
  <x:si>
    <x:t xml:space="preserve">장면 순서와 반복되는 상징을 보며 도시 곳곳의 균열과 괴물의 결과를 확인함</x:t>
  </x:si>
  <x:si>
    <x:t xml:space="preserve">3/10 – 등장 인물 수·장면 전환 속도·결과 연결성이 난이도를 결정함</x:t>
  </x:si>
  <x:si>
    <x:t xml:space="preserve">후일담 장면 전부 재생</x:t>
  </x:si>
  <x:si>
    <x:t xml:space="preserve">인물별 이름과 이전 선택 결과를 함께 표시</x:t>
  </x:si>
  <x:si>
    <x:t xml:space="preserve">Q5-18 | 생존자들의 후일담 확인하기</x:t>
  </x:si>
  <x:si>
    <x:t xml:space="preserve">장면 순서와 반복되는 상징을 보며 가족·한도윤·친구·시민의 변화의 결과를 확인함</x:t>
  </x:si>
  <x:si>
    <x:t xml:space="preserve">2/10 – 등장 인물 수·장면 전환 속도·결과 연결성이 난이도를 결정함</x:t>
  </x:si>
  <x:si>
    <x:t xml:space="preserve">Q5-19 | 엔딩 크레딧 감상하기</x:t>
  </x:si>
  <x:si>
    <x:t xml:space="preserve">긴 크레딧 중 추가 장면과 기록이 삽입되어 놓칠 수 있음</x:t>
  </x:si>
  <x:si>
    <x:t xml:space="preserve">크레딧 사이의 주요 장면과 엔딩 크레딧를 확인하며 마지막까지 감상함</x:t>
  </x:si>
  <x:si>
    <x:t xml:space="preserve">1/10 – 추가 장면의 노출 시간과 배치 간격이 난이도를 결정함</x:t>
  </x:si>
  <x:si>
    <x:t xml:space="preserve">크레딧 종료</x:t>
  </x:si>
  <x:si>
    <x:t xml:space="preserve">일시정지·배속·다시 보기 기능 제공</x:t>
  </x:si>
  <x:si>
    <x:t xml:space="preserve">밸런스 문서 작성 기준</x:t>
  </x:si>
  <x:si>
    <x:t xml:space="preserve">항목</x:t>
  </x:si>
  <x:si>
    <x:t xml:space="preserve">작성 방식</x:t>
  </x:si>
  <x:si>
    <x:t xml:space="preserve">값/형식</x:t>
  </x:si>
  <x:si>
    <x:t xml:space="preserve">우리 게임 적용 기준</x:t>
  </x:si>
  <x:si>
    <x:t xml:space="preserve">조작난이도</x:t>
  </x:si>
  <x:si>
    <x:t xml:space="preserve">플레이어가 실제 입력을 수행할 때 느끼는 손 조작의 어려움</x:t>
  </x:si>
  <x:si>
    <x:t xml:space="preserve">1~10 숫자</x:t>
  </x:si>
  <x:si>
    <x:t xml:space="preserve">1은 단순 확인·대화, 10은 빠른 보스 패턴과 복합 입력</x:t>
  </x:si>
  <x:si>
    <x:t xml:space="preserve">재미율</x:t>
  </x:si>
  <x:si>
    <x:t xml:space="preserve">기획자가 해당 구간이 이 정도로 재미있기를 기대하며 정하는 정성적 목표값</x:t>
  </x:si>
  <x:si>
    <x:t xml:space="preserve">탐색·긴장·감정·반전·성취를 모두 포함하며 실제 테스트값이 아님</x:t>
  </x:si>
  <x:si>
    <x:t xml:space="preserve">컨텐츠 제시순서</x:t>
  </x:si>
  <x:si>
    <x:t xml:space="preserve">게임 시작부터 엔딩까지 해금되는 모든 플레이 내용을 순서대로 기록</x:t>
  </x:si>
  <x:si>
    <x:t xml:space="preserve">1부터 연속 넘버링</x:t>
  </x:si>
  <x:si>
    <x:t xml:space="preserve">UI 미션뿐 아니라 이동·조사·대화·전투·업적성 행동·연출 확인까지 포함</x:t>
  </x:si>
  <x:si>
    <x:t xml:space="preserve">미션</x:t>
  </x:si>
  <x:si>
    <x:t xml:space="preserve">제목만 읽어도 플레이어가 무엇을 해야 하는지 보이도록 작성</x:t>
  </x:si>
  <x:si>
    <x:t xml:space="preserve">행동형 제목</x:t>
  </x:si>
  <x:si>
    <x:t xml:space="preserve">예: 신상 과자 진열대 찾기, 균열 괴물과 첫 전투 치르기</x:t>
  </x:si>
  <x:si>
    <x:t xml:space="preserve">방해요소</x:t>
  </x:si>
  <x:si>
    <x:t xml:space="preserve">목표를 바로 달성하지 못하게 만드는 맵·NPC·시간·정보·전투 요소</x:t>
  </x:si>
  <x:si>
    <x:t xml:space="preserve">구체적 서술</x:t>
  </x:si>
  <x:si>
    <x:t xml:space="preserve">비슷한 후보, 넓은 탐색 범위, 제한시간, 시야 차단, 감정적 압박 등</x:t>
  </x:si>
  <x:si>
    <x:t xml:space="preserve">방해요소 공략</x:t>
  </x:si>
  <x:si>
    <x:t xml:space="preserve">방해요소를 해결하기 위해 플레이어가 관찰·판단·조작해야 하는 내용</x:t>
  </x:si>
  <x:si>
    <x:t xml:space="preserve">구체적 플레이 절차</x:t>
  </x:si>
  <x:si>
    <x:t xml:space="preserve">이 표에서 가장 핵심적인 항목으로 작성</x:t>
  </x:si>
  <x:si>
    <x:t xml:space="preserve">방해요인의 난이도</x:t>
  </x:si>
  <x:si>
    <x:t xml:space="preserve">관찰·판단·공략의 어려움과 그 난이도를 만드는 요인을 함께 기록</x:t>
  </x:si>
  <x:si>
    <x:t xml:space="preserve">숫자/10 + 원인 설명</x:t>
  </x:si>
  <x:si>
    <x:t xml:space="preserve">후보 수, 맵 크기, 속도 차이, 제한시간, 패턴 수 등</x:t>
  </x:si>
  <x:si>
    <x:t xml:space="preserve">미션개수</x:t>
  </x:si>
  <x:si>
    <x:t xml:space="preserve">해당 행의 목표를 완료하기 위해 필요한 행동·대상·단계의 수</x:t>
  </x:si>
  <x:si>
    <x:t xml:space="preserve">정수</x:t>
  </x:si>
  <x:si>
    <x:t xml:space="preserve">수거 8개, 단서 5개, 대화 1회, 보스 패턴 6회 등</x:t>
  </x:si>
  <x:si>
    <x:t xml:space="preserve">성공 미션조건</x:t>
  </x:si>
  <x:si>
    <x:t xml:space="preserve">시스템이 완료를 판정할 수 있는 명확한 조건</x:t>
  </x:si>
  <x:si>
    <x:t xml:space="preserve">구체적 판정 조건</x:t>
  </x:si>
  <x:si>
    <x:t xml:space="preserve">목표 수량 달성, 트리거 진입, 보스 체력 0 등</x:t>
  </x:si>
  <x:si>
    <x:t xml:space="preserve">실패 미션조건</x:t>
  </x:si>
  <x:si>
    <x:t xml:space="preserve">실패가 존재하는 경우 재시작·페널티가 발생하는 조건</x:t>
  </x:si>
  <x:si>
    <x:t xml:space="preserve">구체적 판정 조건 또는 실패 없음</x:t>
  </x:si>
  <x:si>
    <x:t xml:space="preserve">추격 거리 초과, 체력 0, 제한시간 종료, 오답 누적 등</x:t>
  </x:si>
  <x:si>
    <x:t xml:space="preserve">예상 플레이타임</x:t>
  </x:si>
  <x:si>
    <x:t xml:space="preserve">초회 플레이어가 해당 콘텐츠를 완료하는 데 걸릴 것으로 예상하는 시간</x:t>
  </x:si>
  <x:si>
    <x:t xml:space="preserve">초/분</x:t>
  </x:si>
  <x:si>
    <x:t xml:space="preserve">이동거리·미션개수·대사량·재시도 가능성을 함께 고려</x:t>
  </x:si>
  <x:si>
    <x:t xml:space="preserve">난이도 보정 컨텐츠</x:t>
  </x:si>
  <x:si>
    <x:t xml:space="preserve">막힌 플레이어가 목표를 다시 파악하도록 돕는 힌트와 보정 장치</x:t>
  </x:si>
  <x:si>
    <x:t xml:space="preserve">필요한 경우 작성</x:t>
  </x:si>
  <x:si>
    <x:t xml:space="preserve">방향 표시, 반짝임, 속도 감소, 체크포인트, 오답 힌트 등</x:t>
  </x:si>
  <x:si>
    <x:t xml:space="preserve">이동속도 A</x:t>
  </x:si>
  <x:si>
    <x:t xml:space="preserve">플레이어 또는 해당 행에서 주체가 되는 캐릭터의 이동속도</x:t>
  </x:si>
  <x:si>
    <x:t xml:space="preserve">1~5 상대값</x:t>
  </x:si>
  <x:si>
    <x:t xml:space="preserve">1 매우 느림, 3 보통, 5 빠름. 이동이 핵심이 아닐 때는 공란</x:t>
  </x:si>
  <x:si>
    <x:t xml:space="preserve">이동속도 B</x:t>
  </x:si>
  <x:si>
    <x:t xml:space="preserve">추격 대상·동행 NPC·위협체 등 상대 캐릭터의 이동속도</x:t>
  </x:si>
  <x:si>
    <x:t xml:space="preserve">A와 B의 속도 차이가 추격·호위·회피 난이도를 결정</x:t>
  </x:si>
  <x:si>
    <x:t xml:space="preserve">문서 범위</x:t>
  </x:si>
  <x:si>
    <x:t xml:space="preserve">게임 시작부터 엔딩까지 모든 콘텐츠를 작성</x:t>
  </x:si>
  <x:si>
    <x:t xml:space="preserve">최소 50개 이상</x:t>
  </x:si>
  <x:si>
    <x:t xml:space="preserve">현재 문서에는 총 119개 콘텐츠를 기록</x:t>
  </x:si>
  <x:si>
    <x:t xml:space="preserve">전체 밸런스 곡선 요약</x:t>
  </x:si>
  <x:si>
    <x:t xml:space="preserve">총 콘텐츠 수</x:t>
  </x:si>
  <x:si>
    <x:t xml:space="preserve">평균 조작난이도</x:t>
  </x:si>
  <x:si>
    <x:t xml:space="preserve">평균 재미율</x:t>
  </x:si>
  <x:si>
    <x:t xml:space="preserve">최고 조작난이도</x:t>
  </x:si>
  <x:si>
    <x:t xml:space="preserve">최고 재미율</x:t>
  </x:si>
  <x:si>
    <x:t xml:space="preserve">구간</x:t>
  </x:si>
  <x:si>
    <x:t xml:space="preserve">콘텐츠 수</x:t>
  </x:si>
  <x:si>
    <x:t xml:space="preserve">최고 방해요인 난이도</x:t>
  </x:si>
  <x:si>
    <x:t xml:space="preserve">Q1 동생 심부름</x:t>
  </x:si>
  <x:si>
    <x:t xml:space="preserve">Q2 공원 청소</x:t>
  </x:si>
  <x:si>
    <x:t xml:space="preserve">Q3 재난 대응과 영웅화</x:t>
  </x:si>
  <x:si>
    <x:t xml:space="preserve">Q4 폐교 보스</x:t>
  </x:si>
  <x:si>
    <x:t xml:space="preserve">Q5 균열 탐색과 결말</x:t>
  </x:si>
</x:sst>
</file>

<file path=xl/styles.xml><?xml version="1.0" encoding="utf-8"?>
<x:styleSheet xmlns:x="http://schemas.openxmlformats.org/spreadsheetml/2006/main">
  <x:numFmts count="3">
    <x:numFmt numFmtId="164" formatCode="0.0"/>
    <x:numFmt numFmtId="200" formatCode="[h]&quot;시간 &quot;m&quot;분 &quot;s&quot;초&quot;"/>
    <x:numFmt numFmtId="201" formatCode="0"/>
  </x:numFmts>
  <x:fonts count="11"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b/>
      <x:sz val="10"/>
      <x:color rgb="FFFFFFFF"/>
      <x:name val="Carlito"/>
    </x:font>
    <x:font>
      <x:b/>
      <x:sz val="11"/>
      <x:color rgb="FF172B4D"/>
      <x:name val="Carlito"/>
    </x:font>
    <x:font>
      <x:sz val="11"/>
      <x:color rgb="FF000000"/>
      <x:name val="맑은 고딕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334E68"/>
      </x:patternFill>
    </x:fill>
    <x:fill>
      <x:patternFill patternType="solid">
        <x:fgColor rgb="FFD9E2F3"/>
      </x:patternFill>
    </x:fill>
    <x:fill>
      <x:patternFill patternType="solid">
        <x:fgColor rgb="FF24324A"/>
      </x:patternFill>
    </x:fill>
    <x:fill>
      <x:patternFill patternType="solid">
        <x:fgColor rgb="FF000000"/>
      </x:patternFill>
    </x:fill>
    <x:fill>
      <x:patternFill patternType="solid">
        <x:fgColor rgb="FFDCEEFF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EEBD1"/>
      </x:patternFill>
    </x:fill>
    <x:fill>
      <x:patternFill patternType="solid">
        <x:fgColor rgb="FFFEEFCF"/>
      </x:patternFill>
    </x:fill>
    <x:fill>
      <x:patternFill patternType="solid">
        <x:fgColor rgb="FFFCE3C0"/>
      </x:patternFill>
    </x:fill>
    <x:fill>
      <x:patternFill patternType="solid">
        <x:fgColor rgb="FFECECC4"/>
      </x:patternFill>
    </x:fill>
    <x:fill>
      <x:patternFill patternType="solid">
        <x:fgColor rgb="FFFDE8C4"/>
      </x:patternFill>
    </x:fill>
    <x:fill>
      <x:patternFill patternType="solid">
        <x:fgColor rgb="FFFEEDC8"/>
      </x:patternFill>
    </x:fill>
    <x:fill>
      <x:patternFill patternType="solid">
        <x:fgColor rgb="FFD9E6BC"/>
      </x:patternFill>
    </x:fill>
    <x:fill>
      <x:patternFill patternType="solid">
        <x:fgColor rgb="FFFCDFBD"/>
      </x:patternFill>
    </x:fill>
    <x:fill>
      <x:patternFill patternType="solid">
        <x:fgColor rgb="FFFBDAB9"/>
      </x:patternFill>
    </x:fill>
    <x:fill>
      <x:patternFill patternType="solid">
        <x:fgColor rgb="FFFAD5B5"/>
      </x:patternFill>
    </x:fill>
    <x:fill>
      <x:patternFill patternType="solid">
        <x:fgColor rgb="FFC6E0B4"/>
      </x:patternFill>
    </x:fill>
    <x:fill>
      <x:patternFill patternType="solid">
        <x:fgColor rgb="FFF9D0B1"/>
      </x:patternFill>
    </x:fill>
    <x:fill>
      <x:patternFill patternType="solid">
        <x:fgColor rgb="FFF8CBAD"/>
      </x:patternFill>
    </x:fill>
  </x:fills>
  <x:borders count="17">
    <x:border>
      <x:left/>
      <x:right/>
      <x:top/>
      <x:bottom/>
    </x:border>
    <x:border>
      <x:left style="thin">
        <x:color rgb="FF172B4D"/>
      </x:left>
      <x:right/>
      <x:top style="thin">
        <x:color rgb="FF172B4D"/>
      </x:top>
      <x:bottom style="thin">
        <x:color rgb="FF172B4D"/>
      </x:bottom>
    </x:border>
    <x:border>
      <x:left/>
      <x:right/>
      <x:top style="thin">
        <x:color rgb="FF172B4D"/>
      </x:top>
      <x:bottom style="thin">
        <x:color rgb="FF172B4D"/>
      </x:bottom>
    </x:border>
    <x:border>
      <x:left/>
      <x:right style="thin">
        <x:color rgb="FF172B4D"/>
      </x:right>
      <x:top style="thin">
        <x:color rgb="FF172B4D"/>
      </x:top>
      <x:bottom style="thin">
        <x:color rgb="FF172B4D"/>
      </x:bottom>
    </x:border>
    <x:border>
      <x:left style="thin">
        <x:color rgb="FFC8D1DC"/>
      </x:left>
      <x:right/>
      <x:top style="thin">
        <x:color rgb="FFC8D1DC"/>
      </x:top>
      <x:bottom/>
    </x:border>
    <x:border>
      <x:left/>
      <x:right/>
      <x:top style="thin">
        <x:color rgb="FFC8D1DC"/>
      </x:top>
      <x:bottom/>
    </x:border>
    <x:border>
      <x:left/>
      <x:right style="thin">
        <x:color rgb="FFC8D1DC"/>
      </x:right>
      <x:top style="thin">
        <x:color rgb="FFC8D1DC"/>
      </x:top>
      <x:bottom/>
    </x:border>
    <x:border>
      <x:left style="thin">
        <x:color rgb="FFC8D1DC"/>
      </x:left>
      <x:right/>
      <x:top/>
      <x:bottom/>
    </x:border>
    <x:border>
      <x:left/>
      <x:right style="thin">
        <x:color rgb="FFC8D1DC"/>
      </x:right>
      <x:top/>
      <x:bottom/>
    </x:border>
    <x:border>
      <x:left style="thin">
        <x:color rgb="FFC8D1DC"/>
      </x:left>
      <x:right/>
      <x:top/>
      <x:bottom style="thin">
        <x:color rgb="FFC8D1DC"/>
      </x:bottom>
    </x:border>
    <x:border>
      <x:left/>
      <x:right/>
      <x:top/>
      <x:bottom style="thin">
        <x:color rgb="FFC8D1DC"/>
      </x:bottom>
    </x:border>
    <x:border>
      <x:left/>
      <x:right style="thin">
        <x:color rgb="FFC8D1DC"/>
      </x:right>
      <x:top/>
      <x:bottom style="thin">
        <x:color rgb="FFC8D1DC"/>
      </x:bottom>
    </x:border>
    <x:border>
      <x:left style="thin">
        <x:color rgb="FF7F8FA6"/>
      </x:left>
      <x:right/>
      <x:top style="thin">
        <x:color rgb="FF7F8FA6"/>
      </x:top>
      <x:bottom style="thin">
        <x:color rgb="FF7F8FA6"/>
      </x:bottom>
    </x:border>
    <x:border>
      <x:left/>
      <x:right/>
      <x:top style="thin">
        <x:color rgb="FF7F8FA6"/>
      </x:top>
      <x:bottom style="thin">
        <x:color rgb="FF7F8FA6"/>
      </x:bottom>
    </x:border>
    <x:border>
      <x:left/>
      <x:right style="thin">
        <x:color rgb="FF7F8FA6"/>
      </x:right>
      <x:top style="thin">
        <x:color rgb="FF7F8FA6"/>
      </x:top>
      <x:bottom style="thin">
        <x:color rgb="FF7F8FA6"/>
      </x:bottom>
    </x:border>
    <x:border>
      <x:left style="thin">
        <x:color rgb="FF172B4D"/>
      </x:left>
      <x:right/>
      <x:top style="thin">
        <x:color rgb="FF172B4D"/>
      </x:top>
      <x:bottom/>
    </x:border>
    <x:border>
      <x:left/>
      <x:right/>
      <x:top style="thin">
        <x:color rgb="FF172B4D"/>
      </x:top>
      <x:bottom/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82">
    <x:xf numFmtId="0" fontId="0" fillId="0" borderId="0" xfId="0" applyNumberFormat="1" applyAlignment="1">
      <x:alignment horizontal="general" vertical="bottom"/>
    </x:xf>
    <x:xf numFmtId="0" fontId="0" fillId="0" borderId="0" xfId="1" applyNumberFormat="1" applyFont="1" applyFill="1" applyBorder="1" applyAlignment="1">
      <x:alignment horizontal="general" vertical="top" wrapText="1"/>
    </x:xf>
    <x:xf numFmtId="0" fontId="0" fillId="0" borderId="4" xfId="1" applyNumberFormat="1" applyFont="1" applyFill="1" applyBorder="1" applyAlignment="1">
      <x:alignment horizontal="general" vertical="top" wrapText="1"/>
    </x:xf>
    <x:xf numFmtId="0" fontId="0" fillId="0" borderId="5" xfId="1" applyNumberFormat="1" applyFont="1" applyFill="1" applyBorder="1" applyAlignment="1">
      <x:alignment horizontal="general" vertical="top" wrapText="1"/>
    </x:xf>
    <x:xf numFmtId="0" fontId="0" fillId="0" borderId="6" xfId="1" applyNumberFormat="1" applyFont="1" applyFill="1" applyBorder="1" applyAlignment="1">
      <x:alignment horizontal="general" vertical="top" wrapText="1"/>
    </x:xf>
    <x:xf numFmtId="0" fontId="0" fillId="0" borderId="7" xfId="1" applyNumberFormat="1" applyFont="1" applyFill="1" applyBorder="1" applyAlignment="1">
      <x:alignment horizontal="general" vertical="top" wrapText="1"/>
    </x:xf>
    <x:xf numFmtId="0" fontId="0" fillId="0" borderId="8" xfId="1" applyNumberFormat="1" applyFont="1" applyFill="1" applyBorder="1" applyAlignment="1">
      <x:alignment horizontal="general" vertical="top" wrapText="1"/>
    </x:xf>
    <x:xf numFmtId="0" fontId="0" fillId="0" borderId="9" xfId="1" applyNumberFormat="1" applyFont="1" applyFill="1" applyBorder="1" applyAlignment="1">
      <x:alignment horizontal="general" vertical="top" wrapText="1"/>
    </x:xf>
    <x:xf numFmtId="0" fontId="0" fillId="0" borderId="10" xfId="1" applyNumberFormat="1" applyFont="1" applyFill="1" applyBorder="1" applyAlignment="1">
      <x:alignment horizontal="general" vertical="top" wrapText="1"/>
    </x:xf>
    <x:xf numFmtId="0" fontId="0" fillId="0" borderId="11" xfId="1" applyNumberFormat="1" applyFont="1" applyFill="1" applyBorder="1" applyAlignment="1">
      <x:alignment horizontal="general" vertical="top" wrapText="1"/>
    </x:xf>
    <x:xf numFmtId="0" fontId="0" fillId="0" borderId="4" xfId="1" applyNumberFormat="1" applyFont="1" applyFill="1" applyBorder="1">
      <x:alignment horizontal="general" vertical="bottom"/>
    </x:xf>
    <x:xf numFmtId="0" fontId="0" fillId="0" borderId="5" xfId="1" applyNumberFormat="1" applyFont="1" applyFill="1" applyBorder="1">
      <x:alignment horizontal="general" vertical="bottom"/>
    </x:xf>
    <x:xf numFmtId="0" fontId="0" fillId="0" borderId="6" xfId="1" applyNumberFormat="1" applyFont="1" applyFill="1" applyBorder="1">
      <x:alignment horizontal="general" vertical="bottom"/>
    </x:xf>
    <x:xf numFmtId="0" fontId="0" fillId="0" borderId="7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8" xfId="1" applyNumberFormat="1" applyFont="1" applyFill="1" applyBorder="1">
      <x:alignment horizontal="general" vertical="bottom"/>
    </x:xf>
    <x:xf numFmtId="0" fontId="0" fillId="0" borderId="9" xfId="1" applyNumberFormat="1" applyFont="1" applyFill="1" applyBorder="1">
      <x:alignment horizontal="general" vertical="bottom"/>
    </x:xf>
    <x:xf numFmtId="0" fontId="0" fillId="0" borderId="10" xfId="1" applyNumberFormat="1" applyFont="1" applyFill="1" applyBorder="1">
      <x:alignment horizontal="general" vertical="bottom"/>
    </x:xf>
    <x:xf numFmtId="0" fontId="0" fillId="0" borderId="11" xfId="1" applyNumberFormat="1" applyFont="1" applyFill="1" applyBorder="1">
      <x:alignment horizontal="general" vertical="bottom"/>
    </x:xf>
    <x:xf numFmtId="164" fontId="0" fillId="0" borderId="5" xfId="1" applyNumberFormat="1" applyFont="1" applyFill="1" applyBorder="1">
      <x:alignment horizontal="general" vertical="bottom"/>
    </x:xf>
    <x:xf numFmtId="164" fontId="0" fillId="0" borderId="0" xfId="1" applyNumberFormat="1" applyFont="1" applyFill="1" applyBorder="1">
      <x:alignment horizontal="general" vertical="bottom"/>
    </x:xf>
    <x:xf numFmtId="164" fontId="0" fillId="0" borderId="10" xfId="1" applyNumberFormat="1" applyFont="1" applyFill="1" applyBorder="1">
      <x:alignment horizontal="general" vertical="bottom"/>
    </x:xf>
    <x:xf numFmtId="0" fontId="8" fillId="0" borderId="0" xfId="0" applyNumberFormat="1" applyFont="1" applyAlignment="1">
      <x:alignment horizontal="general" vertical="center"/>
    </x:xf>
    <x:xf numFmtId="0" fontId="8" fillId="0" borderId="0" xfId="0" applyNumberFormat="1" applyFont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center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0" borderId="0" xfId="0" applyNumberFormat="1" applyFont="1" applyFill="1" applyBorder="1" applyAlignment="1">
      <x:alignment horizontal="general" vertical="bottom"/>
    </x:xf>
    <x:xf numFmtId="0" fontId="0" fillId="0" borderId="0" xfId="0" applyNumberFormat="1" applyFont="1" applyFill="1" applyBorder="1" applyAlignment="1">
      <x:alignment horizontal="general" vertical="top" wrapText="1"/>
    </x:xf>
    <x:xf numFmtId="0" fontId="0" fillId="0" borderId="4" xfId="0" applyNumberFormat="1" applyFont="1" applyFill="1" applyBorder="1" applyAlignment="1">
      <x:alignment horizontal="general" vertical="top" wrapText="1"/>
    </x:xf>
    <x:xf numFmtId="0" fontId="0" fillId="0" borderId="5" xfId="0" applyNumberFormat="1" applyFont="1" applyFill="1" applyBorder="1" applyAlignment="1">
      <x:alignment horizontal="general" vertical="top" wrapText="1"/>
    </x:xf>
    <x:xf numFmtId="0" fontId="0" fillId="0" borderId="6" xfId="0" applyNumberFormat="1" applyFont="1" applyFill="1" applyBorder="1" applyAlignment="1">
      <x:alignment horizontal="general" vertical="top" wrapText="1"/>
    </x:xf>
    <x:xf numFmtId="0" fontId="0" fillId="0" borderId="7" xfId="0" applyNumberFormat="1" applyFont="1" applyFill="1" applyBorder="1" applyAlignment="1">
      <x:alignment horizontal="general" vertical="top" wrapText="1"/>
    </x:xf>
    <x:xf numFmtId="0" fontId="0" fillId="0" borderId="8" xfId="0" applyNumberFormat="1" applyFont="1" applyFill="1" applyBorder="1" applyAlignment="1">
      <x:alignment horizontal="general" vertical="top" wrapText="1"/>
    </x:xf>
    <x:xf numFmtId="0" fontId="0" fillId="0" borderId="9" xfId="0" applyNumberFormat="1" applyFont="1" applyFill="1" applyBorder="1" applyAlignment="1">
      <x:alignment horizontal="general" vertical="top" wrapText="1"/>
    </x:xf>
    <x:xf numFmtId="0" fontId="0" fillId="0" borderId="10" xfId="0" applyNumberFormat="1" applyFont="1" applyFill="1" applyBorder="1" applyAlignment="1">
      <x:alignment horizontal="general" vertical="top" wrapText="1"/>
    </x:xf>
    <x:xf numFmtId="0" fontId="0" fillId="0" borderId="11" xfId="0" applyNumberFormat="1" applyFont="1" applyFill="1" applyBorder="1" applyAlignment="1">
      <x:alignment horizontal="general" vertical="top" wrapText="1"/>
    </x:xf>
    <x:xf numFmtId="0" fontId="0" fillId="0" borderId="4" xfId="0" applyNumberFormat="1" applyFont="1" applyFill="1" applyBorder="1" applyAlignment="1">
      <x:alignment horizontal="general" vertical="bottom"/>
    </x:xf>
    <x:xf numFmtId="0" fontId="0" fillId="0" borderId="5" xfId="0" applyNumberFormat="1" applyFont="1" applyFill="1" applyBorder="1" applyAlignment="1">
      <x:alignment horizontal="general" vertical="bottom"/>
    </x:xf>
    <x:xf numFmtId="0" fontId="0" fillId="0" borderId="6" xfId="0" applyNumberFormat="1" applyFont="1" applyFill="1" applyBorder="1" applyAlignment="1">
      <x:alignment horizontal="general" vertical="bottom"/>
    </x:xf>
    <x:xf numFmtId="0" fontId="0" fillId="0" borderId="7" xfId="0" applyNumberFormat="1" applyFont="1" applyFill="1" applyBorder="1" applyAlignment="1">
      <x:alignment horizontal="general" vertical="bottom"/>
    </x:xf>
    <x:xf numFmtId="0" fontId="0" fillId="0" borderId="8" xfId="0" applyNumberFormat="1" applyFont="1" applyFill="1" applyBorder="1" applyAlignment="1">
      <x:alignment horizontal="general" vertical="bottom"/>
    </x:xf>
    <x:xf numFmtId="0" fontId="0" fillId="0" borderId="9" xfId="0" applyNumberFormat="1" applyFont="1" applyFill="1" applyBorder="1" applyAlignment="1">
      <x:alignment horizontal="general" vertical="bottom"/>
    </x:xf>
    <x:xf numFmtId="0" fontId="0" fillId="0" borderId="10" xfId="0" applyNumberFormat="1" applyFont="1" applyFill="1" applyBorder="1" applyAlignment="1">
      <x:alignment horizontal="general" vertical="bottom"/>
    </x:xf>
    <x:xf numFmtId="0" fontId="0" fillId="0" borderId="11" xfId="0" applyNumberFormat="1" applyFont="1" applyFill="1" applyBorder="1" applyAlignment="1">
      <x:alignment horizontal="general" vertical="bottom"/>
    </x:xf>
    <x:xf numFmtId="164" fontId="0" fillId="0" borderId="5" xfId="0" applyNumberFormat="1" applyFont="1" applyFill="1" applyBorder="1" applyAlignment="1">
      <x:alignment horizontal="general" vertical="bottom"/>
    </x:xf>
    <x:xf numFmtId="164" fontId="0" fillId="0" borderId="0" xfId="0" applyNumberFormat="1" applyFont="1" applyFill="1" applyBorder="1" applyAlignment="1">
      <x:alignment horizontal="general" vertical="bottom"/>
    </x:xf>
    <x:xf numFmtId="164" fontId="0" fillId="0" borderId="10" xfId="0" applyNumberFormat="1" applyFont="1" applyFill="1" applyBorder="1" applyAlignment="1">
      <x:alignment horizontal="general" vertical="bottom"/>
    </x:xf>
    <x:xf numFmtId="0" fontId="8" fillId="0" borderId="0" xfId="0" applyNumberFormat="1" applyFont="1" applyFill="1" applyBorder="1" applyAlignment="1">
      <x:alignment horizontal="general" vertical="center"/>
    </x:xf>
    <x:xf numFmtId="0" fillId="0" borderId="0" xfId="0" applyNumberFormat="1" applyFont="0" applyFill="1" applyBorder="1" applyAlignment="1">
      <x:alignment horizontal="center" vertical="center" wrapText="1"/>
    </x:xf>
    <x:xf numFmtId="0" fillId="0" borderId="0" xfId="0" applyNumberFormat="1" applyFont="0" applyFill="1" applyBorder="1" applyAlignment="1">
      <x:alignment horizontal="general" vertical="center" wrapText="1"/>
    </x:xf>
    <x:xf numFmtId="200" fontId="0" fillId="0" borderId="0" xfId="0" applyNumberFormat="1" applyFont="1" applyFill="1" applyBorder="1" applyAlignment="1">
      <x:alignment horizontal="general" vertical="bottom"/>
    </x:xf>
    <x:xf numFmtId="201" fontId="0" fillId="0" borderId="0" xfId="0" applyNumberFormat="1" applyFont="1" applyFill="1" applyBorder="1" applyAlignment="1">
      <x:alignment horizontal="general" vertical="bottom"/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center" vertical="bottom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general" vertical="center"/>
    </x:xf>
    <x:xf numFmtId="200" fontId="0" fillId="0" borderId="0" xfId="0" applyNumberFormat="1" applyFont="1" applyFill="1" applyBorder="1" applyAlignment="1">
      <x:alignment horizontal="general" vertical="center"/>
    </x:xf>
    <x:xf numFmtId="201" fontId="0" fillId="0" borderId="0" xfId="0" applyNumberFormat="1" applyFont="1" applyFill="1" applyBorder="1" applyAlignment="1">
      <x:alignment horizontal="general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 applyAlignment="1">
      <x:alignment horizontal="center" vertical="center"/>
    </x:xf>
  </x:cellXfs>
  <x:cellStyles count="2">
    <x:cellStyle name="표준" xfId="0"/>
    <x:cellStyle name="Normal" xfId="1"/>
  </x:cellStyles>
  <x:dxfs count="6">
    <x:dxf/>
    <x:dxf>
      <x:fill>
        <x:patternFill>
          <x:bgColor rgb="ffaebfea"/>
        </x:patternFill>
      </x:fill>
    </x:dxf>
    <x:dxf>
      <x:fill>
        <x:patternFill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>
          <x:bgColor rgb="ff6182d6"/>
        </x:patternFill>
      </x:fill>
    </x:dxf>
    <x:dxf>
      <x:border/>
    </x:dxf>
    <x:dxf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aa26377ac4f37" /><Relationship Type="http://schemas.openxmlformats.org/officeDocument/2006/relationships/theme" Target="/xl/theme/theme1.xml" Id="Rdbe473422d0449c8" /><Relationship Type="http://schemas.openxmlformats.org/officeDocument/2006/relationships/sharedStrings" Target="/xl/sharedStrings.xml" Id="R94a423d1881f433e" /><Relationship Type="http://schemas.openxmlformats.org/officeDocument/2006/relationships/worksheet" Target="/xl/worksheets/sheet1.xml" Id="Re4f33ce70ef644da" /><Relationship Type="http://schemas.openxmlformats.org/officeDocument/2006/relationships/worksheet" Target="/xl/worksheets/sheet2.xml" Id="Rc6e5f2b49ae149e9" /><Relationship Type="http://schemas.openxmlformats.org/officeDocument/2006/relationships/worksheet" Target="/xl/worksheets/sheet3.xml" Id="Rcfc75353a87d44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35f3e627c6408e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 i="0" u="none"/>
              <a:t>게임 시작부터 엔딩까지의 조작난이도·재미율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 i="0" u="none"/>
          </a:pPr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조작난이도</c:v>
          </c:tx>
          <c:marker>
            <c:size val="7"/>
          </c:marker>
          <c:cat>
            <c:numRef>
              <c:f>'밸런스 곡선'!$A$15:$A$133</c:f>
              <c:numCache>
                <c:formatCode>G/표준</c:formatCode>
                <c:ptCount val="1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</c:numCache>
            </c:numRef>
          </c:cat>
          <c:val>
            <c:numRef>
              <c:f>'밸런스 곡선'!$B$15:$B$133</c:f>
              <c:numCache>
                <c:formatCode>G/표준</c:formatCode>
                <c:ptCount val="1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5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5</c:v>
                </c:pt>
                <c:pt idx="54">
                  <c:v>5</c:v>
                </c:pt>
                <c:pt idx="55">
                  <c:v>4</c:v>
                </c:pt>
                <c:pt idx="56">
                  <c:v>6</c:v>
                </c:pt>
                <c:pt idx="57">
                  <c:v>2</c:v>
                </c:pt>
                <c:pt idx="58">
                  <c:v>3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4</c:v>
                </c:pt>
                <c:pt idx="66">
                  <c:v>4</c:v>
                </c:pt>
                <c:pt idx="67">
                  <c:v>6</c:v>
                </c:pt>
                <c:pt idx="68">
                  <c:v>5</c:v>
                </c:pt>
                <c:pt idx="69">
                  <c:v>6</c:v>
                </c:pt>
                <c:pt idx="70">
                  <c:v>1</c:v>
                </c:pt>
                <c:pt idx="71">
                  <c:v>4</c:v>
                </c:pt>
                <c:pt idx="72">
                  <c:v>1</c:v>
                </c:pt>
                <c:pt idx="73">
                  <c:v>3</c:v>
                </c:pt>
                <c:pt idx="74">
                  <c:v>1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4</c:v>
                </c:pt>
                <c:pt idx="79">
                  <c:v>4</c:v>
                </c:pt>
                <c:pt idx="80">
                  <c:v>6</c:v>
                </c:pt>
                <c:pt idx="81">
                  <c:v>3</c:v>
                </c:pt>
                <c:pt idx="82">
                  <c:v>5</c:v>
                </c:pt>
                <c:pt idx="83">
                  <c:v>4</c:v>
                </c:pt>
                <c:pt idx="84">
                  <c:v>3</c:v>
                </c:pt>
                <c:pt idx="85">
                  <c:v>6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3</c:v>
                </c:pt>
                <c:pt idx="91">
                  <c:v>8</c:v>
                </c:pt>
                <c:pt idx="92">
                  <c:v>8</c:v>
                </c:pt>
                <c:pt idx="93">
                  <c:v>9</c:v>
                </c:pt>
                <c:pt idx="94">
                  <c:v>8</c:v>
                </c:pt>
                <c:pt idx="95">
                  <c:v>7</c:v>
                </c:pt>
                <c:pt idx="96">
                  <c:v>1</c:v>
                </c:pt>
                <c:pt idx="97">
                  <c:v>2</c:v>
                </c:pt>
                <c:pt idx="98">
                  <c:v>6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5</c:v>
                </c:pt>
                <c:pt idx="103">
                  <c:v>6</c:v>
                </c:pt>
                <c:pt idx="104">
                  <c:v>5</c:v>
                </c:pt>
                <c:pt idx="105">
                  <c:v>2</c:v>
                </c:pt>
                <c:pt idx="106">
                  <c:v>7</c:v>
                </c:pt>
                <c:pt idx="107">
                  <c:v>9</c:v>
                </c:pt>
                <c:pt idx="108">
                  <c:v>6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4</c:v>
                </c:pt>
                <c:pt idx="113">
                  <c:v>7</c:v>
                </c:pt>
                <c:pt idx="114">
                  <c:v>6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재미율</c:v>
          </c:tx>
          <c:marker>
            <c:size val="7"/>
          </c:marker>
          <c:cat>
            <c:numRef>
              <c:f>'밸런스 곡선'!$A$15:$A$133</c:f>
              <c:numCache>
                <c:formatCode>G/표준</c:formatCode>
                <c:ptCount val="1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</c:numCache>
            </c:numRef>
          </c:cat>
          <c:val>
            <c:numRef>
              <c:f>'밸런스 곡선'!$C$15:$C$133</c:f>
              <c:numCache>
                <c:formatCode>G/표준</c:formatCode>
                <c:ptCount val="119"/>
                <c:pt idx="0">
                  <c:v>7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6</c:v>
                </c:pt>
                <c:pt idx="20">
                  <c:v>5</c:v>
                </c:pt>
                <c:pt idx="21">
                  <c:v>7</c:v>
                </c:pt>
                <c:pt idx="22">
                  <c:v>8</c:v>
                </c:pt>
                <c:pt idx="23">
                  <c:v>6</c:v>
                </c:pt>
                <c:pt idx="24">
                  <c:v>6</c:v>
                </c:pt>
                <c:pt idx="25">
                  <c:v>7</c:v>
                </c:pt>
                <c:pt idx="26">
                  <c:v>8</c:v>
                </c:pt>
                <c:pt idx="27">
                  <c:v>8</c:v>
                </c:pt>
                <c:pt idx="28">
                  <c:v>6</c:v>
                </c:pt>
                <c:pt idx="29">
                  <c:v>6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8</c:v>
                </c:pt>
                <c:pt idx="34">
                  <c:v>8</c:v>
                </c:pt>
                <c:pt idx="35">
                  <c:v>7</c:v>
                </c:pt>
                <c:pt idx="36">
                  <c:v>8</c:v>
                </c:pt>
                <c:pt idx="37">
                  <c:v>8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9</c:v>
                </c:pt>
                <c:pt idx="45">
                  <c:v>9</c:v>
                </c:pt>
                <c:pt idx="46">
                  <c:v>6</c:v>
                </c:pt>
                <c:pt idx="47">
                  <c:v>6</c:v>
                </c:pt>
                <c:pt idx="48">
                  <c:v>8</c:v>
                </c:pt>
                <c:pt idx="49">
                  <c:v>7</c:v>
                </c:pt>
                <c:pt idx="50">
                  <c:v>7</c:v>
                </c:pt>
                <c:pt idx="51">
                  <c:v>9</c:v>
                </c:pt>
                <c:pt idx="52">
                  <c:v>8</c:v>
                </c:pt>
                <c:pt idx="53">
                  <c:v>9</c:v>
                </c:pt>
                <c:pt idx="54">
                  <c:v>9</c:v>
                </c:pt>
                <c:pt idx="55">
                  <c:v>8</c:v>
                </c:pt>
                <c:pt idx="56">
                  <c:v>9</c:v>
                </c:pt>
                <c:pt idx="57">
                  <c:v>8</c:v>
                </c:pt>
                <c:pt idx="58">
                  <c:v>8</c:v>
                </c:pt>
                <c:pt idx="59">
                  <c:v>7</c:v>
                </c:pt>
                <c:pt idx="60">
                  <c:v>8</c:v>
                </c:pt>
                <c:pt idx="61">
                  <c:v>9</c:v>
                </c:pt>
                <c:pt idx="62">
                  <c:v>9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9</c:v>
                </c:pt>
                <c:pt idx="69">
                  <c:v>9</c:v>
                </c:pt>
                <c:pt idx="70">
                  <c:v>7</c:v>
                </c:pt>
                <c:pt idx="71">
                  <c:v>7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7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9</c:v>
                </c:pt>
                <c:pt idx="81">
                  <c:v>9</c:v>
                </c:pt>
                <c:pt idx="82">
                  <c:v>8</c:v>
                </c:pt>
                <c:pt idx="83">
                  <c:v>8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9</c:v>
                </c:pt>
                <c:pt idx="99">
                  <c:v>8</c:v>
                </c:pt>
                <c:pt idx="100">
                  <c:v>8</c:v>
                </c:pt>
                <c:pt idx="101">
                  <c:v>9</c:v>
                </c:pt>
                <c:pt idx="102">
                  <c:v>9</c:v>
                </c:pt>
                <c:pt idx="103">
                  <c:v>10</c:v>
                </c:pt>
                <c:pt idx="104">
                  <c:v>9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9</c:v>
                </c:pt>
                <c:pt idx="118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/표준" sourceLinked="1"/>
        <c:majorTickMark val="none"/>
        <c:minorTickMark val="none"/>
        <c:tickLblPos val="nextTo"/>
        <c:tickMarkSkip val="1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/표준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35f3e627c6408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ameBalanceTable" displayName="GameBalanceTable" ref="A1:L120">
  <x:tableColumns count="12">
    <x:tableColumn id="1" name="플레이 난이도"/>
    <x:tableColumn id="2" name="플레이 흥미도"/>
    <x:tableColumn id="3" name="콘텐츠 진행 순서"/>
    <x:tableColumn id="4" name="플레이 목표"/>
    <x:tableColumn id="5" name="플레이 난관"/>
    <x:tableColumn id="6" name="공략 방법"/>
    <x:tableColumn id="7" name="체감 난이도"/>
    <x:tableColumn id="8" name="수행 과제 수"/>
    <x:tableColumn id="9" name="목표 달성 조건"/>
    <x:tableColumn id="10" name="실패 결과"/>
    <x:tableColumn id="11" name="예상 소요 시간"/>
    <x:tableColumn id="12" name="난이도 조절 요소"/>
  </x:tableColumns>
  <x:tableStyleInfo name="TableStyleLight8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a31788a1af41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d2f927ab234410c" /></Relationships>
</file>

<file path=xl/worksheets/sheet1.xml><?xml version="1.0" encoding="utf-8"?>
<x:worksheet xmlns:x="http://schemas.openxmlformats.org/spreadsheetml/2006/main">
  <x:sheetFormatPr defaultColWidth="8.93359375" defaultRowHeight="16.399999618530273"/>
  <x:cols>
    <x:col min="1" max="1" width="13.25" style="29" customWidth="1"/>
    <x:col min="2" max="3" width="13.125" style="29" customWidth="1"/>
    <x:col min="4" max="4" width="31" style="29" customWidth="1"/>
    <x:col min="5" max="5" width="38" style="29" customWidth="1"/>
    <x:col min="6" max="6" width="42" style="29" customWidth="1"/>
    <x:col min="7" max="7" width="38" style="29" customWidth="1"/>
    <x:col min="8" max="8" width="12.875" style="29" customWidth="1"/>
    <x:col min="9" max="9" width="32" style="29" customWidth="1"/>
    <x:col min="10" max="10" width="31.875" style="29" customWidth="1"/>
    <x:col min="11" max="11" width="15" style="29" customWidth="1"/>
    <x:col min="12" max="12" width="35" style="29" customWidth="1"/>
    <x:col min="13" max="16376" width="9" style="29" customWidth="0"/>
    <x:col min="16377" max="16384" width="8.93359375" style="29" customWidth="0"/>
    <x:col min="13" max="13" width="16" hidden="0" customWidth="1"/>
    <x:col min="14" max="14" width="11" hidden="0" customWidth="1"/>
    <x:col min="15" max="15" width="22" hidden="0" customWidth="1"/>
    <x:col min="16" max="16" width="24" hidden="0" customWidth="1"/>
    <x:col min="17" max="17" width="16" hidden="0" customWidth="1"/>
    <x:col min="18" max="18" width="27" hidden="0" customWidth="1"/>
  </x:cols>
  <x:sheetData>
    <x:row r="1" ht="34" customHeight="1">
      <x:c r="A1" s="30" t="s">
        <x:v>0</x:v>
      </x:c>
      <x:c r="B1" s="30" t="s">
        <x:v>1</x:v>
      </x:c>
      <x:c r="C1" s="30" t="s">
        <x:v>2</x:v>
      </x:c>
      <x:c r="D1" s="30" t="s">
        <x:v>3</x:v>
      </x:c>
      <x:c r="E1" s="30" t="s">
        <x:v>4</x:v>
      </x:c>
      <x:c r="F1" s="30" t="s">
        <x:v>5</x:v>
      </x:c>
      <x:c r="G1" s="30" t="s">
        <x:v>6</x:v>
      </x:c>
      <x:c r="H1" s="30" t="s">
        <x:v>7</x:v>
      </x:c>
      <x:c r="I1" s="30" t="s">
        <x:v>8</x:v>
      </x:c>
      <x:c r="J1" s="30" t="s">
        <x:v>9</x:v>
      </x:c>
      <x:c r="K1" s="30" t="s">
        <x:v>10</x:v>
      </x:c>
      <x:c r="L1" s="30" t="s">
        <x:v>11</x:v>
      </x:c>
      <x:c r="M1" s="57" t="str">
        <x:v>조작 기여도(난이도)</x:v>
      </x:c>
      <x:c r="N1" s="57" t="str">
        <x:v>재미율</x:v>
      </x:c>
      <x:c r="O1" s="57" t="str">
        <x:v>누적 플레이 시간</x:v>
      </x:c>
      <x:c r="P1" s="57" t="str">
        <x:v>STAGE</x:v>
      </x:c>
      <x:c r="Q1" s="57" t="str">
        <x:v>미션 해결 개수</x:v>
      </x:c>
      <x:c r="R1" s="57" t="str">
        <x:v>미션포인트(빌드오더포인트)</x:v>
      </x:c>
    </x:row>
    <x:row r="2" ht="81.94999694824219" customHeight="1">
      <x:c r="A2" s="30">
        <x:v>1</x:v>
      </x:c>
      <x:c r="B2" s="30">
        <x:v>7</x:v>
      </x:c>
      <x:c r="C2" s="30">
        <x:v>1</x:v>
      </x:c>
      <x:c r="D2" s="30" t="s">
        <x:v>12</x:v>
      </x:c>
      <x:c r="E2" s="30" t="s">
        <x:v>13</x:v>
      </x:c>
      <x:c r="F2" s="30" t="s">
        <x:v>14</x:v>
      </x:c>
      <x:c r="G2" s="30" t="s">
        <x:v>15</x:v>
      </x:c>
      <x:c r="H2" s="30">
        <x:v>1</x:v>
      </x:c>
      <x:c r="I2" s="30" t="s">
        <x:v>16</x:v>
      </x:c>
      <x:c r="J2" s="30" t="s">
        <x:v>17</x:v>
      </x:c>
      <x:c r="K2" s="30" t="s">
        <x:v>18</x:v>
      </x:c>
      <x:c r="L2" s="30" t="s">
        <x:v>19</x:v>
      </x:c>
      <x:c r="M2" s="66" t="n">
        <x:f>A2</x:f>
        <x:v>1</x:v>
      </x:c>
      <x:c r="N2" s="67" t="n">
        <x:f>B2</x:f>
        <x:v>7</x:v>
      </x:c>
      <x:c r="O2" s="62" t="n">
        <x:f>(IFERROR(VALUE(LEFT(K2,FIND("분",K2)-1))*60,0)+IFERROR(VALUE(TRIM(MID(K2,IFERROR(FIND("분",K2),0)+1,FIND("초",K2)-IFERROR(FIND("분",K2),0)-1))),0))/86400</x:f>
        <x:v>0.0010416666666666667</x:v>
      </x:c>
      <x:c r="P2" s="65" t="str">
        <x:v>1-A | 집·튜토리얼</x:v>
      </x:c>
      <x:c r="Q2" s="61" t="n">
        <x:f>H2</x:f>
        <x:v>1</x:v>
      </x:c>
      <x:c r="R2" s="63" t="n">
        <x:f>6</x:f>
        <x:v>6</x:v>
      </x:c>
    </x:row>
    <x:row r="3" ht="81.94999694824219" customHeight="1">
      <x:c r="A3" s="30">
        <x:v>1</x:v>
      </x:c>
      <x:c r="B3" s="30">
        <x:v>3</x:v>
      </x:c>
      <x:c r="C3" s="30">
        <x:v>2</x:v>
      </x:c>
      <x:c r="D3" s="30" t="s">
        <x:v>20</x:v>
      </x:c>
      <x:c r="E3" s="30" t="s">
        <x:v>21</x:v>
      </x:c>
      <x:c r="F3" s="30" t="s">
        <x:v>22</x:v>
      </x:c>
      <x:c r="G3" s="30" t="s">
        <x:v>23</x:v>
      </x:c>
      <x:c r="H3" s="30">
        <x:v>1</x:v>
      </x:c>
      <x:c r="I3" s="30" t="s">
        <x:v>24</x:v>
      </x:c>
      <x:c r="J3" s="30" t="s">
        <x:v>17</x:v>
      </x:c>
      <x:c r="K3" s="30" t="s">
        <x:v>25</x:v>
      </x:c>
      <x:c r="L3" s="30" t="s">
        <x:v>26</x:v>
      </x:c>
      <x:c r="M3" s="66" t="n">
        <x:f>A3</x:f>
        <x:v>1</x:v>
      </x:c>
      <x:c r="N3" s="68" t="n">
        <x:f>B3</x:f>
        <x:v>3</x:v>
      </x:c>
      <x:c r="O3" s="62" t="n">
        <x:f>O2+(IFERROR(VALUE(LEFT(K3,FIND("분",K3)-1))*60,0)+IFERROR(VALUE(TRIM(MID(K3,IFERROR(FIND("분",K3),0)+1,FIND("초",K3)-IFERROR(FIND("분",K3),0)-1))),0))/86400</x:f>
        <x:v>0.0012731481481481483</x:v>
      </x:c>
      <x:c r="P3" s="65" t="str">
        <x:v>1-A | 집·튜토리얼</x:v>
      </x:c>
      <x:c r="Q3" s="61" t="n">
        <x:f>H3</x:f>
        <x:v>1</x:v>
      </x:c>
      <x:c r="R3" s="63" t="n">
        <x:f>R2+2</x:f>
        <x:v>8</x:v>
      </x:c>
    </x:row>
    <x:row r="4" ht="81.94999694824219" customHeight="1">
      <x:c r="A4" s="30">
        <x:v>1</x:v>
      </x:c>
      <x:c r="B4" s="30">
        <x:v>5</x:v>
      </x:c>
      <x:c r="C4" s="30">
        <x:v>3</x:v>
      </x:c>
      <x:c r="D4" s="30" t="s">
        <x:v>27</x:v>
      </x:c>
      <x:c r="E4" s="30" t="s">
        <x:v>28</x:v>
      </x:c>
      <x:c r="F4" s="30" t="s">
        <x:v>29</x:v>
      </x:c>
      <x:c r="G4" s="30" t="s">
        <x:v>30</x:v>
      </x:c>
      <x:c r="H4" s="30">
        <x:v>1</x:v>
      </x:c>
      <x:c r="I4" s="30" t="s">
        <x:v>31</x:v>
      </x:c>
      <x:c r="J4" s="30" t="s">
        <x:v>17</x:v>
      </x:c>
      <x:c r="K4" s="30" t="s">
        <x:v>32</x:v>
      </x:c>
      <x:c r="L4" s="30" t="s">
        <x:v>33</x:v>
      </x:c>
      <x:c r="M4" s="66" t="n">
        <x:f>A4</x:f>
        <x:v>1</x:v>
      </x:c>
      <x:c r="N4" s="69" t="n">
        <x:f>B4</x:f>
        <x:v>5</x:v>
      </x:c>
      <x:c r="O4" s="62" t="n">
        <x:f>O3+(IFERROR(VALUE(LEFT(K4,FIND("분",K4)-1))*60,0)+IFERROR(VALUE(TRIM(MID(K4,IFERROR(FIND("분",K4),0)+1,FIND("초",K4)-IFERROR(FIND("분",K4),0)-1))),0))/86400</x:f>
        <x:v>0.001967592592592593</x:v>
      </x:c>
      <x:c r="P4" s="65" t="str">
        <x:v>1-A | 집·튜토리얼</x:v>
      </x:c>
      <x:c r="Q4" s="61" t="n">
        <x:f>H4</x:f>
        <x:v>1</x:v>
      </x:c>
      <x:c r="R4" s="63" t="n">
        <x:f>R3+4</x:f>
        <x:v>12</x:v>
      </x:c>
    </x:row>
    <x:row r="5" ht="81.94999694824219" customHeight="1">
      <x:c r="A5" s="30">
        <x:v>1</x:v>
      </x:c>
      <x:c r="B5" s="30">
        <x:v>3</x:v>
      </x:c>
      <x:c r="C5" s="30">
        <x:v>4</x:v>
      </x:c>
      <x:c r="D5" s="30" t="s">
        <x:v>34</x:v>
      </x:c>
      <x:c r="E5" s="30" t="s">
        <x:v>35</x:v>
      </x:c>
      <x:c r="F5" s="30" t="s">
        <x:v>36</x:v>
      </x:c>
      <x:c r="G5" s="30" t="s">
        <x:v>37</x:v>
      </x:c>
      <x:c r="H5" s="30">
        <x:v>4</x:v>
      </x:c>
      <x:c r="I5" s="30" t="s">
        <x:v>38</x:v>
      </x:c>
      <x:c r="J5" s="30" t="s">
        <x:v>17</x:v>
      </x:c>
      <x:c r="K5" s="30" t="s">
        <x:v>39</x:v>
      </x:c>
      <x:c r="L5" s="30" t="s">
        <x:v>40</x:v>
      </x:c>
      <x:c r="M5" s="66" t="n">
        <x:f>A5</x:f>
        <x:v>1</x:v>
      </x:c>
      <x:c r="N5" s="68" t="n">
        <x:f>B5</x:f>
        <x:v>3</x:v>
      </x:c>
      <x:c r="O5" s="62" t="n">
        <x:f>O4+(IFERROR(VALUE(LEFT(K5,FIND("분",K5)-1))*60,0)+IFERROR(VALUE(TRIM(MID(K5,IFERROR(FIND("분",K5),0)+1,FIND("초",K5)-IFERROR(FIND("분",K5),0)-1))),0))/86400</x:f>
        <x:v>0.0024305555555555556</x:v>
      </x:c>
      <x:c r="P5" s="65" t="str">
        <x:v>1-A | 집·튜토리얼</x:v>
      </x:c>
      <x:c r="Q5" s="61" t="n">
        <x:f>H5</x:f>
        <x:v>4</x:v>
      </x:c>
      <x:c r="R5" s="63" t="n">
        <x:f>R4+3</x:f>
        <x:v>15</x:v>
      </x:c>
    </x:row>
    <x:row r="6" ht="81.94999694824219" customHeight="1">
      <x:c r="A6" s="30">
        <x:v>1</x:v>
      </x:c>
      <x:c r="B6" s="30">
        <x:v>3</x:v>
      </x:c>
      <x:c r="C6" s="30">
        <x:v>5</x:v>
      </x:c>
      <x:c r="D6" s="30" t="s">
        <x:v>41</x:v>
      </x:c>
      <x:c r="E6" s="30" t="s">
        <x:v>42</x:v>
      </x:c>
      <x:c r="F6" s="30" t="s">
        <x:v>43</x:v>
      </x:c>
      <x:c r="G6" s="30" t="s">
        <x:v>44</x:v>
      </x:c>
      <x:c r="H6" s="30">
        <x:v>1</x:v>
      </x:c>
      <x:c r="I6" s="30" t="s">
        <x:v>45</x:v>
      </x:c>
      <x:c r="J6" s="30" t="s">
        <x:v>17</x:v>
      </x:c>
      <x:c r="K6" s="30" t="s">
        <x:v>46</x:v>
      </x:c>
      <x:c r="L6" s="30" t="s">
        <x:v>47</x:v>
      </x:c>
      <x:c r="M6" s="66" t="n">
        <x:f>A6</x:f>
        <x:v>1</x:v>
      </x:c>
      <x:c r="N6" s="68" t="n">
        <x:f>B6</x:f>
        <x:v>3</x:v>
      </x:c>
      <x:c r="O6" s="62" t="n">
        <x:f>O5+(IFERROR(VALUE(LEFT(K6,FIND("분",K6)-1))*60,0)+IFERROR(VALUE(TRIM(MID(K6,IFERROR(FIND("분",K6),0)+1,FIND("초",K6)-IFERROR(FIND("분",K6),0)-1))),0))/86400</x:f>
        <x:v>0.002777777777777778</x:v>
      </x:c>
      <x:c r="P6" s="65" t="str">
        <x:v>1-A | 집·튜토리얼</x:v>
      </x:c>
      <x:c r="Q6" s="61" t="n">
        <x:f>H6</x:f>
        <x:v>1</x:v>
      </x:c>
      <x:c r="R6" s="63" t="n">
        <x:f>R5+3</x:f>
        <x:v>18</x:v>
      </x:c>
    </x:row>
    <x:row r="7" ht="81.94999694824219" customHeight="1">
      <x:c r="A7" s="30">
        <x:v>1</x:v>
      </x:c>
      <x:c r="B7" s="30">
        <x:v>5</x:v>
      </x:c>
      <x:c r="C7" s="30">
        <x:v>6</x:v>
      </x:c>
      <x:c r="D7" s="30" t="s">
        <x:v>48</x:v>
      </x:c>
      <x:c r="E7" s="30" t="s">
        <x:v>49</x:v>
      </x:c>
      <x:c r="F7" s="30" t="s">
        <x:v>50</x:v>
      </x:c>
      <x:c r="G7" s="30" t="s">
        <x:v>51</x:v>
      </x:c>
      <x:c r="H7" s="30">
        <x:v>1</x:v>
      </x:c>
      <x:c r="I7" s="30" t="s">
        <x:v>52</x:v>
      </x:c>
      <x:c r="J7" s="30" t="s">
        <x:v>17</x:v>
      </x:c>
      <x:c r="K7" s="30" t="s">
        <x:v>25</x:v>
      </x:c>
      <x:c r="L7" s="30" t="s">
        <x:v>53</x:v>
      </x:c>
      <x:c r="M7" s="66" t="n">
        <x:f>A7</x:f>
        <x:v>1</x:v>
      </x:c>
      <x:c r="N7" s="69" t="n">
        <x:f>B7</x:f>
        <x:v>5</x:v>
      </x:c>
      <x:c r="O7" s="62" t="n">
        <x:f>O6+(IFERROR(VALUE(LEFT(K7,FIND("분",K7)-1))*60,0)+IFERROR(VALUE(TRIM(MID(K7,IFERROR(FIND("분",K7),0)+1,FIND("초",K7)-IFERROR(FIND("분",K7),0)-1))),0))/86400</x:f>
        <x:v>0.0030092592592592593</x:v>
      </x:c>
      <x:c r="P7" s="65" t="str">
        <x:v>1-A | 집·튜토리얼</x:v>
      </x:c>
      <x:c r="Q7" s="61" t="n">
        <x:f>H7</x:f>
        <x:v>1</x:v>
      </x:c>
      <x:c r="R7" s="63" t="n">
        <x:f>R6+3</x:f>
        <x:v>21</x:v>
      </x:c>
    </x:row>
    <x:row r="8" ht="81.94999694824219" customHeight="1">
      <x:c r="A8" s="30">
        <x:v>2</x:v>
      </x:c>
      <x:c r="B8" s="30">
        <x:v>5</x:v>
      </x:c>
      <x:c r="C8" s="30">
        <x:v>7</x:v>
      </x:c>
      <x:c r="D8" s="30" t="s">
        <x:v>54</x:v>
      </x:c>
      <x:c r="E8" s="30" t="s">
        <x:v>42</x:v>
      </x:c>
      <x:c r="F8" s="30" t="s">
        <x:v>55</x:v>
      </x:c>
      <x:c r="G8" s="30" t="s">
        <x:v>56</x:v>
      </x:c>
      <x:c r="H8" s="30">
        <x:v>1</x:v>
      </x:c>
      <x:c r="I8" s="30" t="s">
        <x:v>57</x:v>
      </x:c>
      <x:c r="J8" s="30" t="s">
        <x:v>17</x:v>
      </x:c>
      <x:c r="K8" s="30" t="s">
        <x:v>58</x:v>
      </x:c>
      <x:c r="L8" s="30" t="s">
        <x:v>47</x:v>
      </x:c>
      <x:c r="M8" s="67" t="n">
        <x:f>A8</x:f>
        <x:v>2</x:v>
      </x:c>
      <x:c r="N8" s="69" t="n">
        <x:f>B8</x:f>
        <x:v>5</x:v>
      </x:c>
      <x:c r="O8" s="62" t="n">
        <x:f>O7+(IFERROR(VALUE(LEFT(K8,FIND("분",K8)-1))*60,0)+IFERROR(VALUE(TRIM(MID(K8,IFERROR(FIND("분",K8),0)+1,FIND("초",K8)-IFERROR(FIND("분",K8),0)-1))),0))/86400</x:f>
        <x:v>0.0038773148148148148</x:v>
      </x:c>
      <x:c r="P8" s="65" t="str">
        <x:v>1-B | 편의점</x:v>
      </x:c>
      <x:c r="Q8" s="61" t="n">
        <x:f>H8</x:f>
        <x:v>1</x:v>
      </x:c>
      <x:c r="R8" s="63" t="n">
        <x:f>R7+5</x:f>
        <x:v>26</x:v>
      </x:c>
    </x:row>
    <x:row r="9" ht="81.94999694824219" customHeight="1">
      <x:c r="A9" s="30">
        <x:v>2</x:v>
      </x:c>
      <x:c r="B9" s="30">
        <x:v>6</x:v>
      </x:c>
      <x:c r="C9" s="30">
        <x:v>8</x:v>
      </x:c>
      <x:c r="D9" s="30" t="s">
        <x:v>59</x:v>
      </x:c>
      <x:c r="E9" s="30" t="s">
        <x:v>60</x:v>
      </x:c>
      <x:c r="F9" s="30" t="s">
        <x:v>61</x:v>
      </x:c>
      <x:c r="G9" s="30" t="s">
        <x:v>62</x:v>
      </x:c>
      <x:c r="H9" s="30">
        <x:v>4</x:v>
      </x:c>
      <x:c r="I9" s="30" t="s">
        <x:v>63</x:v>
      </x:c>
      <x:c r="J9" s="30" t="s">
        <x:v>17</x:v>
      </x:c>
      <x:c r="K9" s="30" t="s">
        <x:v>18</x:v>
      </x:c>
      <x:c r="L9" s="30" t="s">
        <x:v>64</x:v>
      </x:c>
      <x:c r="M9" s="67" t="n">
        <x:f>A9</x:f>
        <x:v>2</x:v>
      </x:c>
      <x:c r="N9" s="70" t="n">
        <x:f>B9</x:f>
        <x:v>6</x:v>
      </x:c>
      <x:c r="O9" s="62" t="n">
        <x:f>O8+(IFERROR(VALUE(LEFT(K9,FIND("분",K9)-1))*60,0)+IFERROR(VALUE(TRIM(MID(K9,IFERROR(FIND("분",K9),0)+1,FIND("초",K9)-IFERROR(FIND("분",K9),0)-1))),0))/86400</x:f>
        <x:v>0.004918981481481482</x:v>
      </x:c>
      <x:c r="P9" s="65" t="str">
        <x:v>1-B | 편의점</x:v>
      </x:c>
      <x:c r="Q9" s="61" t="n">
        <x:f>H9</x:f>
        <x:v>4</x:v>
      </x:c>
      <x:c r="R9" s="63" t="n">
        <x:f>R8+6</x:f>
        <x:v>32</x:v>
      </x:c>
    </x:row>
    <x:row r="10" ht="81.94999694824219" customHeight="1">
      <x:c r="A10" s="30">
        <x:v>1</x:v>
      </x:c>
      <x:c r="B10" s="30">
        <x:v>5</x:v>
      </x:c>
      <x:c r="C10" s="30">
        <x:v>9</x:v>
      </x:c>
      <x:c r="D10" s="30" t="s">
        <x:v>65</x:v>
      </x:c>
      <x:c r="E10" s="30" t="s">
        <x:v>49</x:v>
      </x:c>
      <x:c r="F10" s="30" t="s">
        <x:v>66</x:v>
      </x:c>
      <x:c r="G10" s="30" t="s">
        <x:v>67</x:v>
      </x:c>
      <x:c r="H10" s="30">
        <x:v>2</x:v>
      </x:c>
      <x:c r="I10" s="30" t="s">
        <x:v>68</x:v>
      </x:c>
      <x:c r="J10" s="30" t="s">
        <x:v>17</x:v>
      </x:c>
      <x:c r="K10" s="30" t="s">
        <x:v>69</x:v>
      </x:c>
      <x:c r="L10" s="30" t="s">
        <x:v>53</x:v>
      </x:c>
      <x:c r="M10" s="66" t="n">
        <x:f>A10</x:f>
        <x:v>1</x:v>
      </x:c>
      <x:c r="N10" s="69" t="n">
        <x:f>B10</x:f>
        <x:v>5</x:v>
      </x:c>
      <x:c r="O10" s="62" t="n">
        <x:f>O9+(IFERROR(VALUE(LEFT(K10,FIND("분",K10)-1))*60,0)+IFERROR(VALUE(TRIM(MID(K10,IFERROR(FIND("분",K10),0)+1,FIND("초",K10)-IFERROR(FIND("분",K10),0)-1))),0))/86400</x:f>
        <x:v>0.005324074074074074</x:v>
      </x:c>
      <x:c r="P10" s="65" t="str">
        <x:v>1-B | 편의점</x:v>
      </x:c>
      <x:c r="Q10" s="61" t="n">
        <x:f>H10</x:f>
        <x:v>2</x:v>
      </x:c>
      <x:c r="R10" s="63" t="n">
        <x:f>R9+4</x:f>
        <x:v>36</x:v>
      </x:c>
    </x:row>
    <x:row r="11" ht="81.94999694824219" customHeight="1">
      <x:c r="A11" s="30">
        <x:v>1</x:v>
      </x:c>
      <x:c r="B11" s="30">
        <x:v>6</x:v>
      </x:c>
      <x:c r="C11" s="30">
        <x:v>10</x:v>
      </x:c>
      <x:c r="D11" s="30" t="s">
        <x:v>70</x:v>
      </x:c>
      <x:c r="E11" s="30" t="s">
        <x:v>28</x:v>
      </x:c>
      <x:c r="F11" s="30" t="s">
        <x:v>29</x:v>
      </x:c>
      <x:c r="G11" s="30" t="s">
        <x:v>71</x:v>
      </x:c>
      <x:c r="H11" s="30">
        <x:v>1</x:v>
      </x:c>
      <x:c r="I11" s="30" t="s">
        <x:v>72</x:v>
      </x:c>
      <x:c r="J11" s="30" t="s">
        <x:v>17</x:v>
      </x:c>
      <x:c r="K11" s="30" t="s">
        <x:v>58</x:v>
      </x:c>
      <x:c r="L11" s="30" t="s">
        <x:v>33</x:v>
      </x:c>
      <x:c r="M11" s="66" t="n">
        <x:f>A11</x:f>
        <x:v>1</x:v>
      </x:c>
      <x:c r="N11" s="70" t="n">
        <x:f>B11</x:f>
        <x:v>6</x:v>
      </x:c>
      <x:c r="O11" s="62" t="n">
        <x:f>O10+(IFERROR(VALUE(LEFT(K11,FIND("분",K11)-1))*60,0)+IFERROR(VALUE(TRIM(MID(K11,IFERROR(FIND("분",K11),0)+1,FIND("초",K11)-IFERROR(FIND("분",K11),0)-1))),0))/86400</x:f>
        <x:v>0.006192129629629629</x:v>
      </x:c>
      <x:c r="P11" s="65" t="str">
        <x:v>1-B | 편의점</x:v>
      </x:c>
      <x:c r="Q11" s="61" t="n">
        <x:f>H11</x:f>
        <x:v>1</x:v>
      </x:c>
      <x:c r="R11" s="63" t="n">
        <x:f>R10+5</x:f>
        <x:v>41</x:v>
      </x:c>
    </x:row>
    <x:row r="12" ht="81.94999694824219" customHeight="1">
      <x:c r="A12" s="30">
        <x:v>2</x:v>
      </x:c>
      <x:c r="B12" s="30">
        <x:v>5</x:v>
      </x:c>
      <x:c r="C12" s="30">
        <x:v>11</x:v>
      </x:c>
      <x:c r="D12" s="30" t="s">
        <x:v>73</x:v>
      </x:c>
      <x:c r="E12" s="30" t="s">
        <x:v>42</x:v>
      </x:c>
      <x:c r="F12" s="30" t="s">
        <x:v>74</x:v>
      </x:c>
      <x:c r="G12" s="30" t="s">
        <x:v>56</x:v>
      </x:c>
      <x:c r="H12" s="30">
        <x:v>1</x:v>
      </x:c>
      <x:c r="I12" s="30" t="s">
        <x:v>75</x:v>
      </x:c>
      <x:c r="J12" s="30" t="s">
        <x:v>17</x:v>
      </x:c>
      <x:c r="K12" s="30" t="s">
        <x:v>18</x:v>
      </x:c>
      <x:c r="L12" s="30" t="s">
        <x:v>47</x:v>
      </x:c>
      <x:c r="M12" s="67" t="n">
        <x:f>A12</x:f>
        <x:v>2</x:v>
      </x:c>
      <x:c r="N12" s="69" t="n">
        <x:f>B12</x:f>
        <x:v>5</x:v>
      </x:c>
      <x:c r="O12" s="62" t="n">
        <x:f>O11+(IFERROR(VALUE(LEFT(K12,FIND("분",K12)-1))*60,0)+IFERROR(VALUE(TRIM(MID(K12,IFERROR(FIND("분",K12),0)+1,FIND("초",K12)-IFERROR(FIND("분",K12),0)-1))),0))/86400</x:f>
        <x:v>0.0072337962962962955</x:v>
      </x:c>
      <x:c r="P12" s="65" t="str">
        <x:v>1-C | 다이소</x:v>
      </x:c>
      <x:c r="Q12" s="61" t="n">
        <x:f>H12</x:f>
        <x:v>1</x:v>
      </x:c>
      <x:c r="R12" s="63" t="n">
        <x:f>R11+6</x:f>
        <x:v>47</x:v>
      </x:c>
    </x:row>
    <x:row r="13" ht="81.94999694824219" customHeight="1">
      <x:c r="A13" s="30">
        <x:v>2</x:v>
      </x:c>
      <x:c r="B13" s="30">
        <x:v>6</x:v>
      </x:c>
      <x:c r="C13" s="30">
        <x:v>12</x:v>
      </x:c>
      <x:c r="D13" s="30" t="s">
        <x:v>76</x:v>
      </x:c>
      <x:c r="E13" s="30" t="s">
        <x:v>60</x:v>
      </x:c>
      <x:c r="F13" s="30" t="s">
        <x:v>77</x:v>
      </x:c>
      <x:c r="G13" s="30" t="s">
        <x:v>62</x:v>
      </x:c>
      <x:c r="H13" s="30">
        <x:v>5</x:v>
      </x:c>
      <x:c r="I13" s="30" t="s">
        <x:v>78</x:v>
      </x:c>
      <x:c r="J13" s="30" t="s">
        <x:v>17</x:v>
      </x:c>
      <x:c r="K13" s="30" t="s">
        <x:v>79</x:v>
      </x:c>
      <x:c r="L13" s="30" t="s">
        <x:v>64</x:v>
      </x:c>
      <x:c r="M13" s="67" t="n">
        <x:f>A13</x:f>
        <x:v>2</x:v>
      </x:c>
      <x:c r="N13" s="70" t="n">
        <x:f>B13</x:f>
        <x:v>6</x:v>
      </x:c>
      <x:c r="O13" s="62" t="n">
        <x:f>O12+(IFERROR(VALUE(LEFT(K13,FIND("분",K13)-1))*60,0)+IFERROR(VALUE(TRIM(MID(K13,IFERROR(FIND("분",K13),0)+1,FIND("초",K13)-IFERROR(FIND("분",K13),0)-1))),0))/86400</x:f>
        <x:v>0.008506944444444444</x:v>
      </x:c>
      <x:c r="P13" s="65" t="str">
        <x:v>1-C | 다이소</x:v>
      </x:c>
      <x:c r="Q13" s="61" t="n">
        <x:f>H13</x:f>
        <x:v>5</x:v>
      </x:c>
      <x:c r="R13" s="63" t="n">
        <x:f>R12+7</x:f>
        <x:v>54</x:v>
      </x:c>
    </x:row>
    <x:row r="14" ht="81.94999694824219" customHeight="1">
      <x:c r="A14" s="30">
        <x:v>1</x:v>
      </x:c>
      <x:c r="B14" s="30">
        <x:v>5</x:v>
      </x:c>
      <x:c r="C14" s="30">
        <x:v>13</x:v>
      </x:c>
      <x:c r="D14" s="30" t="s">
        <x:v>80</x:v>
      </x:c>
      <x:c r="E14" s="30" t="s">
        <x:v>81</x:v>
      </x:c>
      <x:c r="F14" s="30" t="s">
        <x:v>82</x:v>
      </x:c>
      <x:c r="G14" s="30" t="s">
        <x:v>83</x:v>
      </x:c>
      <x:c r="H14" s="30">
        <x:v>3</x:v>
      </x:c>
      <x:c r="I14" s="30" t="s">
        <x:v>84</x:v>
      </x:c>
      <x:c r="J14" s="30" t="s">
        <x:v>85</x:v>
      </x:c>
      <x:c r="K14" s="30" t="s">
        <x:v>86</x:v>
      </x:c>
      <x:c r="L14" s="30" t="s">
        <x:v>87</x:v>
      </x:c>
      <x:c r="M14" s="66" t="n">
        <x:f>A14</x:f>
        <x:v>1</x:v>
      </x:c>
      <x:c r="N14" s="69" t="n">
        <x:f>B14</x:f>
        <x:v>5</x:v>
      </x:c>
      <x:c r="O14" s="62" t="n">
        <x:f>O13+(IFERROR(VALUE(LEFT(K14,FIND("분",K14)-1))*60,0)+IFERROR(VALUE(TRIM(MID(K14,IFERROR(FIND("분",K14),0)+1,FIND("초",K14)-IFERROR(FIND("분",K14),0)-1))),0))/86400</x:f>
        <x:v>0.009085648148148148</x:v>
      </x:c>
      <x:c r="P14" s="65" t="str">
        <x:v>1-C | 다이소</x:v>
      </x:c>
      <x:c r="Q14" s="61" t="n">
        <x:f>H14</x:f>
        <x:v>3</x:v>
      </x:c>
      <x:c r="R14" s="63" t="n">
        <x:f>R13+4</x:f>
        <x:v>58</x:v>
      </x:c>
    </x:row>
    <x:row r="15" ht="81.94999694824219" customHeight="1">
      <x:c r="A15" s="30">
        <x:v>2</x:v>
      </x:c>
      <x:c r="B15" s="30">
        <x:v>5</x:v>
      </x:c>
      <x:c r="C15" s="30">
        <x:v>14</x:v>
      </x:c>
      <x:c r="D15" s="30" t="s">
        <x:v>88</x:v>
      </x:c>
      <x:c r="E15" s="30" t="s">
        <x:v>42</x:v>
      </x:c>
      <x:c r="F15" s="30" t="s">
        <x:v>89</x:v>
      </x:c>
      <x:c r="G15" s="30" t="s">
        <x:v>56</x:v>
      </x:c>
      <x:c r="H15" s="30">
        <x:v>1</x:v>
      </x:c>
      <x:c r="I15" s="30" t="s">
        <x:v>90</x:v>
      </x:c>
      <x:c r="J15" s="30" t="s">
        <x:v>17</x:v>
      </x:c>
      <x:c r="K15" s="30" t="s">
        <x:v>91</x:v>
      </x:c>
      <x:c r="L15" s="30" t="s">
        <x:v>47</x:v>
      </x:c>
      <x:c r="M15" s="67" t="n">
        <x:f>A15</x:f>
        <x:v>2</x:v>
      </x:c>
      <x:c r="N15" s="69" t="n">
        <x:f>B15</x:f>
        <x:v>5</x:v>
      </x:c>
      <x:c r="O15" s="62" t="n">
        <x:f>O14+(IFERROR(VALUE(LEFT(K15,FIND("분",K15)-1))*60,0)+IFERROR(VALUE(TRIM(MID(K15,IFERROR(FIND("분",K15),0)+1,FIND("초",K15)-IFERROR(FIND("분",K15),0)-1))),0))/86400</x:f>
        <x:v>0.010474537037037037</x:v>
      </x:c>
      <x:c r="P15" s="65" t="str">
        <x:v>1-D | 영화관</x:v>
      </x:c>
      <x:c r="Q15" s="61" t="n">
        <x:f>H15</x:f>
        <x:v>1</x:v>
      </x:c>
      <x:c r="R15" s="63" t="n">
        <x:f>R14+7</x:f>
        <x:v>65</x:v>
      </x:c>
    </x:row>
    <x:row r="16" ht="81.94999694824219" customHeight="1">
      <x:c r="A16" s="30">
        <x:v>2</x:v>
      </x:c>
      <x:c r="B16" s="30">
        <x:v>5</x:v>
      </x:c>
      <x:c r="C16" s="30">
        <x:v>15</x:v>
      </x:c>
      <x:c r="D16" s="30" t="s">
        <x:v>92</x:v>
      </x:c>
      <x:c r="E16" s="30" t="s">
        <x:v>81</x:v>
      </x:c>
      <x:c r="F16" s="30" t="s">
        <x:v>82</x:v>
      </x:c>
      <x:c r="G16" s="30" t="s">
        <x:v>83</x:v>
      </x:c>
      <x:c r="H16" s="30">
        <x:v>3</x:v>
      </x:c>
      <x:c r="I16" s="30" t="s">
        <x:v>93</x:v>
      </x:c>
      <x:c r="J16" s="30" t="s">
        <x:v>85</x:v>
      </x:c>
      <x:c r="K16" s="30" t="s">
        <x:v>94</x:v>
      </x:c>
      <x:c r="L16" s="30" t="s">
        <x:v>87</x:v>
      </x:c>
      <x:c r="M16" s="67" t="n">
        <x:f>A16</x:f>
        <x:v>2</x:v>
      </x:c>
      <x:c r="N16" s="69" t="n">
        <x:f>B16</x:f>
        <x:v>5</x:v>
      </x:c>
      <x:c r="O16" s="62" t="n">
        <x:f>O15+(IFERROR(VALUE(LEFT(K16,FIND("분",K16)-1))*60,0)+IFERROR(VALUE(TRIM(MID(K16,IFERROR(FIND("분",K16),0)+1,FIND("초",K16)-IFERROR(FIND("분",K16),0)-1))),0))/86400</x:f>
        <x:v>0.011400462962962963</x:v>
      </x:c>
      <x:c r="P16" s="65" t="str">
        <x:v>1-D | 영화관</x:v>
      </x:c>
      <x:c r="Q16" s="61" t="n">
        <x:f>H16</x:f>
        <x:v>3</x:v>
      </x:c>
      <x:c r="R16" s="63" t="n">
        <x:f>R15+6</x:f>
        <x:v>71</x:v>
      </x:c>
    </x:row>
    <x:row r="17" ht="81.94999694824219" customHeight="1">
      <x:c r="A17" s="30">
        <x:v>1</x:v>
      </x:c>
      <x:c r="B17" s="30">
        <x:v>7</x:v>
      </x:c>
      <x:c r="C17" s="30">
        <x:v>16</x:v>
      </x:c>
      <x:c r="D17" s="30" t="s">
        <x:v>95</x:v>
      </x:c>
      <x:c r="E17" s="30" t="s">
        <x:v>96</x:v>
      </x:c>
      <x:c r="F17" s="30" t="s">
        <x:v>97</x:v>
      </x:c>
      <x:c r="G17" s="30" t="s">
        <x:v>98</x:v>
      </x:c>
      <x:c r="H17" s="30">
        <x:v>1</x:v>
      </x:c>
      <x:c r="I17" s="30" t="s">
        <x:v>99</x:v>
      </x:c>
      <x:c r="J17" s="30" t="s">
        <x:v>100</x:v>
      </x:c>
      <x:c r="K17" s="30" t="s">
        <x:v>101</x:v>
      </x:c>
      <x:c r="L17" s="30" t="s">
        <x:v>102</x:v>
      </x:c>
      <x:c r="M17" s="66" t="n">
        <x:f>A17</x:f>
        <x:v>1</x:v>
      </x:c>
      <x:c r="N17" s="67" t="n">
        <x:f>B17</x:f>
        <x:v>7</x:v>
      </x:c>
      <x:c r="O17" s="62" t="n">
        <x:f>O16+(IFERROR(VALUE(LEFT(K17,FIND("분",K17)-1))*60,0)+IFERROR(VALUE(TRIM(MID(K17,IFERROR(FIND("분",K17),0)+1,FIND("초",K17)-IFERROR(FIND("분",K17),0)-1))),0))/86400</x:f>
        <x:v>0.011689814814814814</x:v>
      </x:c>
      <x:c r="P17" s="65" t="str">
        <x:v>1-D | 영화관</x:v>
      </x:c>
      <x:c r="Q17" s="61" t="n">
        <x:f>H17</x:f>
        <x:v>1</x:v>
      </x:c>
      <x:c r="R17" s="63" t="n">
        <x:f>R16+4</x:f>
        <x:v>75</x:v>
      </x:c>
    </x:row>
    <x:row r="18" ht="81.94999694824219" customHeight="1">
      <x:c r="A18" s="30">
        <x:v>5</x:v>
      </x:c>
      <x:c r="B18" s="30">
        <x:v>8</x:v>
      </x:c>
      <x:c r="C18" s="30">
        <x:v>17</x:v>
      </x:c>
      <x:c r="D18" s="30" t="s">
        <x:v>103</x:v>
      </x:c>
      <x:c r="E18" s="30" t="s">
        <x:v>104</x:v>
      </x:c>
      <x:c r="F18" s="30" t="s">
        <x:v>105</x:v>
      </x:c>
      <x:c r="G18" s="30" t="s">
        <x:v>106</x:v>
      </x:c>
      <x:c r="H18" s="30">
        <x:v>1</x:v>
      </x:c>
      <x:c r="I18" s="30" t="s">
        <x:v>107</x:v>
      </x:c>
      <x:c r="J18" s="30" t="s">
        <x:v>108</x:v>
      </x:c>
      <x:c r="K18" s="30" t="s">
        <x:v>91</x:v>
      </x:c>
      <x:c r="L18" s="30" t="s">
        <x:v>109</x:v>
      </x:c>
      <x:c r="M18" s="71" t="n">
        <x:f>A18</x:f>
        <x:v>5</x:v>
      </x:c>
      <x:c r="N18" s="72" t="n">
        <x:f>B18</x:f>
        <x:v>8</x:v>
      </x:c>
      <x:c r="O18" s="62" t="n">
        <x:f>O17+(IFERROR(VALUE(LEFT(K18,FIND("분",K18)-1))*60,0)+IFERROR(VALUE(TRIM(MID(K18,IFERROR(FIND("분",K18),0)+1,FIND("초",K18)-IFERROR(FIND("분",K18),0)-1))),0))/86400</x:f>
        <x:v>0.013078703703703703</x:v>
      </x:c>
      <x:c r="P18" s="65" t="str">
        <x:v>1-E | 편의점 재입고</x:v>
      </x:c>
      <x:c r="Q18" s="61" t="n">
        <x:f>H18</x:f>
        <x:v>1</x:v>
      </x:c>
      <x:c r="R18" s="63" t="n">
        <x:f>R17+9</x:f>
        <x:v>84</x:v>
      </x:c>
    </x:row>
    <x:row r="19" ht="81.94999694824219" customHeight="1">
      <x:c r="A19" s="30">
        <x:v>4</x:v>
      </x:c>
      <x:c r="B19" s="30">
        <x:v>7</x:v>
      </x:c>
      <x:c r="C19" s="30">
        <x:v>18</x:v>
      </x:c>
      <x:c r="D19" s="30" t="s">
        <x:v>110</x:v>
      </x:c>
      <x:c r="E19" s="30" t="s">
        <x:v>111</x:v>
      </x:c>
      <x:c r="F19" s="30" t="s">
        <x:v>112</x:v>
      </x:c>
      <x:c r="G19" s="30" t="s">
        <x:v>113</x:v>
      </x:c>
      <x:c r="H19" s="30">
        <x:v>4</x:v>
      </x:c>
      <x:c r="I19" s="30" t="s">
        <x:v>114</x:v>
      </x:c>
      <x:c r="J19" s="30" t="s">
        <x:v>115</x:v>
      </x:c>
      <x:c r="K19" s="30" t="s">
        <x:v>116</x:v>
      </x:c>
      <x:c r="L19" s="30" t="s">
        <x:v>117</x:v>
      </x:c>
      <x:c r="M19" s="73" t="n">
        <x:f>A19</x:f>
        <x:v>4</x:v>
      </x:c>
      <x:c r="N19" s="67" t="n">
        <x:f>B19</x:f>
        <x:v>7</x:v>
      </x:c>
      <x:c r="O19" s="62" t="n">
        <x:f>O18+(IFERROR(VALUE(LEFT(K19,FIND("분",K19)-1))*60,0)+IFERROR(VALUE(TRIM(MID(K19,IFERROR(FIND("분",K19),0)+1,FIND("초",K19)-IFERROR(FIND("분",K19),0)-1))),0))/86400</x:f>
        <x:v>0.01423611111111111</x:v>
      </x:c>
      <x:c r="P19" s="65" t="str">
        <x:v>1-E | 편의점 재입고</x:v>
      </x:c>
      <x:c r="Q19" s="61" t="n">
        <x:f>H19</x:f>
        <x:v>4</x:v>
      </x:c>
      <x:c r="R19" s="63" t="n">
        <x:f>R18+8</x:f>
        <x:v>92</x:v>
      </x:c>
    </x:row>
    <x:row r="20" ht="81.94999694824219" customHeight="1">
      <x:c r="A20" s="30">
        <x:v>2</x:v>
      </x:c>
      <x:c r="B20" s="30">
        <x:v>5</x:v>
      </x:c>
      <x:c r="C20" s="30">
        <x:v>19</x:v>
      </x:c>
      <x:c r="D20" s="30" t="s">
        <x:v>118</x:v>
      </x:c>
      <x:c r="E20" s="30" t="s">
        <x:v>81</x:v>
      </x:c>
      <x:c r="F20" s="30" t="s">
        <x:v>82</x:v>
      </x:c>
      <x:c r="G20" s="30" t="s">
        <x:v>119</x:v>
      </x:c>
      <x:c r="H20" s="30">
        <x:v>3</x:v>
      </x:c>
      <x:c r="I20" s="30" t="s">
        <x:v>120</x:v>
      </x:c>
      <x:c r="J20" s="30" t="s">
        <x:v>85</x:v>
      </x:c>
      <x:c r="K20" s="30" t="s">
        <x:v>121</x:v>
      </x:c>
      <x:c r="L20" s="30" t="s">
        <x:v>87</x:v>
      </x:c>
      <x:c r="M20" s="67" t="n">
        <x:f>A20</x:f>
        <x:v>2</x:v>
      </x:c>
      <x:c r="N20" s="69" t="n">
        <x:f>B20</x:f>
        <x:v>5</x:v>
      </x:c>
      <x:c r="O20" s="62" t="n">
        <x:f>O19+(IFERROR(VALUE(LEFT(K20,FIND("분",K20)-1))*60,0)+IFERROR(VALUE(TRIM(MID(K20,IFERROR(FIND("분",K20),0)+1,FIND("초",K20)-IFERROR(FIND("분",K20),0)-1))),0))/86400</x:f>
        <x:v>0.014872685185185185</x:v>
      </x:c>
      <x:c r="P20" s="65" t="str">
        <x:v>1-E | 편의점 재입고</x:v>
      </x:c>
      <x:c r="Q20" s="61" t="n">
        <x:f>H20</x:f>
        <x:v>3</x:v>
      </x:c>
      <x:c r="R20" s="63" t="n">
        <x:f>R19+5</x:f>
        <x:v>97</x:v>
      </x:c>
    </x:row>
    <x:row r="21" ht="81.94999694824219" customHeight="1">
      <x:c r="A21" s="30">
        <x:v>1</x:v>
      </x:c>
      <x:c r="B21" s="30">
        <x:v>5</x:v>
      </x:c>
      <x:c r="C21" s="30">
        <x:v>20</x:v>
      </x:c>
      <x:c r="D21" s="30" t="s">
        <x:v>122</x:v>
      </x:c>
      <x:c r="E21" s="30" t="s">
        <x:v>28</x:v>
      </x:c>
      <x:c r="F21" s="30" t="s">
        <x:v>29</x:v>
      </x:c>
      <x:c r="G21" s="30" t="s">
        <x:v>123</x:v>
      </x:c>
      <x:c r="H21" s="30">
        <x:v>1</x:v>
      </x:c>
      <x:c r="I21" s="30" t="s">
        <x:v>124</x:v>
      </x:c>
      <x:c r="J21" s="30" t="s">
        <x:v>17</x:v>
      </x:c>
      <x:c r="K21" s="30" t="s">
        <x:v>125</x:v>
      </x:c>
      <x:c r="L21" s="30" t="s">
        <x:v>33</x:v>
      </x:c>
      <x:c r="M21" s="66" t="n">
        <x:f>A21</x:f>
        <x:v>1</x:v>
      </x:c>
      <x:c r="N21" s="69" t="n">
        <x:f>B21</x:f>
        <x:v>5</x:v>
      </x:c>
      <x:c r="O21" s="62" t="n">
        <x:f>O20+(IFERROR(VALUE(LEFT(K21,FIND("분",K21)-1))*60,0)+IFERROR(VALUE(TRIM(MID(K21,IFERROR(FIND("분",K21),0)+1,FIND("초",K21)-IFERROR(FIND("분",K21),0)-1))),0))/86400</x:f>
        <x:v>0.01568287037037037</x:v>
      </x:c>
      <x:c r="P21" s="65" t="str">
        <x:v>1-E | 편의점 재입고</x:v>
      </x:c>
      <x:c r="Q21" s="61" t="n">
        <x:f>H21</x:f>
        <x:v>1</x:v>
      </x:c>
      <x:c r="R21" s="63" t="n">
        <x:f>R20+5</x:f>
        <x:v>102</x:v>
      </x:c>
    </x:row>
    <x:row r="22" ht="81.94999694824219" customHeight="1">
      <x:c r="A22" s="30">
        <x:v>2</x:v>
      </x:c>
      <x:c r="B22" s="30">
        <x:v>5</x:v>
      </x:c>
      <x:c r="C22" s="30">
        <x:v>21</x:v>
      </x:c>
      <x:c r="D22" s="30" t="s">
        <x:v>126</x:v>
      </x:c>
      <x:c r="E22" s="30" t="s">
        <x:v>42</x:v>
      </x:c>
      <x:c r="F22" s="30" t="s">
        <x:v>127</x:v>
      </x:c>
      <x:c r="G22" s="30" t="s">
        <x:v>128</x:v>
      </x:c>
      <x:c r="H22" s="30">
        <x:v>1</x:v>
      </x:c>
      <x:c r="I22" s="30" t="s">
        <x:v>129</x:v>
      </x:c>
      <x:c r="J22" s="30" t="s">
        <x:v>17</x:v>
      </x:c>
      <x:c r="K22" s="30" t="s">
        <x:v>130</x:v>
      </x:c>
      <x:c r="L22" s="30" t="s">
        <x:v>47</x:v>
      </x:c>
      <x:c r="M22" s="67" t="n">
        <x:f>A22</x:f>
        <x:v>2</x:v>
      </x:c>
      <x:c r="N22" s="69" t="n">
        <x:f>B22</x:f>
        <x:v>5</x:v>
      </x:c>
      <x:c r="O22" s="62" t="n">
        <x:f>O21+(IFERROR(VALUE(LEFT(K22,FIND("분",K22)-1))*60,0)+IFERROR(VALUE(TRIM(MID(K22,IFERROR(FIND("분",K22),0)+1,FIND("초",K22)-IFERROR(FIND("분",K22),0)-1))),0))/86400</x:f>
        <x:v>0.017418981481481483</x:v>
      </x:c>
      <x:c r="P22" s="65" t="str">
        <x:v>1-F | 지하철역</x:v>
      </x:c>
      <x:c r="Q22" s="61" t="n">
        <x:f>H22</x:f>
        <x:v>1</x:v>
      </x:c>
      <x:c r="R22" s="63" t="n">
        <x:f>R21+7</x:f>
        <x:v>109</x:v>
      </x:c>
    </x:row>
    <x:row r="23" ht="81.94999694824219" customHeight="1">
      <x:c r="A23" s="30">
        <x:v>2</x:v>
      </x:c>
      <x:c r="B23" s="30">
        <x:v>7</x:v>
      </x:c>
      <x:c r="C23" s="30">
        <x:v>22</x:v>
      </x:c>
      <x:c r="D23" s="30" t="s">
        <x:v>131</x:v>
      </x:c>
      <x:c r="E23" s="30" t="s">
        <x:v>132</x:v>
      </x:c>
      <x:c r="F23" s="30" t="s">
        <x:v>133</x:v>
      </x:c>
      <x:c r="G23" s="30" t="s">
        <x:v>134</x:v>
      </x:c>
      <x:c r="H23" s="30">
        <x:v>3</x:v>
      </x:c>
      <x:c r="I23" s="30" t="s">
        <x:v>135</x:v>
      </x:c>
      <x:c r="J23" s="30" t="s">
        <x:v>17</x:v>
      </x:c>
      <x:c r="K23" s="30" t="s">
        <x:v>18</x:v>
      </x:c>
      <x:c r="L23" s="30" t="s">
        <x:v>136</x:v>
      </x:c>
      <x:c r="M23" s="67" t="n">
        <x:f>A23</x:f>
        <x:v>2</x:v>
      </x:c>
      <x:c r="N23" s="67" t="n">
        <x:f>B23</x:f>
        <x:v>7</x:v>
      </x:c>
      <x:c r="O23" s="62" t="n">
        <x:f>O22+(IFERROR(VALUE(LEFT(K23,FIND("분",K23)-1))*60,0)+IFERROR(VALUE(TRIM(MID(K23,IFERROR(FIND("분",K23),0)+1,FIND("초",K23)-IFERROR(FIND("분",K23),0)-1))),0))/86400</x:f>
        <x:v>0.01846064814814815</x:v>
      </x:c>
      <x:c r="P23" s="65" t="str">
        <x:v>1-F | 지하철역</x:v>
      </x:c>
      <x:c r="Q23" s="61" t="n">
        <x:f>H23</x:f>
        <x:v>3</x:v>
      </x:c>
      <x:c r="R23" s="63" t="n">
        <x:f>R22+7</x:f>
        <x:v>116</x:v>
      </x:c>
    </x:row>
    <x:row r="24" ht="81.94999694824219" customHeight="1">
      <x:c r="A24" s="30">
        <x:v>3</x:v>
      </x:c>
      <x:c r="B24" s="30">
        <x:v>8</x:v>
      </x:c>
      <x:c r="C24" s="30">
        <x:v>23</x:v>
      </x:c>
      <x:c r="D24" s="30" t="s">
        <x:v>137</x:v>
      </x:c>
      <x:c r="E24" s="30" t="s">
        <x:v>138</x:v>
      </x:c>
      <x:c r="F24" s="30" t="s">
        <x:v>139</x:v>
      </x:c>
      <x:c r="G24" s="30" t="s">
        <x:v>140</x:v>
      </x:c>
      <x:c r="H24" s="30">
        <x:v>4</x:v>
      </x:c>
      <x:c r="I24" s="30" t="s">
        <x:v>141</x:v>
      </x:c>
      <x:c r="J24" s="30" t="s">
        <x:v>142</x:v>
      </x:c>
      <x:c r="K24" s="30" t="s">
        <x:v>91</x:v>
      </x:c>
      <x:c r="L24" s="30" t="s">
        <x:v>143</x:v>
      </x:c>
      <x:c r="M24" s="74" t="n">
        <x:f>A24</x:f>
        <x:v>3</x:v>
      </x:c>
      <x:c r="N24" s="72" t="n">
        <x:f>B24</x:f>
        <x:v>8</x:v>
      </x:c>
      <x:c r="O24" s="62" t="n">
        <x:f>O23+(IFERROR(VALUE(LEFT(K24,FIND("분",K24)-1))*60,0)+IFERROR(VALUE(TRIM(MID(K24,IFERROR(FIND("분",K24),0)+1,FIND("초",K24)-IFERROR(FIND("분",K24),0)-1))),0))/86400</x:f>
        <x:v>0.019849537037037037</x:v>
      </x:c>
      <x:c r="P24" s="65" t="str">
        <x:v>1-F | 지하철역</x:v>
      </x:c>
      <x:c r="Q24" s="61" t="n">
        <x:f>H24</x:f>
        <x:v>4</x:v>
      </x:c>
      <x:c r="R24" s="63" t="n">
        <x:f>R23+9</x:f>
        <x:v>125</x:v>
      </x:c>
    </x:row>
    <x:row r="25" ht="81.94999694824219" customHeight="1">
      <x:c r="A25" s="30">
        <x:v>1</x:v>
      </x:c>
      <x:c r="B25" s="30">
        <x:v>5</x:v>
      </x:c>
      <x:c r="C25" s="30">
        <x:v>24</x:v>
      </x:c>
      <x:c r="D25" s="30" t="s">
        <x:v>144</x:v>
      </x:c>
      <x:c r="E25" s="30" t="s">
        <x:v>81</x:v>
      </x:c>
      <x:c r="F25" s="30" t="s">
        <x:v>82</x:v>
      </x:c>
      <x:c r="G25" s="30" t="s">
        <x:v>145</x:v>
      </x:c>
      <x:c r="H25" s="30">
        <x:v>3</x:v>
      </x:c>
      <x:c r="I25" s="30" t="s">
        <x:v>146</x:v>
      </x:c>
      <x:c r="J25" s="30" t="s">
        <x:v>85</x:v>
      </x:c>
      <x:c r="K25" s="30" t="s">
        <x:v>147</x:v>
      </x:c>
      <x:c r="L25" s="30" t="s">
        <x:v>87</x:v>
      </x:c>
      <x:c r="M25" s="66" t="n">
        <x:f>A25</x:f>
        <x:v>1</x:v>
      </x:c>
      <x:c r="N25" s="69" t="n">
        <x:f>B25</x:f>
        <x:v>5</x:v>
      </x:c>
      <x:c r="O25" s="62" t="n">
        <x:f>O24+(IFERROR(VALUE(LEFT(K25,FIND("분",K25)-1))*60,0)+IFERROR(VALUE(TRIM(MID(K25,IFERROR(FIND("분",K25),0)+1,FIND("초",K25)-IFERROR(FIND("분",K25),0)-1))),0))/86400</x:f>
        <x:v>0.02060185185185185</x:v>
      </x:c>
      <x:c r="P25" s="65" t="str">
        <x:v>1-F | 지하철역</x:v>
      </x:c>
      <x:c r="Q25" s="61" t="n">
        <x:f>H25</x:f>
        <x:v>3</x:v>
      </x:c>
      <x:c r="R25" s="63" t="n">
        <x:f>R24+5</x:f>
        <x:v>130</x:v>
      </x:c>
    </x:row>
    <x:row r="26" ht="81.94999694824219" customHeight="1">
      <x:c r="A26" s="30">
        <x:v>2</x:v>
      </x:c>
      <x:c r="B26" s="30">
        <x:v>5</x:v>
      </x:c>
      <x:c r="C26" s="30">
        <x:v>25</x:v>
      </x:c>
      <x:c r="D26" s="30" t="s">
        <x:v>148</x:v>
      </x:c>
      <x:c r="E26" s="30" t="s">
        <x:v>42</x:v>
      </x:c>
      <x:c r="F26" s="30" t="s">
        <x:v>149</x:v>
      </x:c>
      <x:c r="G26" s="30" t="s">
        <x:v>128</x:v>
      </x:c>
      <x:c r="H26" s="30">
        <x:v>1</x:v>
      </x:c>
      <x:c r="I26" s="30" t="s">
        <x:v>150</x:v>
      </x:c>
      <x:c r="J26" s="30" t="s">
        <x:v>17</x:v>
      </x:c>
      <x:c r="K26" s="30" t="s">
        <x:v>79</x:v>
      </x:c>
      <x:c r="L26" s="30" t="s">
        <x:v>47</x:v>
      </x:c>
      <x:c r="M26" s="67" t="n">
        <x:f>A26</x:f>
        <x:v>2</x:v>
      </x:c>
      <x:c r="N26" s="69" t="n">
        <x:f>B26</x:f>
        <x:v>5</x:v>
      </x:c>
      <x:c r="O26" s="62" t="n">
        <x:f>O25+(IFERROR(VALUE(LEFT(K26,FIND("분",K26)-1))*60,0)+IFERROR(VALUE(TRIM(MID(K26,IFERROR(FIND("분",K26),0)+1,FIND("초",K26)-IFERROR(FIND("분",K26),0)-1))),0))/86400</x:f>
        <x:v>0.021875</x:v>
      </x:c>
      <x:c r="P26" s="65" t="str">
        <x:v>1-G | 공원 진입</x:v>
      </x:c>
      <x:c r="Q26" s="61" t="n">
        <x:f>H26</x:f>
        <x:v>1</x:v>
      </x:c>
      <x:c r="R26" s="63" t="n">
        <x:f>R25+6</x:f>
        <x:v>136</x:v>
      </x:c>
    </x:row>
    <x:row r="27" ht="81.94999694824219" customHeight="1">
      <x:c r="A27" s="30">
        <x:v>1</x:v>
      </x:c>
      <x:c r="B27" s="30">
        <x:v>5</x:v>
      </x:c>
      <x:c r="C27" s="30">
        <x:v>26</x:v>
      </x:c>
      <x:c r="D27" s="30" t="s">
        <x:v>151</x:v>
      </x:c>
      <x:c r="E27" s="30" t="s">
        <x:v>132</x:v>
      </x:c>
      <x:c r="F27" s="30" t="s">
        <x:v>152</x:v>
      </x:c>
      <x:c r="G27" s="30" t="s">
        <x:v>153</x:v>
      </x:c>
      <x:c r="H27" s="30">
        <x:v>4</x:v>
      </x:c>
      <x:c r="I27" s="30" t="s">
        <x:v>135</x:v>
      </x:c>
      <x:c r="J27" s="30" t="s">
        <x:v>17</x:v>
      </x:c>
      <x:c r="K27" s="30" t="s">
        <x:v>58</x:v>
      </x:c>
      <x:c r="L27" s="30" t="s">
        <x:v>136</x:v>
      </x:c>
      <x:c r="M27" s="66" t="n">
        <x:f>A27</x:f>
        <x:v>1</x:v>
      </x:c>
      <x:c r="N27" s="69" t="n">
        <x:f>B27</x:f>
        <x:v>5</x:v>
      </x:c>
      <x:c r="O27" s="62" t="n">
        <x:f>O26+(IFERROR(VALUE(LEFT(K27,FIND("분",K27)-1))*60,0)+IFERROR(VALUE(TRIM(MID(K27,IFERROR(FIND("분",K27),0)+1,FIND("초",K27)-IFERROR(FIND("분",K27),0)-1))),0))/86400</x:f>
        <x:v>0.022743055555555555</x:v>
      </x:c>
      <x:c r="P27" s="65" t="str">
        <x:v>2-A | 공원 축제·청소</x:v>
      </x:c>
      <x:c r="Q27" s="61" t="n">
        <x:f>H27</x:f>
        <x:v>4</x:v>
      </x:c>
      <x:c r="R27" s="63" t="n">
        <x:f>R26+5</x:f>
        <x:v>141</x:v>
      </x:c>
    </x:row>
    <x:row r="28" ht="81.94999694824219" customHeight="1">
      <x:c r="A28" s="30">
        <x:v>1</x:v>
      </x:c>
      <x:c r="B28" s="30">
        <x:v>6</x:v>
      </x:c>
      <x:c r="C28" s="30">
        <x:v>27</x:v>
      </x:c>
      <x:c r="D28" s="30" t="s">
        <x:v>154</x:v>
      </x:c>
      <x:c r="E28" s="30" t="s">
        <x:v>155</x:v>
      </x:c>
      <x:c r="F28" s="30" t="s">
        <x:v>156</x:v>
      </x:c>
      <x:c r="G28" s="30" t="s">
        <x:v>157</x:v>
      </x:c>
      <x:c r="H28" s="30">
        <x:v>1</x:v>
      </x:c>
      <x:c r="I28" s="30" t="s">
        <x:v>158</x:v>
      </x:c>
      <x:c r="J28" s="30" t="s">
        <x:v>17</x:v>
      </x:c>
      <x:c r="K28" s="30" t="s">
        <x:v>69</x:v>
      </x:c>
      <x:c r="L28" s="30" t="s">
        <x:v>159</x:v>
      </x:c>
      <x:c r="M28" s="66" t="n">
        <x:f>A28</x:f>
        <x:v>1</x:v>
      </x:c>
      <x:c r="N28" s="70" t="n">
        <x:f>B28</x:f>
        <x:v>6</x:v>
      </x:c>
      <x:c r="O28" s="62" t="n">
        <x:f>O27+(IFERROR(VALUE(LEFT(K28,FIND("분",K28)-1))*60,0)+IFERROR(VALUE(TRIM(MID(K28,IFERROR(FIND("분",K28),0)+1,FIND("초",K28)-IFERROR(FIND("분",K28),0)-1))),0))/86400</x:f>
        <x:v>0.023148148148148147</x:v>
      </x:c>
      <x:c r="P28" s="65" t="str">
        <x:v>2-A | 공원 축제·청소</x:v>
      </x:c>
      <x:c r="Q28" s="61" t="n">
        <x:f>H28</x:f>
        <x:v>1</x:v>
      </x:c>
      <x:c r="R28" s="63" t="n">
        <x:f>R27+4</x:f>
        <x:v>145</x:v>
      </x:c>
    </x:row>
    <x:row r="29" ht="81.94999694824219" customHeight="1">
      <x:c r="A29" s="30">
        <x:v>1</x:v>
      </x:c>
      <x:c r="B29" s="30">
        <x:v>5</x:v>
      </x:c>
      <x:c r="C29" s="30">
        <x:v>28</x:v>
      </x:c>
      <x:c r="D29" s="30" t="s">
        <x:v>160</x:v>
      </x:c>
      <x:c r="E29" s="30" t="s">
        <x:v>161</x:v>
      </x:c>
      <x:c r="F29" s="30" t="s">
        <x:v>162</x:v>
      </x:c>
      <x:c r="G29" s="30" t="s">
        <x:v>163</x:v>
      </x:c>
      <x:c r="H29" s="30">
        <x:v>1</x:v>
      </x:c>
      <x:c r="I29" s="30" t="s">
        <x:v>164</x:v>
      </x:c>
      <x:c r="J29" s="30" t="s">
        <x:v>17</x:v>
      </x:c>
      <x:c r="K29" s="30" t="s">
        <x:v>165</x:v>
      </x:c>
      <x:c r="L29" s="30" t="s">
        <x:v>166</x:v>
      </x:c>
      <x:c r="M29" s="66" t="n">
        <x:f>A29</x:f>
        <x:v>1</x:v>
      </x:c>
      <x:c r="N29" s="69" t="n">
        <x:f>B29</x:f>
        <x:v>5</x:v>
      </x:c>
      <x:c r="O29" s="62" t="n">
        <x:f>O28+(IFERROR(VALUE(LEFT(K29,FIND("분",K29)-1))*60,0)+IFERROR(VALUE(TRIM(MID(K29,IFERROR(FIND("분",K29),0)+1,FIND("초",K29)-IFERROR(FIND("분",K29),0)-1))),0))/86400</x:f>
        <x:v>0.023668981481481482</x:v>
      </x:c>
      <x:c r="P29" s="65" t="str">
        <x:v>2-A | 공원 축제·청소</x:v>
      </x:c>
      <x:c r="Q29" s="61" t="n">
        <x:f>H29</x:f>
        <x:v>1</x:v>
      </x:c>
      <x:c r="R29" s="63" t="n">
        <x:f>R28+4</x:f>
        <x:v>149</x:v>
      </x:c>
    </x:row>
    <x:row r="30" ht="81.94999694824219" customHeight="1">
      <x:c r="A30" s="30">
        <x:v>2</x:v>
      </x:c>
      <x:c r="B30" s="30">
        <x:v>5</x:v>
      </x:c>
      <x:c r="C30" s="30">
        <x:v>29</x:v>
      </x:c>
      <x:c r="D30" s="30" t="s">
        <x:v>167</x:v>
      </x:c>
      <x:c r="E30" s="30" t="s">
        <x:v>60</x:v>
      </x:c>
      <x:c r="F30" s="30" t="s">
        <x:v>168</x:v>
      </x:c>
      <x:c r="G30" s="30" t="s">
        <x:v>169</x:v>
      </x:c>
      <x:c r="H30" s="30">
        <x:v>4</x:v>
      </x:c>
      <x:c r="I30" s="30" t="s">
        <x:v>170</x:v>
      </x:c>
      <x:c r="J30" s="30" t="s">
        <x:v>17</x:v>
      </x:c>
      <x:c r="K30" s="30" t="s">
        <x:v>171</x:v>
      </x:c>
      <x:c r="L30" s="30" t="s">
        <x:v>64</x:v>
      </x:c>
      <x:c r="M30" s="67" t="n">
        <x:f>A30</x:f>
        <x:v>2</x:v>
      </x:c>
      <x:c r="N30" s="69" t="n">
        <x:f>B30</x:f>
        <x:v>5</x:v>
      </x:c>
      <x:c r="O30" s="62" t="n">
        <x:f>O29+(IFERROR(VALUE(LEFT(K30,FIND("분",K30)-1))*60,0)+IFERROR(VALUE(TRIM(MID(K30,IFERROR(FIND("분",K30),0)+1,FIND("초",K30)-IFERROR(FIND("분",K30),0)-1))),0))/86400</x:f>
        <x:v>0.024652777777777777</x:v>
      </x:c>
      <x:c r="P30" s="65" t="str">
        <x:v>2-A | 공원 축제·청소</x:v>
      </x:c>
      <x:c r="Q30" s="61" t="n">
        <x:f>H30</x:f>
        <x:v>4</x:v>
      </x:c>
      <x:c r="R30" s="63" t="n">
        <x:f>R29+6</x:f>
        <x:v>155</x:v>
      </x:c>
    </x:row>
    <x:row r="31" ht="81.94999694824219" customHeight="1">
      <x:c r="A31" s="30">
        <x:v>1</x:v>
      </x:c>
      <x:c r="B31" s="30">
        <x:v>5</x:v>
      </x:c>
      <x:c r="C31" s="30">
        <x:v>30</x:v>
      </x:c>
      <x:c r="D31" s="30" t="s">
        <x:v>172</x:v>
      </x:c>
      <x:c r="E31" s="30" t="s">
        <x:v>173</x:v>
      </x:c>
      <x:c r="F31" s="30" t="s">
        <x:v>174</x:v>
      </x:c>
      <x:c r="G31" s="30" t="s">
        <x:v>175</x:v>
      </x:c>
      <x:c r="H31" s="30">
        <x:v>3</x:v>
      </x:c>
      <x:c r="I31" s="30" t="s">
        <x:v>176</x:v>
      </x:c>
      <x:c r="J31" s="30" t="s">
        <x:v>17</x:v>
      </x:c>
      <x:c r="K31" s="30" t="s">
        <x:v>121</x:v>
      </x:c>
      <x:c r="L31" s="30" t="s">
        <x:v>177</x:v>
      </x:c>
      <x:c r="M31" s="66" t="n">
        <x:f>A31</x:f>
        <x:v>1</x:v>
      </x:c>
      <x:c r="N31" s="69" t="n">
        <x:f>B31</x:f>
        <x:v>5</x:v>
      </x:c>
      <x:c r="O31" s="62" t="n">
        <x:f>O30+(IFERROR(VALUE(LEFT(K31,FIND("분",K31)-1))*60,0)+IFERROR(VALUE(TRIM(MID(K31,IFERROR(FIND("분",K31),0)+1,FIND("초",K31)-IFERROR(FIND("분",K31),0)-1))),0))/86400</x:f>
        <x:v>0.02528935185185185</x:v>
      </x:c>
      <x:c r="P31" s="65" t="str">
        <x:v>2-A | 공원 축제·청소</x:v>
      </x:c>
      <x:c r="Q31" s="61" t="n">
        <x:f>H31</x:f>
        <x:v>3</x:v>
      </x:c>
      <x:c r="R31" s="63" t="n">
        <x:f>R30+4</x:f>
        <x:v>159</x:v>
      </x:c>
    </x:row>
    <x:row r="32" ht="81.94999694824219" customHeight="1">
      <x:c r="A32" s="30">
        <x:v>2</x:v>
      </x:c>
      <x:c r="B32" s="30">
        <x:v>6</x:v>
      </x:c>
      <x:c r="C32" s="30">
        <x:v>31</x:v>
      </x:c>
      <x:c r="D32" s="30" t="s">
        <x:v>178</x:v>
      </x:c>
      <x:c r="E32" s="30" t="s">
        <x:v>179</x:v>
      </x:c>
      <x:c r="F32" s="30" t="s">
        <x:v>180</x:v>
      </x:c>
      <x:c r="G32" s="30" t="s">
        <x:v>181</x:v>
      </x:c>
      <x:c r="H32" s="30">
        <x:v>8</x:v>
      </x:c>
      <x:c r="I32" s="30" t="s">
        <x:v>182</x:v>
      </x:c>
      <x:c r="J32" s="30" t="s">
        <x:v>183</x:v>
      </x:c>
      <x:c r="K32" s="30" t="s">
        <x:v>184</x:v>
      </x:c>
      <x:c r="L32" s="30" t="s">
        <x:v>185</x:v>
      </x:c>
      <x:c r="M32" s="67" t="n">
        <x:f>A32</x:f>
        <x:v>2</x:v>
      </x:c>
      <x:c r="N32" s="70" t="n">
        <x:f>B32</x:f>
        <x:v>6</x:v>
      </x:c>
      <x:c r="O32" s="62" t="n">
        <x:f>O31+(IFERROR(VALUE(LEFT(K32,FIND("분",K32)-1))*60,0)+IFERROR(VALUE(TRIM(MID(K32,IFERROR(FIND("분",K32),0)+1,FIND("초",K32)-IFERROR(FIND("분",K32),0)-1))),0))/86400</x:f>
        <x:v>0.027372685185185184</x:v>
      </x:c>
      <x:c r="P32" s="65" t="str">
        <x:v>2-A | 공원 축제·청소</x:v>
      </x:c>
      <x:c r="Q32" s="61" t="n">
        <x:f>H32</x:f>
        <x:v>8</x:v>
      </x:c>
      <x:c r="R32" s="63" t="n">
        <x:f>R31+9</x:f>
        <x:v>168</x:v>
      </x:c>
    </x:row>
    <x:row r="33" ht="81.94999694824219" customHeight="1">
      <x:c r="A33" s="30">
        <x:v>2</x:v>
      </x:c>
      <x:c r="B33" s="30">
        <x:v>6</x:v>
      </x:c>
      <x:c r="C33" s="30">
        <x:v>32</x:v>
      </x:c>
      <x:c r="D33" s="30" t="s">
        <x:v>186</x:v>
      </x:c>
      <x:c r="E33" s="30" t="s">
        <x:v>179</x:v>
      </x:c>
      <x:c r="F33" s="30" t="s">
        <x:v>187</x:v>
      </x:c>
      <x:c r="G33" s="30" t="s">
        <x:v>181</x:v>
      </x:c>
      <x:c r="H33" s="30">
        <x:v>7</x:v>
      </x:c>
      <x:c r="I33" s="30" t="s">
        <x:v>188</x:v>
      </x:c>
      <x:c r="J33" s="30" t="s">
        <x:v>183</x:v>
      </x:c>
      <x:c r="K33" s="30" t="s">
        <x:v>189</x:v>
      </x:c>
      <x:c r="L33" s="30" t="s">
        <x:v>185</x:v>
      </x:c>
      <x:c r="M33" s="67" t="n">
        <x:f>A33</x:f>
        <x:v>2</x:v>
      </x:c>
      <x:c r="N33" s="70" t="n">
        <x:f>B33</x:f>
        <x:v>6</x:v>
      </x:c>
      <x:c r="O33" s="62" t="n">
        <x:f>O32+(IFERROR(VALUE(LEFT(K33,FIND("분",K33)-1))*60,0)+IFERROR(VALUE(TRIM(MID(K33,IFERROR(FIND("분",K33),0)+1,FIND("초",K33)-IFERROR(FIND("분",K33),0)-1))),0))/86400</x:f>
        <x:v>0.029224537037037035</x:v>
      </x:c>
      <x:c r="P33" s="65" t="str">
        <x:v>2-A | 공원 축제·청소</x:v>
      </x:c>
      <x:c r="Q33" s="61" t="n">
        <x:f>H33</x:f>
        <x:v>7</x:v>
      </x:c>
      <x:c r="R33" s="63" t="n">
        <x:f>R32+9</x:f>
        <x:v>177</x:v>
      </x:c>
    </x:row>
    <x:row r="34" ht="81.94999694824219" customHeight="1">
      <x:c r="A34" s="30">
        <x:v>3</x:v>
      </x:c>
      <x:c r="B34" s="30">
        <x:v>6</x:v>
      </x:c>
      <x:c r="C34" s="30">
        <x:v>33</x:v>
      </x:c>
      <x:c r="D34" s="30" t="s">
        <x:v>190</x:v>
      </x:c>
      <x:c r="E34" s="30" t="s">
        <x:v>179</x:v>
      </x:c>
      <x:c r="F34" s="30" t="s">
        <x:v>191</x:v>
      </x:c>
      <x:c r="G34" s="30" t="s">
        <x:v>192</x:v>
      </x:c>
      <x:c r="H34" s="30">
        <x:v>6</x:v>
      </x:c>
      <x:c r="I34" s="30" t="s">
        <x:v>193</x:v>
      </x:c>
      <x:c r="J34" s="30" t="s">
        <x:v>183</x:v>
      </x:c>
      <x:c r="K34" s="30" t="s">
        <x:v>130</x:v>
      </x:c>
      <x:c r="L34" s="30" t="s">
        <x:v>185</x:v>
      </x:c>
      <x:c r="M34" s="74" t="n">
        <x:f>A34</x:f>
        <x:v>3</x:v>
      </x:c>
      <x:c r="N34" s="70" t="n">
        <x:f>B34</x:f>
        <x:v>6</x:v>
      </x:c>
      <x:c r="O34" s="62" t="n">
        <x:f>O33+(IFERROR(VALUE(LEFT(K34,FIND("분",K34)-1))*60,0)+IFERROR(VALUE(TRIM(MID(K34,IFERROR(FIND("분",K34),0)+1,FIND("초",K34)-IFERROR(FIND("분",K34),0)-1))),0))/86400</x:f>
        <x:v>0.030960648148148147</x:v>
      </x:c>
      <x:c r="P34" s="65" t="str">
        <x:v>2-A | 공원 축제·청소</x:v>
      </x:c>
      <x:c r="Q34" s="61" t="n">
        <x:f>H34</x:f>
        <x:v>6</x:v>
      </x:c>
      <x:c r="R34" s="63" t="n">
        <x:f>R33+9</x:f>
        <x:v>186</x:v>
      </x:c>
    </x:row>
    <x:row r="35" ht="81.94999694824219" customHeight="1">
      <x:c r="A35" s="30">
        <x:v>1</x:v>
      </x:c>
      <x:c r="B35" s="30">
        <x:v>5</x:v>
      </x:c>
      <x:c r="C35" s="30">
        <x:v>34</x:v>
      </x:c>
      <x:c r="D35" s="30" t="s">
        <x:v>194</x:v>
      </x:c>
      <x:c r="E35" s="30" t="s">
        <x:v>28</x:v>
      </x:c>
      <x:c r="F35" s="30" t="s">
        <x:v>29</x:v>
      </x:c>
      <x:c r="G35" s="30" t="s">
        <x:v>123</x:v>
      </x:c>
      <x:c r="H35" s="30">
        <x:v>1</x:v>
      </x:c>
      <x:c r="I35" s="30" t="s">
        <x:v>195</x:v>
      </x:c>
      <x:c r="J35" s="30" t="s">
        <x:v>17</x:v>
      </x:c>
      <x:c r="K35" s="30" t="s">
        <x:v>18</x:v>
      </x:c>
      <x:c r="L35" s="30" t="s">
        <x:v>33</x:v>
      </x:c>
      <x:c r="M35" s="66" t="n">
        <x:f>A35</x:f>
        <x:v>1</x:v>
      </x:c>
      <x:c r="N35" s="69" t="n">
        <x:f>B35</x:f>
        <x:v>5</x:v>
      </x:c>
      <x:c r="O35" s="62" t="n">
        <x:f>O34+(IFERROR(VALUE(LEFT(K35,FIND("분",K35)-1))*60,0)+IFERROR(VALUE(TRIM(MID(K35,IFERROR(FIND("분",K35),0)+1,FIND("초",K35)-IFERROR(FIND("분",K35),0)-1))),0))/86400</x:f>
        <x:v>0.03200231481481482</x:v>
      </x:c>
      <x:c r="P35" s="65" t="str">
        <x:v>2-A | 공원 축제·청소</x:v>
      </x:c>
      <x:c r="Q35" s="61" t="n">
        <x:f>H35</x:f>
        <x:v>1</x:v>
      </x:c>
      <x:c r="R35" s="63" t="n">
        <x:f>R34+5</x:f>
        <x:v>191</x:v>
      </x:c>
    </x:row>
    <x:row r="36" ht="81.94999694824219" customHeight="1">
      <x:c r="A36" s="30">
        <x:v>2</x:v>
      </x:c>
      <x:c r="B36" s="30">
        <x:v>5</x:v>
      </x:c>
      <x:c r="C36" s="30">
        <x:v>35</x:v>
      </x:c>
      <x:c r="D36" s="30" t="s">
        <x:v>196</x:v>
      </x:c>
      <x:c r="E36" s="30" t="s">
        <x:v>197</x:v>
      </x:c>
      <x:c r="F36" s="30" t="s">
        <x:v>198</x:v>
      </x:c>
      <x:c r="G36" s="30" t="s">
        <x:v>199</x:v>
      </x:c>
      <x:c r="H36" s="30">
        <x:v>4</x:v>
      </x:c>
      <x:c r="I36" s="30" t="s">
        <x:v>200</x:v>
      </x:c>
      <x:c r="J36" s="30" t="s">
        <x:v>17</x:v>
      </x:c>
      <x:c r="K36" s="30" t="s">
        <x:v>201</x:v>
      </x:c>
      <x:c r="L36" s="30" t="s">
        <x:v>202</x:v>
      </x:c>
      <x:c r="M36" s="67" t="n">
        <x:f>A36</x:f>
        <x:v>2</x:v>
      </x:c>
      <x:c r="N36" s="69" t="n">
        <x:f>B36</x:f>
        <x:v>5</x:v>
      </x:c>
      <x:c r="O36" s="62" t="n">
        <x:f>O35+(IFERROR(VALUE(LEFT(K36,FIND("분",K36)-1))*60,0)+IFERROR(VALUE(TRIM(MID(K36,IFERROR(FIND("분",K36),0)+1,FIND("초",K36)-IFERROR(FIND("분",K36),0)-1))),0))/86400</x:f>
        <x:v>0.033622685185185186</x:v>
      </x:c>
      <x:c r="P36" s="65" t="str">
        <x:v>2-A | 공원 축제·청소</x:v>
      </x:c>
      <x:c r="Q36" s="61" t="n">
        <x:f>H36</x:f>
        <x:v>4</x:v>
      </x:c>
      <x:c r="R36" s="63" t="n">
        <x:f>R35+8</x:f>
        <x:v>199</x:v>
      </x:c>
    </x:row>
    <x:row r="37" ht="81.94999694824219" customHeight="1">
      <x:c r="A37" s="30">
        <x:v>2</x:v>
      </x:c>
      <x:c r="B37" s="30">
        <x:v>6</x:v>
      </x:c>
      <x:c r="C37" s="30">
        <x:v>36</x:v>
      </x:c>
      <x:c r="D37" s="30" t="s">
        <x:v>203</x:v>
      </x:c>
      <x:c r="E37" s="30" t="s">
        <x:v>204</x:v>
      </x:c>
      <x:c r="F37" s="30" t="s">
        <x:v>205</x:v>
      </x:c>
      <x:c r="G37" s="30" t="s">
        <x:v>206</x:v>
      </x:c>
      <x:c r="H37" s="30">
        <x:v>3</x:v>
      </x:c>
      <x:c r="I37" s="30" t="s">
        <x:v>207</x:v>
      </x:c>
      <x:c r="J37" s="30" t="s">
        <x:v>208</x:v>
      </x:c>
      <x:c r="K37" s="30" t="s">
        <x:v>58</x:v>
      </x:c>
      <x:c r="L37" s="30" t="s">
        <x:v>209</x:v>
      </x:c>
      <x:c r="M37" s="67" t="n">
        <x:f>A37</x:f>
        <x:v>2</x:v>
      </x:c>
      <x:c r="N37" s="70" t="n">
        <x:f>B37</x:f>
        <x:v>6</x:v>
      </x:c>
      <x:c r="O37" s="62" t="n">
        <x:f>O36+(IFERROR(VALUE(LEFT(K37,FIND("분",K37)-1))*60,0)+IFERROR(VALUE(TRIM(MID(K37,IFERROR(FIND("분",K37),0)+1,FIND("초",K37)-IFERROR(FIND("분",K37),0)-1))),0))/86400</x:f>
        <x:v>0.03449074074074074</x:v>
      </x:c>
      <x:c r="P37" s="65" t="str">
        <x:v>2-A | 공원 축제·청소</x:v>
      </x:c>
      <x:c r="Q37" s="61" t="n">
        <x:f>H37</x:f>
        <x:v>3</x:v>
      </x:c>
      <x:c r="R37" s="63" t="n">
        <x:f>R36+6</x:f>
        <x:v>205</x:v>
      </x:c>
    </x:row>
    <x:row r="38" ht="81.94999694824219" customHeight="1">
      <x:c r="A38" s="30">
        <x:v>3</x:v>
      </x:c>
      <x:c r="B38" s="30">
        <x:v>7</x:v>
      </x:c>
      <x:c r="C38" s="30">
        <x:v>37</x:v>
      </x:c>
      <x:c r="D38" s="30" t="s">
        <x:v>210</x:v>
      </x:c>
      <x:c r="E38" s="30" t="s">
        <x:v>211</x:v>
      </x:c>
      <x:c r="F38" s="30" t="s">
        <x:v>212</x:v>
      </x:c>
      <x:c r="G38" s="30" t="s">
        <x:v>213</x:v>
      </x:c>
      <x:c r="H38" s="30">
        <x:v>5</x:v>
      </x:c>
      <x:c r="I38" s="30" t="s">
        <x:v>214</x:v>
      </x:c>
      <x:c r="J38" s="30" t="s">
        <x:v>17</x:v>
      </x:c>
      <x:c r="K38" s="30" t="s">
        <x:v>215</x:v>
      </x:c>
      <x:c r="L38" s="30" t="s">
        <x:v>216</x:v>
      </x:c>
      <x:c r="M38" s="74" t="n">
        <x:f>A38</x:f>
        <x:v>3</x:v>
      </x:c>
      <x:c r="N38" s="67" t="n">
        <x:f>B38</x:f>
        <x:v>7</x:v>
      </x:c>
      <x:c r="O38" s="62" t="n">
        <x:f>O37+(IFERROR(VALUE(LEFT(K38,FIND("분",K38)-1))*60,0)+IFERROR(VALUE(TRIM(MID(K38,IFERROR(FIND("분",K38),0)+1,FIND("초",K38)-IFERROR(FIND("분",K38),0)-1))),0))/86400</x:f>
        <x:v>0.03645833333333333</x:v>
      </x:c>
      <x:c r="P38" s="65" t="str">
        <x:v>2-A | 공원 축제·청소</x:v>
      </x:c>
      <x:c r="Q38" s="61" t="n">
        <x:f>H38</x:f>
        <x:v>5</x:v>
      </x:c>
      <x:c r="R38" s="63" t="n">
        <x:f>R37+10</x:f>
        <x:v>215</x:v>
      </x:c>
    </x:row>
    <x:row r="39" ht="81.94999694824219" customHeight="1">
      <x:c r="A39" s="30">
        <x:v>1</x:v>
      </x:c>
      <x:c r="B39" s="30">
        <x:v>8</x:v>
      </x:c>
      <x:c r="C39" s="30">
        <x:v>38</x:v>
      </x:c>
      <x:c r="D39" s="30" t="s">
        <x:v>217</x:v>
      </x:c>
      <x:c r="E39" s="30" t="s">
        <x:v>218</x:v>
      </x:c>
      <x:c r="F39" s="30" t="s">
        <x:v>219</x:v>
      </x:c>
      <x:c r="G39" s="30" t="s">
        <x:v>220</x:v>
      </x:c>
      <x:c r="H39" s="30">
        <x:v>2</x:v>
      </x:c>
      <x:c r="I39" s="30" t="s">
        <x:v>221</x:v>
      </x:c>
      <x:c r="J39" s="30" t="s">
        <x:v>222</x:v>
      </x:c>
      <x:c r="K39" s="30" t="s">
        <x:v>125</x:v>
      </x:c>
      <x:c r="L39" s="30" t="s">
        <x:v>223</x:v>
      </x:c>
      <x:c r="M39" s="66" t="n">
        <x:f>A39</x:f>
        <x:v>1</x:v>
      </x:c>
      <x:c r="N39" s="72" t="n">
        <x:f>B39</x:f>
        <x:v>8</x:v>
      </x:c>
      <x:c r="O39" s="62" t="n">
        <x:f>O38+(IFERROR(VALUE(LEFT(K39,FIND("분",K39)-1))*60,0)+IFERROR(VALUE(TRIM(MID(K39,IFERROR(FIND("분",K39),0)+1,FIND("초",K39)-IFERROR(FIND("분",K39),0)-1))),0))/86400</x:f>
        <x:v>0.03726851851851851</x:v>
      </x:c>
      <x:c r="P39" s="65" t="str">
        <x:v>2-A | 공원 축제·청소</x:v>
      </x:c>
      <x:c r="Q39" s="61" t="n">
        <x:f>H39</x:f>
        <x:v>2</x:v>
      </x:c>
      <x:c r="R39" s="63" t="n">
        <x:f>R38+6</x:f>
        <x:v>221</x:v>
      </x:c>
    </x:row>
    <x:row r="40" ht="81.94999694824219" customHeight="1">
      <x:c r="A40" s="30">
        <x:v>1</x:v>
      </x:c>
      <x:c r="B40" s="30">
        <x:v>5</x:v>
      </x:c>
      <x:c r="C40" s="30">
        <x:v>39</x:v>
      </x:c>
      <x:c r="D40" s="30" t="s">
        <x:v>224</x:v>
      </x:c>
      <x:c r="E40" s="30" t="s">
        <x:v>225</x:v>
      </x:c>
      <x:c r="F40" s="30" t="s">
        <x:v>226</x:v>
      </x:c>
      <x:c r="G40" s="30" t="s">
        <x:v>227</x:v>
      </x:c>
      <x:c r="H40" s="30">
        <x:v>4</x:v>
      </x:c>
      <x:c r="I40" s="30" t="s">
        <x:v>228</x:v>
      </x:c>
      <x:c r="J40" s="30" t="s">
        <x:v>229</x:v>
      </x:c>
      <x:c r="K40" s="30" t="s">
        <x:v>18</x:v>
      </x:c>
      <x:c r="L40" s="30" t="s">
        <x:v>230</x:v>
      </x:c>
      <x:c r="M40" s="66" t="n">
        <x:f>A40</x:f>
        <x:v>1</x:v>
      </x:c>
      <x:c r="N40" s="69" t="n">
        <x:f>B40</x:f>
        <x:v>5</x:v>
      </x:c>
      <x:c r="O40" s="62" t="n">
        <x:f>O39+(IFERROR(VALUE(LEFT(K40,FIND("분",K40)-1))*60,0)+IFERROR(VALUE(TRIM(MID(K40,IFERROR(FIND("분",K40),0)+1,FIND("초",K40)-IFERROR(FIND("분",K40),0)-1))),0))/86400</x:f>
        <x:v>0.03831018518518518</x:v>
      </x:c>
      <x:c r="P40" s="65" t="str">
        <x:v>2-A | 공원 축제·청소</x:v>
      </x:c>
      <x:c r="Q40" s="61" t="n">
        <x:f>H40</x:f>
        <x:v>4</x:v>
      </x:c>
      <x:c r="R40" s="63" t="n">
        <x:f>R39+6</x:f>
        <x:v>227</x:v>
      </x:c>
    </x:row>
    <x:row r="41" ht="81.94999694824219" customHeight="1">
      <x:c r="A41" s="30">
        <x:v>2</x:v>
      </x:c>
      <x:c r="B41" s="30">
        <x:v>6</x:v>
      </x:c>
      <x:c r="C41" s="30">
        <x:v>40</x:v>
      </x:c>
      <x:c r="D41" s="30" t="s">
        <x:v>231</x:v>
      </x:c>
      <x:c r="E41" s="30" t="s">
        <x:v>42</x:v>
      </x:c>
      <x:c r="F41" s="30" t="s">
        <x:v>232</x:v>
      </x:c>
      <x:c r="G41" s="30" t="s">
        <x:v>128</x:v>
      </x:c>
      <x:c r="H41" s="30">
        <x:v>1</x:v>
      </x:c>
      <x:c r="I41" s="30" t="s">
        <x:v>233</x:v>
      </x:c>
      <x:c r="J41" s="30" t="s">
        <x:v>17</x:v>
      </x:c>
      <x:c r="K41" s="30" t="s">
        <x:v>58</x:v>
      </x:c>
      <x:c r="L41" s="30" t="s">
        <x:v>47</x:v>
      </x:c>
      <x:c r="M41" s="67" t="n">
        <x:f>A41</x:f>
        <x:v>2</x:v>
      </x:c>
      <x:c r="N41" s="70" t="n">
        <x:f>B41</x:f>
        <x:v>6</x:v>
      </x:c>
      <x:c r="O41" s="62" t="n">
        <x:f>O40+(IFERROR(VALUE(LEFT(K41,FIND("분",K41)-1))*60,0)+IFERROR(VALUE(TRIM(MID(K41,IFERROR(FIND("분",K41),0)+1,FIND("초",K41)-IFERROR(FIND("분",K41),0)-1))),0))/86400</x:f>
        <x:v>0.039178240740740736</x:v>
      </x:c>
      <x:c r="P41" s="65" t="str">
        <x:v>2-B | 분리수거장</x:v>
      </x:c>
      <x:c r="Q41" s="61" t="n">
        <x:f>H41</x:f>
        <x:v>1</x:v>
      </x:c>
      <x:c r="R41" s="63" t="n">
        <x:f>R40+6</x:f>
        <x:v>233</x:v>
      </x:c>
    </x:row>
    <x:row r="42" ht="81.94999694824219" customHeight="1">
      <x:c r="A42" s="30">
        <x:v>2</x:v>
      </x:c>
      <x:c r="B42" s="30">
        <x:v>6</x:v>
      </x:c>
      <x:c r="C42" s="30">
        <x:v>41</x:v>
      </x:c>
      <x:c r="D42" s="30" t="s">
        <x:v>234</x:v>
      </x:c>
      <x:c r="E42" s="30" t="s">
        <x:v>235</x:v>
      </x:c>
      <x:c r="F42" s="30" t="s">
        <x:v>236</x:v>
      </x:c>
      <x:c r="G42" s="30" t="s">
        <x:v>237</x:v>
      </x:c>
      <x:c r="H42" s="30">
        <x:v>8</x:v>
      </x:c>
      <x:c r="I42" s="30" t="s">
        <x:v>238</x:v>
      </x:c>
      <x:c r="J42" s="30" t="s">
        <x:v>239</x:v>
      </x:c>
      <x:c r="K42" s="30" t="s">
        <x:v>201</x:v>
      </x:c>
      <x:c r="L42" s="30" t="s">
        <x:v>240</x:v>
      </x:c>
      <x:c r="M42" s="67" t="n">
        <x:f>A42</x:f>
        <x:v>2</x:v>
      </x:c>
      <x:c r="N42" s="70" t="n">
        <x:f>B42</x:f>
        <x:v>6</x:v>
      </x:c>
      <x:c r="O42" s="62" t="n">
        <x:f>O41+(IFERROR(VALUE(LEFT(K42,FIND("분",K42)-1))*60,0)+IFERROR(VALUE(TRIM(MID(K42,IFERROR(FIND("분",K42),0)+1,FIND("초",K42)-IFERROR(FIND("분",K42),0)-1))),0))/86400</x:f>
        <x:v>0.040798611111111105</x:v>
      </x:c>
      <x:c r="P42" s="65" t="str">
        <x:v>2-B | 분리수거장</x:v>
      </x:c>
      <x:c r="Q42" s="61" t="n">
        <x:f>H42</x:f>
        <x:v>8</x:v>
      </x:c>
      <x:c r="R42" s="63" t="n">
        <x:f>R41+8</x:f>
        <x:v>241</x:v>
      </x:c>
    </x:row>
    <x:row r="43" ht="81.94999694824219" customHeight="1">
      <x:c r="A43" s="30">
        <x:v>3</x:v>
      </x:c>
      <x:c r="B43" s="30">
        <x:v>7</x:v>
      </x:c>
      <x:c r="C43" s="30">
        <x:v>42</x:v>
      </x:c>
      <x:c r="D43" s="30" t="s">
        <x:v>241</x:v>
      </x:c>
      <x:c r="E43" s="30" t="s">
        <x:v>235</x:v>
      </x:c>
      <x:c r="F43" s="30" t="s">
        <x:v>242</x:v>
      </x:c>
      <x:c r="G43" s="30" t="s">
        <x:v>243</x:v>
      </x:c>
      <x:c r="H43" s="30">
        <x:v>10</x:v>
      </x:c>
      <x:c r="I43" s="30" t="s">
        <x:v>244</x:v>
      </x:c>
      <x:c r="J43" s="30" t="s">
        <x:v>239</x:v>
      </x:c>
      <x:c r="K43" s="30" t="s">
        <x:v>184</x:v>
      </x:c>
      <x:c r="L43" s="30" t="s">
        <x:v>240</x:v>
      </x:c>
      <x:c r="M43" s="74" t="n">
        <x:f>A43</x:f>
        <x:v>3</x:v>
      </x:c>
      <x:c r="N43" s="67" t="n">
        <x:f>B43</x:f>
        <x:v>7</x:v>
      </x:c>
      <x:c r="O43" s="62" t="n">
        <x:f>O42+(IFERROR(VALUE(LEFT(K43,FIND("분",K43)-1))*60,0)+IFERROR(VALUE(TRIM(MID(K43,IFERROR(FIND("분",K43),0)+1,FIND("초",K43)-IFERROR(FIND("분",K43),0)-1))),0))/86400</x:f>
        <x:v>0.04288194444444444</x:v>
      </x:c>
      <x:c r="P43" s="65" t="str">
        <x:v>2-B | 분리수거장</x:v>
      </x:c>
      <x:c r="Q43" s="61" t="n">
        <x:f>H43</x:f>
        <x:v>10</x:v>
      </x:c>
      <x:c r="R43" s="63" t="n">
        <x:f>R42+10</x:f>
        <x:v>251</x:v>
      </x:c>
    </x:row>
    <x:row r="44" ht="81.94999694824219" customHeight="1">
      <x:c r="A44" s="30">
        <x:v>3</x:v>
      </x:c>
      <x:c r="B44" s="30">
        <x:v>7</x:v>
      </x:c>
      <x:c r="C44" s="30">
        <x:v>43</x:v>
      </x:c>
      <x:c r="D44" s="30" t="s">
        <x:v>245</x:v>
      </x:c>
      <x:c r="E44" s="30" t="s">
        <x:v>235</x:v>
      </x:c>
      <x:c r="F44" s="30" t="s">
        <x:v>246</x:v>
      </x:c>
      <x:c r="G44" s="30" t="s">
        <x:v>247</x:v>
      </x:c>
      <x:c r="H44" s="30">
        <x:v>6</x:v>
      </x:c>
      <x:c r="I44" s="30" t="s">
        <x:v>248</x:v>
      </x:c>
      <x:c r="J44" s="30" t="s">
        <x:v>239</x:v>
      </x:c>
      <x:c r="K44" s="30" t="s">
        <x:v>189</x:v>
      </x:c>
      <x:c r="L44" s="30" t="s">
        <x:v>240</x:v>
      </x:c>
      <x:c r="M44" s="74" t="n">
        <x:f>A44</x:f>
        <x:v>3</x:v>
      </x:c>
      <x:c r="N44" s="67" t="n">
        <x:f>B44</x:f>
        <x:v>7</x:v>
      </x:c>
      <x:c r="O44" s="62" t="n">
        <x:f>O43+(IFERROR(VALUE(LEFT(K44,FIND("분",K44)-1))*60,0)+IFERROR(VALUE(TRIM(MID(K44,IFERROR(FIND("분",K44),0)+1,FIND("초",K44)-IFERROR(FIND("분",K44),0)-1))),0))/86400</x:f>
        <x:v>0.04473379629629629</x:v>
      </x:c>
      <x:c r="P44" s="65" t="str">
        <x:v>2-B | 분리수거장</x:v>
      </x:c>
      <x:c r="Q44" s="61" t="n">
        <x:f>H44</x:f>
        <x:v>6</x:v>
      </x:c>
      <x:c r="R44" s="63" t="n">
        <x:f>R43+10</x:f>
        <x:v>261</x:v>
      </x:c>
    </x:row>
    <x:row r="45" ht="81.94999694824219" customHeight="1">
      <x:c r="A45" s="30">
        <x:v>2</x:v>
      </x:c>
      <x:c r="B45" s="30">
        <x:v>7</x:v>
      </x:c>
      <x:c r="C45" s="30">
        <x:v>44</x:v>
      </x:c>
      <x:c r="D45" s="30" t="s">
        <x:v>249</x:v>
      </x:c>
      <x:c r="E45" s="30" t="s">
        <x:v>225</x:v>
      </x:c>
      <x:c r="F45" s="30" t="s">
        <x:v>250</x:v>
      </x:c>
      <x:c r="G45" s="30" t="s">
        <x:v>227</x:v>
      </x:c>
      <x:c r="H45" s="30">
        <x:v>3</x:v>
      </x:c>
      <x:c r="I45" s="30" t="s">
        <x:v>228</x:v>
      </x:c>
      <x:c r="J45" s="30" t="s">
        <x:v>229</x:v>
      </x:c>
      <x:c r="K45" s="30" t="s">
        <x:v>125</x:v>
      </x:c>
      <x:c r="L45" s="30" t="s">
        <x:v>230</x:v>
      </x:c>
      <x:c r="M45" s="67" t="n">
        <x:f>A45</x:f>
        <x:v>2</x:v>
      </x:c>
      <x:c r="N45" s="67" t="n">
        <x:f>B45</x:f>
        <x:v>7</x:v>
      </x:c>
      <x:c r="O45" s="62" t="n">
        <x:f>O44+(IFERROR(VALUE(LEFT(K45,FIND("분",K45)-1))*60,0)+IFERROR(VALUE(TRIM(MID(K45,IFERROR(FIND("분",K45),0)+1,FIND("초",K45)-IFERROR(FIND("분",K45),0)-1))),0))/86400</x:f>
        <x:v>0.04554398148148148</x:v>
      </x:c>
      <x:c r="P45" s="65" t="str">
        <x:v>2-B | 분리수거장</x:v>
      </x:c>
      <x:c r="Q45" s="61" t="n">
        <x:f>H45</x:f>
        <x:v>3</x:v>
      </x:c>
      <x:c r="R45" s="63" t="n">
        <x:f>R44+6</x:f>
        <x:v>267</x:v>
      </x:c>
    </x:row>
    <x:row r="46" ht="81.94999694824219" customHeight="1">
      <x:c r="A46" s="30">
        <x:v>1</x:v>
      </x:c>
      <x:c r="B46" s="30">
        <x:v>9</x:v>
      </x:c>
      <x:c r="C46" s="30">
        <x:v>45</x:v>
      </x:c>
      <x:c r="D46" s="30" t="s">
        <x:v>251</x:v>
      </x:c>
      <x:c r="E46" s="30" t="s">
        <x:v>155</x:v>
      </x:c>
      <x:c r="F46" s="30" t="s">
        <x:v>252</x:v>
      </x:c>
      <x:c r="G46" s="30" t="s">
        <x:v>157</x:v>
      </x:c>
      <x:c r="H46" s="30">
        <x:v>1</x:v>
      </x:c>
      <x:c r="I46" s="30" t="s">
        <x:v>158</x:v>
      </x:c>
      <x:c r="J46" s="30" t="s">
        <x:v>17</x:v>
      </x:c>
      <x:c r="K46" s="30" t="s">
        <x:v>86</x:v>
      </x:c>
      <x:c r="L46" s="30" t="s">
        <x:v>159</x:v>
      </x:c>
      <x:c r="M46" s="66" t="n">
        <x:f>A46</x:f>
        <x:v>1</x:v>
      </x:c>
      <x:c r="N46" s="75" t="n">
        <x:f>B46</x:f>
        <x:v>9</x:v>
      </x:c>
      <x:c r="O46" s="62" t="n">
        <x:f>O45+(IFERROR(VALUE(LEFT(K46,FIND("분",K46)-1))*60,0)+IFERROR(VALUE(TRIM(MID(K46,IFERROR(FIND("분",K46),0)+1,FIND("초",K46)-IFERROR(FIND("분",K46),0)-1))),0))/86400</x:f>
        <x:v>0.04612268518518518</x:v>
      </x:c>
      <x:c r="P46" s="65" t="str">
        <x:v>2-C | 균열 발생</x:v>
      </x:c>
      <x:c r="Q46" s="61" t="n">
        <x:f>H46</x:f>
        <x:v>1</x:v>
      </x:c>
      <x:c r="R46" s="63" t="n">
        <x:f>R45+6</x:f>
        <x:v>273</x:v>
      </x:c>
    </x:row>
    <x:row r="47" ht="81.94999694824219" customHeight="1">
      <x:c r="A47" s="30">
        <x:v>2</x:v>
      </x:c>
      <x:c r="B47" s="30">
        <x:v>9</x:v>
      </x:c>
      <x:c r="C47" s="30">
        <x:v>46</x:v>
      </x:c>
      <x:c r="D47" s="30" t="s">
        <x:v>253</x:v>
      </x:c>
      <x:c r="E47" s="30" t="s">
        <x:v>132</x:v>
      </x:c>
      <x:c r="F47" s="30" t="s">
        <x:v>254</x:v>
      </x:c>
      <x:c r="G47" s="30" t="s">
        <x:v>255</x:v>
      </x:c>
      <x:c r="H47" s="30">
        <x:v>3</x:v>
      </x:c>
      <x:c r="I47" s="30" t="s">
        <x:v>135</x:v>
      </x:c>
      <x:c r="J47" s="30" t="s">
        <x:v>17</x:v>
      </x:c>
      <x:c r="K47" s="30" t="s">
        <x:v>256</x:v>
      </x:c>
      <x:c r="L47" s="30" t="s">
        <x:v>136</x:v>
      </x:c>
      <x:c r="M47" s="67" t="n">
        <x:f>A47</x:f>
        <x:v>2</x:v>
      </x:c>
      <x:c r="N47" s="75" t="n">
        <x:f>B47</x:f>
        <x:v>9</x:v>
      </x:c>
      <x:c r="O47" s="62" t="n">
        <x:f>O46+(IFERROR(VALUE(LEFT(K47,FIND("분",K47)-1))*60,0)+IFERROR(VALUE(TRIM(MID(K47,IFERROR(FIND("분",K47),0)+1,FIND("초",K47)-IFERROR(FIND("분",K47),0)-1))),0))/86400</x:f>
        <x:v>0.04722222222222222</x:v>
      </x:c>
      <x:c r="P47" s="65" t="str">
        <x:v>2-C | 균열 발생</x:v>
      </x:c>
      <x:c r="Q47" s="61" t="n">
        <x:f>H47</x:f>
        <x:v>3</x:v>
      </x:c>
      <x:c r="R47" s="63" t="n">
        <x:f>R46+8</x:f>
        <x:v>281</x:v>
      </x:c>
    </x:row>
    <x:row r="48" ht="81.94999694824219" customHeight="1">
      <x:c r="A48" s="30">
        <x:v>2</x:v>
      </x:c>
      <x:c r="B48" s="30">
        <x:v>5</x:v>
      </x:c>
      <x:c r="C48" s="30">
        <x:v>47</x:v>
      </x:c>
      <x:c r="D48" s="30" t="s">
        <x:v>257</x:v>
      </x:c>
      <x:c r="E48" s="30" t="s">
        <x:v>42</x:v>
      </x:c>
      <x:c r="F48" s="30" t="s">
        <x:v>258</x:v>
      </x:c>
      <x:c r="G48" s="30" t="s">
        <x:v>128</x:v>
      </x:c>
      <x:c r="H48" s="30">
        <x:v>1</x:v>
      </x:c>
      <x:c r="I48" s="30" t="s">
        <x:v>259</x:v>
      </x:c>
      <x:c r="J48" s="30" t="s">
        <x:v>17</x:v>
      </x:c>
      <x:c r="K48" s="30" t="s">
        <x:v>91</x:v>
      </x:c>
      <x:c r="L48" s="30" t="s">
        <x:v>47</x:v>
      </x:c>
      <x:c r="M48" s="67" t="n">
        <x:f>A48</x:f>
        <x:v>2</x:v>
      </x:c>
      <x:c r="N48" s="69" t="n">
        <x:f>B48</x:f>
        <x:v>5</x:v>
      </x:c>
      <x:c r="O48" s="62" t="n">
        <x:f>O47+(IFERROR(VALUE(LEFT(K48,FIND("분",K48)-1))*60,0)+IFERROR(VALUE(TRIM(MID(K48,IFERROR(FIND("분",K48),0)+1,FIND("초",K48)-IFERROR(FIND("분",K48),0)-1))),0))/86400</x:f>
        <x:v>0.04861111111111111</x:v>
      </x:c>
      <x:c r="P48" s="65" t="str">
        <x:v>2-D | 귀가·밤</x:v>
      </x:c>
      <x:c r="Q48" s="61" t="n">
        <x:f>H48</x:f>
        <x:v>1</x:v>
      </x:c>
      <x:c r="R48" s="63" t="n">
        <x:f>R47+7</x:f>
        <x:v>288</x:v>
      </x:c>
    </x:row>
    <x:row r="49" ht="81.94999694824219" customHeight="1">
      <x:c r="A49" s="30">
        <x:v>1</x:v>
      </x:c>
      <x:c r="B49" s="30">
        <x:v>5</x:v>
      </x:c>
      <x:c r="C49" s="30">
        <x:v>48</x:v>
      </x:c>
      <x:c r="D49" s="30" t="s">
        <x:v>260</x:v>
      </x:c>
      <x:c r="E49" s="30" t="s">
        <x:v>261</x:v>
      </x:c>
      <x:c r="F49" s="30" t="s">
        <x:v>262</x:v>
      </x:c>
      <x:c r="G49" s="30" t="s">
        <x:v>263</x:v>
      </x:c>
      <x:c r="H49" s="30">
        <x:v>1</x:v>
      </x:c>
      <x:c r="I49" s="30" t="s">
        <x:v>264</x:v>
      </x:c>
      <x:c r="J49" s="30" t="s">
        <x:v>17</x:v>
      </x:c>
      <x:c r="K49" s="30" t="s">
        <x:v>69</x:v>
      </x:c>
      <x:c r="L49" s="30" t="s">
        <x:v>265</x:v>
      </x:c>
      <x:c r="M49" s="66" t="n">
        <x:f>A49</x:f>
        <x:v>1</x:v>
      </x:c>
      <x:c r="N49" s="69" t="n">
        <x:f>B49</x:f>
        <x:v>5</x:v>
      </x:c>
      <x:c r="O49" s="62" t="n">
        <x:f>O48+(IFERROR(VALUE(LEFT(K49,FIND("분",K49)-1))*60,0)+IFERROR(VALUE(TRIM(MID(K49,IFERROR(FIND("분",K49),0)+1,FIND("초",K49)-IFERROR(FIND("분",K49),0)-1))),0))/86400</x:f>
        <x:v>0.04901620370370371</x:v>
      </x:c>
      <x:c r="P49" s="65" t="str">
        <x:v>2-D | 귀가·밤</x:v>
      </x:c>
      <x:c r="Q49" s="61" t="n">
        <x:f>H49</x:f>
        <x:v>1</x:v>
      </x:c>
      <x:c r="R49" s="63" t="n">
        <x:f>R48+4</x:f>
        <x:v>292</x:v>
      </x:c>
    </x:row>
    <x:row r="50" ht="81.94999694824219" customHeight="1">
      <x:c r="A50" s="30">
        <x:v>1</x:v>
      </x:c>
      <x:c r="B50" s="30">
        <x:v>6</x:v>
      </x:c>
      <x:c r="C50" s="30">
        <x:v>49</x:v>
      </x:c>
      <x:c r="D50" s="30" t="s">
        <x:v>266</x:v>
      </x:c>
      <x:c r="E50" s="30" t="s">
        <x:v>267</x:v>
      </x:c>
      <x:c r="F50" s="30" t="s">
        <x:v>268</x:v>
      </x:c>
      <x:c r="G50" s="30" t="s">
        <x:v>269</x:v>
      </x:c>
      <x:c r="H50" s="30">
        <x:v>2</x:v>
      </x:c>
      <x:c r="I50" s="30" t="s">
        <x:v>270</x:v>
      </x:c>
      <x:c r="J50" s="30" t="s">
        <x:v>17</x:v>
      </x:c>
      <x:c r="K50" s="30" t="s">
        <x:v>39</x:v>
      </x:c>
      <x:c r="L50" s="30" t="s">
        <x:v>271</x:v>
      </x:c>
      <x:c r="M50" s="66" t="n">
        <x:f>A50</x:f>
        <x:v>1</x:v>
      </x:c>
      <x:c r="N50" s="70" t="n">
        <x:f>B50</x:f>
        <x:v>6</x:v>
      </x:c>
      <x:c r="O50" s="62" t="n">
        <x:f>O49+(IFERROR(VALUE(LEFT(K50,FIND("분",K50)-1))*60,0)+IFERROR(VALUE(TRIM(MID(K50,IFERROR(FIND("분",K50),0)+1,FIND("초",K50)-IFERROR(FIND("분",K50),0)-1))),0))/86400</x:f>
        <x:v>0.04947916666666667</x:v>
      </x:c>
      <x:c r="P50" s="65" t="str">
        <x:v>3-A | 아파트 재난</x:v>
      </x:c>
      <x:c r="Q50" s="61" t="n">
        <x:f>H50</x:f>
        <x:v>2</x:v>
      </x:c>
      <x:c r="R50" s="63" t="n">
        <x:f>R49+4</x:f>
        <x:v>296</x:v>
      </x:c>
    </x:row>
    <x:row r="51" ht="81.94999694824219" customHeight="1">
      <x:c r="A51" s="30">
        <x:v>2</x:v>
      </x:c>
      <x:c r="B51" s="30">
        <x:v>8</x:v>
      </x:c>
      <x:c r="C51" s="30">
        <x:v>50</x:v>
      </x:c>
      <x:c r="D51" s="30" t="s">
        <x:v>272</x:v>
      </x:c>
      <x:c r="E51" s="30" t="s">
        <x:v>28</x:v>
      </x:c>
      <x:c r="F51" s="30" t="s">
        <x:v>29</x:v>
      </x:c>
      <x:c r="G51" s="30" t="s">
        <x:v>273</x:v>
      </x:c>
      <x:c r="H51" s="30">
        <x:v>3</x:v>
      </x:c>
      <x:c r="I51" s="30" t="s">
        <x:v>274</x:v>
      </x:c>
      <x:c r="J51" s="30" t="s">
        <x:v>17</x:v>
      </x:c>
      <x:c r="K51" s="30" t="s">
        <x:v>125</x:v>
      </x:c>
      <x:c r="L51" s="30" t="s">
        <x:v>33</x:v>
      </x:c>
      <x:c r="M51" s="67" t="n">
        <x:f>A51</x:f>
        <x:v>2</x:v>
      </x:c>
      <x:c r="N51" s="72" t="n">
        <x:f>B51</x:f>
        <x:v>8</x:v>
      </x:c>
      <x:c r="O51" s="62" t="n">
        <x:f>O50+(IFERROR(VALUE(LEFT(K51,FIND("분",K51)-1))*60,0)+IFERROR(VALUE(TRIM(MID(K51,IFERROR(FIND("분",K51),0)+1,FIND("초",K51)-IFERROR(FIND("분",K51),0)-1))),0))/86400</x:f>
        <x:v>0.050289351851851856</x:v>
      </x:c>
      <x:c r="P51" s="65" t="str">
        <x:v>3-A | 아파트 재난</x:v>
      </x:c>
      <x:c r="Q51" s="61" t="n">
        <x:f>H51</x:f>
        <x:v>3</x:v>
      </x:c>
      <x:c r="R51" s="63" t="n">
        <x:f>R50+7</x:f>
        <x:v>303</x:v>
      </x:c>
    </x:row>
    <x:row r="52" ht="81.94999694824219" customHeight="1">
      <x:c r="A52" s="30">
        <x:v>3</x:v>
      </x:c>
      <x:c r="B52" s="30">
        <x:v>7</x:v>
      </x:c>
      <x:c r="C52" s="30">
        <x:v>51</x:v>
      </x:c>
      <x:c r="D52" s="30" t="s">
        <x:v>275</x:v>
      </x:c>
      <x:c r="E52" s="30" t="s">
        <x:v>276</x:v>
      </x:c>
      <x:c r="F52" s="30" t="s">
        <x:v>277</x:v>
      </x:c>
      <x:c r="G52" s="30" t="s">
        <x:v>278</x:v>
      </x:c>
      <x:c r="H52" s="30">
        <x:v>5</x:v>
      </x:c>
      <x:c r="I52" s="30" t="s">
        <x:v>279</x:v>
      </x:c>
      <x:c r="J52" s="30" t="s">
        <x:v>280</x:v>
      </x:c>
      <x:c r="K52" s="30" t="s">
        <x:v>91</x:v>
      </x:c>
      <x:c r="L52" s="30" t="s">
        <x:v>281</x:v>
      </x:c>
      <x:c r="M52" s="74" t="n">
        <x:f>A52</x:f>
        <x:v>3</x:v>
      </x:c>
      <x:c r="N52" s="67" t="n">
        <x:f>B52</x:f>
        <x:v>7</x:v>
      </x:c>
      <x:c r="O52" s="62" t="n">
        <x:f>O51+(IFERROR(VALUE(LEFT(K52,FIND("분",K52)-1))*60,0)+IFERROR(VALUE(TRIM(MID(K52,IFERROR(FIND("분",K52),0)+1,FIND("초",K52)-IFERROR(FIND("분",K52),0)-1))),0))/86400</x:f>
        <x:v>0.05167824074074075</x:v>
      </x:c>
      <x:c r="P52" s="65" t="str">
        <x:v>3-A | 아파트 재난</x:v>
      </x:c>
      <x:c r="Q52" s="61" t="n">
        <x:f>H52</x:f>
        <x:v>5</x:v>
      </x:c>
      <x:c r="R52" s="63" t="n">
        <x:f>R51+8</x:f>
        <x:v>311</x:v>
      </x:c>
    </x:row>
    <x:row r="53" ht="81.94999694824219" customHeight="1">
      <x:c r="A53" s="30">
        <x:v>4</x:v>
      </x:c>
      <x:c r="B53" s="30">
        <x:v>9</x:v>
      </x:c>
      <x:c r="C53" s="30">
        <x:v>52</x:v>
      </x:c>
      <x:c r="D53" s="30" t="s">
        <x:v>282</x:v>
      </x:c>
      <x:c r="E53" s="30" t="s">
        <x:v>283</x:v>
      </x:c>
      <x:c r="F53" s="30" t="s">
        <x:v>284</x:v>
      </x:c>
      <x:c r="G53" s="30" t="s">
        <x:v>285</x:v>
      </x:c>
      <x:c r="H53" s="30">
        <x:v>3</x:v>
      </x:c>
      <x:c r="I53" s="30" t="s">
        <x:v>286</x:v>
      </x:c>
      <x:c r="J53" s="30" t="s">
        <x:v>287</x:v>
      </x:c>
      <x:c r="K53" s="30" t="s">
        <x:v>189</x:v>
      </x:c>
      <x:c r="L53" s="30" t="s">
        <x:v>288</x:v>
      </x:c>
      <x:c r="M53" s="73" t="n">
        <x:f>A53</x:f>
        <x:v>4</x:v>
      </x:c>
      <x:c r="N53" s="75" t="n">
        <x:f>B53</x:f>
        <x:v>9</x:v>
      </x:c>
      <x:c r="O53" s="62" t="n">
        <x:f>O52+(IFERROR(VALUE(LEFT(K53,FIND("분",K53)-1))*60,0)+IFERROR(VALUE(TRIM(MID(K53,IFERROR(FIND("분",K53),0)+1,FIND("초",K53)-IFERROR(FIND("분",K53),0)-1))),0))/86400</x:f>
        <x:v>0.0535300925925926</x:v>
      </x:c>
      <x:c r="P53" s="65" t="str">
        <x:v>3-A | 아파트 재난</x:v>
      </x:c>
      <x:c r="Q53" s="61" t="n">
        <x:f>H53</x:f>
        <x:v>3</x:v>
      </x:c>
      <x:c r="R53" s="63" t="n">
        <x:f>R52+10</x:f>
        <x:v>321</x:v>
      </x:c>
    </x:row>
    <x:row r="54" ht="81.94999694824219" customHeight="1">
      <x:c r="A54" s="30">
        <x:v>4</x:v>
      </x:c>
      <x:c r="B54" s="30">
        <x:v>8</x:v>
      </x:c>
      <x:c r="C54" s="30">
        <x:v>53</x:v>
      </x:c>
      <x:c r="D54" s="30" t="s">
        <x:v>289</x:v>
      </x:c>
      <x:c r="E54" s="30" t="s">
        <x:v>290</x:v>
      </x:c>
      <x:c r="F54" s="30" t="s">
        <x:v>291</x:v>
      </x:c>
      <x:c r="G54" s="30" t="s">
        <x:v>292</x:v>
      </x:c>
      <x:c r="H54" s="30">
        <x:v>1</x:v>
      </x:c>
      <x:c r="I54" s="30" t="s">
        <x:v>293</x:v>
      </x:c>
      <x:c r="J54" s="30" t="s">
        <x:v>294</x:v>
      </x:c>
      <x:c r="K54" s="30" t="s">
        <x:v>256</x:v>
      </x:c>
      <x:c r="L54" s="30" t="s">
        <x:v>295</x:v>
      </x:c>
      <x:c r="M54" s="73" t="n">
        <x:f>A54</x:f>
        <x:v>4</x:v>
      </x:c>
      <x:c r="N54" s="72" t="n">
        <x:f>B54</x:f>
        <x:v>8</x:v>
      </x:c>
      <x:c r="O54" s="62" t="n">
        <x:f>O53+(IFERROR(VALUE(LEFT(K54,FIND("분",K54)-1))*60,0)+IFERROR(VALUE(TRIM(MID(K54,IFERROR(FIND("분",K54),0)+1,FIND("초",K54)-IFERROR(FIND("분",K54),0)-1))),0))/86400</x:f>
        <x:v>0.05462962962962964</x:v>
      </x:c>
      <x:c r="P54" s="65" t="str">
        <x:v>3-B | 대피 경로</x:v>
      </x:c>
      <x:c r="Q54" s="61" t="n">
        <x:f>H54</x:f>
        <x:v>1</x:v>
      </x:c>
      <x:c r="R54" s="63" t="n">
        <x:f>R53+8</x:f>
        <x:v>329</x:v>
      </x:c>
    </x:row>
    <x:row r="55" ht="81.94999694824219" customHeight="1">
      <x:c r="A55" s="30">
        <x:v>5</x:v>
      </x:c>
      <x:c r="B55" s="30">
        <x:v>9</x:v>
      </x:c>
      <x:c r="C55" s="30">
        <x:v>54</x:v>
      </x:c>
      <x:c r="D55" s="30" t="s">
        <x:v>296</x:v>
      </x:c>
      <x:c r="E55" s="30" t="s">
        <x:v>297</x:v>
      </x:c>
      <x:c r="F55" s="30" t="s">
        <x:v>298</x:v>
      </x:c>
      <x:c r="G55" s="30" t="s">
        <x:v>299</x:v>
      </x:c>
      <x:c r="H55" s="30">
        <x:v>3</x:v>
      </x:c>
      <x:c r="I55" s="30" t="s">
        <x:v>300</x:v>
      </x:c>
      <x:c r="J55" s="30" t="s">
        <x:v>301</x:v>
      </x:c>
      <x:c r="K55" s="30" t="s">
        <x:v>184</x:v>
      </x:c>
      <x:c r="L55" s="30" t="s">
        <x:v>302</x:v>
      </x:c>
      <x:c r="M55" s="71" t="n">
        <x:f>A55</x:f>
        <x:v>5</x:v>
      </x:c>
      <x:c r="N55" s="75" t="n">
        <x:f>B55</x:f>
        <x:v>9</x:v>
      </x:c>
      <x:c r="O55" s="62" t="n">
        <x:f>O54+(IFERROR(VALUE(LEFT(K55,FIND("분",K55)-1))*60,0)+IFERROR(VALUE(TRIM(MID(K55,IFERROR(FIND("분",K55),0)+1,FIND("초",K55)-IFERROR(FIND("분",K55),0)-1))),0))/86400</x:f>
        <x:v>0.05671296296296297</x:v>
      </x:c>
      <x:c r="P55" s="65" t="str">
        <x:v>3-B | 대피 경로</x:v>
      </x:c>
      <x:c r="Q55" s="61" t="n">
        <x:f>H55</x:f>
        <x:v>3</x:v>
      </x:c>
      <x:c r="R55" s="63" t="n">
        <x:f>R54+11</x:f>
        <x:v>340</x:v>
      </x:c>
    </x:row>
    <x:row r="56" ht="81.94999694824219" customHeight="1">
      <x:c r="A56" s="30">
        <x:v>5</x:v>
      </x:c>
      <x:c r="B56" s="30">
        <x:v>9</x:v>
      </x:c>
      <x:c r="C56" s="30">
        <x:v>55</x:v>
      </x:c>
      <x:c r="D56" s="30" t="s">
        <x:v>303</x:v>
      </x:c>
      <x:c r="E56" s="30" t="s">
        <x:v>304</x:v>
      </x:c>
      <x:c r="F56" s="30" t="s">
        <x:v>305</x:v>
      </x:c>
      <x:c r="G56" s="30" t="s">
        <x:v>306</x:v>
      </x:c>
      <x:c r="H56" s="30">
        <x:v>1</x:v>
      </x:c>
      <x:c r="I56" s="30" t="s">
        <x:v>307</x:v>
      </x:c>
      <x:c r="J56" s="30" t="s">
        <x:v>308</x:v>
      </x:c>
      <x:c r="K56" s="30" t="s">
        <x:v>201</x:v>
      </x:c>
      <x:c r="L56" s="30" t="s">
        <x:v>309</x:v>
      </x:c>
      <x:c r="M56" s="71" t="n">
        <x:f>A56</x:f>
        <x:v>5</x:v>
      </x:c>
      <x:c r="N56" s="75" t="n">
        <x:f>B56</x:f>
        <x:v>9</x:v>
      </x:c>
      <x:c r="O56" s="62" t="n">
        <x:f>O55+(IFERROR(VALUE(LEFT(K56,FIND("분",K56)-1))*60,0)+IFERROR(VALUE(TRIM(MID(K56,IFERROR(FIND("분",K56),0)+1,FIND("초",K56)-IFERROR(FIND("분",K56),0)-1))),0))/86400</x:f>
        <x:v>0.05833333333333334</x:v>
      </x:c>
      <x:c r="P56" s="65" t="str">
        <x:v>3-B | 대피 경로</x:v>
      </x:c>
      <x:c r="Q56" s="61" t="n">
        <x:f>H56</x:f>
        <x:v>1</x:v>
      </x:c>
      <x:c r="R56" s="63" t="n">
        <x:f>R55+10</x:f>
        <x:v>350</x:v>
      </x:c>
    </x:row>
    <x:row r="57" ht="81.94999694824219" customHeight="1">
      <x:c r="A57" s="30">
        <x:v>4</x:v>
      </x:c>
      <x:c r="B57" s="30">
        <x:v>8</x:v>
      </x:c>
      <x:c r="C57" s="30">
        <x:v>56</x:v>
      </x:c>
      <x:c r="D57" s="30" t="s">
        <x:v>310</x:v>
      </x:c>
      <x:c r="E57" s="30" t="s">
        <x:v>42</x:v>
      </x:c>
      <x:c r="F57" s="30" t="s">
        <x:v>311</x:v>
      </x:c>
      <x:c r="G57" s="30" t="s">
        <x:v>312</x:v>
      </x:c>
      <x:c r="H57" s="30">
        <x:v>1</x:v>
      </x:c>
      <x:c r="I57" s="30" t="s">
        <x:v>313</x:v>
      </x:c>
      <x:c r="J57" s="30" t="s">
        <x:v>17</x:v>
      </x:c>
      <x:c r="K57" s="30" t="s">
        <x:v>130</x:v>
      </x:c>
      <x:c r="L57" s="30" t="s">
        <x:v>47</x:v>
      </x:c>
      <x:c r="M57" s="73" t="n">
        <x:f>A57</x:f>
        <x:v>4</x:v>
      </x:c>
      <x:c r="N57" s="72" t="n">
        <x:f>B57</x:f>
        <x:v>8</x:v>
      </x:c>
      <x:c r="O57" s="62" t="n">
        <x:f>O56+(IFERROR(VALUE(LEFT(K57,FIND("분",K57)-1))*60,0)+IFERROR(VALUE(TRIM(MID(K57,IFERROR(FIND("분",K57),0)+1,FIND("초",K57)-IFERROR(FIND("분",K57),0)-1))),0))/86400</x:f>
        <x:v>0.06006944444444445</x:v>
      </x:c>
      <x:c r="P57" s="65" t="str">
        <x:v>3-B | 대피 경로</x:v>
      </x:c>
      <x:c r="Q57" s="61" t="n">
        <x:f>H57</x:f>
        <x:v>1</x:v>
      </x:c>
      <x:c r="R57" s="63" t="n">
        <x:f>R56+9</x:f>
        <x:v>359</x:v>
      </x:c>
    </x:row>
    <x:row r="58" ht="81.94999694824219" customHeight="1">
      <x:c r="A58" s="30">
        <x:v>6</x:v>
      </x:c>
      <x:c r="B58" s="30">
        <x:v>9</x:v>
      </x:c>
      <x:c r="C58" s="30">
        <x:v>57</x:v>
      </x:c>
      <x:c r="D58" s="30" t="s">
        <x:v>314</x:v>
      </x:c>
      <x:c r="E58" s="30" t="s">
        <x:v>315</x:v>
      </x:c>
      <x:c r="F58" s="30" t="s">
        <x:v>316</x:v>
      </x:c>
      <x:c r="G58" s="30" t="s">
        <x:v>317</x:v>
      </x:c>
      <x:c r="H58" s="30">
        <x:v>4</x:v>
      </x:c>
      <x:c r="I58" s="30" t="s">
        <x:v>318</x:v>
      </x:c>
      <x:c r="J58" s="30" t="s">
        <x:v>319</x:v>
      </x:c>
      <x:c r="K58" s="30" t="s">
        <x:v>130</x:v>
      </x:c>
      <x:c r="L58" s="30" t="s">
        <x:v>320</x:v>
      </x:c>
      <x:c r="M58" s="76" t="n">
        <x:f>A58</x:f>
        <x:v>6</x:v>
      </x:c>
      <x:c r="N58" s="75" t="n">
        <x:f>B58</x:f>
        <x:v>9</x:v>
      </x:c>
      <x:c r="O58" s="62" t="n">
        <x:f>O57+(IFERROR(VALUE(LEFT(K58,FIND("분",K58)-1))*60,0)+IFERROR(VALUE(TRIM(MID(K58,IFERROR(FIND("분",K58),0)+1,FIND("초",K58)-IFERROR(FIND("분",K58),0)-1))),0))/86400</x:f>
        <x:v>0.061805555555555565</x:v>
      </x:c>
      <x:c r="P58" s="65" t="str">
        <x:v>3-B | 대피 경로</x:v>
      </x:c>
      <x:c r="Q58" s="61" t="n">
        <x:f>H58</x:f>
        <x:v>4</x:v>
      </x:c>
      <x:c r="R58" s="63" t="n">
        <x:f>R57+11</x:f>
        <x:v>370</x:v>
      </x:c>
    </x:row>
    <x:row r="59" ht="81.94999694824219" customHeight="1">
      <x:c r="A59" s="30">
        <x:v>2</x:v>
      </x:c>
      <x:c r="B59" s="30">
        <x:v>8</x:v>
      </x:c>
      <x:c r="C59" s="30">
        <x:v>58</x:v>
      </x:c>
      <x:c r="D59" s="30" t="s">
        <x:v>321</x:v>
      </x:c>
      <x:c r="E59" s="30" t="s">
        <x:v>28</x:v>
      </x:c>
      <x:c r="F59" s="30" t="s">
        <x:v>29</x:v>
      </x:c>
      <x:c r="G59" s="30" t="s">
        <x:v>273</x:v>
      </x:c>
      <x:c r="H59" s="30">
        <x:v>2</x:v>
      </x:c>
      <x:c r="I59" s="30" t="s">
        <x:v>322</x:v>
      </x:c>
      <x:c r="J59" s="30" t="s">
        <x:v>17</x:v>
      </x:c>
      <x:c r="K59" s="30" t="s">
        <x:v>94</x:v>
      </x:c>
      <x:c r="L59" s="30" t="s">
        <x:v>33</x:v>
      </x:c>
      <x:c r="M59" s="67" t="n">
        <x:f>A59</x:f>
        <x:v>2</x:v>
      </x:c>
      <x:c r="N59" s="72" t="n">
        <x:f>B59</x:f>
        <x:v>8</x:v>
      </x:c>
      <x:c r="O59" s="62" t="n">
        <x:f>O58+(IFERROR(VALUE(LEFT(K59,FIND("분",K59)-1))*60,0)+IFERROR(VALUE(TRIM(MID(K59,IFERROR(FIND("분",K59),0)+1,FIND("초",K59)-IFERROR(FIND("분",K59),0)-1))),0))/86400</x:f>
        <x:v>0.06273148148148149</x:v>
      </x:c>
      <x:c r="P59" s="65" t="str">
        <x:v>3-B | 대피 경로</x:v>
      </x:c>
      <x:c r="Q59" s="61" t="n">
        <x:f>H59</x:f>
        <x:v>2</x:v>
      </x:c>
      <x:c r="R59" s="63" t="n">
        <x:f>R58+7</x:f>
        <x:v>377</x:v>
      </x:c>
    </x:row>
    <x:row r="60" ht="81.94999694824219" customHeight="1">
      <x:c r="A60" s="30">
        <x:v>3</x:v>
      </x:c>
      <x:c r="B60" s="30">
        <x:v>8</x:v>
      </x:c>
      <x:c r="C60" s="30">
        <x:v>59</x:v>
      </x:c>
      <x:c r="D60" s="30" t="s">
        <x:v>323</x:v>
      </x:c>
      <x:c r="E60" s="30" t="s">
        <x:v>42</x:v>
      </x:c>
      <x:c r="F60" s="30" t="s">
        <x:v>324</x:v>
      </x:c>
      <x:c r="G60" s="30" t="s">
        <x:v>325</x:v>
      </x:c>
      <x:c r="H60" s="30">
        <x:v>1</x:v>
      </x:c>
      <x:c r="I60" s="30" t="s">
        <x:v>326</x:v>
      </x:c>
      <x:c r="J60" s="30" t="s">
        <x:v>17</x:v>
      </x:c>
      <x:c r="K60" s="30" t="s">
        <x:v>91</x:v>
      </x:c>
      <x:c r="L60" s="30" t="s">
        <x:v>47</x:v>
      </x:c>
      <x:c r="M60" s="74" t="n">
        <x:f>A60</x:f>
        <x:v>3</x:v>
      </x:c>
      <x:c r="N60" s="72" t="n">
        <x:f>B60</x:f>
        <x:v>8</x:v>
      </x:c>
      <x:c r="O60" s="62" t="n">
        <x:f>O59+(IFERROR(VALUE(LEFT(K60,FIND("분",K60)-1))*60,0)+IFERROR(VALUE(TRIM(MID(K60,IFERROR(FIND("분",K60),0)+1,FIND("초",K60)-IFERROR(FIND("분",K60),0)-1))),0))/86400</x:f>
        <x:v>0.06412037037037037</x:v>
      </x:c>
      <x:c r="P60" s="65" t="str">
        <x:v>3-C | 대피소·선의관리국</x:v>
      </x:c>
      <x:c r="Q60" s="61" t="n">
        <x:f>H60</x:f>
        <x:v>1</x:v>
      </x:c>
      <x:c r="R60" s="63" t="n">
        <x:f>R59+8</x:f>
        <x:v>385</x:v>
      </x:c>
    </x:row>
    <x:row r="61" ht="81.94999694824219" customHeight="1">
      <x:c r="A61" s="30">
        <x:v>1</x:v>
      </x:c>
      <x:c r="B61" s="30">
        <x:v>8</x:v>
      </x:c>
      <x:c r="C61" s="30">
        <x:v>60</x:v>
      </x:c>
      <x:c r="D61" s="30" t="s">
        <x:v>327</x:v>
      </x:c>
      <x:c r="E61" s="30" t="s">
        <x:v>28</x:v>
      </x:c>
      <x:c r="F61" s="30" t="s">
        <x:v>29</x:v>
      </x:c>
      <x:c r="G61" s="30" t="s">
        <x:v>123</x:v>
      </x:c>
      <x:c r="H61" s="30">
        <x:v>2</x:v>
      </x:c>
      <x:c r="I61" s="30" t="s">
        <x:v>328</x:v>
      </x:c>
      <x:c r="J61" s="30" t="s">
        <x:v>17</x:v>
      </x:c>
      <x:c r="K61" s="30" t="s">
        <x:v>79</x:v>
      </x:c>
      <x:c r="L61" s="30" t="s">
        <x:v>33</x:v>
      </x:c>
      <x:c r="M61" s="66" t="n">
        <x:f>A61</x:f>
        <x:v>1</x:v>
      </x:c>
      <x:c r="N61" s="72" t="n">
        <x:f>B61</x:f>
        <x:v>8</x:v>
      </x:c>
      <x:c r="O61" s="62" t="n">
        <x:f>O60+(IFERROR(VALUE(LEFT(K61,FIND("분",K61)-1))*60,0)+IFERROR(VALUE(TRIM(MID(K61,IFERROR(FIND("분",K61),0)+1,FIND("초",K61)-IFERROR(FIND("분",K61),0)-1))),0))/86400</x:f>
        <x:v>0.06539351851851852</x:v>
      </x:c>
      <x:c r="P61" s="65" t="str">
        <x:v>3-C | 대피소·선의관리국</x:v>
      </x:c>
      <x:c r="Q61" s="61" t="n">
        <x:f>H61</x:f>
        <x:v>2</x:v>
      </x:c>
      <x:c r="R61" s="63" t="n">
        <x:f>R60+7</x:f>
        <x:v>392</x:v>
      </x:c>
    </x:row>
    <x:row r="62" ht="81.94999694824219" customHeight="1">
      <x:c r="A62" s="30">
        <x:v>2</x:v>
      </x:c>
      <x:c r="B62" s="30">
        <x:v>8</x:v>
      </x:c>
      <x:c r="C62" s="30">
        <x:v>61</x:v>
      </x:c>
      <x:c r="D62" s="30" t="s">
        <x:v>329</x:v>
      </x:c>
      <x:c r="E62" s="30" t="s">
        <x:v>330</x:v>
      </x:c>
      <x:c r="F62" s="30" t="s">
        <x:v>331</x:v>
      </x:c>
      <x:c r="G62" s="30" t="s">
        <x:v>332</x:v>
      </x:c>
      <x:c r="H62" s="30">
        <x:v>3</x:v>
      </x:c>
      <x:c r="I62" s="30" t="s">
        <x:v>333</x:v>
      </x:c>
      <x:c r="J62" s="30" t="s">
        <x:v>334</x:v>
      </x:c>
      <x:c r="K62" s="30" t="s">
        <x:v>116</x:v>
      </x:c>
      <x:c r="L62" s="30" t="s">
        <x:v>335</x:v>
      </x:c>
      <x:c r="M62" s="67" t="n">
        <x:f>A62</x:f>
        <x:v>2</x:v>
      </x:c>
      <x:c r="N62" s="72" t="n">
        <x:f>B62</x:f>
        <x:v>8</x:v>
      </x:c>
      <x:c r="O62" s="62" t="n">
        <x:f>O61+(IFERROR(VALUE(LEFT(K62,FIND("분",K62)-1))*60,0)+IFERROR(VALUE(TRIM(MID(K62,IFERROR(FIND("분",K62),0)+1,FIND("초",K62)-IFERROR(FIND("분",K62),0)-1))),0))/86400</x:f>
        <x:v>0.06655092592592593</x:v>
      </x:c>
      <x:c r="P62" s="65" t="str">
        <x:v>3-C | 대피소·선의관리국</x:v>
      </x:c>
      <x:c r="Q62" s="61" t="n">
        <x:f>H62</x:f>
        <x:v>3</x:v>
      </x:c>
      <x:c r="R62" s="63" t="n">
        <x:f>R61+7</x:f>
        <x:v>399</x:v>
      </x:c>
    </x:row>
    <x:row r="63" ht="81.94999694824219" customHeight="1">
      <x:c r="A63" s="30">
        <x:v>2</x:v>
      </x:c>
      <x:c r="B63" s="30">
        <x:v>9</x:v>
      </x:c>
      <x:c r="C63" s="30">
        <x:v>62</x:v>
      </x:c>
      <x:c r="D63" s="30" t="s">
        <x:v>336</x:v>
      </x:c>
      <x:c r="E63" s="30" t="s">
        <x:v>330</x:v>
      </x:c>
      <x:c r="F63" s="30" t="s">
        <x:v>337</x:v>
      </x:c>
      <x:c r="G63" s="30" t="s">
        <x:v>338</x:v>
      </x:c>
      <x:c r="H63" s="30">
        <x:v>4</x:v>
      </x:c>
      <x:c r="I63" s="30" t="s">
        <x:v>333</x:v>
      </x:c>
      <x:c r="J63" s="30" t="s">
        <x:v>334</x:v>
      </x:c>
      <x:c r="K63" s="30" t="s">
        <x:v>339</x:v>
      </x:c>
      <x:c r="L63" s="30" t="s">
        <x:v>335</x:v>
      </x:c>
      <x:c r="M63" s="67" t="n">
        <x:f>A63</x:f>
        <x:v>2</x:v>
      </x:c>
      <x:c r="N63" s="75" t="n">
        <x:f>B63</x:f>
        <x:v>9</x:v>
      </x:c>
      <x:c r="O63" s="62" t="n">
        <x:f>O62+(IFERROR(VALUE(LEFT(K63,FIND("분",K63)-1))*60,0)+IFERROR(VALUE(TRIM(MID(K63,IFERROR(FIND("분",K63),0)+1,FIND("초",K63)-IFERROR(FIND("분",K63),0)-1))),0))/86400</x:f>
        <x:v>0.06805555555555556</x:v>
      </x:c>
      <x:c r="P63" s="65" t="str">
        <x:v>3-C | 대피소·선의관리국</x:v>
      </x:c>
      <x:c r="Q63" s="61" t="n">
        <x:f>H63</x:f>
        <x:v>4</x:v>
      </x:c>
      <x:c r="R63" s="63" t="n">
        <x:f>R62+9</x:f>
        <x:v>408</x:v>
      </x:c>
    </x:row>
    <x:row r="64" ht="81.94999694824219" customHeight="1">
      <x:c r="A64" s="30">
        <x:v>1</x:v>
      </x:c>
      <x:c r="B64" s="30">
        <x:v>9</x:v>
      </x:c>
      <x:c r="C64" s="30">
        <x:v>63</x:v>
      </x:c>
      <x:c r="D64" s="30" t="s">
        <x:v>340</x:v>
      </x:c>
      <x:c r="E64" s="30" t="s">
        <x:v>341</x:v>
      </x:c>
      <x:c r="F64" s="30" t="s">
        <x:v>342</x:v>
      </x:c>
      <x:c r="G64" s="30" t="s">
        <x:v>343</x:v>
      </x:c>
      <x:c r="H64" s="30">
        <x:v>3</x:v>
      </x:c>
      <x:c r="I64" s="30" t="s">
        <x:v>344</x:v>
      </x:c>
      <x:c r="J64" s="30" t="s">
        <x:v>17</x:v>
      </x:c>
      <x:c r="K64" s="30" t="s">
        <x:v>91</x:v>
      </x:c>
      <x:c r="L64" s="30" t="s">
        <x:v>345</x:v>
      </x:c>
      <x:c r="M64" s="66" t="n">
        <x:f>A64</x:f>
        <x:v>1</x:v>
      </x:c>
      <x:c r="N64" s="75" t="n">
        <x:f>B64</x:f>
        <x:v>9</x:v>
      </x:c>
      <x:c r="O64" s="62" t="n">
        <x:f>O63+(IFERROR(VALUE(LEFT(K64,FIND("분",K64)-1))*60,0)+IFERROR(VALUE(TRIM(MID(K64,IFERROR(FIND("분",K64),0)+1,FIND("초",K64)-IFERROR(FIND("분",K64),0)-1))),0))/86400</x:f>
        <x:v>0.06944444444444445</x:v>
      </x:c>
      <x:c r="P64" s="65" t="str">
        <x:v>3-C | 대피소·선의관리국</x:v>
      </x:c>
      <x:c r="Q64" s="61" t="n">
        <x:f>H64</x:f>
        <x:v>3</x:v>
      </x:c>
      <x:c r="R64" s="63" t="n">
        <x:f>R63+8</x:f>
        <x:v>416</x:v>
      </x:c>
    </x:row>
    <x:row r="65" ht="81.94999694824219" customHeight="1">
      <x:c r="A65" s="30">
        <x:v>1</x:v>
      </x:c>
      <x:c r="B65" s="30">
        <x:v>8</x:v>
      </x:c>
      <x:c r="C65" s="30">
        <x:v>64</x:v>
      </x:c>
      <x:c r="D65" s="30" t="s">
        <x:v>346</x:v>
      </x:c>
      <x:c r="E65" s="30" t="s">
        <x:v>347</x:v>
      </x:c>
      <x:c r="F65" s="30" t="s">
        <x:v>348</x:v>
      </x:c>
      <x:c r="G65" s="30" t="s">
        <x:v>349</x:v>
      </x:c>
      <x:c r="H65" s="30">
        <x:v>2</x:v>
      </x:c>
      <x:c r="I65" s="30" t="s">
        <x:v>350</x:v>
      </x:c>
      <x:c r="J65" s="30" t="s">
        <x:v>17</x:v>
      </x:c>
      <x:c r="K65" s="30" t="s">
        <x:v>116</x:v>
      </x:c>
      <x:c r="L65" s="30" t="s">
        <x:v>351</x:v>
      </x:c>
      <x:c r="M65" s="66" t="n">
        <x:f>A65</x:f>
        <x:v>1</x:v>
      </x:c>
      <x:c r="N65" s="72" t="n">
        <x:f>B65</x:f>
        <x:v>8</x:v>
      </x:c>
      <x:c r="O65" s="62" t="n">
        <x:f>O64+(IFERROR(VALUE(LEFT(K65,FIND("분",K65)-1))*60,0)+IFERROR(VALUE(TRIM(MID(K65,IFERROR(FIND("분",K65),0)+1,FIND("초",K65)-IFERROR(FIND("분",K65),0)-1))),0))/86400</x:f>
        <x:v>0.07060185185185186</x:v>
      </x:c>
      <x:c r="P65" s="65" t="str">
        <x:v>3-C | 대피소·선의관리국</x:v>
      </x:c>
      <x:c r="Q65" s="61" t="n">
        <x:f>H65</x:f>
        <x:v>2</x:v>
      </x:c>
      <x:c r="R65" s="63" t="n">
        <x:f>R64+7</x:f>
        <x:v>423</x:v>
      </x:c>
    </x:row>
    <x:row r="66" ht="81.94999694824219" customHeight="1">
      <x:c r="A66" s="30">
        <x:v>1</x:v>
      </x:c>
      <x:c r="B66" s="30">
        <x:v>8</x:v>
      </x:c>
      <x:c r="C66" s="30">
        <x:v>65</x:v>
      </x:c>
      <x:c r="D66" s="30" t="s">
        <x:v>352</x:v>
      </x:c>
      <x:c r="E66" s="30" t="s">
        <x:v>353</x:v>
      </x:c>
      <x:c r="F66" s="30" t="s">
        <x:v>354</x:v>
      </x:c>
      <x:c r="G66" s="30" t="s">
        <x:v>355</x:v>
      </x:c>
      <x:c r="H66" s="30">
        <x:v>2</x:v>
      </x:c>
      <x:c r="I66" s="30" t="s">
        <x:v>356</x:v>
      </x:c>
      <x:c r="J66" s="30" t="s">
        <x:v>17</x:v>
      </x:c>
      <x:c r="K66" s="30" t="s">
        <x:v>94</x:v>
      </x:c>
      <x:c r="L66" s="30" t="s">
        <x:v>357</x:v>
      </x:c>
      <x:c r="M66" s="66" t="n">
        <x:f>A66</x:f>
        <x:v>1</x:v>
      </x:c>
      <x:c r="N66" s="72" t="n">
        <x:f>B66</x:f>
        <x:v>8</x:v>
      </x:c>
      <x:c r="O66" s="62" t="n">
        <x:f>O65+(IFERROR(VALUE(LEFT(K66,FIND("분",K66)-1))*60,0)+IFERROR(VALUE(TRIM(MID(K66,IFERROR(FIND("분",K66),0)+1,FIND("초",K66)-IFERROR(FIND("분",K66),0)-1))),0))/86400</x:f>
        <x:v>0.07152777777777779</x:v>
      </x:c>
      <x:c r="P66" s="65" t="str">
        <x:v>3-D | 도심 구조 임무</x:v>
      </x:c>
      <x:c r="Q66" s="61" t="n">
        <x:f>H66</x:f>
        <x:v>2</x:v>
      </x:c>
      <x:c r="R66" s="63" t="n">
        <x:f>R65+6</x:f>
        <x:v>429</x:v>
      </x:c>
    </x:row>
    <x:row r="67" ht="81.94999694824219" customHeight="1">
      <x:c r="A67" s="30">
        <x:v>4</x:v>
      </x:c>
      <x:c r="B67" s="30">
        <x:v>7</x:v>
      </x:c>
      <x:c r="C67" s="30">
        <x:v>66</x:v>
      </x:c>
      <x:c r="D67" s="30" t="s">
        <x:v>358</x:v>
      </x:c>
      <x:c r="E67" s="30" t="s">
        <x:v>42</x:v>
      </x:c>
      <x:c r="F67" s="30" t="s">
        <x:v>359</x:v>
      </x:c>
      <x:c r="G67" s="30" t="s">
        <x:v>312</x:v>
      </x:c>
      <x:c r="H67" s="30">
        <x:v>1</x:v>
      </x:c>
      <x:c r="I67" s="30" t="s">
        <x:v>360</x:v>
      </x:c>
      <x:c r="J67" s="30" t="s">
        <x:v>17</x:v>
      </x:c>
      <x:c r="K67" s="30" t="s">
        <x:v>201</x:v>
      </x:c>
      <x:c r="L67" s="30" t="s">
        <x:v>47</x:v>
      </x:c>
      <x:c r="M67" s="73" t="n">
        <x:f>A67</x:f>
        <x:v>4</x:v>
      </x:c>
      <x:c r="N67" s="67" t="n">
        <x:f>B67</x:f>
        <x:v>7</x:v>
      </x:c>
      <x:c r="O67" s="62" t="n">
        <x:f>O66+(IFERROR(VALUE(LEFT(K67,FIND("분",K67)-1))*60,0)+IFERROR(VALUE(TRIM(MID(K67,IFERROR(FIND("분",K67),0)+1,FIND("초",K67)-IFERROR(FIND("분",K67),0)-1))),0))/86400</x:f>
        <x:v>0.07314814814814816</x:v>
      </x:c>
      <x:c r="P67" s="65" t="str">
        <x:v>3-D | 도심 구조 임무</x:v>
      </x:c>
      <x:c r="Q67" s="61" t="n">
        <x:f>H67</x:f>
        <x:v>1</x:v>
      </x:c>
      <x:c r="R67" s="63" t="n">
        <x:f>R66+9</x:f>
        <x:v>438</x:v>
      </x:c>
    </x:row>
    <x:row r="68" ht="81.94999694824219" customHeight="1">
      <x:c r="A68" s="30">
        <x:v>4</x:v>
      </x:c>
      <x:c r="B68" s="30">
        <x:v>7</x:v>
      </x:c>
      <x:c r="C68" s="30">
        <x:v>67</x:v>
      </x:c>
      <x:c r="D68" s="30" t="s">
        <x:v>361</x:v>
      </x:c>
      <x:c r="E68" s="30" t="s">
        <x:v>362</x:v>
      </x:c>
      <x:c r="F68" s="30" t="s">
        <x:v>363</x:v>
      </x:c>
      <x:c r="G68" s="30" t="s">
        <x:v>364</x:v>
      </x:c>
      <x:c r="H68" s="30">
        <x:v>4</x:v>
      </x:c>
      <x:c r="I68" s="30" t="s">
        <x:v>365</x:v>
      </x:c>
      <x:c r="J68" s="30" t="s">
        <x:v>366</x:v>
      </x:c>
      <x:c r="K68" s="30" t="s">
        <x:v>184</x:v>
      </x:c>
      <x:c r="L68" s="30" t="s">
        <x:v>367</x:v>
      </x:c>
      <x:c r="M68" s="73" t="n">
        <x:f>A68</x:f>
        <x:v>4</x:v>
      </x:c>
      <x:c r="N68" s="67" t="n">
        <x:f>B68</x:f>
        <x:v>7</x:v>
      </x:c>
      <x:c r="O68" s="62" t="n">
        <x:f>O67+(IFERROR(VALUE(LEFT(K68,FIND("분",K68)-1))*60,0)+IFERROR(VALUE(TRIM(MID(K68,IFERROR(FIND("분",K68),0)+1,FIND("초",K68)-IFERROR(FIND("분",K68),0)-1))),0))/86400</x:f>
        <x:v>0.0752314814814815</x:v>
      </x:c>
      <x:c r="P68" s="65" t="str">
        <x:v>3-D | 도심 구조 임무</x:v>
      </x:c>
      <x:c r="Q68" s="61" t="n">
        <x:f>H68</x:f>
        <x:v>4</x:v>
      </x:c>
      <x:c r="R68" s="63" t="n">
        <x:f>R67+10</x:f>
        <x:v>448</x:v>
      </x:c>
    </x:row>
    <x:row r="69" ht="81.94999694824219" customHeight="1">
      <x:c r="A69" s="30">
        <x:v>5</x:v>
      </x:c>
      <x:c r="B69" s="30">
        <x:v>7</x:v>
      </x:c>
      <x:c r="C69" s="30">
        <x:v>68</x:v>
      </x:c>
      <x:c r="D69" s="30" t="s">
        <x:v>368</x:v>
      </x:c>
      <x:c r="E69" s="30" t="s">
        <x:v>369</x:v>
      </x:c>
      <x:c r="F69" s="30" t="s">
        <x:v>370</x:v>
      </x:c>
      <x:c r="G69" s="30" t="s">
        <x:v>371</x:v>
      </x:c>
      <x:c r="H69" s="30">
        <x:v>6</x:v>
      </x:c>
      <x:c r="I69" s="30" t="s">
        <x:v>372</x:v>
      </x:c>
      <x:c r="J69" s="30" t="s">
        <x:v>373</x:v>
      </x:c>
      <x:c r="K69" s="30" t="s">
        <x:v>374</x:v>
      </x:c>
      <x:c r="L69" s="30" t="s">
        <x:v>375</x:v>
      </x:c>
      <x:c r="M69" s="71" t="n">
        <x:f>A69</x:f>
        <x:v>5</x:v>
      </x:c>
      <x:c r="N69" s="67" t="n">
        <x:f>B69</x:f>
        <x:v>7</x:v>
      </x:c>
      <x:c r="O69" s="62" t="n">
        <x:f>O68+(IFERROR(VALUE(LEFT(K69,FIND("분",K69)-1))*60,0)+IFERROR(VALUE(TRIM(MID(K69,IFERROR(FIND("분",K69),0)+1,FIND("초",K69)-IFERROR(FIND("분",K69),0)-1))),0))/86400</x:f>
        <x:v>0.07754629629629631</x:v>
      </x:c>
      <x:c r="P69" s="65" t="str">
        <x:v>3-D | 도심 구조 임무</x:v>
      </x:c>
      <x:c r="Q69" s="61" t="n">
        <x:f>H69</x:f>
        <x:v>6</x:v>
      </x:c>
      <x:c r="R69" s="63" t="n">
        <x:f>R68+11</x:f>
        <x:v>459</x:v>
      </x:c>
    </x:row>
    <x:row r="70" ht="81.94999694824219" customHeight="1">
      <x:c r="A70" s="30">
        <x:v>6</x:v>
      </x:c>
      <x:c r="B70" s="30">
        <x:v>7</x:v>
      </x:c>
      <x:c r="C70" s="30">
        <x:v>69</x:v>
      </x:c>
      <x:c r="D70" s="30" t="s">
        <x:v>376</x:v>
      </x:c>
      <x:c r="E70" s="30" t="s">
        <x:v>377</x:v>
      </x:c>
      <x:c r="F70" s="30" t="s">
        <x:v>378</x:v>
      </x:c>
      <x:c r="G70" s="30" t="s">
        <x:v>379</x:v>
      </x:c>
      <x:c r="H70" s="30">
        <x:v>5</x:v>
      </x:c>
      <x:c r="I70" s="30" t="s">
        <x:v>380</x:v>
      </x:c>
      <x:c r="J70" s="30" t="s">
        <x:v>381</x:v>
      </x:c>
      <x:c r="K70" s="30" t="s">
        <x:v>382</x:v>
      </x:c>
      <x:c r="L70" s="30" t="s">
        <x:v>383</x:v>
      </x:c>
      <x:c r="M70" s="76" t="n">
        <x:f>A70</x:f>
        <x:v>6</x:v>
      </x:c>
      <x:c r="N70" s="67" t="n">
        <x:f>B70</x:f>
        <x:v>7</x:v>
      </x:c>
      <x:c r="O70" s="62" t="n">
        <x:f>O69+(IFERROR(VALUE(LEFT(K70,FIND("분",K70)-1))*60,0)+IFERROR(VALUE(TRIM(MID(K70,IFERROR(FIND("분",K70),0)+1,FIND("초",K70)-IFERROR(FIND("분",K70),0)-1))),0))/86400</x:f>
        <x:v>0.07974537037037038</x:v>
      </x:c>
      <x:c r="P70" s="65" t="str">
        <x:v>3-D | 도심 구조 임무</x:v>
      </x:c>
      <x:c r="Q70" s="61" t="n">
        <x:f>H70</x:f>
        <x:v>5</x:v>
      </x:c>
      <x:c r="R70" s="63" t="n">
        <x:f>R69+11</x:f>
        <x:v>470</x:v>
      </x:c>
    </x:row>
    <x:row r="71" ht="81.94999694824219" customHeight="1">
      <x:c r="A71" s="30">
        <x:v>7</x:v>
      </x:c>
      <x:c r="B71" s="30">
        <x:v>9</x:v>
      </x:c>
      <x:c r="C71" s="30">
        <x:v>70</x:v>
      </x:c>
      <x:c r="D71" s="30" t="s">
        <x:v>384</x:v>
      </x:c>
      <x:c r="E71" s="30" t="s">
        <x:v>385</x:v>
      </x:c>
      <x:c r="F71" s="30" t="s">
        <x:v>386</x:v>
      </x:c>
      <x:c r="G71" s="30" t="s">
        <x:v>387</x:v>
      </x:c>
      <x:c r="H71" s="30">
        <x:v>5</x:v>
      </x:c>
      <x:c r="I71" s="30" t="s">
        <x:v>388</x:v>
      </x:c>
      <x:c r="J71" s="30" t="s">
        <x:v>389</x:v>
      </x:c>
      <x:c r="K71" s="30" t="s">
        <x:v>390</x:v>
      </x:c>
      <x:c r="L71" s="30" t="s">
        <x:v>391</x:v>
      </x:c>
      <x:c r="M71" s="77" t="n">
        <x:f>A71</x:f>
        <x:v>7</x:v>
      </x:c>
      <x:c r="N71" s="75" t="n">
        <x:f>B71</x:f>
        <x:v>9</x:v>
      </x:c>
      <x:c r="O71" s="62" t="n">
        <x:f>O70+(IFERROR(VALUE(LEFT(K71,FIND("분",K71)-1))*60,0)+IFERROR(VALUE(TRIM(MID(K71,IFERROR(FIND("분",K71),0)+1,FIND("초",K71)-IFERROR(FIND("분",K71),0)-1))),0))/86400</x:f>
        <x:v>0.08229166666666668</x:v>
      </x:c>
      <x:c r="P71" s="65" t="str">
        <x:v>3-D | 도심 구조 임무</x:v>
      </x:c>
      <x:c r="Q71" s="61" t="n">
        <x:f>H71</x:f>
        <x:v>5</x:v>
      </x:c>
      <x:c r="R71" s="63" t="n">
        <x:f>R70+13</x:f>
        <x:v>483</x:v>
      </x:c>
    </x:row>
    <x:row r="72" ht="81.94999694824219" customHeight="1">
      <x:c r="A72" s="30">
        <x:v>1</x:v>
      </x:c>
      <x:c r="B72" s="30">
        <x:v>7</x:v>
      </x:c>
      <x:c r="C72" s="30">
        <x:v>71</x:v>
      </x:c>
      <x:c r="D72" s="30" t="s">
        <x:v>392</x:v>
      </x:c>
      <x:c r="E72" s="30" t="s">
        <x:v>393</x:v>
      </x:c>
      <x:c r="F72" s="30" t="s">
        <x:v>394</x:v>
      </x:c>
      <x:c r="G72" s="30" t="s">
        <x:v>395</x:v>
      </x:c>
      <x:c r="H72" s="30">
        <x:v>2</x:v>
      </x:c>
      <x:c r="I72" s="30" t="s">
        <x:v>396</x:v>
      </x:c>
      <x:c r="J72" s="30" t="s">
        <x:v>397</x:v>
      </x:c>
      <x:c r="K72" s="30" t="s">
        <x:v>94</x:v>
      </x:c>
      <x:c r="L72" s="30" t="s">
        <x:v>398</x:v>
      </x:c>
      <x:c r="M72" s="66" t="n">
        <x:f>A72</x:f>
        <x:v>1</x:v>
      </x:c>
      <x:c r="N72" s="67" t="n">
        <x:f>B72</x:f>
        <x:v>7</x:v>
      </x:c>
      <x:c r="O72" s="62" t="n">
        <x:f>O71+(IFERROR(VALUE(LEFT(K72,FIND("분",K72)-1))*60,0)+IFERROR(VALUE(TRIM(MID(K72,IFERROR(FIND("분",K72),0)+1,FIND("초",K72)-IFERROR(FIND("분",K72),0)-1))),0))/86400</x:f>
        <x:v>0.0832175925925926</x:v>
      </x:c>
      <x:c r="P72" s="65" t="str">
        <x:v>3-D | 도심 구조 임무</x:v>
      </x:c>
      <x:c r="Q72" s="61" t="n">
        <x:f>H72</x:f>
        <x:v>2</x:v>
      </x:c>
      <x:c r="R72" s="63" t="n">
        <x:f>R71+6</x:f>
        <x:v>489</x:v>
      </x:c>
    </x:row>
    <x:row r="73" ht="81.94999694824219" customHeight="1">
      <x:c r="A73" s="30">
        <x:v>4</x:v>
      </x:c>
      <x:c r="B73" s="30">
        <x:v>6</x:v>
      </x:c>
      <x:c r="C73" s="30">
        <x:v>72</x:v>
      </x:c>
      <x:c r="D73" s="30" t="s">
        <x:v>399</x:v>
      </x:c>
      <x:c r="E73" s="30" t="s">
        <x:v>400</x:v>
      </x:c>
      <x:c r="F73" s="30" t="s">
        <x:v>401</x:v>
      </x:c>
      <x:c r="G73" s="30" t="s">
        <x:v>402</x:v>
      </x:c>
      <x:c r="H73" s="30">
        <x:v>7</x:v>
      </x:c>
      <x:c r="I73" s="30" t="s">
        <x:v>403</x:v>
      </x:c>
      <x:c r="J73" s="30" t="s">
        <x:v>404</x:v>
      </x:c>
      <x:c r="K73" s="30" t="s">
        <x:v>405</x:v>
      </x:c>
      <x:c r="L73" s="30" t="s">
        <x:v>406</x:v>
      </x:c>
      <x:c r="M73" s="73" t="n">
        <x:f>A73</x:f>
        <x:v>4</x:v>
      </x:c>
      <x:c r="N73" s="70" t="n">
        <x:f>B73</x:f>
        <x:v>6</x:v>
      </x:c>
      <x:c r="O73" s="62" t="n">
        <x:f>O72+(IFERROR(VALUE(LEFT(K73,FIND("분",K73)-1))*60,0)+IFERROR(VALUE(TRIM(MID(K73,IFERROR(FIND("분",K73),0)+1,FIND("초",K73)-IFERROR(FIND("분",K73),0)-1))),0))/86400</x:f>
        <x:v>0.08599537037037039</x:v>
      </x:c>
      <x:c r="P73" s="65" t="str">
        <x:v>3-D | 도심 구조 임무</x:v>
      </x:c>
      <x:c r="Q73" s="61" t="n">
        <x:f>H73</x:f>
        <x:v>7</x:v>
      </x:c>
      <x:c r="R73" s="63" t="n">
        <x:f>R72+12</x:f>
        <x:v>501</x:v>
      </x:c>
    </x:row>
    <x:row r="74" ht="81.94999694824219" customHeight="1">
      <x:c r="A74" s="30">
        <x:v>1</x:v>
      </x:c>
      <x:c r="B74" s="30">
        <x:v>7</x:v>
      </x:c>
      <x:c r="C74" s="30">
        <x:v>73</x:v>
      </x:c>
      <x:c r="D74" s="30" t="s">
        <x:v>407</x:v>
      </x:c>
      <x:c r="E74" s="30" t="s">
        <x:v>408</x:v>
      </x:c>
      <x:c r="F74" s="30" t="s">
        <x:v>409</x:v>
      </x:c>
      <x:c r="G74" s="30" t="s">
        <x:v>410</x:v>
      </x:c>
      <x:c r="H74" s="30">
        <x:v>3</x:v>
      </x:c>
      <x:c r="I74" s="30" t="s">
        <x:v>411</x:v>
      </x:c>
      <x:c r="J74" s="30" t="s">
        <x:v>17</x:v>
      </x:c>
      <x:c r="K74" s="30" t="s">
        <x:v>94</x:v>
      </x:c>
      <x:c r="L74" s="30" t="s">
        <x:v>412</x:v>
      </x:c>
      <x:c r="M74" s="66" t="n">
        <x:f>A74</x:f>
        <x:v>1</x:v>
      </x:c>
      <x:c r="N74" s="67" t="n">
        <x:f>B74</x:f>
        <x:v>7</x:v>
      </x:c>
      <x:c r="O74" s="62" t="n">
        <x:f>O73+(IFERROR(VALUE(LEFT(K74,FIND("분",K74)-1))*60,0)+IFERROR(VALUE(TRIM(MID(K74,IFERROR(FIND("분",K74),0)+1,FIND("초",K74)-IFERROR(FIND("분",K74),0)-1))),0))/86400</x:f>
        <x:v>0.08692129629629632</x:v>
      </x:c>
      <x:c r="P74" s="65" t="str">
        <x:v>3-D | 도심 구조 임무</x:v>
      </x:c>
      <x:c r="Q74" s="61" t="n">
        <x:f>H74</x:f>
        <x:v>3</x:v>
      </x:c>
      <x:c r="R74" s="63" t="n">
        <x:f>R73+6</x:f>
        <x:v>507</x:v>
      </x:c>
    </x:row>
    <x:row r="75" ht="81.94999694824219" customHeight="1">
      <x:c r="A75" s="30">
        <x:v>3</x:v>
      </x:c>
      <x:c r="B75" s="30">
        <x:v>5</x:v>
      </x:c>
      <x:c r="C75" s="30">
        <x:v>74</x:v>
      </x:c>
      <x:c r="D75" s="30" t="s">
        <x:v>413</x:v>
      </x:c>
      <x:c r="E75" s="30" t="s">
        <x:v>414</x:v>
      </x:c>
      <x:c r="F75" s="30" t="s">
        <x:v>415</x:v>
      </x:c>
      <x:c r="G75" s="30" t="s">
        <x:v>416</x:v>
      </x:c>
      <x:c r="H75" s="30">
        <x:v>5</x:v>
      </x:c>
      <x:c r="I75" s="30" t="s">
        <x:v>417</x:v>
      </x:c>
      <x:c r="J75" s="30" t="s">
        <x:v>418</x:v>
      </x:c>
      <x:c r="K75" s="30" t="s">
        <x:v>91</x:v>
      </x:c>
      <x:c r="L75" s="30" t="s">
        <x:v>419</x:v>
      </x:c>
      <x:c r="M75" s="74" t="n">
        <x:f>A75</x:f>
        <x:v>3</x:v>
      </x:c>
      <x:c r="N75" s="69" t="n">
        <x:f>B75</x:f>
        <x:v>5</x:v>
      </x:c>
      <x:c r="O75" s="62" t="n">
        <x:f>O74+(IFERROR(VALUE(LEFT(K75,FIND("분",K75)-1))*60,0)+IFERROR(VALUE(TRIM(MID(K75,IFERROR(FIND("분",K75),0)+1,FIND("초",K75)-IFERROR(FIND("분",K75),0)-1))),0))/86400</x:f>
        <x:v>0.0883101851851852</x:v>
      </x:c>
      <x:c r="P75" s="65" t="str">
        <x:v>3-D | 도심 구조 임무</x:v>
      </x:c>
      <x:c r="Q75" s="61" t="n">
        <x:f>H75</x:f>
        <x:v>5</x:v>
      </x:c>
      <x:c r="R75" s="63" t="n">
        <x:f>R74+7</x:f>
        <x:v>514</x:v>
      </x:c>
    </x:row>
    <x:row r="76" ht="81.94999694824219" customHeight="1">
      <x:c r="A76" s="30">
        <x:v>1</x:v>
      </x:c>
      <x:c r="B76" s="30">
        <x:v>7</x:v>
      </x:c>
      <x:c r="C76" s="30">
        <x:v>75</x:v>
      </x:c>
      <x:c r="D76" s="30" t="s">
        <x:v>420</x:v>
      </x:c>
      <x:c r="E76" s="30" t="s">
        <x:v>421</x:v>
      </x:c>
      <x:c r="F76" s="30" t="s">
        <x:v>422</x:v>
      </x:c>
      <x:c r="G76" s="30" t="s">
        <x:v>423</x:v>
      </x:c>
      <x:c r="H76" s="30">
        <x:v>2</x:v>
      </x:c>
      <x:c r="I76" s="30" t="s">
        <x:v>424</x:v>
      </x:c>
      <x:c r="J76" s="30" t="s">
        <x:v>17</x:v>
      </x:c>
      <x:c r="K76" s="30" t="s">
        <x:v>116</x:v>
      </x:c>
      <x:c r="L76" s="30" t="s">
        <x:v>425</x:v>
      </x:c>
      <x:c r="M76" s="66" t="n">
        <x:f>A76</x:f>
        <x:v>1</x:v>
      </x:c>
      <x:c r="N76" s="67" t="n">
        <x:f>B76</x:f>
        <x:v>7</x:v>
      </x:c>
      <x:c r="O76" s="62" t="n">
        <x:f>O75+(IFERROR(VALUE(LEFT(K76,FIND("분",K76)-1))*60,0)+IFERROR(VALUE(TRIM(MID(K76,IFERROR(FIND("분",K76),0)+1,FIND("초",K76)-IFERROR(FIND("분",K76),0)-1))),0))/86400</x:f>
        <x:v>0.08946759259259261</x:v>
      </x:c>
      <x:c r="P76" s="65" t="str">
        <x:v>4-A | 출동 준비</x:v>
      </x:c>
      <x:c r="Q76" s="61" t="n">
        <x:f>H76</x:f>
        <x:v>2</x:v>
      </x:c>
      <x:c r="R76" s="63" t="n">
        <x:f>R75+7</x:f>
        <x:v>521</x:v>
      </x:c>
    </x:row>
    <x:row r="77" ht="81.94999694824219" customHeight="1">
      <x:c r="A77" s="30">
        <x:v>2</x:v>
      </x:c>
      <x:c r="B77" s="30">
        <x:v>5</x:v>
      </x:c>
      <x:c r="C77" s="30">
        <x:v>76</x:v>
      </x:c>
      <x:c r="D77" s="30" t="s">
        <x:v>426</x:v>
      </x:c>
      <x:c r="E77" s="30" t="s">
        <x:v>427</x:v>
      </x:c>
      <x:c r="F77" s="30" t="s">
        <x:v>428</x:v>
      </x:c>
      <x:c r="G77" s="30" t="s">
        <x:v>429</x:v>
      </x:c>
      <x:c r="H77" s="30">
        <x:v>5</x:v>
      </x:c>
      <x:c r="I77" s="30" t="s">
        <x:v>430</x:v>
      </x:c>
      <x:c r="J77" s="30" t="s">
        <x:v>431</x:v>
      </x:c>
      <x:c r="K77" s="30" t="s">
        <x:v>116</x:v>
      </x:c>
      <x:c r="L77" s="30" t="s">
        <x:v>432</x:v>
      </x:c>
      <x:c r="M77" s="67" t="n">
        <x:f>A77</x:f>
        <x:v>2</x:v>
      </x:c>
      <x:c r="N77" s="69" t="n">
        <x:f>B77</x:f>
        <x:v>5</x:v>
      </x:c>
      <x:c r="O77" s="62" t="n">
        <x:f>O76+(IFERROR(VALUE(LEFT(K77,FIND("분",K77)-1))*60,0)+IFERROR(VALUE(TRIM(MID(K77,IFERROR(FIND("분",K77),0)+1,FIND("초",K77)-IFERROR(FIND("분",K77),0)-1))),0))/86400</x:f>
        <x:v>0.09062500000000002</x:v>
      </x:c>
      <x:c r="P77" s="65" t="str">
        <x:v>4-A | 출동 준비</x:v>
      </x:c>
      <x:c r="Q77" s="61" t="n">
        <x:f>H77</x:f>
        <x:v>5</x:v>
      </x:c>
      <x:c r="R77" s="63" t="n">
        <x:f>R76+6</x:f>
        <x:v>527</x:v>
      </x:c>
    </x:row>
    <x:row r="78" ht="81.94999694824219" customHeight="1">
      <x:c r="A78" s="30">
        <x:v>2</x:v>
      </x:c>
      <x:c r="B78" s="30">
        <x:v>5</x:v>
      </x:c>
      <x:c r="C78" s="30">
        <x:v>77</x:v>
      </x:c>
      <x:c r="D78" s="30" t="s">
        <x:v>433</x:v>
      </x:c>
      <x:c r="E78" s="30" t="s">
        <x:v>434</x:v>
      </x:c>
      <x:c r="F78" s="30" t="s">
        <x:v>435</x:v>
      </x:c>
      <x:c r="G78" s="30" t="s">
        <x:v>436</x:v>
      </x:c>
      <x:c r="H78" s="30">
        <x:v>4</x:v>
      </x:c>
      <x:c r="I78" s="30" t="s">
        <x:v>437</x:v>
      </x:c>
      <x:c r="J78" s="30" t="s">
        <x:v>17</x:v>
      </x:c>
      <x:c r="K78" s="30" t="s">
        <x:v>91</x:v>
      </x:c>
      <x:c r="L78" s="30" t="s">
        <x:v>438</x:v>
      </x:c>
      <x:c r="M78" s="67" t="n">
        <x:f>A78</x:f>
        <x:v>2</x:v>
      </x:c>
      <x:c r="N78" s="69" t="n">
        <x:f>B78</x:f>
        <x:v>5</x:v>
      </x:c>
      <x:c r="O78" s="62" t="n">
        <x:f>O77+(IFERROR(VALUE(LEFT(K78,FIND("분",K78)-1))*60,0)+IFERROR(VALUE(TRIM(MID(K78,IFERROR(FIND("분",K78),0)+1,FIND("초",K78)-IFERROR(FIND("분",K78),0)-1))),0))/86400</x:f>
        <x:v>0.09201388888888891</x:v>
      </x:c>
      <x:c r="P78" s="65" t="str">
        <x:v>4-A | 출동 준비</x:v>
      </x:c>
      <x:c r="Q78" s="61" t="n">
        <x:f>H78</x:f>
        <x:v>4</x:v>
      </x:c>
      <x:c r="R78" s="63" t="n">
        <x:f>R77+7</x:f>
        <x:v>534</x:v>
      </x:c>
    </x:row>
    <x:row r="79" ht="81.94999694824219" customHeight="1">
      <x:c r="A79" s="30">
        <x:v>3</x:v>
      </x:c>
      <x:c r="B79" s="30">
        <x:v>6</x:v>
      </x:c>
      <x:c r="C79" s="30">
        <x:v>78</x:v>
      </x:c>
      <x:c r="D79" s="30" t="s">
        <x:v>439</x:v>
      </x:c>
      <x:c r="E79" s="30" t="s">
        <x:v>440</x:v>
      </x:c>
      <x:c r="F79" s="30" t="s">
        <x:v>441</x:v>
      </x:c>
      <x:c r="G79" s="30" t="s">
        <x:v>442</x:v>
      </x:c>
      <x:c r="H79" s="30">
        <x:v>1</x:v>
      </x:c>
      <x:c r="I79" s="30" t="s">
        <x:v>443</x:v>
      </x:c>
      <x:c r="J79" s="30" t="s">
        <x:v>444</x:v>
      </x:c>
      <x:c r="K79" s="30" t="s">
        <x:v>339</x:v>
      </x:c>
      <x:c r="L79" s="30" t="s">
        <x:v>445</x:v>
      </x:c>
      <x:c r="M79" s="74" t="n">
        <x:f>A79</x:f>
        <x:v>3</x:v>
      </x:c>
      <x:c r="N79" s="70" t="n">
        <x:f>B79</x:f>
        <x:v>6</x:v>
      </x:c>
      <x:c r="O79" s="62" t="n">
        <x:f>O78+(IFERROR(VALUE(LEFT(K79,FIND("분",K79)-1))*60,0)+IFERROR(VALUE(TRIM(MID(K79,IFERROR(FIND("분",K79),0)+1,FIND("초",K79)-IFERROR(FIND("분",K79),0)-1))),0))/86400</x:f>
        <x:v>0.09351851851851854</x:v>
      </x:c>
      <x:c r="P79" s="65" t="str">
        <x:v>4-B | 폐교 정문</x:v>
      </x:c>
      <x:c r="Q79" s="61" t="n">
        <x:f>H79</x:f>
        <x:v>1</x:v>
      </x:c>
      <x:c r="R79" s="63" t="n">
        <x:f>R78+8</x:f>
        <x:v>542</x:v>
      </x:c>
    </x:row>
    <x:row r="80" ht="81.94999694824219" customHeight="1">
      <x:c r="A80" s="30">
        <x:v>3</x:v>
      </x:c>
      <x:c r="B80" s="30">
        <x:v>6</x:v>
      </x:c>
      <x:c r="C80" s="30">
        <x:v>79</x:v>
      </x:c>
      <x:c r="D80" s="30" t="s">
        <x:v>446</x:v>
      </x:c>
      <x:c r="E80" s="30" t="s">
        <x:v>447</x:v>
      </x:c>
      <x:c r="F80" s="30" t="s">
        <x:v>448</x:v>
      </x:c>
      <x:c r="G80" s="30" t="s">
        <x:v>449</x:v>
      </x:c>
      <x:c r="H80" s="30">
        <x:v>4</x:v>
      </x:c>
      <x:c r="I80" s="30" t="s">
        <x:v>450</x:v>
      </x:c>
      <x:c r="J80" s="30" t="s">
        <x:v>451</x:v>
      </x:c>
      <x:c r="K80" s="30" t="s">
        <x:v>130</x:v>
      </x:c>
      <x:c r="L80" s="30" t="s">
        <x:v>452</x:v>
      </x:c>
      <x:c r="M80" s="74" t="n">
        <x:f>A80</x:f>
        <x:v>3</x:v>
      </x:c>
      <x:c r="N80" s="70" t="n">
        <x:f>B80</x:f>
        <x:v>6</x:v>
      </x:c>
      <x:c r="O80" s="62" t="n">
        <x:f>O79+(IFERROR(VALUE(LEFT(K80,FIND("분",K80)-1))*60,0)+IFERROR(VALUE(TRIM(MID(K80,IFERROR(FIND("분",K80),0)+1,FIND("초",K80)-IFERROR(FIND("분",K80),0)-1))),0))/86400</x:f>
        <x:v>0.09525462962962965</x:v>
      </x:c>
      <x:c r="P80" s="65" t="str">
        <x:v>4-B | 폐교 정문</x:v>
      </x:c>
      <x:c r="Q80" s="61" t="n">
        <x:f>H80</x:f>
        <x:v>4</x:v>
      </x:c>
      <x:c r="R80" s="63" t="n">
        <x:f>R79+9</x:f>
        <x:v>551</x:v>
      </x:c>
    </x:row>
    <x:row r="81" ht="81.94999694824219" customHeight="1">
      <x:c r="A81" s="30">
        <x:v>4</x:v>
      </x:c>
      <x:c r="B81" s="30">
        <x:v>7</x:v>
      </x:c>
      <x:c r="C81" s="30">
        <x:v>80</x:v>
      </x:c>
      <x:c r="D81" s="30" t="s">
        <x:v>453</x:v>
      </x:c>
      <x:c r="E81" s="30" t="s">
        <x:v>454</x:v>
      </x:c>
      <x:c r="F81" s="30" t="s">
        <x:v>455</x:v>
      </x:c>
      <x:c r="G81" s="30" t="s">
        <x:v>456</x:v>
      </x:c>
      <x:c r="H81" s="30">
        <x:v>6</x:v>
      </x:c>
      <x:c r="I81" s="30" t="s">
        <x:v>457</x:v>
      </x:c>
      <x:c r="J81" s="30" t="s">
        <x:v>17</x:v>
      </x:c>
      <x:c r="K81" s="30" t="s">
        <x:v>458</x:v>
      </x:c>
      <x:c r="L81" s="30" t="s">
        <x:v>459</x:v>
      </x:c>
      <x:c r="M81" s="73" t="n">
        <x:f>A81</x:f>
        <x:v>4</x:v>
      </x:c>
      <x:c r="N81" s="67" t="n">
        <x:f>B81</x:f>
        <x:v>7</x:v>
      </x:c>
      <x:c r="O81" s="62" t="n">
        <x:f>O80+(IFERROR(VALUE(LEFT(K81,FIND("분",K81)-1))*60,0)+IFERROR(VALUE(TRIM(MID(K81,IFERROR(FIND("분",K81),0)+1,FIND("초",K81)-IFERROR(FIND("분",K81),0)-1))),0))/86400</x:f>
        <x:v>0.09768518518518521</x:v>
      </x:c>
      <x:c r="P81" s="65" t="str">
        <x:v>4-C | 폐교 본관 1층</x:v>
      </x:c>
      <x:c r="Q81" s="61" t="n">
        <x:f>H81</x:f>
        <x:v>6</x:v>
      </x:c>
      <x:c r="R81" s="63" t="n">
        <x:f>R80+11</x:f>
        <x:v>562</x:v>
      </x:c>
    </x:row>
    <x:row r="82" ht="81.94999694824219" customHeight="1">
      <x:c r="A82" s="30">
        <x:v>6</x:v>
      </x:c>
      <x:c r="B82" s="30">
        <x:v>9</x:v>
      </x:c>
      <x:c r="C82" s="30">
        <x:v>81</x:v>
      </x:c>
      <x:c r="D82" s="30" t="s">
        <x:v>460</x:v>
      </x:c>
      <x:c r="E82" s="30" t="s">
        <x:v>461</x:v>
      </x:c>
      <x:c r="F82" s="30" t="s">
        <x:v>462</x:v>
      </x:c>
      <x:c r="G82" s="30" t="s">
        <x:v>463</x:v>
      </x:c>
      <x:c r="H82" s="30">
        <x:v>5</x:v>
      </x:c>
      <x:c r="I82" s="30" t="s">
        <x:v>464</x:v>
      </x:c>
      <x:c r="J82" s="30" t="s">
        <x:v>465</x:v>
      </x:c>
      <x:c r="K82" s="30" t="s">
        <x:v>184</x:v>
      </x:c>
      <x:c r="L82" s="30" t="s">
        <x:v>466</x:v>
      </x:c>
      <x:c r="M82" s="76" t="n">
        <x:f>A82</x:f>
        <x:v>6</x:v>
      </x:c>
      <x:c r="N82" s="75" t="n">
        <x:f>B82</x:f>
        <x:v>9</x:v>
      </x:c>
      <x:c r="O82" s="62" t="n">
        <x:f>O81+(IFERROR(VALUE(LEFT(K82,FIND("분",K82)-1))*60,0)+IFERROR(VALUE(TRIM(MID(K82,IFERROR(FIND("분",K82),0)+1,FIND("초",K82)-IFERROR(FIND("분",K82),0)-1))),0))/86400</x:f>
        <x:v>0.09976851851851855</x:v>
      </x:c>
      <x:c r="P82" s="65" t="str">
        <x:v>4-C | 폐교 본관 1층</x:v>
      </x:c>
      <x:c r="Q82" s="61" t="n">
        <x:f>H82</x:f>
        <x:v>5</x:v>
      </x:c>
      <x:c r="R82" s="63" t="n">
        <x:f>R81+12</x:f>
        <x:v>574</x:v>
      </x:c>
    </x:row>
    <x:row r="83" ht="81.94999694824219" customHeight="1">
      <x:c r="A83" s="30">
        <x:v>3</x:v>
      </x:c>
      <x:c r="B83" s="30">
        <x:v>8</x:v>
      </x:c>
      <x:c r="C83" s="30">
        <x:v>82</x:v>
      </x:c>
      <x:c r="D83" s="30" t="s">
        <x:v>467</x:v>
      </x:c>
      <x:c r="E83" s="30" t="s">
        <x:v>468</x:v>
      </x:c>
      <x:c r="F83" s="30" t="s">
        <x:v>469</x:v>
      </x:c>
      <x:c r="G83" s="30" t="s">
        <x:v>470</x:v>
      </x:c>
      <x:c r="H83" s="30">
        <x:v>5</x:v>
      </x:c>
      <x:c r="I83" s="30" t="s">
        <x:v>471</x:v>
      </x:c>
      <x:c r="J83" s="30" t="s">
        <x:v>472</x:v>
      </x:c>
      <x:c r="K83" s="30" t="s">
        <x:v>374</x:v>
      </x:c>
      <x:c r="L83" s="30" t="s">
        <x:v>473</x:v>
      </x:c>
      <x:c r="M83" s="74" t="n">
        <x:f>A83</x:f>
        <x:v>3</x:v>
      </x:c>
      <x:c r="N83" s="72" t="n">
        <x:f>B83</x:f>
        <x:v>8</x:v>
      </x:c>
      <x:c r="O83" s="62" t="n">
        <x:f>O82+(IFERROR(VALUE(LEFT(K83,FIND("분",K83)-1))*60,0)+IFERROR(VALUE(TRIM(MID(K83,IFERROR(FIND("분",K83),0)+1,FIND("초",K83)-IFERROR(FIND("분",K83),0)-1))),0))/86400</x:f>
        <x:v>0.10208333333333336</x:v>
      </x:c>
      <x:c r="P83" s="65" t="str">
        <x:v>4-C | 폐교 본관 1층</x:v>
      </x:c>
      <x:c r="Q83" s="61" t="n">
        <x:f>H83</x:f>
        <x:v>5</x:v>
      </x:c>
      <x:c r="R83" s="63" t="n">
        <x:f>R82+11</x:f>
        <x:v>585</x:v>
      </x:c>
    </x:row>
    <x:row r="84" ht="81.94999694824219" customHeight="1">
      <x:c r="A84" s="30">
        <x:v>5</x:v>
      </x:c>
      <x:c r="B84" s="30">
        <x:v>7</x:v>
      </x:c>
      <x:c r="C84" s="30">
        <x:v>83</x:v>
      </x:c>
      <x:c r="D84" s="30" t="s">
        <x:v>474</x:v>
      </x:c>
      <x:c r="E84" s="30" t="s">
        <x:v>475</x:v>
      </x:c>
      <x:c r="F84" s="30" t="s">
        <x:v>476</x:v>
      </x:c>
      <x:c r="G84" s="30" t="s">
        <x:v>477</x:v>
      </x:c>
      <x:c r="H84" s="30">
        <x:v>4</x:v>
      </x:c>
      <x:c r="I84" s="30" t="s">
        <x:v>478</x:v>
      </x:c>
      <x:c r="J84" s="30" t="s">
        <x:v>479</x:v>
      </x:c>
      <x:c r="K84" s="30" t="s">
        <x:v>374</x:v>
      </x:c>
      <x:c r="L84" s="30" t="s">
        <x:v>480</x:v>
      </x:c>
      <x:c r="M84" s="71" t="n">
        <x:f>A84</x:f>
        <x:v>5</x:v>
      </x:c>
      <x:c r="N84" s="67" t="n">
        <x:f>B84</x:f>
        <x:v>7</x:v>
      </x:c>
      <x:c r="O84" s="62" t="n">
        <x:f>O83+(IFERROR(VALUE(LEFT(K84,FIND("분",K84)-1))*60,0)+IFERROR(VALUE(TRIM(MID(K84,IFERROR(FIND("분",K84),0)+1,FIND("초",K84)-IFERROR(FIND("분",K84),0)-1))),0))/86400</x:f>
        <x:v>0.10439814814814817</x:v>
      </x:c>
      <x:c r="P84" s="65" t="str">
        <x:v>4-C | 폐교 본관 1층</x:v>
      </x:c>
      <x:c r="Q84" s="61" t="n">
        <x:f>H84</x:f>
        <x:v>4</x:v>
      </x:c>
      <x:c r="R84" s="63" t="n">
        <x:f>R83+11</x:f>
        <x:v>596</x:v>
      </x:c>
    </x:row>
    <x:row r="85" ht="81.94999694824219" customHeight="1">
      <x:c r="A85" s="30">
        <x:v>4</x:v>
      </x:c>
      <x:c r="B85" s="30">
        <x:v>7</x:v>
      </x:c>
      <x:c r="C85" s="30">
        <x:v>84</x:v>
      </x:c>
      <x:c r="D85" s="30" t="s">
        <x:v>481</x:v>
      </x:c>
      <x:c r="E85" s="30" t="s">
        <x:v>290</x:v>
      </x:c>
      <x:c r="F85" s="30" t="s">
        <x:v>482</x:v>
      </x:c>
      <x:c r="G85" s="30" t="s">
        <x:v>292</x:v>
      </x:c>
      <x:c r="H85" s="30">
        <x:v>1</x:v>
      </x:c>
      <x:c r="I85" s="30" t="s">
        <x:v>293</x:v>
      </x:c>
      <x:c r="J85" s="30" t="s">
        <x:v>294</x:v>
      </x:c>
      <x:c r="K85" s="30" t="s">
        <x:v>116</x:v>
      </x:c>
      <x:c r="L85" s="30" t="s">
        <x:v>295</x:v>
      </x:c>
      <x:c r="M85" s="73" t="n">
        <x:f>A85</x:f>
        <x:v>4</x:v>
      </x:c>
      <x:c r="N85" s="67" t="n">
        <x:f>B85</x:f>
        <x:v>7</x:v>
      </x:c>
      <x:c r="O85" s="62" t="n">
        <x:f>O84+(IFERROR(VALUE(LEFT(K85,FIND("분",K85)-1))*60,0)+IFERROR(VALUE(TRIM(MID(K85,IFERROR(FIND("분",K85),0)+1,FIND("초",K85)-IFERROR(FIND("분",K85),0)-1))),0))/86400</x:f>
        <x:v>0.10555555555555558</x:v>
      </x:c>
      <x:c r="P85" s="65" t="str">
        <x:v>4-D | 폐교 본관 2층</x:v>
      </x:c>
      <x:c r="Q85" s="61" t="n">
        <x:f>H85</x:f>
        <x:v>1</x:v>
      </x:c>
      <x:c r="R85" s="63" t="n">
        <x:f>R84+7</x:f>
        <x:v>603</x:v>
      </x:c>
    </x:row>
    <x:row r="86" ht="81.94999694824219" customHeight="1">
      <x:c r="A86" s="30">
        <x:v>3</x:v>
      </x:c>
      <x:c r="B86" s="30">
        <x:v>8</x:v>
      </x:c>
      <x:c r="C86" s="30">
        <x:v>85</x:v>
      </x:c>
      <x:c r="D86" s="30" t="s">
        <x:v>483</x:v>
      </x:c>
      <x:c r="E86" s="30" t="s">
        <x:v>132</x:v>
      </x:c>
      <x:c r="F86" s="30" t="s">
        <x:v>484</x:v>
      </x:c>
      <x:c r="G86" s="30" t="s">
        <x:v>485</x:v>
      </x:c>
      <x:c r="H86" s="30">
        <x:v>6</x:v>
      </x:c>
      <x:c r="I86" s="30" t="s">
        <x:v>135</x:v>
      </x:c>
      <x:c r="J86" s="30" t="s">
        <x:v>17</x:v>
      </x:c>
      <x:c r="K86" s="30" t="s">
        <x:v>382</x:v>
      </x:c>
      <x:c r="L86" s="30" t="s">
        <x:v>136</x:v>
      </x:c>
      <x:c r="M86" s="74" t="n">
        <x:f>A86</x:f>
        <x:v>3</x:v>
      </x:c>
      <x:c r="N86" s="72" t="n">
        <x:f>B86</x:f>
        <x:v>8</x:v>
      </x:c>
      <x:c r="O86" s="62" t="n">
        <x:f>O85+(IFERROR(VALUE(LEFT(K86,FIND("분",K86)-1))*60,0)+IFERROR(VALUE(TRIM(MID(K86,IFERROR(FIND("분",K86),0)+1,FIND("초",K86)-IFERROR(FIND("분",K86),0)-1))),0))/86400</x:f>
        <x:v>0.10775462962962966</x:v>
      </x:c>
      <x:c r="P86" s="65" t="str">
        <x:v>4-D | 폐교 본관 2층</x:v>
      </x:c>
      <x:c r="Q86" s="61" t="n">
        <x:f>H86</x:f>
        <x:v>6</x:v>
      </x:c>
      <x:c r="R86" s="63" t="n">
        <x:f>R85+11</x:f>
        <x:v>614</x:v>
      </x:c>
    </x:row>
    <x:row r="87" ht="81.94999694824219" customHeight="1">
      <x:c r="A87" s="30">
        <x:v>6</x:v>
      </x:c>
      <x:c r="B87" s="30">
        <x:v>7</x:v>
      </x:c>
      <x:c r="C87" s="30">
        <x:v>86</x:v>
      </x:c>
      <x:c r="D87" s="30" t="s">
        <x:v>486</x:v>
      </x:c>
      <x:c r="E87" s="30" t="s">
        <x:v>475</x:v>
      </x:c>
      <x:c r="F87" s="30" t="s">
        <x:v>487</x:v>
      </x:c>
      <x:c r="G87" s="30" t="s">
        <x:v>488</x:v>
      </x:c>
      <x:c r="H87" s="30">
        <x:v>5</x:v>
      </x:c>
      <x:c r="I87" s="30" t="s">
        <x:v>478</x:v>
      </x:c>
      <x:c r="J87" s="30" t="s">
        <x:v>479</x:v>
      </x:c>
      <x:c r="K87" s="30" t="s">
        <x:v>405</x:v>
      </x:c>
      <x:c r="L87" s="30" t="s">
        <x:v>480</x:v>
      </x:c>
      <x:c r="M87" s="76" t="n">
        <x:f>A87</x:f>
        <x:v>6</x:v>
      </x:c>
      <x:c r="N87" s="67" t="n">
        <x:f>B87</x:f>
        <x:v>7</x:v>
      </x:c>
      <x:c r="O87" s="62" t="n">
        <x:f>O86+(IFERROR(VALUE(LEFT(K87,FIND("분",K87)-1))*60,0)+IFERROR(VALUE(TRIM(MID(K87,IFERROR(FIND("분",K87),0)+1,FIND("초",K87)-IFERROR(FIND("분",K87),0)-1))),0))/86400</x:f>
        <x:v>0.11053240740740744</x:v>
      </x:c>
      <x:c r="P87" s="65" t="str">
        <x:v>4-D | 폐교 본관 2층</x:v>
      </x:c>
      <x:c r="Q87" s="61" t="n">
        <x:f>H87</x:f>
        <x:v>5</x:v>
      </x:c>
      <x:c r="R87" s="63" t="n">
        <x:f>R86+13</x:f>
        <x:v>627</x:v>
      </x:c>
    </x:row>
    <x:row r="88" ht="81.94999694824219" customHeight="1">
      <x:c r="A88" s="30">
        <x:v>4</x:v>
      </x:c>
      <x:c r="B88" s="30">
        <x:v>7</x:v>
      </x:c>
      <x:c r="C88" s="30">
        <x:v>87</x:v>
      </x:c>
      <x:c r="D88" s="30" t="s">
        <x:v>489</x:v>
      </x:c>
      <x:c r="E88" s="30" t="s">
        <x:v>490</x:v>
      </x:c>
      <x:c r="F88" s="30" t="s">
        <x:v>491</x:v>
      </x:c>
      <x:c r="G88" s="30" t="s">
        <x:v>492</x:v>
      </x:c>
      <x:c r="H88" s="30">
        <x:v>5</x:v>
      </x:c>
      <x:c r="I88" s="30" t="s">
        <x:v>493</x:v>
      </x:c>
      <x:c r="J88" s="30" t="s">
        <x:v>494</x:v>
      </x:c>
      <x:c r="K88" s="30" t="s">
        <x:v>458</x:v>
      </x:c>
      <x:c r="L88" s="30" t="s">
        <x:v>495</x:v>
      </x:c>
      <x:c r="M88" s="73" t="n">
        <x:f>A88</x:f>
        <x:v>4</x:v>
      </x:c>
      <x:c r="N88" s="67" t="n">
        <x:f>B88</x:f>
        <x:v>7</x:v>
      </x:c>
      <x:c r="O88" s="62" t="n">
        <x:f>O87+(IFERROR(VALUE(LEFT(K88,FIND("분",K88)-1))*60,0)+IFERROR(VALUE(TRIM(MID(K88,IFERROR(FIND("분",K88),0)+1,FIND("초",K88)-IFERROR(FIND("분",K88),0)-1))),0))/86400</x:f>
        <x:v>0.112962962962963</x:v>
      </x:c>
      <x:c r="P88" s="65" t="str">
        <x:v>4-D | 폐교 본관 2층</x:v>
      </x:c>
      <x:c r="Q88" s="61" t="n">
        <x:f>H88</x:f>
        <x:v>5</x:v>
      </x:c>
      <x:c r="R88" s="63" t="n">
        <x:f>R87+11</x:f>
        <x:v>638</x:v>
      </x:c>
    </x:row>
    <x:row r="89" ht="81.94999694824219" customHeight="1">
      <x:c r="A89" s="30">
        <x:v>4</x:v>
      </x:c>
      <x:c r="B89" s="30">
        <x:v>7</x:v>
      </x:c>
      <x:c r="C89" s="30">
        <x:v>88</x:v>
      </x:c>
      <x:c r="D89" s="30" t="s">
        <x:v>496</x:v>
      </x:c>
      <x:c r="E89" s="30" t="s">
        <x:v>290</x:v>
      </x:c>
      <x:c r="F89" s="30" t="s">
        <x:v>497</x:v>
      </x:c>
      <x:c r="G89" s="30" t="s">
        <x:v>498</x:v>
      </x:c>
      <x:c r="H89" s="30">
        <x:v>1</x:v>
      </x:c>
      <x:c r="I89" s="30" t="s">
        <x:v>293</x:v>
      </x:c>
      <x:c r="J89" s="30" t="s">
        <x:v>294</x:v>
      </x:c>
      <x:c r="K89" s="30" t="s">
        <x:v>79</x:v>
      </x:c>
      <x:c r="L89" s="30" t="s">
        <x:v>295</x:v>
      </x:c>
      <x:c r="M89" s="73" t="n">
        <x:f>A89</x:f>
        <x:v>4</x:v>
      </x:c>
      <x:c r="N89" s="67" t="n">
        <x:f>B89</x:f>
        <x:v>7</x:v>
      </x:c>
      <x:c r="O89" s="62" t="n">
        <x:f>O88+(IFERROR(VALUE(LEFT(K89,FIND("분",K89)-1))*60,0)+IFERROR(VALUE(TRIM(MID(K89,IFERROR(FIND("분",K89),0)+1,FIND("초",K89)-IFERROR(FIND("분",K89),0)-1))),0))/86400</x:f>
        <x:v>0.11423611111111115</x:v>
      </x:c>
      <x:c r="P89" s="65" t="str">
        <x:v>4-E | 폐교 본관 3층</x:v>
      </x:c>
      <x:c r="Q89" s="61" t="n">
        <x:f>H89</x:f>
        <x:v>1</x:v>
      </x:c>
      <x:c r="R89" s="63" t="n">
        <x:f>R88+8</x:f>
        <x:v>646</x:v>
      </x:c>
    </x:row>
    <x:row r="90" ht="81.94999694824219" customHeight="1">
      <x:c r="A90" s="30">
        <x:v>5</x:v>
      </x:c>
      <x:c r="B90" s="30">
        <x:v>7</x:v>
      </x:c>
      <x:c r="C90" s="30">
        <x:v>89</x:v>
      </x:c>
      <x:c r="D90" s="30" t="s">
        <x:v>499</x:v>
      </x:c>
      <x:c r="E90" s="30" t="s">
        <x:v>500</x:v>
      </x:c>
      <x:c r="F90" s="30" t="s">
        <x:v>501</x:v>
      </x:c>
      <x:c r="G90" s="30" t="s">
        <x:v>502</x:v>
      </x:c>
      <x:c r="H90" s="30">
        <x:v>4</x:v>
      </x:c>
      <x:c r="I90" s="30" t="s">
        <x:v>503</x:v>
      </x:c>
      <x:c r="J90" s="30" t="s">
        <x:v>504</x:v>
      </x:c>
      <x:c r="K90" s="30" t="s">
        <x:v>382</x:v>
      </x:c>
      <x:c r="L90" s="30" t="s">
        <x:v>505</x:v>
      </x:c>
      <x:c r="M90" s="71" t="n">
        <x:f>A90</x:f>
        <x:v>5</x:v>
      </x:c>
      <x:c r="N90" s="67" t="n">
        <x:f>B90</x:f>
        <x:v>7</x:v>
      </x:c>
      <x:c r="O90" s="62" t="n">
        <x:f>O89+(IFERROR(VALUE(LEFT(K90,FIND("분",K90)-1))*60,0)+IFERROR(VALUE(TRIM(MID(K90,IFERROR(FIND("분",K90),0)+1,FIND("초",K90)-IFERROR(FIND("분",K90),0)-1))),0))/86400</x:f>
        <x:v>0.11643518518518522</x:v>
      </x:c>
      <x:c r="P90" s="65" t="str">
        <x:v>4-E | 폐교 본관 3층</x:v>
      </x:c>
      <x:c r="Q90" s="61" t="n">
        <x:f>H90</x:f>
        <x:v>4</x:v>
      </x:c>
      <x:c r="R90" s="63" t="n">
        <x:f>R89+11</x:f>
        <x:v>657</x:v>
      </x:c>
    </x:row>
    <x:row r="91" ht="81.94999694824219" customHeight="1">
      <x:c r="A91" s="30">
        <x:v>4</x:v>
      </x:c>
      <x:c r="B91" s="30">
        <x:v>7</x:v>
      </x:c>
      <x:c r="C91" s="30">
        <x:v>90</x:v>
      </x:c>
      <x:c r="D91" s="30" t="s">
        <x:v>506</x:v>
      </x:c>
      <x:c r="E91" s="30" t="s">
        <x:v>60</x:v>
      </x:c>
      <x:c r="F91" s="30" t="s">
        <x:v>507</x:v>
      </x:c>
      <x:c r="G91" s="30" t="s">
        <x:v>508</x:v>
      </x:c>
      <x:c r="H91" s="30">
        <x:v>6</x:v>
      </x:c>
      <x:c r="I91" s="30" t="s">
        <x:v>509</x:v>
      </x:c>
      <x:c r="J91" s="30" t="s">
        <x:v>17</x:v>
      </x:c>
      <x:c r="K91" s="30" t="s">
        <x:v>458</x:v>
      </x:c>
      <x:c r="L91" s="30" t="s">
        <x:v>64</x:v>
      </x:c>
      <x:c r="M91" s="73" t="n">
        <x:f>A91</x:f>
        <x:v>4</x:v>
      </x:c>
      <x:c r="N91" s="67" t="n">
        <x:f>B91</x:f>
        <x:v>7</x:v>
      </x:c>
      <x:c r="O91" s="62" t="n">
        <x:f>O90+(IFERROR(VALUE(LEFT(K91,FIND("분",K91)-1))*60,0)+IFERROR(VALUE(TRIM(MID(K91,IFERROR(FIND("분",K91),0)+1,FIND("초",K91)-IFERROR(FIND("분",K91),0)-1))),0))/86400</x:f>
        <x:v>0.11886574074074079</x:v>
      </x:c>
      <x:c r="P91" s="65" t="str">
        <x:v>4-E | 폐교 본관 3층</x:v>
      </x:c>
      <x:c r="Q91" s="61" t="n">
        <x:f>H91</x:f>
        <x:v>6</x:v>
      </x:c>
      <x:c r="R91" s="63" t="n">
        <x:f>R90+11</x:f>
        <x:v>668</x:v>
      </x:c>
    </x:row>
    <x:row r="92" ht="81.94999694824219" customHeight="1">
      <x:c r="A92" s="30">
        <x:v>2</x:v>
      </x:c>
      <x:c r="B92" s="30">
        <x:v>8</x:v>
      </x:c>
      <x:c r="C92" s="30">
        <x:v>91</x:v>
      </x:c>
      <x:c r="D92" s="30" t="s">
        <x:v>510</x:v>
      </x:c>
      <x:c r="E92" s="30" t="s">
        <x:v>447</x:v>
      </x:c>
      <x:c r="F92" s="30" t="s">
        <x:v>511</x:v>
      </x:c>
      <x:c r="G92" s="30" t="s">
        <x:v>512</x:v>
      </x:c>
      <x:c r="H92" s="30">
        <x:v>2</x:v>
      </x:c>
      <x:c r="I92" s="30" t="s">
        <x:v>450</x:v>
      </x:c>
      <x:c r="J92" s="30" t="s">
        <x:v>451</x:v>
      </x:c>
      <x:c r="K92" s="30" t="s">
        <x:v>94</x:v>
      </x:c>
      <x:c r="L92" s="30" t="s">
        <x:v>452</x:v>
      </x:c>
      <x:c r="M92" s="67" t="n">
        <x:f>A92</x:f>
        <x:v>2</x:v>
      </x:c>
      <x:c r="N92" s="72" t="n">
        <x:f>B92</x:f>
        <x:v>8</x:v>
      </x:c>
      <x:c r="O92" s="62" t="n">
        <x:f>O91+(IFERROR(VALUE(LEFT(K92,FIND("분",K92)-1))*60,0)+IFERROR(VALUE(TRIM(MID(K92,IFERROR(FIND("분",K92),0)+1,FIND("초",K92)-IFERROR(FIND("분",K92),0)-1))),0))/86400</x:f>
        <x:v>0.11979166666666671</x:v>
      </x:c>
      <x:c r="P92" s="65" t="str">
        <x:v>4-E | 폐교 본관 3층</x:v>
      </x:c>
      <x:c r="Q92" s="61" t="n">
        <x:f>H92</x:f>
        <x:v>2</x:v>
      </x:c>
      <x:c r="R92" s="63" t="n">
        <x:f>R91+7</x:f>
        <x:v>675</x:v>
      </x:c>
    </x:row>
    <x:row r="93" ht="81.94999694824219" customHeight="1">
      <x:c r="A93" s="30">
        <x:v>8</x:v>
      </x:c>
      <x:c r="B93" s="30">
        <x:v>10</x:v>
      </x:c>
      <x:c r="C93" s="30">
        <x:v>92</x:v>
      </x:c>
      <x:c r="D93" s="30" t="s">
        <x:v>513</x:v>
      </x:c>
      <x:c r="E93" s="30" t="s">
        <x:v>514</x:v>
      </x:c>
      <x:c r="F93" s="30" t="s">
        <x:v>515</x:v>
      </x:c>
      <x:c r="G93" s="30" t="s">
        <x:v>516</x:v>
      </x:c>
      <x:c r="H93" s="30">
        <x:v>8</x:v>
      </x:c>
      <x:c r="I93" s="30" t="s">
        <x:v>517</x:v>
      </x:c>
      <x:c r="J93" s="30" t="s">
        <x:v>518</x:v>
      </x:c>
      <x:c r="K93" s="30" t="s">
        <x:v>519</x:v>
      </x:c>
      <x:c r="L93" s="30" t="s">
        <x:v>520</x:v>
      </x:c>
      <x:c r="M93" s="78" t="n">
        <x:f>A93</x:f>
        <x:v>8</x:v>
      </x:c>
      <x:c r="N93" s="79" t="n">
        <x:f>B93</x:f>
        <x:v>10</x:v>
      </x:c>
      <x:c r="O93" s="62" t="n">
        <x:f>O92+(IFERROR(VALUE(LEFT(K93,FIND("분",K93)-1))*60,0)+IFERROR(VALUE(TRIM(MID(K93,IFERROR(FIND("분",K93),0)+1,FIND("초",K93)-IFERROR(FIND("분",K93),0)-1))),0))/86400</x:f>
        <x:v>0.12326388888888894</x:v>
      </x:c>
      <x:c r="P93" s="65" t="str">
        <x:v>4-F | 폐교 강당·보스전</x:v>
      </x:c>
      <x:c r="Q93" s="61" t="n">
        <x:f>H93</x:f>
        <x:v>8</x:v>
      </x:c>
      <x:c r="R93" s="63" t="n">
        <x:f>R92+17</x:f>
        <x:v>692</x:v>
      </x:c>
    </x:row>
    <x:row r="94" ht="81.94999694824219" customHeight="1">
      <x:c r="A94" s="30">
        <x:v>8</x:v>
      </x:c>
      <x:c r="B94" s="30">
        <x:v>10</x:v>
      </x:c>
      <x:c r="C94" s="30">
        <x:v>93</x:v>
      </x:c>
      <x:c r="D94" s="30" t="s">
        <x:v>521</x:v>
      </x:c>
      <x:c r="E94" s="30" t="s">
        <x:v>522</x:v>
      </x:c>
      <x:c r="F94" s="30" t="s">
        <x:v>523</x:v>
      </x:c>
      <x:c r="G94" s="30" t="s">
        <x:v>524</x:v>
      </x:c>
      <x:c r="H94" s="30">
        <x:v>6</x:v>
      </x:c>
      <x:c r="I94" s="30" t="s">
        <x:v>525</x:v>
      </x:c>
      <x:c r="J94" s="30" t="s">
        <x:v>526</x:v>
      </x:c>
      <x:c r="K94" s="30" t="s">
        <x:v>527</x:v>
      </x:c>
      <x:c r="L94" s="30" t="s">
        <x:v>528</x:v>
      </x:c>
      <x:c r="M94" s="78" t="n">
        <x:f>A94</x:f>
        <x:v>8</x:v>
      </x:c>
      <x:c r="N94" s="79" t="n">
        <x:f>B94</x:f>
        <x:v>10</x:v>
      </x:c>
      <x:c r="O94" s="62" t="n">
        <x:f>O93+(IFERROR(VALUE(LEFT(K94,FIND("분",K94)-1))*60,0)+IFERROR(VALUE(TRIM(MID(K94,IFERROR(FIND("분",K94),0)+1,FIND("초",K94)-IFERROR(FIND("분",K94),0)-1))),0))/86400</x:f>
        <x:v>0.1262731481481482</x:v>
      </x:c>
      <x:c r="P94" s="65" t="str">
        <x:v>4-F | 폐교 강당·보스전</x:v>
      </x:c>
      <x:c r="Q94" s="61" t="n">
        <x:f>H94</x:f>
        <x:v>6</x:v>
      </x:c>
      <x:c r="R94" s="63" t="n">
        <x:f>R93+15</x:f>
        <x:v>707</x:v>
      </x:c>
    </x:row>
    <x:row r="95" ht="81.94999694824219" customHeight="1">
      <x:c r="A95" s="30">
        <x:v>9</x:v>
      </x:c>
      <x:c r="B95" s="30">
        <x:v>10</x:v>
      </x:c>
      <x:c r="C95" s="30">
        <x:v>94</x:v>
      </x:c>
      <x:c r="D95" s="30" t="s">
        <x:v>529</x:v>
      </x:c>
      <x:c r="E95" s="30" t="s">
        <x:v>530</x:v>
      </x:c>
      <x:c r="F95" s="30" t="s">
        <x:v>531</x:v>
      </x:c>
      <x:c r="G95" s="30" t="s">
        <x:v>532</x:v>
      </x:c>
      <x:c r="H95" s="30">
        <x:v>9</x:v>
      </x:c>
      <x:c r="I95" s="30" t="s">
        <x:v>533</x:v>
      </x:c>
      <x:c r="J95" s="30" t="s">
        <x:v>534</x:v>
      </x:c>
      <x:c r="K95" s="30" t="s">
        <x:v>535</x:v>
      </x:c>
      <x:c r="L95" s="30" t="s">
        <x:v>536</x:v>
      </x:c>
      <x:c r="M95" s="80" t="n">
        <x:f>A95</x:f>
        <x:v>9</x:v>
      </x:c>
      <x:c r="N95" s="79" t="n">
        <x:f>B95</x:f>
        <x:v>10</x:v>
      </x:c>
      <x:c r="O95" s="62" t="n">
        <x:f>O94+(IFERROR(VALUE(LEFT(K95,FIND("분",K95)-1))*60,0)+IFERROR(VALUE(TRIM(MID(K95,IFERROR(FIND("분",K95),0)+1,FIND("초",K95)-IFERROR(FIND("분",K95),0)-1))),0))/86400</x:f>
        <x:v>0.13020833333333337</x:v>
      </x:c>
      <x:c r="P95" s="65" t="str">
        <x:v>4-F | 폐교 강당·보스전</x:v>
      </x:c>
      <x:c r="Q95" s="61" t="n">
        <x:f>H95</x:f>
        <x:v>9</x:v>
      </x:c>
      <x:c r="R95" s="63" t="n">
        <x:f>R94+18</x:f>
        <x:v>725</x:v>
      </x:c>
    </x:row>
    <x:row r="96" ht="81.94999694824219" customHeight="1">
      <x:c r="A96" s="30">
        <x:v>10</x:v>
      </x:c>
      <x:c r="B96" s="30">
        <x:v>10</x:v>
      </x:c>
      <x:c r="C96" s="30">
        <x:v>95</x:v>
      </x:c>
      <x:c r="D96" s="30" t="s">
        <x:v>537</x:v>
      </x:c>
      <x:c r="E96" s="30" t="s">
        <x:v>538</x:v>
      </x:c>
      <x:c r="F96" s="30" t="s">
        <x:v>539</x:v>
      </x:c>
      <x:c r="G96" s="30" t="s">
        <x:v>540</x:v>
      </x:c>
      <x:c r="H96" s="30">
        <x:v>6</x:v>
      </x:c>
      <x:c r="I96" s="30" t="s">
        <x:v>541</x:v>
      </x:c>
      <x:c r="J96" s="30" t="s">
        <x:v>542</x:v>
      </x:c>
      <x:c r="K96" s="30" t="s">
        <x:v>543</x:v>
      </x:c>
      <x:c r="L96" s="30" t="s">
        <x:v>544</x:v>
      </x:c>
      <x:c r="M96" s="81" t="n">
        <x:f>A96</x:f>
        <x:v>10</x:v>
      </x:c>
      <x:c r="N96" s="79" t="n">
        <x:f>B96</x:f>
        <x:v>10</x:v>
      </x:c>
      <x:c r="O96" s="62" t="n">
        <x:f>O95+(IFERROR(VALUE(LEFT(K96,FIND("분",K96)-1))*60,0)+IFERROR(VALUE(TRIM(MID(K96,IFERROR(FIND("분",K96),0)+1,FIND("초",K96)-IFERROR(FIND("분",K96),0)-1))),0))/86400</x:f>
        <x:v>0.13287037037037042</x:v>
      </x:c>
      <x:c r="P96" s="65" t="str">
        <x:v>4-F | 폐교 강당·보스전</x:v>
      </x:c>
      <x:c r="Q96" s="61" t="n">
        <x:f>H96</x:f>
        <x:v>6</x:v>
      </x:c>
      <x:c r="R96" s="63" t="n">
        <x:f>R95+15</x:f>
        <x:v>740</x:v>
      </x:c>
    </x:row>
    <x:row r="97" ht="81.94999694824219" customHeight="1">
      <x:c r="A97" s="30">
        <x:v>7</x:v>
      </x:c>
      <x:c r="B97" s="30">
        <x:v>10</x:v>
      </x:c>
      <x:c r="C97" s="30">
        <x:v>96</x:v>
      </x:c>
      <x:c r="D97" s="30" t="s">
        <x:v>545</x:v>
      </x:c>
      <x:c r="E97" s="30" t="s">
        <x:v>546</x:v>
      </x:c>
      <x:c r="F97" s="30" t="s">
        <x:v>547</x:v>
      </x:c>
      <x:c r="G97" s="30" t="s">
        <x:v>548</x:v>
      </x:c>
      <x:c r="H97" s="30">
        <x:v>5</x:v>
      </x:c>
      <x:c r="I97" s="30" t="s">
        <x:v>549</x:v>
      </x:c>
      <x:c r="J97" s="30" t="s">
        <x:v>550</x:v>
      </x:c>
      <x:c r="K97" s="30" t="s">
        <x:v>201</x:v>
      </x:c>
      <x:c r="L97" s="30" t="s">
        <x:v>551</x:v>
      </x:c>
      <x:c r="M97" s="77" t="n">
        <x:f>A97</x:f>
        <x:v>7</x:v>
      </x:c>
      <x:c r="N97" s="79" t="n">
        <x:f>B97</x:f>
        <x:v>10</x:v>
      </x:c>
      <x:c r="O97" s="62" t="n">
        <x:f>O96+(IFERROR(VALUE(LEFT(K97,FIND("분",K97)-1))*60,0)+IFERROR(VALUE(TRIM(MID(K97,IFERROR(FIND("분",K97),0)+1,FIND("초",K97)-IFERROR(FIND("분",K97),0)-1))),0))/86400</x:f>
        <x:v>0.1344907407407408</x:v>
      </x:c>
      <x:c r="P97" s="65" t="str">
        <x:v>4-F | 폐교 강당·보스전</x:v>
      </x:c>
      <x:c r="Q97" s="61" t="n">
        <x:f>H97</x:f>
        <x:v>5</x:v>
      </x:c>
      <x:c r="R97" s="63" t="n">
        <x:f>R96+11</x:f>
        <x:v>751</x:v>
      </x:c>
    </x:row>
    <x:row r="98" ht="81.94999694824219" customHeight="1">
      <x:c r="A98" s="30">
        <x:v>1</x:v>
      </x:c>
      <x:c r="B98" s="30">
        <x:v>10</x:v>
      </x:c>
      <x:c r="C98" s="30">
        <x:v>97</x:v>
      </x:c>
      <x:c r="D98" s="30" t="s">
        <x:v>552</x:v>
      </x:c>
      <x:c r="E98" s="30" t="s">
        <x:v>553</x:v>
      </x:c>
      <x:c r="F98" s="30" t="s">
        <x:v>554</x:v>
      </x:c>
      <x:c r="G98" s="30" t="s">
        <x:v>555</x:v>
      </x:c>
      <x:c r="H98" s="30">
        <x:v>1</x:v>
      </x:c>
      <x:c r="I98" s="30" t="s">
        <x:v>556</x:v>
      </x:c>
      <x:c r="J98" s="30" t="s">
        <x:v>557</x:v>
      </x:c>
      <x:c r="K98" s="30" t="s">
        <x:v>18</x:v>
      </x:c>
      <x:c r="L98" s="30" t="s">
        <x:v>558</x:v>
      </x:c>
      <x:c r="M98" s="66" t="n">
        <x:f>A98</x:f>
        <x:v>1</x:v>
      </x:c>
      <x:c r="N98" s="79" t="n">
        <x:f>B98</x:f>
        <x:v>10</x:v>
      </x:c>
      <x:c r="O98" s="62" t="n">
        <x:f>O97+(IFERROR(VALUE(LEFT(K98,FIND("분",K98)-1))*60,0)+IFERROR(VALUE(TRIM(MID(K98,IFERROR(FIND("분",K98),0)+1,FIND("초",K98)-IFERROR(FIND("분",K98),0)-1))),0))/86400</x:f>
        <x:v>0.13553240740740746</x:v>
      </x:c>
      <x:c r="P98" s="65" t="str">
        <x:v>4-F | 폐교 강당·보스전</x:v>
      </x:c>
      <x:c r="Q98" s="61" t="n">
        <x:f>H98</x:f>
        <x:v>1</x:v>
      </x:c>
      <x:c r="R98" s="63" t="n">
        <x:f>R97+7</x:f>
        <x:v>758</x:v>
      </x:c>
    </x:row>
    <x:row r="99" ht="81.94999694824219" customHeight="1">
      <x:c r="A99" s="30">
        <x:v>2</x:v>
      </x:c>
      <x:c r="B99" s="30">
        <x:v>10</x:v>
      </x:c>
      <x:c r="C99" s="30">
        <x:v>98</x:v>
      </x:c>
      <x:c r="D99" s="30" t="s">
        <x:v>559</x:v>
      </x:c>
      <x:c r="E99" s="30" t="s">
        <x:v>560</x:v>
      </x:c>
      <x:c r="F99" s="30" t="s">
        <x:v>561</x:v>
      </x:c>
      <x:c r="G99" s="30" t="s">
        <x:v>562</x:v>
      </x:c>
      <x:c r="H99" s="30">
        <x:v>3</x:v>
      </x:c>
      <x:c r="I99" s="30" t="s">
        <x:v>563</x:v>
      </x:c>
      <x:c r="J99" s="30" t="s">
        <x:v>564</x:v>
      </x:c>
      <x:c r="K99" s="30" t="s">
        <x:v>201</x:v>
      </x:c>
      <x:c r="L99" s="30" t="s">
        <x:v>565</x:v>
      </x:c>
      <x:c r="M99" s="67" t="n">
        <x:f>A99</x:f>
        <x:v>2</x:v>
      </x:c>
      <x:c r="N99" s="79" t="n">
        <x:f>B99</x:f>
        <x:v>10</x:v>
      </x:c>
      <x:c r="O99" s="62" t="n">
        <x:f>O98+(IFERROR(VALUE(LEFT(K99,FIND("분",K99)-1))*60,0)+IFERROR(VALUE(TRIM(MID(K99,IFERROR(FIND("분",K99),0)+1,FIND("초",K99)-IFERROR(FIND("분",K99),0)-1))),0))/86400</x:f>
        <x:v>0.13715277777777785</x:v>
      </x:c>
      <x:c r="P99" s="65" t="str">
        <x:v>4-F | 폐교 강당·보스전</x:v>
      </x:c>
      <x:c r="Q99" s="61" t="n">
        <x:f>H99</x:f>
        <x:v>3</x:v>
      </x:c>
      <x:c r="R99" s="63" t="n">
        <x:f>R98+9</x:f>
        <x:v>767</x:v>
      </x:c>
    </x:row>
    <x:row r="100" ht="81.94999694824219" customHeight="1">
      <x:c r="A100" s="30">
        <x:v>6</x:v>
      </x:c>
      <x:c r="B100" s="30">
        <x:v>9</x:v>
      </x:c>
      <x:c r="C100" s="30">
        <x:v>99</x:v>
      </x:c>
      <x:c r="D100" s="30" t="s">
        <x:v>566</x:v>
      </x:c>
      <x:c r="E100" s="30" t="s">
        <x:v>567</x:v>
      </x:c>
      <x:c r="F100" s="30" t="s">
        <x:v>568</x:v>
      </x:c>
      <x:c r="G100" s="30" t="s">
        <x:v>569</x:v>
      </x:c>
      <x:c r="H100" s="30">
        <x:v>1</x:v>
      </x:c>
      <x:c r="I100" s="30" t="s">
        <x:v>570</x:v>
      </x:c>
      <x:c r="J100" s="30" t="s">
        <x:v>571</x:v>
      </x:c>
      <x:c r="K100" s="30" t="s">
        <x:v>184</x:v>
      </x:c>
      <x:c r="L100" s="30" t="s">
        <x:v>572</x:v>
      </x:c>
      <x:c r="M100" s="76" t="n">
        <x:f>A100</x:f>
        <x:v>6</x:v>
      </x:c>
      <x:c r="N100" s="75" t="n">
        <x:f>B100</x:f>
        <x:v>9</x:v>
      </x:c>
      <x:c r="O100" s="62" t="n">
        <x:f>O99+(IFERROR(VALUE(LEFT(K100,FIND("분",K100)-1))*60,0)+IFERROR(VALUE(TRIM(MID(K100,IFERROR(FIND("분",K100),0)+1,FIND("초",K100)-IFERROR(FIND("분",K100),0)-1))),0))/86400</x:f>
        <x:v>0.13923611111111117</x:v>
      </x:c>
      <x:c r="P100" s="65" t="str">
        <x:v>4-G | 폐교 탈출·귀환</x:v>
      </x:c>
      <x:c r="Q100" s="61" t="n">
        <x:f>H100</x:f>
        <x:v>1</x:v>
      </x:c>
      <x:c r="R100" s="63" t="n">
        <x:f>R99+11</x:f>
        <x:v>778</x:v>
      </x:c>
    </x:row>
    <x:row r="101" ht="81.94999694824219" customHeight="1">
      <x:c r="A101" s="30">
        <x:v>1</x:v>
      </x:c>
      <x:c r="B101" s="30">
        <x:v>8</x:v>
      </x:c>
      <x:c r="C101" s="30">
        <x:v>100</x:v>
      </x:c>
      <x:c r="D101" s="30" t="s">
        <x:v>573</x:v>
      </x:c>
      <x:c r="E101" s="30" t="s">
        <x:v>393</x:v>
      </x:c>
      <x:c r="F101" s="30" t="s">
        <x:v>574</x:v>
      </x:c>
      <x:c r="G101" s="30" t="s">
        <x:v>575</x:v>
      </x:c>
      <x:c r="H101" s="30">
        <x:v>3</x:v>
      </x:c>
      <x:c r="I101" s="30" t="s">
        <x:v>396</x:v>
      </x:c>
      <x:c r="J101" s="30" t="s">
        <x:v>397</x:v>
      </x:c>
      <x:c r="K101" s="30" t="s">
        <x:v>79</x:v>
      </x:c>
      <x:c r="L101" s="30" t="s">
        <x:v>398</x:v>
      </x:c>
      <x:c r="M101" s="66" t="n">
        <x:f>A101</x:f>
        <x:v>1</x:v>
      </x:c>
      <x:c r="N101" s="72" t="n">
        <x:f>B101</x:f>
        <x:v>8</x:v>
      </x:c>
      <x:c r="O101" s="62" t="n">
        <x:f>O100+(IFERROR(VALUE(LEFT(K101,FIND("분",K101)-1))*60,0)+IFERROR(VALUE(TRIM(MID(K101,IFERROR(FIND("분",K101),0)+1,FIND("초",K101)-IFERROR(FIND("분",K101),0)-1))),0))/86400</x:f>
        <x:v>0.14050925925925933</x:v>
      </x:c>
      <x:c r="P101" s="65" t="str">
        <x:v>4-G | 폐교 탈출·귀환</x:v>
      </x:c>
      <x:c r="Q101" s="61" t="n">
        <x:f>H101</x:f>
        <x:v>3</x:v>
      </x:c>
      <x:c r="R101" s="63" t="n">
        <x:f>R100+7</x:f>
        <x:v>785</x:v>
      </x:c>
    </x:row>
    <x:row r="102" ht="81.94999694824219" customHeight="1">
      <x:c r="A102" s="30">
        <x:v>1</x:v>
      </x:c>
      <x:c r="B102" s="30">
        <x:v>8</x:v>
      </x:c>
      <x:c r="C102" s="30">
        <x:v>101</x:v>
      </x:c>
      <x:c r="D102" s="30" t="s">
        <x:v>576</x:v>
      </x:c>
      <x:c r="E102" s="30" t="s">
        <x:v>577</x:v>
      </x:c>
      <x:c r="F102" s="30" t="s">
        <x:v>578</x:v>
      </x:c>
      <x:c r="G102" s="30" t="s">
        <x:v>579</x:v>
      </x:c>
      <x:c r="H102" s="30">
        <x:v>2</x:v>
      </x:c>
      <x:c r="I102" s="30" t="s">
        <x:v>580</x:v>
      </x:c>
      <x:c r="J102" s="30" t="s">
        <x:v>17</x:v>
      </x:c>
      <x:c r="K102" s="30" t="s">
        <x:v>116</x:v>
      </x:c>
      <x:c r="L102" s="30" t="s">
        <x:v>581</x:v>
      </x:c>
      <x:c r="M102" s="66" t="n">
        <x:f>A102</x:f>
        <x:v>1</x:v>
      </x:c>
      <x:c r="N102" s="72" t="n">
        <x:f>B102</x:f>
        <x:v>8</x:v>
      </x:c>
      <x:c r="O102" s="62" t="n">
        <x:f>O101+(IFERROR(VALUE(LEFT(K102,FIND("분",K102)-1))*60,0)+IFERROR(VALUE(TRIM(MID(K102,IFERROR(FIND("분",K102),0)+1,FIND("초",K102)-IFERROR(FIND("분",K102),0)-1))),0))/86400</x:f>
        <x:v>0.14166666666666675</x:v>
      </x:c>
      <x:c r="P102" s="65" t="str">
        <x:v>5-A | 대형 균열 외부</x:v>
      </x:c>
      <x:c r="Q102" s="61" t="n">
        <x:f>H102</x:f>
        <x:v>2</x:v>
      </x:c>
      <x:c r="R102" s="63" t="n">
        <x:f>R101+7</x:f>
        <x:v>792</x:v>
      </x:c>
    </x:row>
    <x:row r="103" ht="81.94999694824219" customHeight="1">
      <x:c r="A103" s="30">
        <x:v>1</x:v>
      </x:c>
      <x:c r="B103" s="30">
        <x:v>9</x:v>
      </x:c>
      <x:c r="C103" s="30">
        <x:v>102</x:v>
      </x:c>
      <x:c r="D103" s="30" t="s">
        <x:v>582</x:v>
      </x:c>
      <x:c r="E103" s="30" t="s">
        <x:v>583</x:v>
      </x:c>
      <x:c r="F103" s="30" t="s">
        <x:v>584</x:v>
      </x:c>
      <x:c r="G103" s="30" t="s">
        <x:v>585</x:v>
      </x:c>
      <x:c r="H103" s="30">
        <x:v>4</x:v>
      </x:c>
      <x:c r="I103" s="30" t="s">
        <x:v>586</x:v>
      </x:c>
      <x:c r="J103" s="30" t="s">
        <x:v>17</x:v>
      </x:c>
      <x:c r="K103" s="30" t="s">
        <x:v>201</x:v>
      </x:c>
      <x:c r="L103" s="30" t="s">
        <x:v>587</x:v>
      </x:c>
      <x:c r="M103" s="66" t="n">
        <x:f>A103</x:f>
        <x:v>1</x:v>
      </x:c>
      <x:c r="N103" s="75" t="n">
        <x:f>B103</x:f>
        <x:v>9</x:v>
      </x:c>
      <x:c r="O103" s="62" t="n">
        <x:f>O102+(IFERROR(VALUE(LEFT(K103,FIND("분",K103)-1))*60,0)+IFERROR(VALUE(TRIM(MID(K103,IFERROR(FIND("분",K103),0)+1,FIND("초",K103)-IFERROR(FIND("분",K103),0)-1))),0))/86400</x:f>
        <x:v>0.14328703703703713</x:v>
      </x:c>
      <x:c r="P103" s="65" t="str">
        <x:v>5-A | 대형 균열 외부</x:v>
      </x:c>
      <x:c r="Q103" s="61" t="n">
        <x:f>H103</x:f>
        <x:v>4</x:v>
      </x:c>
      <x:c r="R103" s="63" t="n">
        <x:f>R102+9</x:f>
        <x:v>801</x:v>
      </x:c>
    </x:row>
    <x:row r="104" ht="81.94999694824219" customHeight="1">
      <x:c r="A104" s="30">
        <x:v>5</x:v>
      </x:c>
      <x:c r="B104" s="30">
        <x:v>9</x:v>
      </x:c>
      <x:c r="C104" s="30">
        <x:v>103</x:v>
      </x:c>
      <x:c r="D104" s="30" t="s">
        <x:v>588</x:v>
      </x:c>
      <x:c r="E104" s="30" t="s">
        <x:v>42</x:v>
      </x:c>
      <x:c r="F104" s="30" t="s">
        <x:v>589</x:v>
      </x:c>
      <x:c r="G104" s="30" t="s">
        <x:v>590</x:v>
      </x:c>
      <x:c r="H104" s="30">
        <x:v>1</x:v>
      </x:c>
      <x:c r="I104" s="30" t="s">
        <x:v>591</x:v>
      </x:c>
      <x:c r="J104" s="30" t="s">
        <x:v>17</x:v>
      </x:c>
      <x:c r="K104" s="30" t="s">
        <x:v>184</x:v>
      </x:c>
      <x:c r="L104" s="30" t="s">
        <x:v>47</x:v>
      </x:c>
      <x:c r="M104" s="71" t="n">
        <x:f>A104</x:f>
        <x:v>5</x:v>
      </x:c>
      <x:c r="N104" s="75" t="n">
        <x:f>B104</x:f>
        <x:v>9</x:v>
      </x:c>
      <x:c r="O104" s="62" t="n">
        <x:f>O103+(IFERROR(VALUE(LEFT(K104,FIND("분",K104)-1))*60,0)+IFERROR(VALUE(TRIM(MID(K104,IFERROR(FIND("분",K104),0)+1,FIND("초",K104)-IFERROR(FIND("분",K104),0)-1))),0))/86400</x:f>
        <x:v>0.14537037037037046</x:v>
      </x:c>
      <x:c r="P104" s="65" t="str">
        <x:v>5-A | 대형 균열 외부</x:v>
      </x:c>
      <x:c r="Q104" s="61" t="n">
        <x:f>H104</x:f>
        <x:v>1</x:v>
      </x:c>
      <x:c r="R104" s="63" t="n">
        <x:f>R103+11</x:f>
        <x:v>812</x:v>
      </x:c>
    </x:row>
    <x:row r="105" ht="81.94999694824219" customHeight="1">
      <x:c r="A105" s="30">
        <x:v>6</x:v>
      </x:c>
      <x:c r="B105" s="30">
        <x:v>10</x:v>
      </x:c>
      <x:c r="C105" s="30">
        <x:v>104</x:v>
      </x:c>
      <x:c r="D105" s="30" t="s">
        <x:v>592</x:v>
      </x:c>
      <x:c r="E105" s="30" t="s">
        <x:v>593</x:v>
      </x:c>
      <x:c r="F105" s="30" t="s">
        <x:v>594</x:v>
      </x:c>
      <x:c r="G105" s="30" t="s">
        <x:v>595</x:v>
      </x:c>
      <x:c r="H105" s="30">
        <x:v>3</x:v>
      </x:c>
      <x:c r="I105" s="30" t="s">
        <x:v>596</x:v>
      </x:c>
      <x:c r="J105" s="30" t="s">
        <x:v>597</x:v>
      </x:c>
      <x:c r="K105" s="30" t="s">
        <x:v>339</x:v>
      </x:c>
      <x:c r="L105" s="30" t="s">
        <x:v>598</x:v>
      </x:c>
      <x:c r="M105" s="76" t="n">
        <x:f>A105</x:f>
        <x:v>6</x:v>
      </x:c>
      <x:c r="N105" s="79" t="n">
        <x:f>B105</x:f>
        <x:v>10</x:v>
      </x:c>
      <x:c r="O105" s="62" t="n">
        <x:f>O104+(IFERROR(VALUE(LEFT(K105,FIND("분",K105)-1))*60,0)+IFERROR(VALUE(TRIM(MID(K105,IFERROR(FIND("분",K105),0)+1,FIND("초",K105)-IFERROR(FIND("분",K105),0)-1))),0))/86400</x:f>
        <x:v>0.1468750000000001</x:v>
      </x:c>
      <x:c r="P105" s="65" t="str">
        <x:v>5-B | 균열 내부</x:v>
      </x:c>
      <x:c r="Q105" s="61" t="n">
        <x:f>H105</x:f>
        <x:v>3</x:v>
      </x:c>
      <x:c r="R105" s="63" t="n">
        <x:f>R104+10</x:f>
        <x:v>822</x:v>
      </x:c>
    </x:row>
    <x:row r="106" ht="81.94999694824219" customHeight="1">
      <x:c r="A106" s="30">
        <x:v>5</x:v>
      </x:c>
      <x:c r="B106" s="30">
        <x:v>9</x:v>
      </x:c>
      <x:c r="C106" s="30">
        <x:v>105</x:v>
      </x:c>
      <x:c r="D106" s="30" t="s">
        <x:v>599</x:v>
      </x:c>
      <x:c r="E106" s="30" t="s">
        <x:v>600</x:v>
      </x:c>
      <x:c r="F106" s="30" t="s">
        <x:v>601</x:v>
      </x:c>
      <x:c r="G106" s="30" t="s">
        <x:v>602</x:v>
      </x:c>
      <x:c r="H106" s="30">
        <x:v>8</x:v>
      </x:c>
      <x:c r="I106" s="30" t="s">
        <x:v>603</x:v>
      </x:c>
      <x:c r="J106" s="30" t="s">
        <x:v>604</x:v>
      </x:c>
      <x:c r="K106" s="30" t="s">
        <x:v>390</x:v>
      </x:c>
      <x:c r="L106" s="30" t="s">
        <x:v>605</x:v>
      </x:c>
      <x:c r="M106" s="71" t="n">
        <x:f>A106</x:f>
        <x:v>5</x:v>
      </x:c>
      <x:c r="N106" s="75" t="n">
        <x:f>B106</x:f>
        <x:v>9</x:v>
      </x:c>
      <x:c r="O106" s="62" t="n">
        <x:f>O105+(IFERROR(VALUE(LEFT(K106,FIND("분",K106)-1))*60,0)+IFERROR(VALUE(TRIM(MID(K106,IFERROR(FIND("분",K106),0)+1,FIND("초",K106)-IFERROR(FIND("분",K106),0)-1))),0))/86400</x:f>
        <x:v>0.14942129629629639</x:v>
      </x:c>
      <x:c r="P106" s="65" t="str">
        <x:v>5-B | 균열 내부</x:v>
      </x:c>
      <x:c r="Q106" s="61" t="n">
        <x:f>H106</x:f>
        <x:v>8</x:v>
      </x:c>
      <x:c r="R106" s="63" t="n">
        <x:f>R105+13</x:f>
        <x:v>835</x:v>
      </x:c>
    </x:row>
    <x:row r="107" ht="81.94999694824219" customHeight="1">
      <x:c r="A107" s="30">
        <x:v>2</x:v>
      </x:c>
      <x:c r="B107" s="30">
        <x:v>10</x:v>
      </x:c>
      <x:c r="C107" s="30">
        <x:v>106</x:v>
      </x:c>
      <x:c r="D107" s="30" t="s">
        <x:v>606</x:v>
      </x:c>
      <x:c r="E107" s="30" t="s">
        <x:v>607</x:v>
      </x:c>
      <x:c r="F107" s="30" t="s">
        <x:v>608</x:v>
      </x:c>
      <x:c r="G107" s="30" t="s">
        <x:v>609</x:v>
      </x:c>
      <x:c r="H107" s="30">
        <x:v>5</x:v>
      </x:c>
      <x:c r="I107" s="30" t="s">
        <x:v>610</x:v>
      </x:c>
      <x:c r="J107" s="30" t="s">
        <x:v>17</x:v>
      </x:c>
      <x:c r="K107" s="30" t="s">
        <x:v>458</x:v>
      </x:c>
      <x:c r="L107" s="30" t="s">
        <x:v>611</x:v>
      </x:c>
      <x:c r="M107" s="67" t="n">
        <x:f>A107</x:f>
        <x:v>2</x:v>
      </x:c>
      <x:c r="N107" s="79" t="n">
        <x:f>B107</x:f>
        <x:v>10</x:v>
      </x:c>
      <x:c r="O107" s="62" t="n">
        <x:f>O106+(IFERROR(VALUE(LEFT(K107,FIND("분",K107)-1))*60,0)+IFERROR(VALUE(TRIM(MID(K107,IFERROR(FIND("분",K107),0)+1,FIND("초",K107)-IFERROR(FIND("분",K107),0)-1))),0))/86400</x:f>
        <x:v>0.15185185185185193</x:v>
      </x:c>
      <x:c r="P107" s="65" t="str">
        <x:v>5-B | 균열 내부</x:v>
      </x:c>
      <x:c r="Q107" s="61" t="n">
        <x:f>H107</x:f>
        <x:v>5</x:v>
      </x:c>
      <x:c r="R107" s="63" t="n">
        <x:f>R106+12</x:f>
        <x:v>847</x:v>
      </x:c>
    </x:row>
    <x:row r="108" ht="81.94999694824219" customHeight="1">
      <x:c r="A108" s="30">
        <x:v>7</x:v>
      </x:c>
      <x:c r="B108" s="30">
        <x:v>10</x:v>
      </x:c>
      <x:c r="C108" s="30">
        <x:v>107</x:v>
      </x:c>
      <x:c r="D108" s="30" t="s">
        <x:v>612</x:v>
      </x:c>
      <x:c r="E108" s="30" t="s">
        <x:v>613</x:v>
      </x:c>
      <x:c r="F108" s="30" t="s">
        <x:v>614</x:v>
      </x:c>
      <x:c r="G108" s="30" t="s">
        <x:v>615</x:v>
      </x:c>
      <x:c r="H108" s="30">
        <x:v>6</x:v>
      </x:c>
      <x:c r="I108" s="30" t="s">
        <x:v>616</x:v>
      </x:c>
      <x:c r="J108" s="30" t="s">
        <x:v>617</x:v>
      </x:c>
      <x:c r="K108" s="30" t="s">
        <x:v>527</x:v>
      </x:c>
      <x:c r="L108" s="30" t="s">
        <x:v>618</x:v>
      </x:c>
      <x:c r="M108" s="77" t="n">
        <x:f>A108</x:f>
        <x:v>7</x:v>
      </x:c>
      <x:c r="N108" s="79" t="n">
        <x:f>B108</x:f>
        <x:v>10</x:v>
      </x:c>
      <x:c r="O108" s="62" t="n">
        <x:f>O107+(IFERROR(VALUE(LEFT(K108,FIND("분",K108)-1))*60,0)+IFERROR(VALUE(TRIM(MID(K108,IFERROR(FIND("분",K108),0)+1,FIND("초",K108)-IFERROR(FIND("분",K108),0)-1))),0))/86400</x:f>
        <x:v>0.1548611111111112</x:v>
      </x:c>
      <x:c r="P108" s="65" t="str">
        <x:v>5-B | 균열 내부</x:v>
      </x:c>
      <x:c r="Q108" s="61" t="n">
        <x:f>H108</x:f>
        <x:v>6</x:v>
      </x:c>
      <x:c r="R108" s="63" t="n">
        <x:f>R107+15</x:f>
        <x:v>862</x:v>
      </x:c>
    </x:row>
    <x:row r="109" ht="81.94999694824219" customHeight="1">
      <x:c r="A109" s="30">
        <x:v>9</x:v>
      </x:c>
      <x:c r="B109" s="30">
        <x:v>10</x:v>
      </x:c>
      <x:c r="C109" s="30">
        <x:v>108</x:v>
      </x:c>
      <x:c r="D109" s="30" t="s">
        <x:v>619</x:v>
      </x:c>
      <x:c r="E109" s="30" t="s">
        <x:v>620</x:v>
      </x:c>
      <x:c r="F109" s="30" t="s">
        <x:v>621</x:v>
      </x:c>
      <x:c r="G109" s="30" t="s">
        <x:v>622</x:v>
      </x:c>
      <x:c r="H109" s="30">
        <x:v>10</x:v>
      </x:c>
      <x:c r="I109" s="30" t="s">
        <x:v>623</x:v>
      </x:c>
      <x:c r="J109" s="30" t="s">
        <x:v>624</x:v>
      </x:c>
      <x:c r="K109" s="30" t="s">
        <x:v>625</x:v>
      </x:c>
      <x:c r="L109" s="30" t="s">
        <x:v>626</x:v>
      </x:c>
      <x:c r="M109" s="80" t="n">
        <x:f>A109</x:f>
        <x:v>9</x:v>
      </x:c>
      <x:c r="N109" s="79" t="n">
        <x:f>B109</x:f>
        <x:v>10</x:v>
      </x:c>
      <x:c r="O109" s="62" t="n">
        <x:f>O108+(IFERROR(VALUE(LEFT(K109,FIND("분",K109)-1))*60,0)+IFERROR(VALUE(TRIM(MID(K109,IFERROR(FIND("분",K109),0)+1,FIND("초",K109)-IFERROR(FIND("분",K109),0)-1))),0))/86400</x:f>
        <x:v>0.15902777777777788</x:v>
      </x:c>
      <x:c r="P109" s="65" t="str">
        <x:v>5-B | 균열 내부</x:v>
      </x:c>
      <x:c r="Q109" s="61" t="n">
        <x:f>H109</x:f>
        <x:v>10</x:v>
      </x:c>
      <x:c r="R109" s="63" t="n">
        <x:f>R108+19</x:f>
        <x:v>881</x:v>
      </x:c>
    </x:row>
    <x:row r="110" ht="81.94999694824219" customHeight="1">
      <x:c r="A110" s="30">
        <x:v>6</x:v>
      </x:c>
      <x:c r="B110" s="30">
        <x:v>10</x:v>
      </x:c>
      <x:c r="C110" s="30">
        <x:v>109</x:v>
      </x:c>
      <x:c r="D110" s="30" t="s">
        <x:v>627</x:v>
      </x:c>
      <x:c r="E110" s="30" t="s">
        <x:v>628</x:v>
      </x:c>
      <x:c r="F110" s="30" t="s">
        <x:v>629</x:v>
      </x:c>
      <x:c r="G110" s="30" t="s">
        <x:v>630</x:v>
      </x:c>
      <x:c r="H110" s="30">
        <x:v>1</x:v>
      </x:c>
      <x:c r="I110" s="30" t="s">
        <x:v>631</x:v>
      </x:c>
      <x:c r="J110" s="30" t="s">
        <x:v>632</x:v>
      </x:c>
      <x:c r="K110" s="30" t="s">
        <x:v>130</x:v>
      </x:c>
      <x:c r="L110" s="30" t="s">
        <x:v>633</x:v>
      </x:c>
      <x:c r="M110" s="76" t="n">
        <x:f>A110</x:f>
        <x:v>6</x:v>
      </x:c>
      <x:c r="N110" s="79" t="n">
        <x:f>B110</x:f>
        <x:v>10</x:v>
      </x:c>
      <x:c r="O110" s="62" t="n">
        <x:f>O109+(IFERROR(VALUE(LEFT(K110,FIND("분",K110)-1))*60,0)+IFERROR(VALUE(TRIM(MID(K110,IFERROR(FIND("분",K110),0)+1,FIND("초",K110)-IFERROR(FIND("분",K110),0)-1))),0))/86400</x:f>
        <x:v>0.16076388888888898</x:v>
      </x:c>
      <x:c r="P110" s="65" t="str">
        <x:v>5-C | 균열 심층부</x:v>
      </x:c>
      <x:c r="Q110" s="61" t="n">
        <x:f>H110</x:f>
        <x:v>1</x:v>
      </x:c>
      <x:c r="R110" s="63" t="n">
        <x:f>R109+11</x:f>
        <x:v>892</x:v>
      </x:c>
    </x:row>
    <x:row r="111" ht="81.94999694824219" customHeight="1">
      <x:c r="A111" s="30">
        <x:v>1</x:v>
      </x:c>
      <x:c r="B111" s="30">
        <x:v>10</x:v>
      </x:c>
      <x:c r="C111" s="30">
        <x:v>110</x:v>
      </x:c>
      <x:c r="D111" s="30" t="s">
        <x:v>634</x:v>
      </x:c>
      <x:c r="E111" s="30" t="s">
        <x:v>635</x:v>
      </x:c>
      <x:c r="F111" s="30" t="s">
        <x:v>636</x:v>
      </x:c>
      <x:c r="G111" s="30" t="s">
        <x:v>637</x:v>
      </x:c>
      <x:c r="H111" s="30">
        <x:v>4</x:v>
      </x:c>
      <x:c r="I111" s="30" t="s">
        <x:v>638</x:v>
      </x:c>
      <x:c r="J111" s="30" t="s">
        <x:v>17</x:v>
      </x:c>
      <x:c r="K111" s="30" t="s">
        <x:v>382</x:v>
      </x:c>
      <x:c r="L111" s="30" t="s">
        <x:v>639</x:v>
      </x:c>
      <x:c r="M111" s="66" t="n">
        <x:f>A111</x:f>
        <x:v>1</x:v>
      </x:c>
      <x:c r="N111" s="79" t="n">
        <x:f>B111</x:f>
        <x:v>10</x:v>
      </x:c>
      <x:c r="O111" s="62" t="n">
        <x:f>O110+(IFERROR(VALUE(LEFT(K111,FIND("분",K111)-1))*60,0)+IFERROR(VALUE(TRIM(MID(K111,IFERROR(FIND("분",K111),0)+1,FIND("초",K111)-IFERROR(FIND("분",K111),0)-1))),0))/86400</x:f>
        <x:v>0.16296296296296306</x:v>
      </x:c>
      <x:c r="P111" s="65" t="str">
        <x:v>5-C | 균열 심층부</x:v>
      </x:c>
      <x:c r="Q111" s="61" t="n">
        <x:f>H111</x:f>
        <x:v>4</x:v>
      </x:c>
      <x:c r="R111" s="63" t="n">
        <x:f>R110+11</x:f>
        <x:v>903</x:v>
      </x:c>
    </x:row>
    <x:row r="112" ht="81.94999694824219" customHeight="1">
      <x:c r="A112" s="30">
        <x:v>1</x:v>
      </x:c>
      <x:c r="B112" s="30">
        <x:v>10</x:v>
      </x:c>
      <x:c r="C112" s="30">
        <x:v>111</x:v>
      </x:c>
      <x:c r="D112" s="30" t="s">
        <x:v>640</x:v>
      </x:c>
      <x:c r="E112" s="30" t="s">
        <x:v>641</x:v>
      </x:c>
      <x:c r="F112" s="30" t="s">
        <x:v>642</x:v>
      </x:c>
      <x:c r="G112" s="30" t="s">
        <x:v>643</x:v>
      </x:c>
      <x:c r="H112" s="30">
        <x:v>3</x:v>
      </x:c>
      <x:c r="I112" s="30" t="s">
        <x:v>644</x:v>
      </x:c>
      <x:c r="J112" s="30" t="s">
        <x:v>17</x:v>
      </x:c>
      <x:c r="K112" s="30" t="s">
        <x:v>189</x:v>
      </x:c>
      <x:c r="L112" s="30" t="s">
        <x:v>645</x:v>
      </x:c>
      <x:c r="M112" s="66" t="n">
        <x:f>A112</x:f>
        <x:v>1</x:v>
      </x:c>
      <x:c r="N112" s="79" t="n">
        <x:f>B112</x:f>
        <x:v>10</x:v>
      </x:c>
      <x:c r="O112" s="62" t="n">
        <x:f>O111+(IFERROR(VALUE(LEFT(K112,FIND("분",K112)-1))*60,0)+IFERROR(VALUE(TRIM(MID(K112,IFERROR(FIND("분",K112),0)+1,FIND("초",K112)-IFERROR(FIND("분",K112),0)-1))),0))/86400</x:f>
        <x:v>0.16481481481481491</x:v>
      </x:c>
      <x:c r="P112" s="65" t="str">
        <x:v>5-C | 균열 심층부</x:v>
      </x:c>
      <x:c r="Q112" s="61" t="n">
        <x:f>H112</x:f>
        <x:v>3</x:v>
      </x:c>
      <x:c r="R112" s="63" t="n">
        <x:f>R111+10</x:f>
        <x:v>913</x:v>
      </x:c>
    </x:row>
    <x:row r="113" ht="81.94999694824219" customHeight="1">
      <x:c r="A113" s="30">
        <x:v>1</x:v>
      </x:c>
      <x:c r="B113" s="30">
        <x:v>10</x:v>
      </x:c>
      <x:c r="C113" s="30">
        <x:v>112</x:v>
      </x:c>
      <x:c r="D113" s="30" t="s">
        <x:v>646</x:v>
      </x:c>
      <x:c r="E113" s="30" t="s">
        <x:v>647</x:v>
      </x:c>
      <x:c r="F113" s="30" t="s">
        <x:v>648</x:v>
      </x:c>
      <x:c r="G113" s="30" t="s">
        <x:v>649</x:v>
      </x:c>
      <x:c r="H113" s="30">
        <x:v>3</x:v>
      </x:c>
      <x:c r="I113" s="30" t="s">
        <x:v>650</x:v>
      </x:c>
      <x:c r="J113" s="30" t="s">
        <x:v>17</x:v>
      </x:c>
      <x:c r="K113" s="30" t="s">
        <x:v>130</x:v>
      </x:c>
      <x:c r="L113" s="30" t="s">
        <x:v>651</x:v>
      </x:c>
      <x:c r="M113" s="66" t="n">
        <x:f>A113</x:f>
        <x:v>1</x:v>
      </x:c>
      <x:c r="N113" s="79" t="n">
        <x:f>B113</x:f>
        <x:v>10</x:v>
      </x:c>
      <x:c r="O113" s="62" t="n">
        <x:f>O112+(IFERROR(VALUE(LEFT(K113,FIND("분",K113)-1))*60,0)+IFERROR(VALUE(TRIM(MID(K113,IFERROR(FIND("분",K113),0)+1,FIND("초",K113)-IFERROR(FIND("분",K113),0)-1))),0))/86400</x:f>
        <x:v>0.16655092592592602</x:v>
      </x:c>
      <x:c r="P113" s="65" t="str">
        <x:v>5-C | 균열 심층부</x:v>
      </x:c>
      <x:c r="Q113" s="61" t="n">
        <x:f>H113</x:f>
        <x:v>3</x:v>
      </x:c>
      <x:c r="R113" s="63" t="n">
        <x:f>R112+9</x:f>
        <x:v>922</x:v>
      </x:c>
    </x:row>
    <x:row r="114" ht="81.94999694824219" customHeight="1">
      <x:c r="A114" s="30">
        <x:v>4</x:v>
      </x:c>
      <x:c r="B114" s="30">
        <x:v>10</x:v>
      </x:c>
      <x:c r="C114" s="30">
        <x:v>113</x:v>
      </x:c>
      <x:c r="D114" s="30" t="s">
        <x:v>652</x:v>
      </x:c>
      <x:c r="E114" s="30" t="s">
        <x:v>653</x:v>
      </x:c>
      <x:c r="F114" s="30" t="s">
        <x:v>654</x:v>
      </x:c>
      <x:c r="G114" s="30" t="s">
        <x:v>655</x:v>
      </x:c>
      <x:c r="H114" s="30">
        <x:v>5</x:v>
      </x:c>
      <x:c r="I114" s="30" t="s">
        <x:v>656</x:v>
      </x:c>
      <x:c r="J114" s="30" t="s">
        <x:v>657</x:v>
      </x:c>
      <x:c r="K114" s="30" t="s">
        <x:v>374</x:v>
      </x:c>
      <x:c r="L114" s="30" t="s">
        <x:v>658</x:v>
      </x:c>
      <x:c r="M114" s="73" t="n">
        <x:f>A114</x:f>
        <x:v>4</x:v>
      </x:c>
      <x:c r="N114" s="79" t="n">
        <x:f>B114</x:f>
        <x:v>10</x:v>
      </x:c>
      <x:c r="O114" s="62" t="n">
        <x:f>O113+(IFERROR(VALUE(LEFT(K114,FIND("분",K114)-1))*60,0)+IFERROR(VALUE(TRIM(MID(K114,IFERROR(FIND("분",K114),0)+1,FIND("초",K114)-IFERROR(FIND("분",K114),0)-1))),0))/86400</x:f>
        <x:v>0.16886574074074084</x:v>
      </x:c>
      <x:c r="P114" s="65" t="str">
        <x:v>5-C | 균열 심층부</x:v>
      </x:c>
      <x:c r="Q114" s="61" t="n">
        <x:f>H114</x:f>
        <x:v>5</x:v>
      </x:c>
      <x:c r="R114" s="63" t="n">
        <x:f>R113+12</x:f>
        <x:v>934</x:v>
      </x:c>
    </x:row>
    <x:row r="115" ht="81.94999694824219" customHeight="1">
      <x:c r="A115" s="30">
        <x:v>7</x:v>
      </x:c>
      <x:c r="B115" s="30">
        <x:v>10</x:v>
      </x:c>
      <x:c r="C115" s="30">
        <x:v>114</x:v>
      </x:c>
      <x:c r="D115" s="30" t="s">
        <x:v>659</x:v>
      </x:c>
      <x:c r="E115" s="30" t="s">
        <x:v>660</x:v>
      </x:c>
      <x:c r="F115" s="30" t="s">
        <x:v>661</x:v>
      </x:c>
      <x:c r="G115" s="30" t="s">
        <x:v>662</x:v>
      </x:c>
      <x:c r="H115" s="30">
        <x:v>4</x:v>
      </x:c>
      <x:c r="I115" s="30" t="s">
        <x:v>663</x:v>
      </x:c>
      <x:c r="J115" s="30" t="s">
        <x:v>664</x:v>
      </x:c>
      <x:c r="K115" s="30" t="s">
        <x:v>184</x:v>
      </x:c>
      <x:c r="L115" s="30" t="s">
        <x:v>665</x:v>
      </x:c>
      <x:c r="M115" s="77" t="n">
        <x:f>A115</x:f>
        <x:v>7</x:v>
      </x:c>
      <x:c r="N115" s="79" t="n">
        <x:f>B115</x:f>
        <x:v>10</x:v>
      </x:c>
      <x:c r="O115" s="62" t="n">
        <x:f>O114+(IFERROR(VALUE(LEFT(K115,FIND("분",K115)-1))*60,0)+IFERROR(VALUE(TRIM(MID(K115,IFERROR(FIND("분",K115),0)+1,FIND("초",K115)-IFERROR(FIND("분",K115),0)-1))),0))/86400</x:f>
        <x:v>0.17094907407407417</x:v>
      </x:c>
      <x:c r="P115" s="65" t="str">
        <x:v>5-C | 균열 심층부</x:v>
      </x:c>
      <x:c r="Q115" s="61" t="n">
        <x:f>H115</x:f>
        <x:v>4</x:v>
      </x:c>
      <x:c r="R115" s="63" t="n">
        <x:f>R114+12</x:f>
        <x:v>946</x:v>
      </x:c>
    </x:row>
    <x:row r="116" ht="81.94999694824219" customHeight="1">
      <x:c r="A116" s="30">
        <x:v>6</x:v>
      </x:c>
      <x:c r="B116" s="30">
        <x:v>10</x:v>
      </x:c>
      <x:c r="C116" s="30">
        <x:v>115</x:v>
      </x:c>
      <x:c r="D116" s="30" t="s">
        <x:v>666</x:v>
      </x:c>
      <x:c r="E116" s="30" t="s">
        <x:v>667</x:v>
      </x:c>
      <x:c r="F116" s="30" t="s">
        <x:v>668</x:v>
      </x:c>
      <x:c r="G116" s="30" t="s">
        <x:v>669</x:v>
      </x:c>
      <x:c r="H116" s="30">
        <x:v>6</x:v>
      </x:c>
      <x:c r="I116" s="30" t="s">
        <x:v>670</x:v>
      </x:c>
      <x:c r="J116" s="30" t="s">
        <x:v>671</x:v>
      </x:c>
      <x:c r="K116" s="30" t="s">
        <x:v>390</x:v>
      </x:c>
      <x:c r="L116" s="30" t="s">
        <x:v>672</x:v>
      </x:c>
      <x:c r="M116" s="76" t="n">
        <x:f>A116</x:f>
        <x:v>6</x:v>
      </x:c>
      <x:c r="N116" s="79" t="n">
        <x:f>B116</x:f>
        <x:v>10</x:v>
      </x:c>
      <x:c r="O116" s="62" t="n">
        <x:f>O115+(IFERROR(VALUE(LEFT(K116,FIND("분",K116)-1))*60,0)+IFERROR(VALUE(TRIM(MID(K116,IFERROR(FIND("분",K116),0)+1,FIND("초",K116)-IFERROR(FIND("분",K116),0)-1))),0))/86400</x:f>
        <x:v>0.17349537037037047</x:v>
      </x:c>
      <x:c r="P116" s="65" t="str">
        <x:v>5-C | 균열 심층부</x:v>
      </x:c>
      <x:c r="Q116" s="61" t="n">
        <x:f>H116</x:f>
        <x:v>6</x:v>
      </x:c>
      <x:c r="R116" s="63" t="n">
        <x:f>R115+14</x:f>
        <x:v>960</x:v>
      </x:c>
    </x:row>
    <x:row r="117" ht="81.94999694824219" customHeight="1">
      <x:c r="A117" s="30">
        <x:v>1</x:v>
      </x:c>
      <x:c r="B117" s="30">
        <x:v>10</x:v>
      </x:c>
      <x:c r="C117" s="30">
        <x:v>116</x:v>
      </x:c>
      <x:c r="D117" s="30" t="s">
        <x:v>673</x:v>
      </x:c>
      <x:c r="E117" s="30" t="s">
        <x:v>674</x:v>
      </x:c>
      <x:c r="F117" s="30" t="s">
        <x:v>675</x:v>
      </x:c>
      <x:c r="G117" s="30" t="s">
        <x:v>676</x:v>
      </x:c>
      <x:c r="H117" s="30">
        <x:v>1</x:v>
      </x:c>
      <x:c r="I117" s="30" t="s">
        <x:v>677</x:v>
      </x:c>
      <x:c r="J117" s="30" t="s">
        <x:v>17</x:v>
      </x:c>
      <x:c r="K117" s="30" t="s">
        <x:v>91</x:v>
      </x:c>
      <x:c r="L117" s="30" t="s">
        <x:v>678</x:v>
      </x:c>
      <x:c r="M117" s="66" t="n">
        <x:f>A117</x:f>
        <x:v>1</x:v>
      </x:c>
      <x:c r="N117" s="79" t="n">
        <x:f>B117</x:f>
        <x:v>10</x:v>
      </x:c>
      <x:c r="O117" s="62" t="n">
        <x:f>O116+(IFERROR(VALUE(LEFT(K117,FIND("분",K117)-1))*60,0)+IFERROR(VALUE(TRIM(MID(K117,IFERROR(FIND("분",K117),0)+1,FIND("초",K117)-IFERROR(FIND("분",K117),0)-1))),0))/86400</x:f>
        <x:v>0.17488425925925935</x:v>
      </x:c>
      <x:c r="P117" s="65" t="str">
        <x:v>5-D | 최종 선택·후일담</x:v>
      </x:c>
      <x:c r="Q117" s="61" t="n">
        <x:f>H117</x:f>
        <x:v>1</x:v>
      </x:c>
      <x:c r="R117" s="63" t="n">
        <x:f>R116+8</x:f>
        <x:v>968</x:v>
      </x:c>
    </x:row>
    <x:row r="118" ht="81.94999694824219" customHeight="1">
      <x:c r="A118" s="30">
        <x:v>1</x:v>
      </x:c>
      <x:c r="B118" s="30">
        <x:v>10</x:v>
      </x:c>
      <x:c r="C118" s="30">
        <x:v>117</x:v>
      </x:c>
      <x:c r="D118" s="30" t="s">
        <x:v>679</x:v>
      </x:c>
      <x:c r="E118" s="30" t="s">
        <x:v>680</x:v>
      </x:c>
      <x:c r="F118" s="30" t="s">
        <x:v>681</x:v>
      </x:c>
      <x:c r="G118" s="30" t="s">
        <x:v>682</x:v>
      </x:c>
      <x:c r="H118" s="30">
        <x:v>4</x:v>
      </x:c>
      <x:c r="I118" s="30" t="s">
        <x:v>683</x:v>
      </x:c>
      <x:c r="J118" s="30" t="s">
        <x:v>17</x:v>
      </x:c>
      <x:c r="K118" s="30" t="s">
        <x:v>130</x:v>
      </x:c>
      <x:c r="L118" s="30" t="s">
        <x:v>684</x:v>
      </x:c>
      <x:c r="M118" s="66" t="n">
        <x:f>A118</x:f>
        <x:v>1</x:v>
      </x:c>
      <x:c r="N118" s="79" t="n">
        <x:f>B118</x:f>
        <x:v>10</x:v>
      </x:c>
      <x:c r="O118" s="62" t="n">
        <x:f>O117+(IFERROR(VALUE(LEFT(K118,FIND("분",K118)-1))*60,0)+IFERROR(VALUE(TRIM(MID(K118,IFERROR(FIND("분",K118),0)+1,FIND("초",K118)-IFERROR(FIND("분",K118),0)-1))),0))/86400</x:f>
        <x:v>0.17662037037037046</x:v>
      </x:c>
      <x:c r="P118" s="65" t="str">
        <x:v>5-D | 최종 선택·후일담</x:v>
      </x:c>
      <x:c r="Q118" s="61" t="n">
        <x:f>H118</x:f>
        <x:v>4</x:v>
      </x:c>
      <x:c r="R118" s="63" t="n">
        <x:f>R117+10</x:f>
        <x:v>978</x:v>
      </x:c>
    </x:row>
    <x:row r="119" ht="81.94999694824219" customHeight="1">
      <x:c r="A119" s="30">
        <x:v>1</x:v>
      </x:c>
      <x:c r="B119" s="30">
        <x:v>9</x:v>
      </x:c>
      <x:c r="C119" s="30">
        <x:v>118</x:v>
      </x:c>
      <x:c r="D119" s="30" t="s">
        <x:v>685</x:v>
      </x:c>
      <x:c r="E119" s="30" t="s">
        <x:v>680</x:v>
      </x:c>
      <x:c r="F119" s="30" t="s">
        <x:v>686</x:v>
      </x:c>
      <x:c r="G119" s="30" t="s">
        <x:v>687</x:v>
      </x:c>
      <x:c r="H119" s="30">
        <x:v>5</x:v>
      </x:c>
      <x:c r="I119" s="30" t="s">
        <x:v>683</x:v>
      </x:c>
      <x:c r="J119" s="30" t="s">
        <x:v>17</x:v>
      </x:c>
      <x:c r="K119" s="30" t="s">
        <x:v>405</x:v>
      </x:c>
      <x:c r="L119" s="30" t="s">
        <x:v>684</x:v>
      </x:c>
      <x:c r="M119" s="66" t="n">
        <x:f>A119</x:f>
        <x:v>1</x:v>
      </x:c>
      <x:c r="N119" s="75" t="n">
        <x:f>B119</x:f>
        <x:v>9</x:v>
      </x:c>
      <x:c r="O119" s="62" t="n">
        <x:f>O118+(IFERROR(VALUE(LEFT(K119,FIND("분",K119)-1))*60,0)+IFERROR(VALUE(TRIM(MID(K119,IFERROR(FIND("분",K119),0)+1,FIND("초",K119)-IFERROR(FIND("분",K119),0)-1))),0))/86400</x:f>
        <x:v>0.17939814814814822</x:v>
      </x:c>
      <x:c r="P119" s="65" t="str">
        <x:v>5-D | 최종 선택·후일담</x:v>
      </x:c>
      <x:c r="Q119" s="61" t="n">
        <x:f>H119</x:f>
        <x:v>5</x:v>
      </x:c>
      <x:c r="R119" s="63" t="n">
        <x:f>R118+12</x:f>
        <x:v>990</x:v>
      </x:c>
    </x:row>
    <x:row r="120" ht="81.94999694824219" customHeight="1">
      <x:c r="A120" s="30">
        <x:v>1</x:v>
      </x:c>
      <x:c r="B120" s="30">
        <x:v>9</x:v>
      </x:c>
      <x:c r="C120" s="30">
        <x:v>119</x:v>
      </x:c>
      <x:c r="D120" s="30" t="s">
        <x:v>688</x:v>
      </x:c>
      <x:c r="E120" s="30" t="s">
        <x:v>689</x:v>
      </x:c>
      <x:c r="F120" s="30" t="s">
        <x:v>690</x:v>
      </x:c>
      <x:c r="G120" s="30" t="s">
        <x:v>691</x:v>
      </x:c>
      <x:c r="H120" s="30">
        <x:v>1</x:v>
      </x:c>
      <x:c r="I120" s="30" t="s">
        <x:v>692</x:v>
      </x:c>
      <x:c r="J120" s="30" t="s">
        <x:v>17</x:v>
      </x:c>
      <x:c r="K120" s="30" t="s">
        <x:v>184</x:v>
      </x:c>
      <x:c r="L120" s="30" t="s">
        <x:v>693</x:v>
      </x:c>
      <x:c r="M120" s="66" t="n">
        <x:f>A120</x:f>
        <x:v>1</x:v>
      </x:c>
      <x:c r="N120" s="75" t="n">
        <x:f>B120</x:f>
        <x:v>9</x:v>
      </x:c>
      <x:c r="O120" s="62" t="n">
        <x:f>O119+(IFERROR(VALUE(LEFT(K120,FIND("분",K120)-1))*60,0)+IFERROR(VALUE(TRIM(MID(K120,IFERROR(FIND("분",K120),0)+1,FIND("초",K120)-IFERROR(FIND("분",K120),0)-1))),0))/86400</x:f>
        <x:v>0.18148148148148155</x:v>
      </x:c>
      <x:c r="P120" s="65" t="str">
        <x:v>5-D | 최종 선택·후일담</x:v>
      </x:c>
      <x:c r="Q120" s="61" t="n">
        <x:f>H120</x:f>
        <x:v>1</x:v>
      </x:c>
      <x:c r="R120" s="63" t="n">
        <x:f>R119+10</x:f>
        <x:v>1000</x:v>
      </x:c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</x:row>
  </x:sheetData>
  <x:conditionalFormatting sqref="A2:A120">
    <x:cfRule type="colorScale" priority="1">
      <x:colorScale>
        <x:cfvo type="min"/>
        <x:cfvo type="percentile" val="50"/>
        <x:cfvo type="max"/>
        <x:color rgb="ffdceeff"/>
        <x:color rgb="fffff2cc"/>
        <x:color rgb="fff8cbad"/>
      </x:colorScale>
    </x:cfRule>
  </x:conditionalFormatting>
  <x:conditionalFormatting sqref="B2:B120">
    <x:cfRule type="colorScale" priority="2">
      <x:colorScale>
        <x:cfvo type="min"/>
        <x:cfvo type="percentile" val="50"/>
        <x:cfvo type="max"/>
        <x:color rgb="fffce4d6"/>
        <x:color rgb="fffff2cc"/>
        <x:color rgb="ffc6e0b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4a31788a1af41cd"/>
  </x:tableParts>
</x:worksheet>
</file>

<file path=xl/worksheets/sheet2.xml><?xml version="1.0" encoding="utf-8"?>
<x:worksheet xmlns:x="http://schemas.openxmlformats.org/spreadsheetml/2006/main">
  <x:sheetFormatPr defaultColWidth="8.93359375" defaultRowHeight="13.550000190734863"/>
  <x:cols>
    <x:col min="1" max="1" width="20" customWidth="1"/>
    <x:col min="2" max="2" width="42" customWidth="1"/>
    <x:col min="3" max="3" width="22" customWidth="1"/>
    <x:col min="4" max="4" width="50" customWidth="1"/>
  </x:cols>
  <x:sheetData>
    <x:row r="1" ht="19.549999237060547">
      <x:c r="A1" s="31" t="s">
        <x:v>694</x:v>
      </x:c>
      <x:c r="B1" s="31"/>
      <x:c r="C1" s="31"/>
      <x:c r="D1" s="31"/>
    </x:row>
    <x:row r="3">
      <x:c r="A3" s="1" t="s">
        <x:v>695</x:v>
      </x:c>
      <x:c r="B3" s="2" t="s">
        <x:v>696</x:v>
      </x:c>
      <x:c r="C3" s="2" t="s">
        <x:v>697</x:v>
      </x:c>
      <x:c r="D3" s="3" t="s">
        <x:v>698</x:v>
      </x:c>
    </x:row>
    <x:row r="4" ht="57.95000076293945" customHeight="1">
      <x:c r="A4" s="5" t="s">
        <x:v>699</x:v>
      </x:c>
      <x:c r="B4" s="6" t="s">
        <x:v>700</x:v>
      </x:c>
      <x:c r="C4" s="6" t="s">
        <x:v>701</x:v>
      </x:c>
      <x:c r="D4" s="7" t="s">
        <x:v>702</x:v>
      </x:c>
    </x:row>
    <x:row r="5" ht="57.95000076293945" customHeight="1">
      <x:c r="A5" s="8" t="s">
        <x:v>703</x:v>
      </x:c>
      <x:c r="B5" s="4" t="s">
        <x:v>704</x:v>
      </x:c>
      <x:c r="C5" s="4" t="s">
        <x:v>701</x:v>
      </x:c>
      <x:c r="D5" s="9" t="s">
        <x:v>705</x:v>
      </x:c>
    </x:row>
    <x:row r="6" ht="57.95000076293945" customHeight="1">
      <x:c r="A6" s="8" t="s">
        <x:v>706</x:v>
      </x:c>
      <x:c r="B6" s="4" t="s">
        <x:v>707</x:v>
      </x:c>
      <x:c r="C6" s="4" t="s">
        <x:v>708</x:v>
      </x:c>
      <x:c r="D6" s="9" t="s">
        <x:v>709</x:v>
      </x:c>
    </x:row>
    <x:row r="7" ht="57.95000076293945" customHeight="1">
      <x:c r="A7" s="8" t="s">
        <x:v>710</x:v>
      </x:c>
      <x:c r="B7" s="4" t="s">
        <x:v>711</x:v>
      </x:c>
      <x:c r="C7" s="4" t="s">
        <x:v>712</x:v>
      </x:c>
      <x:c r="D7" s="9" t="s">
        <x:v>713</x:v>
      </x:c>
    </x:row>
    <x:row r="8" ht="57.95000076293945" customHeight="1">
      <x:c r="A8" s="8" t="s">
        <x:v>714</x:v>
      </x:c>
      <x:c r="B8" s="4" t="s">
        <x:v>715</x:v>
      </x:c>
      <x:c r="C8" s="4" t="s">
        <x:v>716</x:v>
      </x:c>
      <x:c r="D8" s="9" t="s">
        <x:v>717</x:v>
      </x:c>
    </x:row>
    <x:row r="9" ht="57.95000076293945" customHeight="1">
      <x:c r="A9" s="8" t="s">
        <x:v>718</x:v>
      </x:c>
      <x:c r="B9" s="4" t="s">
        <x:v>719</x:v>
      </x:c>
      <x:c r="C9" s="4" t="s">
        <x:v>720</x:v>
      </x:c>
      <x:c r="D9" s="9" t="s">
        <x:v>721</x:v>
      </x:c>
    </x:row>
    <x:row r="10" ht="57.95000076293945" customHeight="1">
      <x:c r="A10" s="8" t="s">
        <x:v>722</x:v>
      </x:c>
      <x:c r="B10" s="4" t="s">
        <x:v>723</x:v>
      </x:c>
      <x:c r="C10" s="4" t="s">
        <x:v>724</x:v>
      </x:c>
      <x:c r="D10" s="9" t="s">
        <x:v>725</x:v>
      </x:c>
    </x:row>
    <x:row r="11" ht="57.95000076293945" customHeight="1">
      <x:c r="A11" s="8" t="s">
        <x:v>726</x:v>
      </x:c>
      <x:c r="B11" s="4" t="s">
        <x:v>727</x:v>
      </x:c>
      <x:c r="C11" s="4" t="s">
        <x:v>728</x:v>
      </x:c>
      <x:c r="D11" s="9" t="s">
        <x:v>729</x:v>
      </x:c>
    </x:row>
    <x:row r="12" ht="57.95000076293945" customHeight="1">
      <x:c r="A12" s="8" t="s">
        <x:v>730</x:v>
      </x:c>
      <x:c r="B12" s="4" t="s">
        <x:v>731</x:v>
      </x:c>
      <x:c r="C12" s="4" t="s">
        <x:v>732</x:v>
      </x:c>
      <x:c r="D12" s="9" t="s">
        <x:v>733</x:v>
      </x:c>
    </x:row>
    <x:row r="13" ht="57.95000076293945" customHeight="1">
      <x:c r="A13" s="8" t="s">
        <x:v>734</x:v>
      </x:c>
      <x:c r="B13" s="4" t="s">
        <x:v>735</x:v>
      </x:c>
      <x:c r="C13" s="4" t="s">
        <x:v>736</x:v>
      </x:c>
      <x:c r="D13" s="9" t="s">
        <x:v>737</x:v>
      </x:c>
    </x:row>
    <x:row r="14" ht="57.95000076293945" customHeight="1">
      <x:c r="A14" s="8" t="s">
        <x:v>738</x:v>
      </x:c>
      <x:c r="B14" s="4" t="s">
        <x:v>739</x:v>
      </x:c>
      <x:c r="C14" s="4" t="s">
        <x:v>740</x:v>
      </x:c>
      <x:c r="D14" s="9" t="s">
        <x:v>741</x:v>
      </x:c>
    </x:row>
    <x:row r="15" ht="57.95000076293945" customHeight="1">
      <x:c r="A15" s="8" t="s">
        <x:v>742</x:v>
      </x:c>
      <x:c r="B15" s="4" t="s">
        <x:v>743</x:v>
      </x:c>
      <x:c r="C15" s="4" t="s">
        <x:v>744</x:v>
      </x:c>
      <x:c r="D15" s="9" t="s">
        <x:v>745</x:v>
      </x:c>
    </x:row>
    <x:row r="16" ht="57.95000076293945" customHeight="1">
      <x:c r="A16" s="8" t="s">
        <x:v>746</x:v>
      </x:c>
      <x:c r="B16" s="4" t="s">
        <x:v>747</x:v>
      </x:c>
      <x:c r="C16" s="4" t="s">
        <x:v>748</x:v>
      </x:c>
      <x:c r="D16" s="9" t="s">
        <x:v>749</x:v>
      </x:c>
    </x:row>
    <x:row r="17" ht="57.95000076293945" customHeight="1">
      <x:c r="A17" s="8" t="s">
        <x:v>750</x:v>
      </x:c>
      <x:c r="B17" s="4" t="s">
        <x:v>751</x:v>
      </x:c>
      <x:c r="C17" s="4" t="s">
        <x:v>748</x:v>
      </x:c>
      <x:c r="D17" s="9" t="s">
        <x:v>752</x:v>
      </x:c>
    </x:row>
    <x:row r="18" ht="57.95000076293945" customHeight="1">
      <x:c r="A18" s="10" t="s">
        <x:v>753</x:v>
      </x:c>
      <x:c r="B18" s="11" t="s">
        <x:v>754</x:v>
      </x:c>
      <x:c r="C18" s="11" t="s">
        <x:v>755</x:v>
      </x:c>
      <x:c r="D18" s="12" t="s">
        <x:v>756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93359375" defaultRowHeight="13.550000190734863"/>
  <x:cols>
    <x:col min="1" max="1" width="25" customWidth="1"/>
    <x:col min="2" max="2" width="14" customWidth="1"/>
    <x:col min="3" max="3" width="18" customWidth="1"/>
    <x:col min="4" max="4" width="14" customWidth="1"/>
    <x:col min="5" max="5" width="20" customWidth="1"/>
    <x:col min="6" max="10" width="12" customWidth="1"/>
  </x:cols>
  <x:sheetData>
    <x:row r="1" ht="19.549999237060547">
      <x:c r="A1" s="28" t="s">
        <x:v>757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3" ht="32.099998474121094" customHeight="1">
      <x:c r="A3" s="13" t="s">
        <x:v>758</x:v>
      </x:c>
      <x:c r="B3" s="14">
        <x:v>119</x:v>
      </x:c>
      <x:c r="C3" s="14" t="s">
        <x:v>759</x:v>
      </x:c>
      <x:c r="D3" s="16" t="n">
        <x:f>AVERAGE('밸런스 문서'!A2:A120)</x:f>
        <x:v>2.907563025210084</x:v>
      </x:c>
      <x:c r="E3" s="16" t="s">
        <x:v>760</x:v>
      </x:c>
      <x:c r="F3" s="16" t="n">
        <x:f>AVERAGE('밸런스 문서'!B2:B120)</x:f>
        <x:v>7.277310924369748</x:v>
      </x:c>
      <x:c r="G3" s="14" t="s">
        <x:v>761</x:v>
      </x:c>
      <x:c r="H3" s="14" t="n">
        <x:f>MAX('밸런스 문서'!A2:A120)</x:f>
        <x:v>10</x:v>
      </x:c>
      <x:c r="I3" s="14" t="s">
        <x:v>762</x:v>
      </x:c>
      <x:c r="J3" s="15" t="n">
        <x:f>MAX('밸런스 문서'!B2:B120)</x:f>
        <x:v>10</x:v>
      </x:c>
    </x:row>
    <x:row r="5">
      <x:c r="A5" s="1" t="s">
        <x:v>763</x:v>
      </x:c>
      <x:c r="B5" s="2" t="s">
        <x:v>764</x:v>
      </x:c>
      <x:c r="C5" s="2" t="s">
        <x:v>759</x:v>
      </x:c>
      <x:c r="D5" s="2" t="s">
        <x:v>760</x:v>
      </x:c>
      <x:c r="E5" s="3" t="s">
        <x:v>765</x:v>
      </x:c>
    </x:row>
    <x:row r="6" ht="24.950000762939453" customHeight="1">
      <x:c r="A6" s="17" t="s">
        <x:v>766</x:v>
      </x:c>
      <x:c r="B6" s="18">
        <x:v>25</x:v>
      </x:c>
      <x:c r="C6" s="26" t="n">
        <x:f>AVERAGE('밸런스 문서'!A2:A26)</x:f>
        <x:v>1.76</x:v>
      </x:c>
      <x:c r="D6" s="26" t="n">
        <x:f>AVERAGE('밸런스 문서'!B2:B26)</x:f>
        <x:v>5.44</x:v>
      </x:c>
      <x:c r="E6" s="19">
        <x:v>6</x:v>
      </x:c>
    </x:row>
    <x:row r="7" ht="24.950000762939453" customHeight="1">
      <x:c r="A7" s="20" t="s">
        <x:v>767</x:v>
      </x:c>
      <x:c r="B7" s="21">
        <x:v>23</x:v>
      </x:c>
      <x:c r="C7" s="28" t="n">
        <x:f>AVERAGE('밸런스 문서'!A27:A49)</x:f>
        <x:v>1.7826086956521738</x:v>
      </x:c>
      <x:c r="D7" s="28" t="n">
        <x:f>AVERAGE('밸런스 문서'!B27:B49)</x:f>
        <x:v>6.130434782608695</x:v>
      </x:c>
      <x:c r="E7" s="22">
        <x:v>7</x:v>
      </x:c>
    </x:row>
    <x:row r="8" ht="24.950000762939453" customHeight="1">
      <x:c r="A8" s="20" t="s">
        <x:v>768</x:v>
      </x:c>
      <x:c r="B8" s="21">
        <x:v>26</x:v>
      </x:c>
      <x:c r="C8" s="28" t="n">
        <x:f>AVERAGE('밸런스 문서'!A50:A75)</x:f>
        <x:v>3.1538461538461537</x:v>
      </x:c>
      <x:c r="D8" s="28" t="n">
        <x:f>AVERAGE('밸런스 문서'!B50:B75)</x:f>
        <x:v>7.730769230769231</x:v>
      </x:c>
      <x:c r="E8" s="22">
        <x:v>7</x:v>
      </x:c>
    </x:row>
    <x:row r="9" ht="24.950000762939453" customHeight="1">
      <x:c r="A9" s="20" t="s">
        <x:v>769</x:v>
      </x:c>
      <x:c r="B9" s="21">
        <x:v>26</x:v>
      </x:c>
      <x:c r="C9" s="28" t="n">
        <x:f>AVERAGE('밸런스 문서'!A76:A101)</x:f>
        <x:v>4.346153846153846</x:v>
      </x:c>
      <x:c r="D9" s="28" t="n">
        <x:f>AVERAGE('밸런스 문서'!B76:B101)</x:f>
        <x:v>7.884615384615385</x:v>
      </x:c>
      <x:c r="E9" s="22">
        <x:v>10</x:v>
      </x:c>
    </x:row>
    <x:row r="10" ht="24.950000762939453" customHeight="1">
      <x:c r="A10" s="23" t="s">
        <x:v>770</x:v>
      </x:c>
      <x:c r="B10" s="24">
        <x:v>19</x:v>
      </x:c>
      <x:c r="C10" s="28" t="n">
        <x:f>AVERAGE('밸런스 문서'!A102:A120)</x:f>
        <x:v>3.473684210526316</x:v>
      </x:c>
      <x:c r="D10" s="28" t="n">
        <x:f>AVERAGE('밸런스 문서'!B102:B120)</x:f>
        <x:v>9.631578947368421</x:v>
      </x:c>
      <x:c r="E10" s="25">
        <x:v>10</x:v>
      </x:c>
    </x:row>
    <x:row r="14">
      <x:c r="A14" s="1" t="s">
        <x:v>706</x:v>
      </x:c>
      <x:c r="B14" s="2" t="s">
        <x:v>699</x:v>
      </x:c>
      <x:c r="C14" s="3" t="s">
        <x:v>703</x:v>
      </x:c>
    </x:row>
    <x:row r="15">
      <x:c r="A15" s="28">
        <x:v>1</x:v>
      </x:c>
      <x:c r="B15" s="28">
        <x:v>1</x:v>
      </x:c>
      <x:c r="C15" s="28">
        <x:v>7</x:v>
      </x:c>
    </x:row>
    <x:row r="16">
      <x:c r="A16" s="28">
        <x:v>2</x:v>
      </x:c>
      <x:c r="B16" s="28">
        <x:v>1</x:v>
      </x:c>
      <x:c r="C16" s="28">
        <x:v>4</x:v>
      </x:c>
    </x:row>
    <x:row r="17">
      <x:c r="A17" s="28">
        <x:v>3</x:v>
      </x:c>
      <x:c r="B17" s="28">
        <x:v>1</x:v>
      </x:c>
      <x:c r="C17" s="28">
        <x:v>5</x:v>
      </x:c>
    </x:row>
    <x:row r="18">
      <x:c r="A18" s="28">
        <x:v>4</x:v>
      </x:c>
      <x:c r="B18" s="28">
        <x:v>1</x:v>
      </x:c>
      <x:c r="C18" s="28">
        <x:v>4</x:v>
      </x:c>
    </x:row>
    <x:row r="19">
      <x:c r="A19" s="28">
        <x:v>5</x:v>
      </x:c>
      <x:c r="B19" s="28">
        <x:v>1</x:v>
      </x:c>
      <x:c r="C19" s="28">
        <x:v>4</x:v>
      </x:c>
    </x:row>
    <x:row r="20">
      <x:c r="A20" s="28">
        <x:v>6</x:v>
      </x:c>
      <x:c r="B20" s="28">
        <x:v>1</x:v>
      </x:c>
      <x:c r="C20" s="28">
        <x:v>5</x:v>
      </x:c>
    </x:row>
    <x:row r="21">
      <x:c r="A21" s="28">
        <x:v>7</x:v>
      </x:c>
      <x:c r="B21" s="28">
        <x:v>2</x:v>
      </x:c>
      <x:c r="C21" s="28">
        <x:v>5</x:v>
      </x:c>
    </x:row>
    <x:row r="22">
      <x:c r="A22" s="28">
        <x:v>8</x:v>
      </x:c>
      <x:c r="B22" s="28">
        <x:v>2</x:v>
      </x:c>
      <x:c r="C22" s="28">
        <x:v>6</x:v>
      </x:c>
    </x:row>
    <x:row r="23">
      <x:c r="A23" s="28">
        <x:v>9</x:v>
      </x:c>
      <x:c r="B23" s="28">
        <x:v>1</x:v>
      </x:c>
      <x:c r="C23" s="28">
        <x:v>5</x:v>
      </x:c>
    </x:row>
    <x:row r="24">
      <x:c r="A24" s="28">
        <x:v>10</x:v>
      </x:c>
      <x:c r="B24" s="28">
        <x:v>1</x:v>
      </x:c>
      <x:c r="C24" s="28">
        <x:v>6</x:v>
      </x:c>
    </x:row>
    <x:row r="25">
      <x:c r="A25" s="28">
        <x:v>11</x:v>
      </x:c>
      <x:c r="B25" s="28">
        <x:v>2</x:v>
      </x:c>
      <x:c r="C25" s="28">
        <x:v>5</x:v>
      </x:c>
    </x:row>
    <x:row r="26">
      <x:c r="A26" s="28">
        <x:v>12</x:v>
      </x:c>
      <x:c r="B26" s="28">
        <x:v>2</x:v>
      </x:c>
      <x:c r="C26" s="28">
        <x:v>6</x:v>
      </x:c>
    </x:row>
    <x:row r="27">
      <x:c r="A27" s="28">
        <x:v>13</x:v>
      </x:c>
      <x:c r="B27" s="28">
        <x:v>1</x:v>
      </x:c>
      <x:c r="C27" s="28">
        <x:v>5</x:v>
      </x:c>
    </x:row>
    <x:row r="28">
      <x:c r="A28" s="28">
        <x:v>14</x:v>
      </x:c>
      <x:c r="B28" s="28">
        <x:v>2</x:v>
      </x:c>
      <x:c r="C28" s="28">
        <x:v>5</x:v>
      </x:c>
    </x:row>
    <x:row r="29">
      <x:c r="A29" s="28">
        <x:v>15</x:v>
      </x:c>
      <x:c r="B29" s="28">
        <x:v>2</x:v>
      </x:c>
      <x:c r="C29" s="28">
        <x:v>6</x:v>
      </x:c>
    </x:row>
    <x:row r="30">
      <x:c r="A30" s="28">
        <x:v>16</x:v>
      </x:c>
      <x:c r="B30" s="28">
        <x:v>1</x:v>
      </x:c>
      <x:c r="C30" s="28">
        <x:v>7</x:v>
      </x:c>
    </x:row>
    <x:row r="31">
      <x:c r="A31" s="28">
        <x:v>17</x:v>
      </x:c>
      <x:c r="B31" s="28">
        <x:v>5</x:v>
      </x:c>
      <x:c r="C31" s="28">
        <x:v>8</x:v>
      </x:c>
    </x:row>
    <x:row r="32">
      <x:c r="A32" s="28">
        <x:v>18</x:v>
      </x:c>
      <x:c r="B32" s="28">
        <x:v>4</x:v>
      </x:c>
      <x:c r="C32" s="28">
        <x:v>8</x:v>
      </x:c>
    </x:row>
    <x:row r="33">
      <x:c r="A33" s="28">
        <x:v>19</x:v>
      </x:c>
      <x:c r="B33" s="28">
        <x:v>2</x:v>
      </x:c>
      <x:c r="C33" s="28">
        <x:v>8</x:v>
      </x:c>
    </x:row>
    <x:row r="34">
      <x:c r="A34" s="28">
        <x:v>20</x:v>
      </x:c>
      <x:c r="B34" s="28">
        <x:v>1</x:v>
      </x:c>
      <x:c r="C34" s="28">
        <x:v>6</x:v>
      </x:c>
    </x:row>
    <x:row r="35">
      <x:c r="A35" s="28">
        <x:v>21</x:v>
      </x:c>
      <x:c r="B35" s="28">
        <x:v>2</x:v>
      </x:c>
      <x:c r="C35" s="28">
        <x:v>5</x:v>
      </x:c>
    </x:row>
    <x:row r="36">
      <x:c r="A36" s="28">
        <x:v>22</x:v>
      </x:c>
      <x:c r="B36" s="28">
        <x:v>2</x:v>
      </x:c>
      <x:c r="C36" s="28">
        <x:v>7</x:v>
      </x:c>
    </x:row>
    <x:row r="37">
      <x:c r="A37" s="28">
        <x:v>23</x:v>
      </x:c>
      <x:c r="B37" s="28">
        <x:v>3</x:v>
      </x:c>
      <x:c r="C37" s="28">
        <x:v>8</x:v>
      </x:c>
    </x:row>
    <x:row r="38">
      <x:c r="A38" s="28">
        <x:v>24</x:v>
      </x:c>
      <x:c r="B38" s="28">
        <x:v>1</x:v>
      </x:c>
      <x:c r="C38" s="28">
        <x:v>6</x:v>
      </x:c>
    </x:row>
    <x:row r="39">
      <x:c r="A39" s="28">
        <x:v>25</x:v>
      </x:c>
      <x:c r="B39" s="28">
        <x:v>2</x:v>
      </x:c>
      <x:c r="C39" s="28">
        <x:v>6</x:v>
      </x:c>
    </x:row>
    <x:row r="40">
      <x:c r="A40" s="28">
        <x:v>26</x:v>
      </x:c>
      <x:c r="B40" s="28">
        <x:v>1</x:v>
      </x:c>
      <x:c r="C40" s="28">
        <x:v>7</x:v>
      </x:c>
    </x:row>
    <x:row r="41">
      <x:c r="A41" s="28">
        <x:v>27</x:v>
      </x:c>
      <x:c r="B41" s="28">
        <x:v>1</x:v>
      </x:c>
      <x:c r="C41" s="28">
        <x:v>8</x:v>
      </x:c>
    </x:row>
    <x:row r="42">
      <x:c r="A42" s="28">
        <x:v>28</x:v>
      </x:c>
      <x:c r="B42" s="28">
        <x:v>1</x:v>
      </x:c>
      <x:c r="C42" s="28">
        <x:v>8</x:v>
      </x:c>
    </x:row>
    <x:row r="43">
      <x:c r="A43" s="28">
        <x:v>29</x:v>
      </x:c>
      <x:c r="B43" s="28">
        <x:v>2</x:v>
      </x:c>
      <x:c r="C43" s="28">
        <x:v>6</x:v>
      </x:c>
    </x:row>
    <x:row r="44">
      <x:c r="A44" s="28">
        <x:v>30</x:v>
      </x:c>
      <x:c r="B44" s="28">
        <x:v>1</x:v>
      </x:c>
      <x:c r="C44" s="28">
        <x:v>6</x:v>
      </x:c>
    </x:row>
    <x:row r="45">
      <x:c r="A45" s="28">
        <x:v>31</x:v>
      </x:c>
      <x:c r="B45" s="28">
        <x:v>2</x:v>
      </x:c>
      <x:c r="C45" s="28">
        <x:v>7</x:v>
      </x:c>
    </x:row>
    <x:row r="46">
      <x:c r="A46" s="28">
        <x:v>32</x:v>
      </x:c>
      <x:c r="B46" s="28">
        <x:v>2</x:v>
      </x:c>
      <x:c r="C46" s="28">
        <x:v>7</x:v>
      </x:c>
    </x:row>
    <x:row r="47">
      <x:c r="A47" s="28">
        <x:v>33</x:v>
      </x:c>
      <x:c r="B47" s="28">
        <x:v>3</x:v>
      </x:c>
      <x:c r="C47" s="28">
        <x:v>7</x:v>
      </x:c>
    </x:row>
    <x:row r="48">
      <x:c r="A48" s="28">
        <x:v>34</x:v>
      </x:c>
      <x:c r="B48" s="28">
        <x:v>1</x:v>
      </x:c>
      <x:c r="C48" s="28">
        <x:v>8</x:v>
      </x:c>
    </x:row>
    <x:row r="49">
      <x:c r="A49" s="28">
        <x:v>35</x:v>
      </x:c>
      <x:c r="B49" s="28">
        <x:v>2</x:v>
      </x:c>
      <x:c r="C49" s="28">
        <x:v>8</x:v>
      </x:c>
    </x:row>
    <x:row r="50">
      <x:c r="A50" s="28">
        <x:v>36</x:v>
      </x:c>
      <x:c r="B50" s="28">
        <x:v>2</x:v>
      </x:c>
      <x:c r="C50" s="28">
        <x:v>7</x:v>
      </x:c>
    </x:row>
    <x:row r="51">
      <x:c r="A51" s="28">
        <x:v>37</x:v>
      </x:c>
      <x:c r="B51" s="28">
        <x:v>3</x:v>
      </x:c>
      <x:c r="C51" s="28">
        <x:v>8</x:v>
      </x:c>
    </x:row>
    <x:row r="52">
      <x:c r="A52" s="28">
        <x:v>38</x:v>
      </x:c>
      <x:c r="B52" s="28">
        <x:v>1</x:v>
      </x:c>
      <x:c r="C52" s="28">
        <x:v>8</x:v>
      </x:c>
    </x:row>
    <x:row r="53">
      <x:c r="A53" s="28">
        <x:v>39</x:v>
      </x:c>
      <x:c r="B53" s="28">
        <x:v>2</x:v>
      </x:c>
      <x:c r="C53" s="28">
        <x:v>6</x:v>
      </x:c>
    </x:row>
    <x:row r="54">
      <x:c r="A54" s="28">
        <x:v>40</x:v>
      </x:c>
      <x:c r="B54" s="28">
        <x:v>2</x:v>
      </x:c>
      <x:c r="C54" s="28">
        <x:v>6</x:v>
      </x:c>
    </x:row>
    <x:row r="55">
      <x:c r="A55" s="28">
        <x:v>41</x:v>
      </x:c>
      <x:c r="B55" s="28">
        <x:v>2</x:v>
      </x:c>
      <x:c r="C55" s="28">
        <x:v>7</x:v>
      </x:c>
    </x:row>
    <x:row r="56">
      <x:c r="A56" s="28">
        <x:v>42</x:v>
      </x:c>
      <x:c r="B56" s="28">
        <x:v>3</x:v>
      </x:c>
      <x:c r="C56" s="28">
        <x:v>8</x:v>
      </x:c>
    </x:row>
    <x:row r="57">
      <x:c r="A57" s="28">
        <x:v>43</x:v>
      </x:c>
      <x:c r="B57" s="28">
        <x:v>3</x:v>
      </x:c>
      <x:c r="C57" s="28">
        <x:v>8</x:v>
      </x:c>
    </x:row>
    <x:row r="58">
      <x:c r="A58" s="28">
        <x:v>44</x:v>
      </x:c>
      <x:c r="B58" s="28">
        <x:v>2</x:v>
      </x:c>
      <x:c r="C58" s="28">
        <x:v>8</x:v>
      </x:c>
    </x:row>
    <x:row r="59">
      <x:c r="A59" s="28">
        <x:v>45</x:v>
      </x:c>
      <x:c r="B59" s="28">
        <x:v>1</x:v>
      </x:c>
      <x:c r="C59" s="28">
        <x:v>9</x:v>
      </x:c>
    </x:row>
    <x:row r="60">
      <x:c r="A60" s="28">
        <x:v>46</x:v>
      </x:c>
      <x:c r="B60" s="28">
        <x:v>2</x:v>
      </x:c>
      <x:c r="C60" s="28">
        <x:v>9</x:v>
      </x:c>
    </x:row>
    <x:row r="61">
      <x:c r="A61" s="28">
        <x:v>47</x:v>
      </x:c>
      <x:c r="B61" s="28">
        <x:v>2</x:v>
      </x:c>
      <x:c r="C61" s="28">
        <x:v>6</x:v>
      </x:c>
    </x:row>
    <x:row r="62">
      <x:c r="A62" s="28">
        <x:v>48</x:v>
      </x:c>
      <x:c r="B62" s="28">
        <x:v>1</x:v>
      </x:c>
      <x:c r="C62" s="28">
        <x:v>6</x:v>
      </x:c>
    </x:row>
    <x:row r="63">
      <x:c r="A63" s="28">
        <x:v>49</x:v>
      </x:c>
      <x:c r="B63" s="28">
        <x:v>1</x:v>
      </x:c>
      <x:c r="C63" s="28">
        <x:v>8</x:v>
      </x:c>
    </x:row>
    <x:row r="64">
      <x:c r="A64" s="28">
        <x:v>50</x:v>
      </x:c>
      <x:c r="B64" s="28">
        <x:v>2</x:v>
      </x:c>
      <x:c r="C64" s="28">
        <x:v>7</x:v>
      </x:c>
    </x:row>
    <x:row r="65">
      <x:c r="A65" s="28">
        <x:v>51</x:v>
      </x:c>
      <x:c r="B65" s="28">
        <x:v>3</x:v>
      </x:c>
      <x:c r="C65" s="28">
        <x:v>7</x:v>
      </x:c>
    </x:row>
    <x:row r="66">
      <x:c r="A66" s="28">
        <x:v>52</x:v>
      </x:c>
      <x:c r="B66" s="28">
        <x:v>4</x:v>
      </x:c>
      <x:c r="C66" s="28">
        <x:v>9</x:v>
      </x:c>
    </x:row>
    <x:row r="67">
      <x:c r="A67" s="28">
        <x:v>53</x:v>
      </x:c>
      <x:c r="B67" s="28">
        <x:v>4</x:v>
      </x:c>
      <x:c r="C67" s="28">
        <x:v>8</x:v>
      </x:c>
    </x:row>
    <x:row r="68">
      <x:c r="A68" s="28">
        <x:v>54</x:v>
      </x:c>
      <x:c r="B68" s="28">
        <x:v>5</x:v>
      </x:c>
      <x:c r="C68" s="28">
        <x:v>9</x:v>
      </x:c>
    </x:row>
    <x:row r="69">
      <x:c r="A69" s="28">
        <x:v>55</x:v>
      </x:c>
      <x:c r="B69" s="28">
        <x:v>5</x:v>
      </x:c>
      <x:c r="C69" s="28">
        <x:v>9</x:v>
      </x:c>
    </x:row>
    <x:row r="70">
      <x:c r="A70" s="28">
        <x:v>56</x:v>
      </x:c>
      <x:c r="B70" s="28">
        <x:v>4</x:v>
      </x:c>
      <x:c r="C70" s="28">
        <x:v>8</x:v>
      </x:c>
    </x:row>
    <x:row r="71">
      <x:c r="A71" s="28">
        <x:v>57</x:v>
      </x:c>
      <x:c r="B71" s="28">
        <x:v>6</x:v>
      </x:c>
      <x:c r="C71" s="28">
        <x:v>9</x:v>
      </x:c>
    </x:row>
    <x:row r="72">
      <x:c r="A72" s="28">
        <x:v>58</x:v>
      </x:c>
      <x:c r="B72" s="28">
        <x:v>2</x:v>
      </x:c>
      <x:c r="C72" s="28">
        <x:v>8</x:v>
      </x:c>
    </x:row>
    <x:row r="73">
      <x:c r="A73" s="28">
        <x:v>59</x:v>
      </x:c>
      <x:c r="B73" s="28">
        <x:v>3</x:v>
      </x:c>
      <x:c r="C73" s="28">
        <x:v>8</x:v>
      </x:c>
    </x:row>
    <x:row r="74">
      <x:c r="A74" s="28">
        <x:v>60</x:v>
      </x:c>
      <x:c r="B74" s="28">
        <x:v>1</x:v>
      </x:c>
      <x:c r="C74" s="28">
        <x:v>7</x:v>
      </x:c>
    </x:row>
    <x:row r="75">
      <x:c r="A75" s="28">
        <x:v>61</x:v>
      </x:c>
      <x:c r="B75" s="28">
        <x:v>2</x:v>
      </x:c>
      <x:c r="C75" s="28">
        <x:v>8</x:v>
      </x:c>
    </x:row>
    <x:row r="76">
      <x:c r="A76" s="28">
        <x:v>62</x:v>
      </x:c>
      <x:c r="B76" s="28">
        <x:v>2</x:v>
      </x:c>
      <x:c r="C76" s="28">
        <x:v>9</x:v>
      </x:c>
    </x:row>
    <x:row r="77">
      <x:c r="A77" s="28">
        <x:v>63</x:v>
      </x:c>
      <x:c r="B77" s="28">
        <x:v>1</x:v>
      </x:c>
      <x:c r="C77" s="28">
        <x:v>9</x:v>
      </x:c>
    </x:row>
    <x:row r="78">
      <x:c r="A78" s="28">
        <x:v>64</x:v>
      </x:c>
      <x:c r="B78" s="28">
        <x:v>1</x:v>
      </x:c>
      <x:c r="C78" s="28">
        <x:v>8</x:v>
      </x:c>
    </x:row>
    <x:row r="79">
      <x:c r="A79" s="28">
        <x:v>65</x:v>
      </x:c>
      <x:c r="B79" s="28">
        <x:v>1</x:v>
      </x:c>
      <x:c r="C79" s="28">
        <x:v>8</x:v>
      </x:c>
    </x:row>
    <x:row r="80">
      <x:c r="A80" s="28">
        <x:v>66</x:v>
      </x:c>
      <x:c r="B80" s="28">
        <x:v>4</x:v>
      </x:c>
      <x:c r="C80" s="28">
        <x:v>8</x:v>
      </x:c>
    </x:row>
    <x:row r="81">
      <x:c r="A81" s="28">
        <x:v>67</x:v>
      </x:c>
      <x:c r="B81" s="28">
        <x:v>4</x:v>
      </x:c>
      <x:c r="C81" s="28">
        <x:v>8</x:v>
      </x:c>
    </x:row>
    <x:row r="82">
      <x:c r="A82" s="28">
        <x:v>68</x:v>
      </x:c>
      <x:c r="B82" s="28">
        <x:v>6</x:v>
      </x:c>
      <x:c r="C82" s="28">
        <x:v>8</x:v>
      </x:c>
    </x:row>
    <x:row r="83">
      <x:c r="A83" s="28">
        <x:v>69</x:v>
      </x:c>
      <x:c r="B83" s="28">
        <x:v>5</x:v>
      </x:c>
      <x:c r="C83" s="28">
        <x:v>9</x:v>
      </x:c>
    </x:row>
    <x:row r="84">
      <x:c r="A84" s="28">
        <x:v>70</x:v>
      </x:c>
      <x:c r="B84" s="28">
        <x:v>6</x:v>
      </x:c>
      <x:c r="C84" s="28">
        <x:v>9</x:v>
      </x:c>
    </x:row>
    <x:row r="85">
      <x:c r="A85" s="28">
        <x:v>71</x:v>
      </x:c>
      <x:c r="B85" s="28">
        <x:v>1</x:v>
      </x:c>
      <x:c r="C85" s="28">
        <x:v>7</x:v>
      </x:c>
    </x:row>
    <x:row r="86">
      <x:c r="A86" s="28">
        <x:v>72</x:v>
      </x:c>
      <x:c r="B86" s="28">
        <x:v>4</x:v>
      </x:c>
      <x:c r="C86" s="28">
        <x:v>7</x:v>
      </x:c>
    </x:row>
    <x:row r="87">
      <x:c r="A87" s="28">
        <x:v>73</x:v>
      </x:c>
      <x:c r="B87" s="28">
        <x:v>1</x:v>
      </x:c>
      <x:c r="C87" s="28">
        <x:v>8</x:v>
      </x:c>
    </x:row>
    <x:row r="88">
      <x:c r="A88" s="28">
        <x:v>74</x:v>
      </x:c>
      <x:c r="B88" s="28">
        <x:v>3</x:v>
      </x:c>
      <x:c r="C88" s="28">
        <x:v>8</x:v>
      </x:c>
    </x:row>
    <x:row r="89">
      <x:c r="A89" s="28">
        <x:v>75</x:v>
      </x:c>
      <x:c r="B89" s="28">
        <x:v>1</x:v>
      </x:c>
      <x:c r="C89" s="28">
        <x:v>8</x:v>
      </x:c>
    </x:row>
    <x:row r="90">
      <x:c r="A90" s="28">
        <x:v>76</x:v>
      </x:c>
      <x:c r="B90" s="28">
        <x:v>2</x:v>
      </x:c>
      <x:c r="C90" s="28">
        <x:v>7</x:v>
      </x:c>
    </x:row>
    <x:row r="91">
      <x:c r="A91" s="28">
        <x:v>77</x:v>
      </x:c>
      <x:c r="B91" s="28">
        <x:v>2</x:v>
      </x:c>
      <x:c r="C91" s="28">
        <x:v>8</x:v>
      </x:c>
    </x:row>
    <x:row r="92">
      <x:c r="A92" s="28">
        <x:v>78</x:v>
      </x:c>
      <x:c r="B92" s="28">
        <x:v>3</x:v>
      </x:c>
      <x:c r="C92" s="28">
        <x:v>8</x:v>
      </x:c>
    </x:row>
    <x:row r="93">
      <x:c r="A93" s="28">
        <x:v>79</x:v>
      </x:c>
      <x:c r="B93" s="28">
        <x:v>4</x:v>
      </x:c>
      <x:c r="C93" s="28">
        <x:v>8</x:v>
      </x:c>
    </x:row>
    <x:row r="94">
      <x:c r="A94" s="28">
        <x:v>80</x:v>
      </x:c>
      <x:c r="B94" s="28">
        <x:v>4</x:v>
      </x:c>
      <x:c r="C94" s="28">
        <x:v>8</x:v>
      </x:c>
    </x:row>
    <x:row r="95">
      <x:c r="A95" s="28">
        <x:v>81</x:v>
      </x:c>
      <x:c r="B95" s="28">
        <x:v>6</x:v>
      </x:c>
      <x:c r="C95" s="28">
        <x:v>9</x:v>
      </x:c>
    </x:row>
    <x:row r="96">
      <x:c r="A96" s="28">
        <x:v>82</x:v>
      </x:c>
      <x:c r="B96" s="28">
        <x:v>3</x:v>
      </x:c>
      <x:c r="C96" s="28">
        <x:v>9</x:v>
      </x:c>
    </x:row>
    <x:row r="97">
      <x:c r="A97" s="28">
        <x:v>83</x:v>
      </x:c>
      <x:c r="B97" s="28">
        <x:v>5</x:v>
      </x:c>
      <x:c r="C97" s="28">
        <x:v>8</x:v>
      </x:c>
    </x:row>
    <x:row r="98">
      <x:c r="A98" s="28">
        <x:v>84</x:v>
      </x:c>
      <x:c r="B98" s="28">
        <x:v>4</x:v>
      </x:c>
      <x:c r="C98" s="28">
        <x:v>8</x:v>
      </x:c>
    </x:row>
    <x:row r="99">
      <x:c r="A99" s="28">
        <x:v>85</x:v>
      </x:c>
      <x:c r="B99" s="28">
        <x:v>3</x:v>
      </x:c>
      <x:c r="C99" s="28">
        <x:v>9</x:v>
      </x:c>
    </x:row>
    <x:row r="100">
      <x:c r="A100" s="28">
        <x:v>86</x:v>
      </x:c>
      <x:c r="B100" s="28">
        <x:v>6</x:v>
      </x:c>
      <x:c r="C100" s="28">
        <x:v>9</x:v>
      </x:c>
    </x:row>
    <x:row r="101">
      <x:c r="A101" s="28">
        <x:v>87</x:v>
      </x:c>
      <x:c r="B101" s="28">
        <x:v>5</x:v>
      </x:c>
      <x:c r="C101" s="28">
        <x:v>9</x:v>
      </x:c>
    </x:row>
    <x:row r="102">
      <x:c r="A102" s="28">
        <x:v>88</x:v>
      </x:c>
      <x:c r="B102" s="28">
        <x:v>5</x:v>
      </x:c>
      <x:c r="C102" s="28">
        <x:v>9</x:v>
      </x:c>
    </x:row>
    <x:row r="103">
      <x:c r="A103" s="28">
        <x:v>89</x:v>
      </x:c>
      <x:c r="B103" s="28">
        <x:v>5</x:v>
      </x:c>
      <x:c r="C103" s="28">
        <x:v>9</x:v>
      </x:c>
    </x:row>
    <x:row r="104">
      <x:c r="A104" s="28">
        <x:v>90</x:v>
      </x:c>
      <x:c r="B104" s="28">
        <x:v>5</x:v>
      </x:c>
      <x:c r="C104" s="28">
        <x:v>9</x:v>
      </x:c>
    </x:row>
    <x:row r="105">
      <x:c r="A105" s="28">
        <x:v>91</x:v>
      </x:c>
      <x:c r="B105" s="28">
        <x:v>3</x:v>
      </x:c>
      <x:c r="C105" s="28">
        <x:v>9</x:v>
      </x:c>
    </x:row>
    <x:row r="106">
      <x:c r="A106" s="28">
        <x:v>92</x:v>
      </x:c>
      <x:c r="B106" s="28">
        <x:v>8</x:v>
      </x:c>
      <x:c r="C106" s="28">
        <x:v>10</x:v>
      </x:c>
    </x:row>
    <x:row r="107">
      <x:c r="A107" s="28">
        <x:v>93</x:v>
      </x:c>
      <x:c r="B107" s="28">
        <x:v>8</x:v>
      </x:c>
      <x:c r="C107" s="28">
        <x:v>10</x:v>
      </x:c>
    </x:row>
    <x:row r="108">
      <x:c r="A108" s="28">
        <x:v>94</x:v>
      </x:c>
      <x:c r="B108" s="28">
        <x:v>9</x:v>
      </x:c>
      <x:c r="C108" s="28">
        <x:v>10</x:v>
      </x:c>
    </x:row>
    <x:row r="109">
      <x:c r="A109" s="28">
        <x:v>95</x:v>
      </x:c>
      <x:c r="B109" s="28">
        <x:v>8</x:v>
      </x:c>
      <x:c r="C109" s="28">
        <x:v>10</x:v>
      </x:c>
    </x:row>
    <x:row r="110">
      <x:c r="A110" s="28">
        <x:v>96</x:v>
      </x:c>
      <x:c r="B110" s="28">
        <x:v>7</x:v>
      </x:c>
      <x:c r="C110" s="28">
        <x:v>10</x:v>
      </x:c>
    </x:row>
    <x:row r="111">
      <x:c r="A111" s="28">
        <x:v>97</x:v>
      </x:c>
      <x:c r="B111" s="28">
        <x:v>1</x:v>
      </x:c>
      <x:c r="C111" s="28">
        <x:v>10</x:v>
      </x:c>
    </x:row>
    <x:row r="112">
      <x:c r="A112" s="28">
        <x:v>98</x:v>
      </x:c>
      <x:c r="B112" s="28">
        <x:v>2</x:v>
      </x:c>
      <x:c r="C112" s="28">
        <x:v>10</x:v>
      </x:c>
    </x:row>
    <x:row r="113">
      <x:c r="A113" s="28">
        <x:v>99</x:v>
      </x:c>
      <x:c r="B113" s="28">
        <x:v>6</x:v>
      </x:c>
      <x:c r="C113" s="28">
        <x:v>9</x:v>
      </x:c>
    </x:row>
    <x:row r="114">
      <x:c r="A114" s="28">
        <x:v>100</x:v>
      </x:c>
      <x:c r="B114" s="28">
        <x:v>1</x:v>
      </x:c>
      <x:c r="C114" s="28">
        <x:v>8</x:v>
      </x:c>
    </x:row>
    <x:row r="115">
      <x:c r="A115" s="28">
        <x:v>101</x:v>
      </x:c>
      <x:c r="B115" s="28">
        <x:v>1</x:v>
      </x:c>
      <x:c r="C115" s="28">
        <x:v>8</x:v>
      </x:c>
    </x:row>
    <x:row r="116">
      <x:c r="A116" s="28">
        <x:v>102</x:v>
      </x:c>
      <x:c r="B116" s="28">
        <x:v>1</x:v>
      </x:c>
      <x:c r="C116" s="28">
        <x:v>9</x:v>
      </x:c>
    </x:row>
    <x:row r="117">
      <x:c r="A117" s="28">
        <x:v>103</x:v>
      </x:c>
      <x:c r="B117" s="28">
        <x:v>5</x:v>
      </x:c>
      <x:c r="C117" s="28">
        <x:v>9</x:v>
      </x:c>
    </x:row>
    <x:row r="118">
      <x:c r="A118" s="28">
        <x:v>104</x:v>
      </x:c>
      <x:c r="B118" s="28">
        <x:v>6</x:v>
      </x:c>
      <x:c r="C118" s="28">
        <x:v>10</x:v>
      </x:c>
    </x:row>
    <x:row r="119">
      <x:c r="A119" s="28">
        <x:v>105</x:v>
      </x:c>
      <x:c r="B119" s="28">
        <x:v>5</x:v>
      </x:c>
      <x:c r="C119" s="28">
        <x:v>9</x:v>
      </x:c>
    </x:row>
    <x:row r="120">
      <x:c r="A120" s="28">
        <x:v>106</x:v>
      </x:c>
      <x:c r="B120" s="28">
        <x:v>2</x:v>
      </x:c>
      <x:c r="C120" s="28">
        <x:v>10</x:v>
      </x:c>
    </x:row>
    <x:row r="121">
      <x:c r="A121" s="28">
        <x:v>107</x:v>
      </x:c>
      <x:c r="B121" s="28">
        <x:v>7</x:v>
      </x:c>
      <x:c r="C121" s="28">
        <x:v>10</x:v>
      </x:c>
    </x:row>
    <x:row r="122">
      <x:c r="A122" s="28">
        <x:v>108</x:v>
      </x:c>
      <x:c r="B122" s="28">
        <x:v>9</x:v>
      </x:c>
      <x:c r="C122" s="28">
        <x:v>10</x:v>
      </x:c>
    </x:row>
    <x:row r="123">
      <x:c r="A123" s="28">
        <x:v>109</x:v>
      </x:c>
      <x:c r="B123" s="28">
        <x:v>6</x:v>
      </x:c>
      <x:c r="C123" s="28">
        <x:v>10</x:v>
      </x:c>
    </x:row>
    <x:row r="124">
      <x:c r="A124" s="28">
        <x:v>110</x:v>
      </x:c>
      <x:c r="B124" s="28">
        <x:v>1</x:v>
      </x:c>
      <x:c r="C124" s="28">
        <x:v>10</x:v>
      </x:c>
    </x:row>
    <x:row r="125">
      <x:c r="A125" s="28">
        <x:v>111</x:v>
      </x:c>
      <x:c r="B125" s="28">
        <x:v>1</x:v>
      </x:c>
      <x:c r="C125" s="28">
        <x:v>10</x:v>
      </x:c>
    </x:row>
    <x:row r="126">
      <x:c r="A126" s="28">
        <x:v>112</x:v>
      </x:c>
      <x:c r="B126" s="28">
        <x:v>1</x:v>
      </x:c>
      <x:c r="C126" s="28">
        <x:v>10</x:v>
      </x:c>
    </x:row>
    <x:row r="127">
      <x:c r="A127" s="28">
        <x:v>113</x:v>
      </x:c>
      <x:c r="B127" s="28">
        <x:v>4</x:v>
      </x:c>
      <x:c r="C127" s="28">
        <x:v>10</x:v>
      </x:c>
    </x:row>
    <x:row r="128">
      <x:c r="A128" s="28">
        <x:v>114</x:v>
      </x:c>
      <x:c r="B128" s="28">
        <x:v>7</x:v>
      </x:c>
      <x:c r="C128" s="28">
        <x:v>10</x:v>
      </x:c>
    </x:row>
    <x:row r="129">
      <x:c r="A129" s="28">
        <x:v>115</x:v>
      </x:c>
      <x:c r="B129" s="28">
        <x:v>6</x:v>
      </x:c>
      <x:c r="C129" s="28">
        <x:v>10</x:v>
      </x:c>
    </x:row>
    <x:row r="130">
      <x:c r="A130" s="28">
        <x:v>116</x:v>
      </x:c>
      <x:c r="B130" s="28">
        <x:v>1</x:v>
      </x:c>
      <x:c r="C130" s="28">
        <x:v>10</x:v>
      </x:c>
    </x:row>
    <x:row r="131">
      <x:c r="A131" s="28">
        <x:v>117</x:v>
      </x:c>
      <x:c r="B131" s="28">
        <x:v>1</x:v>
      </x:c>
      <x:c r="C131" s="28">
        <x:v>10</x:v>
      </x:c>
    </x:row>
    <x:row r="132">
      <x:c r="A132" s="28">
        <x:v>118</x:v>
      </x:c>
      <x:c r="B132" s="28">
        <x:v>1</x:v>
      </x:c>
      <x:c r="C132" s="28">
        <x:v>9</x:v>
      </x:c>
    </x:row>
    <x:row r="133">
      <x:c r="A133" s="28">
        <x:v>119</x:v>
      </x:c>
      <x:c r="B133" s="28">
        <x:v>1</x:v>
      </x:c>
      <x:c r="C133" s="28">
        <x:v>9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9d2f927ab234410c"/>
</x:worksheet>
</file>
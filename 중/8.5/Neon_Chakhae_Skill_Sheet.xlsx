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f36f19793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스킬 DATA" sheetId="1" r:id="R0ea7b0579e2b45f3"/>
    <x:sheet xmlns:r="http://schemas.openxmlformats.org/officeDocument/2006/relationships" name="작성 기준" sheetId="2" r:id="R9496c971f1d2422f"/>
  </x:sheets>
</x:workbook>
</file>

<file path=xl/comments1.xml><?xml version="1.0" encoding="utf-8"?>
<x:comments xmlns:x="http://schemas.openxmlformats.org/spreadsheetml/2006/main">
  <x:authors>
    <x:author>tc={2A59C34D-86EF-3F7F-265D-6CDAAC21ED54}</x:author>
    <x:author>tc={A8C8E3BA-AB15-6344-E4AA-83D29BB1E9DA}</x:author>
    <x:author>tc={F38C0BC8-9993-1295-52E9-1BF68CBBF151}</x:author>
  </x:authors>
  <x:commentList>
    <x:comment ref="N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피해 계수는 1.00=100%, 1.50=150%로 입력함. 실제 피해는 사용자의 기본 공격력과 장비 합산값을 기준으로 계산함.</x:t>
        </x:r>
      </x:text>
    </x:comment>
    <x:comment ref="Q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AI 제어를 사용하지 않는 PC·시스템 스킬은 0으로 기록함. 빈칸과 실제 0초를 혼동하지 않기 위한 작성 규칙임.</x:t>
        </x:r>
      </x:text>
    </x:comment>
    <x:comment ref="W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양수는 버프, 음수는 디버프. 단위 열과 함께 해석함.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#,##0"/>
    <x:numFmt numFmtId="202" formatCode="0.0"/>
    <x:numFmt numFmtId="203" formatCode="0.00"/>
    <x:numFmt numFmtId="204" formatCode="+0;-0;0"/>
    <x:numFmt numFmtId="205" formatCode="0"/>
  </x:numFmts>
  <x:fonts count="24">
    <x:font>
      <x:sz val="11"/>
      <x:name val="Carlito"/>
    </x:font>
    <x:font>
      <x:b/>
      <x:sz val="20"/>
      <x:color rgb="FFFFFFFF"/>
      <x:name val="Malgun Gothic"/>
    </x:font>
    <x:font>
      <x:sz val="10"/>
      <x:color rgb="FF2B3B55"/>
      <x:name val="Malgun Gothic"/>
    </x:font>
    <x:font>
      <x:b/>
      <x:sz val="10"/>
      <x:color rgb="FF203864"/>
      <x:name val="Malgun Gothic"/>
    </x:font>
    <x:font>
      <x:b/>
      <x:sz val="10"/>
      <x:color rgb="FF1F4E78"/>
      <x:name val="Malgun Gothic"/>
    </x:font>
    <x:font>
      <x:b/>
      <x:sz val="10"/>
      <x:color rgb="FF375623"/>
      <x:name val="Malgun Gothic"/>
    </x:font>
    <x:font>
      <x:b/>
      <x:sz val="10"/>
      <x:color rgb="FF7F6000"/>
      <x:name val="Malgun Gothic"/>
    </x:font>
    <x:font>
      <x:b/>
      <x:sz val="10"/>
      <x:color rgb="FF843C0C"/>
      <x:name val="Malgun Gothic"/>
    </x:font>
    <x:font>
      <x:b/>
      <x:sz val="10"/>
      <x:color rgb="FF833C0C"/>
      <x:name val="Malgun Gothic"/>
    </x:font>
    <x:font>
      <x:b/>
      <x:sz val="10"/>
      <x:color rgb="FF5F497A"/>
      <x:name val="Malgun Gothic"/>
    </x:font>
    <x:font>
      <x:b/>
      <x:sz val="10"/>
      <x:color rgb="FF274E13"/>
      <x:name val="Malgun Gothic"/>
    </x:font>
    <x:font>
      <x:b/>
      <x:sz val="9"/>
      <x:color rgb="FFFFFFFF"/>
      <x:name val="Malgun Gothic"/>
    </x:font>
    <x:font>
      <x:sz val="9"/>
      <x:color rgb="FF263238"/>
      <x:name val="Malgun Gothic"/>
    </x:font>
    <x:font>
      <x:b/>
      <x:sz val="8"/>
      <x:color rgb="FF334155"/>
      <x:name val="Malgun Gothic"/>
    </x:font>
    <x:font>
      <x:b/>
      <x:sz val="10"/>
      <x:color rgb="FF102A43"/>
      <x:name val="Malgun Gothic"/>
    </x:font>
    <x:font>
      <x:b/>
      <x:sz val="16"/>
      <x:color rgb="FF102A43"/>
      <x:name val="Malgun Gothic"/>
    </x:font>
    <x:font>
      <x:b/>
      <x:sz val="12"/>
      <x:color rgb="FF203864"/>
      <x:name val="Malgun Gothic"/>
    </x:font>
    <x:font>
      <x:sz val="10"/>
      <x:color rgb="FF263238"/>
      <x:name val="Malgun Gothic"/>
    </x:font>
    <x:font>
      <x:b/>
      <x:sz val="10"/>
      <x:color rgb="FF475569"/>
      <x:name val="Malgun Gothic"/>
    </x:font>
    <x:font>
      <x:b/>
      <x:sz val="12"/>
      <x:color rgb="FF375623"/>
      <x:name val="Malgun Gothic"/>
    </x:font>
    <x:font>
      <x:b/>
      <x:sz val="12"/>
      <x:color rgb="FF7F6000"/>
      <x:name val="Malgun Gothic"/>
    </x:font>
    <x:font>
      <x:b/>
      <x:sz val="9"/>
      <x:color rgb="FF102A43"/>
      <x:name val="Malgun Gothic"/>
    </x:font>
    <x:font>
      <x:b/>
      <x:sz val="12"/>
      <x:color rgb="FF843C0C"/>
      <x:name val="Malgun Gothic"/>
    </x:font>
    <x:font>
      <x:b/>
      <x:sz val="9"/>
      <x:color rgb="FF7C2D12"/>
      <x:name val="Malgun Gothic"/>
    </x:font>
  </x:fonts>
  <x:fills count="15">
    <x:fill>
      <x:patternFill patternType="none"/>
    </x:fill>
    <x:fill>
      <x:patternFill patternType="gray125"/>
    </x:fill>
    <x:fill>
      <x:patternFill patternType="solid">
        <x:fgColor rgb="FF15233B"/>
      </x:patternFill>
    </x:fill>
    <x:fill>
      <x:patternFill patternType="solid">
        <x:fgColor rgb="FFE8EEF7"/>
      </x:patternFill>
    </x:fill>
    <x:fill>
      <x:patternFill patternType="solid">
        <x:fgColor rgb="FFD9E2F3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B183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  <x:fill>
      <x:patternFill patternType="solid">
        <x:fgColor rgb="FF34495E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</x:fills>
  <x:borders count="18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right style="thin">
        <x:color rgb="FFE8EDF3"/>
      </x:right>
      <x:bottom style="thin">
        <x:color rgb="FFD7DEE7"/>
      </x:bottom>
    </x:border>
    <x:border>
      <x:left style="thin">
        <x:color rgb="FFE8EDF3"/>
      </x:left>
      <x:right style="thin">
        <x:color rgb="FFE8EDF3"/>
      </x:right>
      <x:bottom style="thin">
        <x:color rgb="FFD7DEE7"/>
      </x:bottom>
    </x:border>
    <x:border>
      <x:left style="thin">
        <x:color rgb="FFE8EDF3"/>
      </x:left>
      <x:bottom style="thin">
        <x:color rgb="FFD7DEE7"/>
      </x:bottom>
    </x:border>
    <x:border>
      <x:right style="thin">
        <x:color rgb="FFE8EDF3"/>
      </x:right>
      <x:top style="thin">
        <x:color rgb="FFD7DEE7"/>
      </x:top>
      <x:bottom style="thin">
        <x:color rgb="FFD7DEE7"/>
      </x:bottom>
    </x:border>
    <x:border>
      <x:left style="thin">
        <x:color rgb="FFE8EDF3"/>
      </x:left>
      <x:right style="thin">
        <x:color rgb="FFE8EDF3"/>
      </x:right>
      <x:top style="thin">
        <x:color rgb="FFD7DEE7"/>
      </x:top>
      <x:bottom style="thin">
        <x:color rgb="FFD7DEE7"/>
      </x:bottom>
    </x:border>
    <x:border>
      <x:left style="thin">
        <x:color rgb="FFE8EDF3"/>
      </x:left>
      <x:top style="thin">
        <x:color rgb="FFD7DEE7"/>
      </x:top>
      <x:bottom style="thin">
        <x:color rgb="FFD7DEE7"/>
      </x:bottom>
    </x:border>
    <x:border>
      <x:right style="thin">
        <x:color rgb="FFE8EDF3"/>
      </x:right>
      <x:top style="thin">
        <x:color rgb="FFD7DEE7"/>
      </x:top>
      <x:bottom style="thin">
        <x:color rgb="FFB0BEC5"/>
      </x:bottom>
    </x:border>
    <x:border>
      <x:left style="thin">
        <x:color rgb="FFE8EDF3"/>
      </x:left>
      <x:right style="thin">
        <x:color rgb="FFE8EDF3"/>
      </x:right>
      <x:top style="thin">
        <x:color rgb="FFD7DEE7"/>
      </x:top>
      <x:bottom style="thin">
        <x:color rgb="FFB0BEC5"/>
      </x:bottom>
    </x:border>
    <x:border>
      <x:left style="thin">
        <x:color rgb="FFE8EDF3"/>
      </x:left>
      <x:top style="thin">
        <x:color rgb="FFD7DEE7"/>
      </x:top>
      <x:bottom style="thin">
        <x:color rgb="FFB0BEC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B0BEC5"/>
      </x:bottom>
    </x:border>
  </x:borders>
  <x:cellStyleXfs count="1">
    <x:xf numFmtId="0" fontId="0" fillId="0" borderId="0"/>
  </x:cellStyleXfs>
  <x:cellXfs count="2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/>
    </x:xf>
    <x:xf numFmtId="0" fontId="6" fillId="7" borderId="3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3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3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2" xfId="0" applyNumberFormat="1" applyFont="1" applyFill="1" applyBorder="1"/>
    <x:xf numFmtId="0" fontId="8" fillId="9" borderId="3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0" fontId="8" fillId="9" borderId="2" xfId="0" applyNumberFormat="1" applyFont="1" applyFill="1" applyBorder="1" applyAlignment="1">
      <x:alignment horizontal="center"/>
    </x:xf>
    <x:xf numFmtId="0" fontId="8" fillId="9" borderId="3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8" fillId="9" borderId="2" xfId="0" applyNumberFormat="1" applyFont="1" applyFill="1" applyBorder="1" applyAlignment="1">
      <x:alignment horizontal="center" vertical="center"/>
    </x:xf>
    <x:xf numFmtId="0" fontId="8" fillId="9" borderId="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2" xfId="0" applyNumberFormat="1" applyFont="1" applyFill="1" applyBorder="1"/>
    <x:xf numFmtId="0" fontId="9" fillId="10" borderId="3" xfId="0" applyNumberFormat="1" applyFont="1" applyFill="1" applyBorder="1"/>
    <x:xf numFmtId="0" fontId="9" fillId="10" borderId="1" xfId="0" applyNumberFormat="1" applyFont="1" applyFill="1" applyBorder="1" applyAlignment="1">
      <x:alignment horizontal="center"/>
    </x:xf>
    <x:xf numFmtId="0" fontId="9" fillId="10" borderId="2" xfId="0" applyNumberFormat="1" applyFont="1" applyFill="1" applyBorder="1" applyAlignment="1">
      <x:alignment horizontal="center"/>
    </x:xf>
    <x:xf numFmtId="0" fontId="9" fillId="10" borderId="3" xfId="0" applyNumberFormat="1" applyFont="1" applyFill="1" applyBorder="1" applyAlignment="1">
      <x:alignment horizontal="center"/>
    </x:xf>
    <x:xf numFmtId="0" fontId="9" fillId="10" borderId="1" xfId="0" applyNumberFormat="1" applyFont="1" applyFill="1" applyBorder="1" applyAlignment="1">
      <x:alignment horizontal="center" vertical="center"/>
    </x:xf>
    <x:xf numFmtId="0" fontId="9" fillId="10" borderId="2" xfId="0" applyNumberFormat="1" applyFont="1" applyFill="1" applyBorder="1" applyAlignment="1">
      <x:alignment horizontal="center" vertical="center"/>
    </x:xf>
    <x:xf numFmtId="0" fontId="9" fillId="10" borderId="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1" xfId="0" applyNumberFormat="1" applyFont="1" applyFill="1" applyBorder="1"/>
    <x:xf numFmtId="0" fontId="10" fillId="11" borderId="2" xfId="0" applyNumberFormat="1" applyFont="1" applyFill="1" applyBorder="1"/>
    <x:xf numFmtId="0" fontId="10" fillId="11" borderId="3" xfId="0" applyNumberFormat="1" applyFont="1" applyFill="1" applyBorder="1"/>
    <x:xf numFmtId="0" fontId="10" fillId="11" borderId="1" xfId="0" applyNumberFormat="1" applyFont="1" applyFill="1" applyBorder="1" applyAlignment="1">
      <x:alignment horizontal="center"/>
    </x:xf>
    <x:xf numFmtId="0" fontId="10" fillId="11" borderId="2" xfId="0" applyNumberFormat="1" applyFont="1" applyFill="1" applyBorder="1" applyAlignment="1">
      <x:alignment horizontal="center"/>
    </x:xf>
    <x:xf numFmtId="0" fontId="10" fillId="11" borderId="3" xfId="0" applyNumberFormat="1" applyFont="1" applyFill="1" applyBorder="1" applyAlignment="1">
      <x:alignment horizont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10" fillId="11" borderId="2" xfId="0" applyNumberFormat="1" applyFont="1" applyFill="1" applyBorder="1" applyAlignment="1">
      <x:alignment horizontal="center" vertical="center"/>
    </x:xf>
    <x:xf numFmtId="0" fontId="10" fillId="11" borderId="3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4" xfId="0" applyNumberFormat="1" applyFont="1" applyFill="1" applyBorder="1"/>
    <x:xf numFmtId="0" fontId="11" fillId="12" borderId="4" xfId="0" applyNumberFormat="1" applyFont="1" applyFill="1" applyBorder="1" applyAlignment="1">
      <x:alignment wrapText="1"/>
    </x:xf>
    <x:xf numFmtId="0" fontId="11" fillId="12" borderId="4" xfId="0" applyNumberFormat="1" applyFont="1" applyFill="1" applyBorder="1" applyAlignment="1">
      <x:alignment horizontal="center" wrapText="1"/>
    </x:xf>
    <x:xf numFmtId="0" fontId="11" fillId="12" borderId="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5" xfId="0" applyNumberFormat="1" applyFont="1" applyFill="1" applyBorder="1"/>
    <x:xf numFmtId="0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2" fillId="0" borderId="10" xfId="0" applyNumberFormat="1" applyFont="1" applyFill="1" applyBorder="1"/>
    <x:xf numFmtId="0" fontId="12" fillId="0" borderId="11" xfId="0" applyNumberFormat="1" applyFont="1" applyFill="1" applyBorder="1"/>
    <x:xf numFmtId="0" fontId="12" fillId="0" borderId="12" xfId="0" applyNumberFormat="1" applyFont="1" applyFill="1" applyBorder="1"/>
    <x:xf numFmtId="0" fontId="12" fillId="0" borderId="13" xfId="0" applyNumberFormat="1" applyFont="1" applyFill="1" applyBorder="1"/>
    <x:xf numFmtId="0" fontId="12" fillId="0" borderId="5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0" fontId="12" fillId="0" borderId="10" xfId="0" applyNumberFormat="1" applyFont="1" applyFill="1" applyBorder="1" applyAlignment="1">
      <x:alignment wrapText="1"/>
    </x:xf>
    <x:xf numFmtId="0" fontId="12" fillId="0" borderId="11" xfId="0" applyNumberFormat="1" applyFont="1" applyFill="1" applyBorder="1" applyAlignment="1">
      <x:alignment wrapText="1"/>
    </x:xf>
    <x:xf numFmtId="0" fontId="12" fillId="0" borderId="12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12" fillId="0" borderId="7" xfId="0" applyNumberFormat="1" applyFont="1" applyFill="1" applyBorder="1" applyAlignment="1">
      <x:alignment vertical="center" wrapText="1"/>
    </x:xf>
    <x:xf numFmtId="0" fontId="12" fillId="0" borderId="8" xfId="0" applyNumberFormat="1" applyFont="1" applyFill="1" applyBorder="1" applyAlignment="1">
      <x:alignment vertical="center" wrapText="1"/>
    </x:xf>
    <x:xf numFmtId="0" fontId="12" fillId="0" borderId="9" xfId="0" applyNumberFormat="1" applyFont="1" applyFill="1" applyBorder="1" applyAlignment="1">
      <x:alignment vertical="center" wrapText="1"/>
    </x:xf>
    <x:xf numFmtId="0" fontId="12" fillId="0" borderId="10" xfId="0" applyNumberFormat="1" applyFont="1" applyFill="1" applyBorder="1" applyAlignment="1">
      <x:alignment vertical="center" wrapText="1"/>
    </x:xf>
    <x:xf numFmtId="0" fontId="12" fillId="0" borderId="11" xfId="0" applyNumberFormat="1" applyFont="1" applyFill="1" applyBorder="1" applyAlignment="1">
      <x:alignment vertical="center" wrapText="1"/>
    </x:xf>
    <x:xf numFmtId="0" fontId="12" fillId="0" borderId="12" xfId="0" applyNumberFormat="1" applyFont="1" applyFill="1" applyBorder="1" applyAlignment="1">
      <x:alignment vertical="center" wrapText="1"/>
    </x:xf>
    <x:xf numFmtId="0" fontId="12" fillId="0" borderId="13" xfId="0" applyNumberFormat="1" applyFont="1" applyFill="1" applyBorder="1" applyAlignment="1">
      <x:alignment vertical="center" wrapText="1"/>
    </x:xf>
    <x:xf numFmtId="0" fontId="12" fillId="0" borderId="5" xfId="0" applyNumberFormat="1" applyFont="1" applyFill="1" applyBorder="1" applyAlignment="1">
      <x:alignment horizontal="center" vertical="center" wrapText="1"/>
    </x:xf>
    <x:xf numFmtId="0" fontId="12" fillId="0" borderId="6" xfId="0" applyNumberFormat="1" applyFont="1" applyFill="1" applyBorder="1" applyAlignment="1">
      <x:alignment horizontal="center" vertical="center" wrapText="1"/>
    </x:xf>
    <x:xf numFmtId="0" fontId="12" fillId="0" borderId="8" xfId="0" applyNumberFormat="1" applyFont="1" applyFill="1" applyBorder="1" applyAlignment="1">
      <x:alignment horizontal="center" vertical="center" wrapText="1"/>
    </x:xf>
    <x:xf numFmtId="0" fontId="12" fillId="0" borderId="9" xfId="0" applyNumberFormat="1" applyFont="1" applyFill="1" applyBorder="1" applyAlignment="1">
      <x:alignment horizontal="center" vertical="center" wrapText="1"/>
    </x:xf>
    <x:xf numFmtId="0" fontId="12" fillId="0" borderId="11" xfId="0" applyNumberFormat="1" applyFont="1" applyFill="1" applyBorder="1" applyAlignment="1">
      <x:alignment horizontal="center" vertical="center" wrapText="1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12" fillId="13" borderId="8" xfId="0" applyNumberFormat="1" applyFont="1" applyFill="1" applyBorder="1" applyAlignment="1">
      <x:alignment horizontal="center" vertical="center" wrapText="1"/>
    </x:xf>
    <x:xf numFmtId="0" fontId="12" fillId="13" borderId="9" xfId="0" applyNumberFormat="1" applyFont="1" applyFill="1" applyBorder="1" applyAlignment="1">
      <x:alignment horizontal="center" vertical="center" wrapText="1"/>
    </x:xf>
    <x:xf numFmtId="0" fontId="12" fillId="13" borderId="9" xfId="0" applyNumberFormat="1" applyFont="1" applyFill="1" applyBorder="1" applyAlignment="1">
      <x:alignment vertical="center" wrapText="1"/>
    </x:xf>
    <x:xf numFmtId="0" fontId="12" fillId="13" borderId="10" xfId="0" applyNumberFormat="1" applyFont="1" applyFill="1" applyBorder="1" applyAlignment="1">
      <x:alignment vertical="center" wrapText="1"/>
    </x:xf>
    <x:xf numFmtId="0" fontId="12" fillId="13" borderId="11" xfId="0" applyNumberFormat="1" applyFont="1" applyFill="1" applyBorder="1" applyAlignment="1">
      <x:alignment horizontal="center" vertical="center" wrapText="1"/>
    </x:xf>
    <x:xf numFmtId="0" fontId="12" fillId="13" borderId="12" xfId="0" applyNumberFormat="1" applyFont="1" applyFill="1" applyBorder="1" applyAlignment="1">
      <x:alignment horizontal="center" vertical="center" wrapText="1"/>
    </x:xf>
    <x:xf numFmtId="0" fontId="12" fillId="13" borderId="12" xfId="0" applyNumberFormat="1" applyFont="1" applyFill="1" applyBorder="1" applyAlignment="1">
      <x:alignment vertical="center" wrapText="1"/>
    </x:xf>
    <x:xf numFmtId="0" fontId="12" fillId="13" borderId="13" xfId="0" applyNumberFormat="1" applyFont="1" applyFill="1" applyBorder="1" applyAlignment="1">
      <x:alignment vertical="center" wrapText="1"/>
    </x:xf>
    <x:xf numFmtId="0" fontId="13" fillId="0" borderId="5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13" fillId="0" borderId="8" xfId="0" applyNumberFormat="1" applyFont="1" applyFill="1" applyBorder="1" applyAlignment="1">
      <x:alignment horizontal="center" vertical="center" wrapText="1"/>
    </x:xf>
    <x:xf numFmtId="0" fontId="13" fillId="13" borderId="11" xfId="0" applyNumberFormat="1" applyFont="1" applyFill="1" applyBorder="1" applyAlignment="1">
      <x:alignment horizontal="center" vertical="center" wrapText="1"/>
    </x:xf>
    <x:xf numFmtId="0" fontId="14" fillId="0" borderId="6" xfId="0" applyNumberFormat="1" applyFont="1" applyFill="1" applyBorder="1" applyAlignment="1">
      <x:alignment horizontal="center" vertical="center" wrapText="1"/>
    </x:xf>
    <x:xf numFmtId="0" fontId="14" fillId="13" borderId="9" xfId="0" applyNumberFormat="1" applyFont="1" applyFill="1" applyBorder="1" applyAlignment="1">
      <x:alignment horizontal="center" vertical="center" wrapText="1"/>
    </x:xf>
    <x:xf numFmtId="0" fontId="14" fillId="0" borderId="9" xfId="0" applyNumberFormat="1" applyFont="1" applyFill="1" applyBorder="1" applyAlignment="1">
      <x:alignment horizontal="center" vertical="center" wrapText="1"/>
    </x:xf>
    <x:xf numFmtId="0" fontId="14" fillId="13" borderId="12" xfId="0" applyNumberFormat="1" applyFont="1" applyFill="1" applyBorder="1" applyAlignment="1">
      <x:alignment horizontal="center" vertical="center" wrapText="1"/>
    </x:xf>
    <x:xf numFmtId="200" fontId="12" fillId="0" borderId="6" xfId="0" applyNumberFormat="1" applyFont="1" applyFill="1" applyBorder="1" applyAlignment="1">
      <x:alignment horizontal="center" vertical="center" wrapText="1"/>
    </x:xf>
    <x:xf numFmtId="200" fontId="12" fillId="13" borderId="9" xfId="0" applyNumberFormat="1" applyFont="1" applyFill="1" applyBorder="1" applyAlignment="1">
      <x:alignment horizontal="center" vertical="center" wrapText="1"/>
    </x:xf>
    <x:xf numFmtId="200" fontId="12" fillId="0" borderId="9" xfId="0" applyNumberFormat="1" applyFont="1" applyFill="1" applyBorder="1" applyAlignment="1">
      <x:alignment horizontal="center" vertical="center" wrapText="1"/>
    </x:xf>
    <x:xf numFmtId="200" fontId="12" fillId="13" borderId="12" xfId="0" applyNumberFormat="1" applyFont="1" applyFill="1" applyBorder="1" applyAlignment="1">
      <x:alignment horizontal="center" vertical="center" wrapText="1"/>
    </x:xf>
    <x:xf numFmtId="201" fontId="12" fillId="0" borderId="6" xfId="0" applyNumberFormat="1" applyFont="1" applyFill="1" applyBorder="1" applyAlignment="1">
      <x:alignment horizontal="center" vertical="center" wrapText="1"/>
    </x:xf>
    <x:xf numFmtId="201" fontId="12" fillId="13" borderId="9" xfId="0" applyNumberFormat="1" applyFont="1" applyFill="1" applyBorder="1" applyAlignment="1">
      <x:alignment horizontal="center" vertical="center" wrapText="1"/>
    </x:xf>
    <x:xf numFmtId="201" fontId="12" fillId="0" borderId="9" xfId="0" applyNumberFormat="1" applyFont="1" applyFill="1" applyBorder="1" applyAlignment="1">
      <x:alignment horizontal="center" vertical="center" wrapText="1"/>
    </x:xf>
    <x:xf numFmtId="201" fontId="12" fillId="13" borderId="12" xfId="0" applyNumberFormat="1" applyFont="1" applyFill="1" applyBorder="1" applyAlignment="1">
      <x:alignment horizontal="center" vertical="center" wrapText="1"/>
    </x:xf>
    <x:xf numFmtId="202" fontId="12" fillId="0" borderId="6" xfId="0" applyNumberFormat="1" applyFont="1" applyFill="1" applyBorder="1" applyAlignment="1">
      <x:alignment horizontal="center" vertical="center" wrapText="1"/>
    </x:xf>
    <x:xf numFmtId="202" fontId="12" fillId="13" borderId="9" xfId="0" applyNumberFormat="1" applyFont="1" applyFill="1" applyBorder="1" applyAlignment="1">
      <x:alignment horizontal="center" vertical="center" wrapText="1"/>
    </x:xf>
    <x:xf numFmtId="202" fontId="12" fillId="0" borderId="9" xfId="0" applyNumberFormat="1" applyFont="1" applyFill="1" applyBorder="1" applyAlignment="1">
      <x:alignment horizontal="center" vertical="center" wrapText="1"/>
    </x:xf>
    <x:xf numFmtId="202" fontId="12" fillId="13" borderId="12" xfId="0" applyNumberFormat="1" applyFont="1" applyFill="1" applyBorder="1" applyAlignment="1">
      <x:alignment horizontal="center" vertical="center" wrapText="1"/>
    </x:xf>
    <x:xf numFmtId="203" fontId="12" fillId="0" borderId="6" xfId="0" applyNumberFormat="1" applyFont="1" applyFill="1" applyBorder="1" applyAlignment="1">
      <x:alignment horizontal="center" vertical="center" wrapText="1"/>
    </x:xf>
    <x:xf numFmtId="203" fontId="12" fillId="13" borderId="9" xfId="0" applyNumberFormat="1" applyFont="1" applyFill="1" applyBorder="1" applyAlignment="1">
      <x:alignment horizontal="center" vertical="center" wrapText="1"/>
    </x:xf>
    <x:xf numFmtId="203" fontId="12" fillId="0" borderId="9" xfId="0" applyNumberFormat="1" applyFont="1" applyFill="1" applyBorder="1" applyAlignment="1">
      <x:alignment horizontal="center" vertical="center" wrapText="1"/>
    </x:xf>
    <x:xf numFmtId="203" fontId="12" fillId="13" borderId="12" xfId="0" applyNumberFormat="1" applyFont="1" applyFill="1" applyBorder="1" applyAlignment="1">
      <x:alignment horizontal="center" vertical="center" wrapText="1"/>
    </x:xf>
    <x:xf numFmtId="204" fontId="12" fillId="0" borderId="6" xfId="0" applyNumberFormat="1" applyFont="1" applyFill="1" applyBorder="1" applyAlignment="1">
      <x:alignment horizontal="center" vertical="center" wrapText="1"/>
    </x:xf>
    <x:xf numFmtId="204" fontId="12" fillId="13" borderId="9" xfId="0" applyNumberFormat="1" applyFont="1" applyFill="1" applyBorder="1" applyAlignment="1">
      <x:alignment horizontal="center" vertical="center" wrapText="1"/>
    </x:xf>
    <x:xf numFmtId="204" fontId="12" fillId="0" borderId="9" xfId="0" applyNumberFormat="1" applyFont="1" applyFill="1" applyBorder="1" applyAlignment="1">
      <x:alignment horizontal="center" vertical="center" wrapText="1"/>
    </x:xf>
    <x:xf numFmtId="204" fontId="12" fillId="13" borderId="12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1" fillId="12" borderId="4" xfId="0" applyNumberFormat="1" applyFont="1" applyFill="1" applyBorder="1" applyAlignment="1">
      <x:alignment horizont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14" xfId="0" applyNumberFormat="1" applyFont="1" applyFill="1" applyBorder="1"/>
    <x:xf numFmtId="205" fontId="15" fillId="13" borderId="14" xfId="0" applyNumberFormat="1" applyFont="1" applyFill="1" applyBorder="1"/>
    <x:xf numFmtId="205" fontId="15" fillId="13" borderId="14" xfId="0" applyNumberFormat="1" applyFont="1" applyFill="1" applyBorder="1" applyAlignment="1">
      <x:alignment horizontal="center"/>
    </x:xf>
    <x:xf numFmtId="205" fontId="15" fillId="13" borderId="14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left"/>
    </x:xf>
    <x:xf numFmtId="0" fontId="16" fillId="4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/>
    <x:xf numFmtId="0" fontId="17" fillId="0" borderId="15" xfId="0" applyNumberFormat="1" applyFont="1" applyFill="1" applyBorder="1"/>
    <x:xf numFmtId="0" fontId="17" fillId="0" borderId="16" xfId="0" applyNumberFormat="1" applyFont="1" applyFill="1" applyBorder="1"/>
    <x:xf numFmtId="0" fontId="17" fillId="0" borderId="17" xfId="0" applyNumberFormat="1" applyFont="1" applyFill="1" applyBorder="1"/>
    <x:xf numFmtId="0" fontId="17" fillId="0" borderId="15" xfId="0" applyNumberFormat="1" applyFont="1" applyFill="1" applyBorder="1" applyAlignment="1">
      <x:alignment wrapText="1"/>
    </x:xf>
    <x:xf numFmtId="0" fontId="17" fillId="0" borderId="16" xfId="0" applyNumberFormat="1" applyFont="1" applyFill="1" applyBorder="1" applyAlignment="1">
      <x:alignment wrapText="1"/>
    </x:xf>
    <x:xf numFmtId="0" fontId="17" fillId="0" borderId="17" xfId="0" applyNumberFormat="1" applyFont="1" applyFill="1" applyBorder="1" applyAlignment="1">
      <x:alignment wrapText="1"/>
    </x:xf>
    <x:xf numFmtId="0" fontId="17" fillId="0" borderId="15" xfId="0" applyNumberFormat="1" applyFont="1" applyFill="1" applyBorder="1" applyAlignment="1">
      <x:alignment vertical="center" wrapText="1"/>
    </x:xf>
    <x:xf numFmtId="0" fontId="17" fillId="0" borderId="16" xfId="0" applyNumberFormat="1" applyFont="1" applyFill="1" applyBorder="1" applyAlignment="1">
      <x:alignment vertical="center" wrapText="1"/>
    </x:xf>
    <x:xf numFmtId="0" fontId="17" fillId="0" borderId="17" xfId="0" applyNumberFormat="1" applyFont="1" applyFill="1" applyBorder="1" applyAlignment="1">
      <x:alignment vertical="center" wrapText="1"/>
    </x:xf>
    <x:xf numFmtId="0" fontId="17" fillId="14" borderId="15" xfId="0" applyNumberFormat="1" applyFont="1" applyFill="1" applyBorder="1" applyAlignment="1">
      <x:alignment vertical="center" wrapText="1"/>
    </x:xf>
    <x:xf numFmtId="0" fontId="17" fillId="14" borderId="16" xfId="0" applyNumberFormat="1" applyFont="1" applyFill="1" applyBorder="1" applyAlignment="1">
      <x:alignment vertical="center" wrapText="1"/>
    </x:xf>
    <x:xf numFmtId="0" fontId="17" fillId="14" borderId="17" xfId="0" applyNumberFormat="1" applyFont="1" applyFill="1" applyBorder="1" applyAlignment="1">
      <x:alignment vertical="center" wrapText="1"/>
    </x:xf>
    <x:xf numFmtId="0" fontId="18" fillId="14" borderId="15" xfId="0" applyNumberFormat="1" applyFont="1" applyFill="1" applyBorder="1" applyAlignment="1">
      <x:alignment vertical="center" wrapText="1"/>
    </x:xf>
    <x:xf numFmtId="0" fontId="18" fillId="14" borderId="16" xfId="0" applyNumberFormat="1" applyFont="1" applyFill="1" applyBorder="1" applyAlignment="1">
      <x:alignment vertical="center" wrapText="1"/>
    </x:xf>
    <x:xf numFmtId="0" fontId="18" fillId="14" borderId="17" xfId="0" applyNumberFormat="1" applyFont="1" applyFill="1" applyBorder="1" applyAlignment="1">
      <x:alignment vertical="center" wrapText="1"/>
    </x:xf>
    <x:xf numFmtId="0" fontId="18" fillId="14" borderId="15" xfId="0" applyNumberFormat="1" applyFont="1" applyFill="1" applyBorder="1" applyAlignment="1">
      <x:alignment horizontal="center" vertical="center" wrapText="1"/>
    </x:xf>
    <x:xf numFmtId="0" fontId="18" fillId="14" borderId="16" xfId="0" applyNumberFormat="1" applyFont="1" applyFill="1" applyBorder="1" applyAlignment="1">
      <x:alignment horizontal="center" vertical="center" wrapText="1"/>
    </x:xf>
    <x:xf numFmtId="0" fontId="18" fillId="14" borderId="17" xfId="0" applyNumberFormat="1" applyFont="1" applyFill="1" applyBorder="1" applyAlignment="1">
      <x:alignment horizontal="center" vertical="center" wrapText="1"/>
    </x:xf>
    <x:xf numFmtId="0" fontId="14" fillId="0" borderId="15" xfId="0" applyNumberFormat="1" applyFont="1" applyFill="1" applyBorder="1" applyAlignment="1">
      <x:alignment vertical="center" wrapText="1"/>
    </x:xf>
    <x:xf numFmtId="0" fontId="14" fillId="0" borderId="16" xfId="0" applyNumberFormat="1" applyFont="1" applyFill="1" applyBorder="1" applyAlignment="1">
      <x:alignment vertical="center" wrapText="1"/>
    </x:xf>
    <x:xf numFmtId="0" fontId="14" fillId="0" borderId="17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horizontal="left" vertical="center"/>
    </x:xf>
    <x:xf numFmtId="0" fontId="19" fillId="6" borderId="0" xfId="0" applyNumberFormat="1" applyFont="1" applyFill="1" applyBorder="1" applyAlignment="1">
      <x:alignment horizontal="left" vertical="center"/>
    </x:xf>
    <x:xf numFmtId="0" fontId="12" fillId="0" borderId="15" xfId="0" applyNumberFormat="1" applyFont="1" applyFill="1" applyBorder="1"/>
    <x:xf numFmtId="0" fontId="12" fillId="0" borderId="16" xfId="0" applyNumberFormat="1" applyFont="1" applyFill="1" applyBorder="1"/>
    <x:xf numFmtId="0" fontId="12" fillId="0" borderId="17" xfId="0" applyNumberFormat="1" applyFont="1" applyFill="1" applyBorder="1"/>
    <x:xf numFmtId="0" fontId="12" fillId="0" borderId="15" xfId="0" applyNumberFormat="1" applyFont="1" applyFill="1" applyBorder="1" applyAlignment="1">
      <x:alignment wrapText="1"/>
    </x:xf>
    <x:xf numFmtId="0" fontId="12" fillId="0" borderId="16" xfId="0" applyNumberFormat="1" applyFont="1" applyFill="1" applyBorder="1" applyAlignment="1">
      <x:alignment wrapText="1"/>
    </x:xf>
    <x:xf numFmtId="0" fontId="12" fillId="0" borderId="17" xfId="0" applyNumberFormat="1" applyFont="1" applyFill="1" applyBorder="1" applyAlignment="1">
      <x:alignment wrapText="1"/>
    </x:xf>
    <x:xf numFmtId="0" fontId="12" fillId="0" borderId="15" xfId="0" applyNumberFormat="1" applyFont="1" applyFill="1" applyBorder="1" applyAlignment="1">
      <x:alignment vertical="center" wrapText="1"/>
    </x:xf>
    <x:xf numFmtId="0" fontId="12" fillId="0" borderId="16" xfId="0" applyNumberFormat="1" applyFont="1" applyFill="1" applyBorder="1" applyAlignment="1">
      <x:alignment vertical="center" wrapText="1"/>
    </x:xf>
    <x:xf numFmtId="0" fontId="12" fillId="0" borderId="17" xfId="0" applyNumberFormat="1" applyFont="1" applyFill="1" applyBorder="1" applyAlignment="1">
      <x:alignment vertical="center" wrapText="1"/>
    </x:xf>
    <x:xf numFmtId="0" fontId="12" fillId="0" borderId="15" xfId="0" applyNumberFormat="1" applyFont="1" applyFill="1" applyBorder="1" applyAlignment="1">
      <x:alignment horizontal="center" vertical="center" wrapText="1"/>
    </x:xf>
    <x:xf numFmtId="0" fontId="12" fillId="0" borderId="16" xfId="0" applyNumberFormat="1" applyFont="1" applyFill="1" applyBorder="1" applyAlignment="1">
      <x:alignment horizontal="center" vertical="center" wrapText="1"/>
    </x:xf>
    <x:xf numFmtId="0" fontId="12" fillId="0" borderId="17" xfId="0" applyNumberFormat="1" applyFont="1" applyFill="1" applyBorder="1" applyAlignment="1">
      <x:alignment horizontal="center" vertical="center" wrapText="1"/>
    </x:xf>
    <x:xf numFmtId="0" fontId="20" fillId="7" borderId="0" xfId="0" applyNumberFormat="1" applyFont="1" applyFill="1" applyBorder="1"/>
    <x:xf numFmtId="0" fontId="20" fillId="7" borderId="0" xfId="0" applyNumberFormat="1" applyFont="1" applyFill="1" applyBorder="1" applyAlignment="1">
      <x:alignment horizontal="left"/>
    </x:xf>
    <x:xf numFmtId="0" fontId="20" fillId="7" borderId="0" xfId="0" applyNumberFormat="1" applyFont="1" applyFill="1" applyBorder="1" applyAlignment="1">
      <x:alignment horizontal="left" vertical="center"/>
    </x:xf>
    <x:xf numFmtId="0" fontId="21" fillId="0" borderId="15" xfId="0" applyNumberFormat="1" applyFont="1" applyFill="1" applyBorder="1" applyAlignment="1">
      <x:alignment vertical="center" wrapText="1"/>
    </x:xf>
    <x:xf numFmtId="0" fontId="21" fillId="0" borderId="16" xfId="0" applyNumberFormat="1" applyFont="1" applyFill="1" applyBorder="1" applyAlignment="1">
      <x:alignment vertical="center" wrapText="1"/>
    </x:xf>
    <x:xf numFmtId="0" fontId="21" fillId="0" borderId="17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horizontal="left" vertical="center"/>
    </x:xf>
    <x:xf numFmtId="0" fontId="22" fillId="8" borderId="0" xfId="0" applyNumberFormat="1" applyFont="1" applyFill="1" applyBorder="1" applyAlignment="1">
      <x:alignment horizontal="left" vertical="center"/>
    </x:xf>
    <x:xf numFmtId="0" fontId="23" fillId="13" borderId="0" xfId="0" applyNumberFormat="1" applyFont="1" applyFill="1" applyBorder="1"/>
    <x:xf numFmtId="0" fontId="23" fillId="13" borderId="15" xfId="0" applyNumberFormat="1" applyFont="1" applyFill="1" applyBorder="1"/>
    <x:xf numFmtId="0" fontId="23" fillId="13" borderId="16" xfId="0" applyNumberFormat="1" applyFont="1" applyFill="1" applyBorder="1"/>
    <x:xf numFmtId="0" fontId="23" fillId="13" borderId="17" xfId="0" applyNumberFormat="1" applyFont="1" applyFill="1" applyBorder="1"/>
    <x:xf numFmtId="0" fontId="23" fillId="13" borderId="15" xfId="0" applyNumberFormat="1" applyFont="1" applyFill="1" applyBorder="1" applyAlignment="1">
      <x:alignment horizontal="center"/>
    </x:xf>
    <x:xf numFmtId="0" fontId="23" fillId="13" borderId="16" xfId="0" applyNumberFormat="1" applyFont="1" applyFill="1" applyBorder="1" applyAlignment="1">
      <x:alignment horizontal="center"/>
    </x:xf>
    <x:xf numFmtId="0" fontId="23" fillId="13" borderId="17" xfId="0" applyNumberFormat="1" applyFont="1" applyFill="1" applyBorder="1" applyAlignment="1">
      <x:alignment horizontal="center"/>
    </x:xf>
    <x:xf numFmtId="0" fontId="23" fillId="13" borderId="15" xfId="0" applyNumberFormat="1" applyFont="1" applyFill="1" applyBorder="1" applyAlignment="1">
      <x:alignment horizontal="center" vertical="center"/>
    </x:xf>
    <x:xf numFmtId="0" fontId="23" fillId="13" borderId="16" xfId="0" applyNumberFormat="1" applyFont="1" applyFill="1" applyBorder="1" applyAlignment="1">
      <x:alignment horizontal="center" vertical="center"/>
    </x:xf>
    <x:xf numFmtId="0" fontId="23" fillId="13" borderId="1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2c45bcc8f4e54" /><Relationship Type="http://schemas.openxmlformats.org/officeDocument/2006/relationships/theme" Target="/xl/theme/theme1.xml" Id="Rd3e049a5c3d54178" /><Relationship Type="http://schemas.openxmlformats.org/officeDocument/2006/relationships/sharedStrings" Target="/xl/sharedStrings.xml" Id="Re8faa456faad4efe" /><Relationship Type="http://schemas.openxmlformats.org/officeDocument/2006/relationships/worksheet" Target="/xl/worksheets/sheet1.xml" Id="R0ea7b0579e2b45f3" /><Relationship Type="http://schemas.openxmlformats.org/officeDocument/2006/relationships/worksheet" Target="/xl/worksheets/sheet2.xml" Id="R9496c971f1d2422f" /><Relationship Type="http://schemas.microsoft.com/office/2017/10/relationships/person" Target="/xl/persons/person.xml" Id="Rb28d3e29de1e42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94d1f13926540cd" /><Relationship Type="http://schemas.openxmlformats.org/officeDocument/2006/relationships/image" Target="/xl/media/image2.png" Id="Rea3d995ca8c54c61" /><Relationship Type="http://schemas.openxmlformats.org/officeDocument/2006/relationships/image" Target="/xl/media/image3.png" Id="R018a8b4d45104cc6" /><Relationship Type="http://schemas.openxmlformats.org/officeDocument/2006/relationships/image" Target="/xl/media/image4.png" Id="R5709c9cbb53b4d52" /><Relationship Type="http://schemas.openxmlformats.org/officeDocument/2006/relationships/image" Target="/xl/media/image5.png" Id="R9bea6d9fdd114ba3" /><Relationship Type="http://schemas.openxmlformats.org/officeDocument/2006/relationships/image" Target="/xl/media/image6.png" Id="R4a8c2dbb9e824d8e" /><Relationship Type="http://schemas.openxmlformats.org/officeDocument/2006/relationships/image" Target="/xl/media/image7.png" Id="Ra3d7d0d6f3cf4d67" /><Relationship Type="http://schemas.openxmlformats.org/officeDocument/2006/relationships/image" Target="/xl/media/image8.png" Id="R66e5eedd095340f6" /><Relationship Type="http://schemas.openxmlformats.org/officeDocument/2006/relationships/image" Target="/xl/media/image9.png" Id="R99de5fcf5c2441b8" /><Relationship Type="http://schemas.openxmlformats.org/officeDocument/2006/relationships/image" Target="/xl/media/image10.png" Id="Rb57356984d64416e" /><Relationship Type="http://schemas.openxmlformats.org/officeDocument/2006/relationships/image" Target="/xl/media/image11.png" Id="R999ef8dd2e82459d" /><Relationship Type="http://schemas.openxmlformats.org/officeDocument/2006/relationships/image" Target="/xl/media/image12.png" Id="Rcfeb92be870d43dc" /><Relationship Type="http://schemas.openxmlformats.org/officeDocument/2006/relationships/image" Target="/xl/media/image13.png" Id="R0037d5dcc79c41c9" /><Relationship Type="http://schemas.openxmlformats.org/officeDocument/2006/relationships/image" Target="/xl/media/image14.png" Id="Re9618d0ff13e48ff" /><Relationship Type="http://schemas.openxmlformats.org/officeDocument/2006/relationships/image" Target="/xl/media/image15.png" Id="Re3967f2d8ac64954" /><Relationship Type="http://schemas.openxmlformats.org/officeDocument/2006/relationships/image" Target="/xl/media/image16.png" Id="Rd5f0641c5b6549ff" /><Relationship Type="http://schemas.openxmlformats.org/officeDocument/2006/relationships/image" Target="/xl/media/image17.png" Id="Rb19e68a0345a4422" /><Relationship Type="http://schemas.openxmlformats.org/officeDocument/2006/relationships/image" Target="/xl/media/image18.png" Id="Rddb67815bc9742e2" /><Relationship Type="http://schemas.openxmlformats.org/officeDocument/2006/relationships/image" Target="/xl/media/image19.png" Id="R78e5319cd9fc4db1" /><Relationship Type="http://schemas.openxmlformats.org/officeDocument/2006/relationships/image" Target="/xl/media/image20.png" Id="R0b69e840504442d4" /><Relationship Type="http://schemas.openxmlformats.org/officeDocument/2006/relationships/image" Target="/xl/media/image21.png" Id="R9ab58eb58dd142a7" /><Relationship Type="http://schemas.openxmlformats.org/officeDocument/2006/relationships/image" Target="/xl/media/image22.png" Id="Rc2a096428b624f90" /><Relationship Type="http://schemas.openxmlformats.org/officeDocument/2006/relationships/image" Target="/xl/media/image23.png" Id="Rb439bf460a7145b2" /><Relationship Type="http://schemas.openxmlformats.org/officeDocument/2006/relationships/image" Target="/xl/media/image24.png" Id="Re5980e6a891244df" /><Relationship Type="http://schemas.openxmlformats.org/officeDocument/2006/relationships/image" Target="/xl/media/image25.png" Id="Rf4f5d4efb7e24015" /><Relationship Type="http://schemas.openxmlformats.org/officeDocument/2006/relationships/image" Target="/xl/media/image26.png" Id="R7a2284c325c14149" /><Relationship Type="http://schemas.openxmlformats.org/officeDocument/2006/relationships/image" Target="/xl/media/image27.png" Id="R7aa57fd73b974582" /><Relationship Type="http://schemas.openxmlformats.org/officeDocument/2006/relationships/image" Target="/xl/media/image28.png" Id="R141d2d3271094e70" /><Relationship Type="http://schemas.openxmlformats.org/officeDocument/2006/relationships/image" Target="/xl/media/image29.png" Id="Rc17da59192e74d89" /><Relationship Type="http://schemas.openxmlformats.org/officeDocument/2006/relationships/image" Target="/xl/media/image30.png" Id="Rdef5e3a9bc5f4010" /><Relationship Type="http://schemas.openxmlformats.org/officeDocument/2006/relationships/image" Target="/xl/media/image31.png" Id="R03f00156ed6a4d43" /><Relationship Type="http://schemas.openxmlformats.org/officeDocument/2006/relationships/image" Target="/xl/media/image32.png" Id="R29524aea8fa74621" /><Relationship Type="http://schemas.openxmlformats.org/officeDocument/2006/relationships/image" Target="/xl/media/image33.png" Id="R8b10c6bde5694455" /><Relationship Type="http://schemas.openxmlformats.org/officeDocument/2006/relationships/image" Target="/xl/media/image34.png" Id="Rd4259e961d8143e5" /><Relationship Type="http://schemas.openxmlformats.org/officeDocument/2006/relationships/image" Target="/xl/media/image35.png" Id="R6543faae0051476f" /><Relationship Type="http://schemas.openxmlformats.org/officeDocument/2006/relationships/image" Target="/xl/media/image36.png" Id="Ra1bceddb398e415f" /></Relationships>
</file>

<file path=xl/drawings/drawing1.xml><?xml version="1.0" encoding="utf-8"?>
<xdr:wsDr xmlns:xdr="http://schemas.openxmlformats.org/drawingml/2006/spreadsheetDrawing">
  <xdr:oneCellAnchor>
    <xdr:from>
      <xdr:col>6</xdr:col>
      <xdr:colOff>76200</xdr:colOff>
      <xdr:row>4</xdr:row>
      <xdr:rowOff>66675</xdr:rowOff>
    </xdr:from>
    <xdr:ext cx="590550" cy="590550"/>
    <xdr:pic>
      <xdr:nvPicPr>
        <xdr:cNvPr id="1" name="3634a028-5cb6-4a26-919b-89c6796cf2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4d1f13926540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5</xdr:row>
      <xdr:rowOff>66675</xdr:rowOff>
    </xdr:from>
    <xdr:ext cx="590550" cy="590550"/>
    <xdr:pic>
      <xdr:nvPicPr>
        <xdr:cNvPr id="2" name="2d296dd2-af25-4b19-a08d-6ca6be8cba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3d995ca8c54c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6</xdr:row>
      <xdr:rowOff>66675</xdr:rowOff>
    </xdr:from>
    <xdr:ext cx="590550" cy="590550"/>
    <xdr:pic>
      <xdr:nvPicPr>
        <xdr:cNvPr id="3" name="eee8bf1d-c728-4aab-8efb-917b38fda0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8a8b4d45104c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7</xdr:row>
      <xdr:rowOff>66675</xdr:rowOff>
    </xdr:from>
    <xdr:ext cx="590550" cy="590550"/>
    <xdr:pic>
      <xdr:nvPicPr>
        <xdr:cNvPr id="4" name="eae26fbb-b736-41a6-9a7d-966d38e8e7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9c9cbb53b4d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8</xdr:row>
      <xdr:rowOff>66675</xdr:rowOff>
    </xdr:from>
    <xdr:ext cx="590550" cy="590550"/>
    <xdr:pic>
      <xdr:nvPicPr>
        <xdr:cNvPr id="5" name="979daf63-c5c0-4a74-97a0-0317ff0ecf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ea6d9fdd114b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9</xdr:row>
      <xdr:rowOff>66675</xdr:rowOff>
    </xdr:from>
    <xdr:ext cx="590550" cy="590550"/>
    <xdr:pic>
      <xdr:nvPicPr>
        <xdr:cNvPr id="6" name="59b4d9c1-ff29-40eb-a0ef-a43fa62bd4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8c2dbb9e824d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10</xdr:row>
      <xdr:rowOff>66675</xdr:rowOff>
    </xdr:from>
    <xdr:ext cx="590550" cy="590550"/>
    <xdr:pic>
      <xdr:nvPicPr>
        <xdr:cNvPr id="7" name="e5523c1d-78c2-4c31-8643-0d37675b91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d7d0d6f3cf4d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11</xdr:row>
      <xdr:rowOff>66675</xdr:rowOff>
    </xdr:from>
    <xdr:ext cx="590550" cy="590550"/>
    <xdr:pic>
      <xdr:nvPicPr>
        <xdr:cNvPr id="8" name="6a7769c5-ccda-45ef-8ab8-ba30e18df6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e5eedd095340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12</xdr:row>
      <xdr:rowOff>66675</xdr:rowOff>
    </xdr:from>
    <xdr:ext cx="590550" cy="590550"/>
    <xdr:pic>
      <xdr:nvPicPr>
        <xdr:cNvPr id="9" name="145b1c38-038c-444b-bfbe-927476c939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e5fcf5c2441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13</xdr:row>
      <xdr:rowOff>66675</xdr:rowOff>
    </xdr:from>
    <xdr:ext cx="590550" cy="590550"/>
    <xdr:pic>
      <xdr:nvPicPr>
        <xdr:cNvPr id="10" name="1353e715-b138-4597-bacb-50711f2a73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7356984d6441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14</xdr:row>
      <xdr:rowOff>66675</xdr:rowOff>
    </xdr:from>
    <xdr:ext cx="590550" cy="590550"/>
    <xdr:pic>
      <xdr:nvPicPr>
        <xdr:cNvPr id="11" name="6958f35f-cfe5-4a98-9b29-c53fe004e8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9ef8dd2e8245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15</xdr:row>
      <xdr:rowOff>66675</xdr:rowOff>
    </xdr:from>
    <xdr:ext cx="590550" cy="590550"/>
    <xdr:pic>
      <xdr:nvPicPr>
        <xdr:cNvPr id="12" name="96648e1d-6039-4542-a8a7-0b2867d011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eb92be870d43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16</xdr:row>
      <xdr:rowOff>66675</xdr:rowOff>
    </xdr:from>
    <xdr:ext cx="590550" cy="590550"/>
    <xdr:pic>
      <xdr:nvPicPr>
        <xdr:cNvPr id="13" name="06f6b87a-15ba-44d9-9435-ba7c9539f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7d5dcc79c41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17</xdr:row>
      <xdr:rowOff>66675</xdr:rowOff>
    </xdr:from>
    <xdr:ext cx="590550" cy="590550"/>
    <xdr:pic>
      <xdr:nvPicPr>
        <xdr:cNvPr id="14" name="d291cc25-a9ca-45ca-a064-f43f4044e3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618d0ff13e48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18</xdr:row>
      <xdr:rowOff>66675</xdr:rowOff>
    </xdr:from>
    <xdr:ext cx="590550" cy="590550"/>
    <xdr:pic>
      <xdr:nvPicPr>
        <xdr:cNvPr id="15" name="40258dee-cd6d-4600-81ab-eecfe6ef79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967f2d8ac6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19</xdr:row>
      <xdr:rowOff>66675</xdr:rowOff>
    </xdr:from>
    <xdr:ext cx="590550" cy="590550"/>
    <xdr:pic>
      <xdr:nvPicPr>
        <xdr:cNvPr id="16" name="5332c8e9-caff-4b37-b19d-de0a3cb763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f0641c5b6549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20</xdr:row>
      <xdr:rowOff>66675</xdr:rowOff>
    </xdr:from>
    <xdr:ext cx="590550" cy="590550"/>
    <xdr:pic>
      <xdr:nvPicPr>
        <xdr:cNvPr id="17" name="77cabba3-6b1c-4a54-828c-d01963f080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9e68a0345a44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21</xdr:row>
      <xdr:rowOff>66675</xdr:rowOff>
    </xdr:from>
    <xdr:ext cx="590550" cy="590550"/>
    <xdr:pic>
      <xdr:nvPicPr>
        <xdr:cNvPr id="18" name="32ced248-953a-4b09-9060-79e428cd0a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b67815bc9742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22</xdr:row>
      <xdr:rowOff>66675</xdr:rowOff>
    </xdr:from>
    <xdr:ext cx="590550" cy="590550"/>
    <xdr:pic>
      <xdr:nvPicPr>
        <xdr:cNvPr id="19" name="581835ff-194a-46e2-a35a-916e949e33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e5319cd9fc4d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23</xdr:row>
      <xdr:rowOff>66675</xdr:rowOff>
    </xdr:from>
    <xdr:ext cx="590550" cy="590550"/>
    <xdr:pic>
      <xdr:nvPicPr>
        <xdr:cNvPr id="20" name="4cb461fd-9466-4d67-8535-d55a28e250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69e840504442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24</xdr:row>
      <xdr:rowOff>66675</xdr:rowOff>
    </xdr:from>
    <xdr:ext cx="590550" cy="590550"/>
    <xdr:pic>
      <xdr:nvPicPr>
        <xdr:cNvPr id="21" name="643a58f4-4913-4c58-a0ab-4998237479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b58eb58dd1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25</xdr:row>
      <xdr:rowOff>66675</xdr:rowOff>
    </xdr:from>
    <xdr:ext cx="590550" cy="590550"/>
    <xdr:pic>
      <xdr:nvPicPr>
        <xdr:cNvPr id="22" name="7b28c523-4612-4bd9-98cc-00076c4b39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096428b624f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26</xdr:row>
      <xdr:rowOff>66675</xdr:rowOff>
    </xdr:from>
    <xdr:ext cx="590550" cy="590550"/>
    <xdr:pic>
      <xdr:nvPicPr>
        <xdr:cNvPr id="23" name="68440a74-4781-4026-9c72-009fd9c4a2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39bf460a7145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27</xdr:row>
      <xdr:rowOff>66675</xdr:rowOff>
    </xdr:from>
    <xdr:ext cx="590550" cy="590550"/>
    <xdr:pic>
      <xdr:nvPicPr>
        <xdr:cNvPr id="24" name="9d9c0154-1c65-4c53-bc8b-a124e9cccc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80e6a891244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28</xdr:row>
      <xdr:rowOff>66675</xdr:rowOff>
    </xdr:from>
    <xdr:ext cx="590550" cy="590550"/>
    <xdr:pic>
      <xdr:nvPicPr>
        <xdr:cNvPr id="25" name="5c2fc57e-eef2-42ff-9be9-cf172cd6aa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5d4efb7e2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29</xdr:row>
      <xdr:rowOff>66675</xdr:rowOff>
    </xdr:from>
    <xdr:ext cx="590550" cy="590550"/>
    <xdr:pic>
      <xdr:nvPicPr>
        <xdr:cNvPr id="26" name="074a9190-2246-4991-84e0-34c8cb7ae0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2284c325c141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30</xdr:row>
      <xdr:rowOff>66675</xdr:rowOff>
    </xdr:from>
    <xdr:ext cx="590550" cy="590550"/>
    <xdr:pic>
      <xdr:nvPicPr>
        <xdr:cNvPr id="27" name="4d9344fb-b3c1-4d14-b4b4-47b5224bf8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a57fd73b9745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31</xdr:row>
      <xdr:rowOff>66675</xdr:rowOff>
    </xdr:from>
    <xdr:ext cx="590550" cy="590550"/>
    <xdr:pic>
      <xdr:nvPicPr>
        <xdr:cNvPr id="28" name="e8217806-354b-46c7-9481-873e6ce9e8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1d2d3271094e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32</xdr:row>
      <xdr:rowOff>66675</xdr:rowOff>
    </xdr:from>
    <xdr:ext cx="590550" cy="590550"/>
    <xdr:pic>
      <xdr:nvPicPr>
        <xdr:cNvPr id="29" name="b3121165-1eb9-45b7-a39d-f05670ce8b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7da59192e74d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33</xdr:row>
      <xdr:rowOff>66675</xdr:rowOff>
    </xdr:from>
    <xdr:ext cx="590550" cy="590550"/>
    <xdr:pic>
      <xdr:nvPicPr>
        <xdr:cNvPr id="30" name="b02205b2-87e6-44c0-960e-5b5580d156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f5e3a9bc5f40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34</xdr:row>
      <xdr:rowOff>66675</xdr:rowOff>
    </xdr:from>
    <xdr:ext cx="590550" cy="590550"/>
    <xdr:pic>
      <xdr:nvPicPr>
        <xdr:cNvPr id="31" name="e64e3071-e002-49aa-bc26-493e50e589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f00156ed6a4d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35</xdr:row>
      <xdr:rowOff>66675</xdr:rowOff>
    </xdr:from>
    <xdr:ext cx="590550" cy="590550"/>
    <xdr:pic>
      <xdr:nvPicPr>
        <xdr:cNvPr id="32" name="8b54f348-b307-4875-926b-6b389a89bd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24aea8fa746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36</xdr:row>
      <xdr:rowOff>66675</xdr:rowOff>
    </xdr:from>
    <xdr:ext cx="590550" cy="590550"/>
    <xdr:pic>
      <xdr:nvPicPr>
        <xdr:cNvPr id="33" name="2c7bac41-e2a2-4403-be61-48af9645cf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10c6bde56944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37</xdr:row>
      <xdr:rowOff>66675</xdr:rowOff>
    </xdr:from>
    <xdr:ext cx="590550" cy="590550"/>
    <xdr:pic>
      <xdr:nvPicPr>
        <xdr:cNvPr id="34" name="87125efd-4a65-4834-a24d-0a8ea17bf0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259e961d8143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38</xdr:row>
      <xdr:rowOff>66675</xdr:rowOff>
    </xdr:from>
    <xdr:ext cx="590550" cy="590550"/>
    <xdr:pic>
      <xdr:nvPicPr>
        <xdr:cNvPr id="35" name="f2b238b9-d4d2-432e-8b21-4f52ffbd97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3faae005147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76200</xdr:colOff>
      <xdr:row>39</xdr:row>
      <xdr:rowOff>66675</xdr:rowOff>
    </xdr:from>
    <xdr:ext cx="590550" cy="590550"/>
    <xdr:pic>
      <xdr:nvPicPr>
        <xdr:cNvPr id="36" name="d9d64b4c-037a-40a0-9fbb-c65eac8549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bceddb398e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윤수진" id="{A47488D7-5E1D-4A63-B619-39D613505C2D}"/>
</xltc:personList>
</file>

<file path=xl/tables/table1.xml><?xml version="1.0" encoding="utf-8"?>
<x:table xmlns:x="http://schemas.openxmlformats.org/spreadsheetml/2006/main" id="1" name="SkillDataTable" displayName="SkillDataTable" ref="A4:AB40" headerRowCount="1" totalsRowCount="0" totalsRowShown="0">
  <x:autoFilter ref="A4:AB40"/>
  <x:tableColumns count="28">
    <x:tableColumn id="1" name="스킬 ID"/>
    <x:tableColumn id="2" name="구간"/>
    <x:tableColumn id="3" name="최초 사용 콘텐츠"/>
    <x:tableColumn id="4" name="사용 주체"/>
    <x:tableColumn id="5" name="스킬명"/>
    <x:tableColumn id="6" name="스킬 추가 설명"/>
    <x:tableColumn id="7" name="스킬 아이콘"/>
    <x:tableColumn id="8" name="스킬 타입"/>
    <x:tableColumn id="9" name="지정 사용자"/>
    <x:tableColumn id="10" name="상태 이상 값"/>
    <x:tableColumn id="11" name="발동 조건 타입"/>
    <x:tableColumn id="12" name="발동 필요 값"/>
    <x:tableColumn id="13" name="피해 적용 타입"/>
    <x:tableColumn id="14" name="피해 계수"/>
    <x:tableColumn id="15" name="고정 피해"/>
    <x:tableColumn id="16" name="피해 산정식"/>
    <x:tableColumn id="17" name="AI 발동 주기(초)"/>
    <x:tableColumn id="18" name="AI 발동 확률"/>
    <x:tableColumn id="19" name="쿨타임 타입"/>
    <x:tableColumn id="20" name="쿨타임(초)"/>
    <x:tableColumn id="21" name="시전 필요 시간(초)"/>
    <x:tableColumn id="22" name="능력 변동 종류"/>
    <x:tableColumn id="23" name="능력 변동 수치"/>
    <x:tableColumn id="24" name="단위"/>
    <x:tableColumn id="25" name="지속 시간(초)"/>
    <x:tableColumn id="26" name="종료·취소 조건"/>
    <x:tableColumn id="27" name="연계 스킬 ID"/>
    <x:tableColumn id="2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N4" dT="2026-08-05T02:17:32.025" personId="{A47488D7-5E1D-4A63-B619-39D613505C2D}" id="{2A59C34D-86EF-3F7F-265D-6CDAAC21ED54}">
    <xltc:text>피해 계수는 1.00=100%, 1.50=150%로 입력함. 실제 피해는 사용자의 기본 공격력과 장비 합산값을 기준으로 계산함.</xltc:text>
  </xltc:threadedComment>
  <xltc:threadedComment ref="Q4" dT="2026-08-05T02:17:32.025" personId="{A47488D7-5E1D-4A63-B619-39D613505C2D}" id="{A8C8E3BA-AB15-6344-E4AA-83D29BB1E9DA}">
    <xltc:text>AI 제어를 사용하지 않는 PC·시스템 스킬은 0으로 기록함. 빈칸과 실제 0초를 혼동하지 않기 위한 작성 규칙임.</xltc:text>
  </xltc:threadedComment>
  <xltc:threadedComment ref="W4" dT="2026-08-05T02:17:32.025" personId="{A47488D7-5E1D-4A63-B619-39D613505C2D}" id="{F38C0BC8-9993-1295-52E9-1BF68CBBF151}">
    <xltc:text>양수는 버프, 음수는 디버프. 단위 열과 함께 해석함.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0a673db21d74267" /><Relationship Type="http://schemas.openxmlformats.org/officeDocument/2006/relationships/vmlDrawing" Target="/xl/drawings/vmldrawing.vml" Id="R9237536131604ffe" /><Relationship Type="http://schemas.microsoft.com/office/2017/10/relationships/threadedComment" Target="/xl/threadedcomments/threadedcomment.xml" Id="Rc5497623a84f4bfd" /><Relationship Type="http://schemas.openxmlformats.org/officeDocument/2006/relationships/drawing" Target="/xl/drawings/drawing1.xml" Id="R3aeb628349e945c0" /><Relationship Type="http://schemas.openxmlformats.org/officeDocument/2006/relationships/table" Target="/xl/tables/table1.xml" Id="Re4f7509c901c49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1.670000076293945" hidden="0" customWidth="1"/>
    <x:col min="3" max="3" width="20" hidden="0" customWidth="1"/>
    <x:col min="4" max="4" width="9.329999923706055" hidden="0" customWidth="1"/>
    <x:col min="5" max="5" width="13.890000343322754" hidden="0" customWidth="1"/>
    <x:col min="6" max="6" width="30.559999465942383" hidden="0" customWidth="1"/>
    <x:col min="7" max="7" width="8.4399995803833" hidden="0" customWidth="1"/>
    <x:col min="8" max="8" width="8.670000076293945" hidden="0" customWidth="1"/>
    <x:col min="9" max="9" width="16.110000610351562" hidden="0" customWidth="1"/>
    <x:col min="10" max="10" width="18.329999923706055" hidden="0" customWidth="1"/>
    <x:col min="11" max="11" width="11.5600004196167" hidden="0" customWidth="1"/>
    <x:col min="12" max="12" width="18.329999923706055" hidden="0" customWidth="1"/>
    <x:col min="13" max="13" width="12" hidden="0" customWidth="1"/>
    <x:col min="14" max="14" width="8.4399995803833" hidden="0" customWidth="1"/>
    <x:col min="15" max="15" width="7.78000020980835" hidden="0" customWidth="1"/>
    <x:col min="16" max="16" width="19.440000534057617" hidden="0" customWidth="1"/>
    <x:col min="17" max="17" width="9.109999656677246" hidden="0" customWidth="1"/>
    <x:col min="18" max="18" width="9.109999656677246" hidden="0" customWidth="1"/>
    <x:col min="19" max="19" width="9.329999923706055" hidden="0" customWidth="1"/>
    <x:col min="20" max="20" width="8.4399995803833" hidden="0" customWidth="1"/>
    <x:col min="21" max="21" width="10.670000076293945" hidden="0" customWidth="1"/>
    <x:col min="22" max="22" width="13.329999923706055" hidden="0" customWidth="1"/>
    <x:col min="23" max="23" width="9.109999656677246" hidden="0" customWidth="1"/>
    <x:col min="24" max="24" width="7.21999979019165" hidden="0" customWidth="1"/>
    <x:col min="25" max="25" width="8.890000343322754" hidden="0" customWidth="1"/>
    <x:col min="26" max="26" width="21.110000610351562" hidden="0" customWidth="1"/>
    <x:col min="27" max="27" width="12" hidden="0" customWidth="1"/>
    <x:col min="28" max="28" width="28.329999923706055" hidden="0" customWidth="1"/>
  </x:cols>
  <x:sheetData>
    <x:row r="1" ht="31.5" customHeight="1">
      <x:c r="A1" s="4" t="str">
        <x:v>넌 착해! — 스킬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25.5" customHeight="1">
      <x:c r="A2" s="8" t="str">
        <x:v>스킬을 ‘약속 + UI + Data’로 정의한 시스템 연동용 표 · 피해 계수 1.00 = 기본 공격력 100% · 숫자 0은 해당 제어 미사용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</x:row>
    <x:row r="3" ht="21" customHeight="1">
      <x:c r="A3" s="17" t="str">
        <x:v>관리 정보</x:v>
      </x:c>
      <x:c r="B3" s="18"/>
      <x:c r="C3" s="18"/>
      <x:c r="D3" s="19"/>
      <x:c r="E3" s="28" t="str">
        <x:v>UI 기재 내용</x:v>
      </x:c>
      <x:c r="F3" s="29"/>
      <x:c r="G3" s="29"/>
      <x:c r="H3" s="29"/>
      <x:c r="I3" s="30"/>
      <x:c r="J3" s="39" t="str">
        <x:v>발동 조건</x:v>
      </x:c>
      <x:c r="K3" s="40"/>
      <x:c r="L3" s="41"/>
      <x:c r="M3" s="50" t="str">
        <x:v>피해</x:v>
      </x:c>
      <x:c r="N3" s="51"/>
      <x:c r="O3" s="51"/>
      <x:c r="P3" s="52"/>
      <x:c r="Q3" s="59" t="str">
        <x:v>AI 제어</x:v>
      </x:c>
      <x:c r="R3" s="60"/>
      <x:c r="S3" s="69" t="str">
        <x:v>조작·시간</x:v>
      </x:c>
      <x:c r="T3" s="70"/>
      <x:c r="U3" s="71"/>
      <x:c r="V3" s="80" t="str">
        <x:v>버프·디버프</x:v>
      </x:c>
      <x:c r="W3" s="81"/>
      <x:c r="X3" s="81"/>
      <x:c r="Y3" s="82"/>
      <x:c r="Z3" s="91" t="str">
        <x:v>연계·운영</x:v>
      </x:c>
      <x:c r="AA3" s="92"/>
      <x:c r="AB3" s="93"/>
    </x:row>
    <x:row r="4" ht="43.5" customHeight="1">
      <x:c r="A4" s="99" t="str">
        <x:v>스킬 ID</x:v>
      </x:c>
      <x:c r="B4" s="99" t="str">
        <x:v>구간</x:v>
      </x:c>
      <x:c r="C4" s="99" t="str">
        <x:v>최초 사용 콘텐츠</x:v>
      </x:c>
      <x:c r="D4" s="99" t="str">
        <x:v>사용 주체</x:v>
      </x:c>
      <x:c r="E4" s="99" t="str">
        <x:v>스킬명</x:v>
      </x:c>
      <x:c r="F4" s="99" t="str">
        <x:v>스킬 추가 설명</x:v>
      </x:c>
      <x:c r="G4" s="99" t="str">
        <x:v>스킬 아이콘</x:v>
      </x:c>
      <x:c r="H4" s="99" t="str">
        <x:v>스킬 타입</x:v>
      </x:c>
      <x:c r="I4" s="99" t="str">
        <x:v>지정 사용자</x:v>
      </x:c>
      <x:c r="J4" s="99" t="str">
        <x:v>상태 이상 값</x:v>
      </x:c>
      <x:c r="K4" s="99" t="str">
        <x:v>발동 조건 타입</x:v>
      </x:c>
      <x:c r="L4" s="99" t="str">
        <x:v>발동 필요 값</x:v>
      </x:c>
      <x:c r="M4" s="99" t="str">
        <x:v>피해 적용 타입</x:v>
      </x:c>
      <x:c r="N4" s="99" t="str">
        <x:v>피해 계수</x:v>
      </x:c>
      <x:c r="O4" s="99" t="str">
        <x:v>고정 피해</x:v>
      </x:c>
      <x:c r="P4" s="99" t="str">
        <x:v>피해 산정식</x:v>
      </x:c>
      <x:c r="Q4" s="99" t="str">
        <x:v>AI 발동 주기(초)</x:v>
      </x:c>
      <x:c r="R4" s="99" t="str">
        <x:v>AI 발동 확률</x:v>
      </x:c>
      <x:c r="S4" s="99" t="str">
        <x:v>쿨타임 타입</x:v>
      </x:c>
      <x:c r="T4" s="99" t="str">
        <x:v>쿨타임(초)</x:v>
      </x:c>
      <x:c r="U4" s="99" t="str">
        <x:v>시전 필요 시간(초)</x:v>
      </x:c>
      <x:c r="V4" s="99" t="str">
        <x:v>능력 변동 종류</x:v>
      </x:c>
      <x:c r="W4" s="99" t="str">
        <x:v>능력 변동 수치</x:v>
      </x:c>
      <x:c r="X4" s="99" t="str">
        <x:v>단위</x:v>
      </x:c>
      <x:c r="Y4" s="99" t="str">
        <x:v>지속 시간(초)</x:v>
      </x:c>
      <x:c r="Z4" s="99" t="str">
        <x:v>종료·취소 조건</x:v>
      </x:c>
      <x:c r="AA4" s="99" t="str">
        <x:v>연계 스킬 ID</x:v>
      </x:c>
      <x:c r="AB4" s="99" t="str">
        <x:v>비고</x:v>
      </x:c>
    </x:row>
    <x:row r="5" ht="58.5" customHeight="1">
      <x:c r="A5" s="142" t="str">
        <x:v>SKL-PC-001</x:v>
      </x:c>
      <x:c r="B5" s="129" t="str">
        <x:v>전투 도입</x:v>
      </x:c>
      <x:c r="C5" s="129" t="str">
        <x:v>기본 공격 튜토리얼</x:v>
      </x:c>
      <x:c r="D5" s="129" t="str">
        <x:v>PC</x:v>
      </x:c>
      <x:c r="E5" s="146" t="str">
        <x:v>기본 타격</x:v>
      </x:c>
      <x:c r="F5" s="120" t="str">
        <x:v>장착 무기로 정면의 적 1체를 공격하는 기본 전투 행동</x:v>
      </x:c>
      <x:c r="G5" s="129" t="str"/>
      <x:c r="H5" s="129" t="str">
        <x:v>액티브</x:v>
      </x:c>
      <x:c r="I5" s="129" t="str">
        <x:v>차한해</x:v>
      </x:c>
      <x:c r="J5" s="120" t="str">
        <x:v>경직 0.20초</x:v>
      </x:c>
      <x:c r="K5" s="129" t="str">
        <x:v>입력</x:v>
      </x:c>
      <x:c r="L5" s="120" t="str">
        <x:v>공격 입력 1회</x:v>
      </x:c>
      <x:c r="M5" s="129" t="str">
        <x:v>기본 공격력 비율</x:v>
      </x:c>
      <x:c r="N5" s="150" t="n">
        <x:v>1</x:v>
      </x:c>
      <x:c r="O5" s="154" t="n">
        <x:v>0</x:v>
      </x:c>
      <x:c r="P5" s="120" t="str">
        <x:f>IF(M5="없음","피해 없음",IF(M5="기본 공격력 비율","기본 공격력 × "&amp;TEXT(N5,"0%"),IF(M5="고정 피해","고정 "&amp;TEXT(O5,"0"),IF(M5="즉시 처리","수치 계산 없이 즉시 처리","확인 필요"))))</x:f>
        <x:v>기본 공격력 × 100%</x:v>
      </x:c>
      <x:c r="Q5" s="158" t="n">
        <x:v>0</x:v>
      </x:c>
      <x:c r="R5" s="150" t="n">
        <x:v>0</x:v>
      </x:c>
      <x:c r="S5" s="129" t="str">
        <x:v>개별</x:v>
      </x:c>
      <x:c r="T5" s="162" t="n">
        <x:v>0.45</x:v>
      </x:c>
      <x:c r="U5" s="162" t="n">
        <x:v>0.2</x:v>
      </x:c>
      <x:c r="V5" s="129" t="str">
        <x:v>없음</x:v>
      </x:c>
      <x:c r="W5" s="166" t="n">
        <x:v>0</x:v>
      </x:c>
      <x:c r="X5" s="129" t="str">
        <x:v>없음</x:v>
      </x:c>
      <x:c r="Y5" s="162" t="n">
        <x:v>0</x:v>
      </x:c>
      <x:c r="Z5" s="120" t="str">
        <x:v>시전 종료</x:v>
      </x:c>
      <x:c r="AA5" s="129" t="str">
        <x:v>없음</x:v>
      </x:c>
      <x:c r="AB5" s="121" t="str">
        <x:v>장비 공격력을 포함한 기본 공격력 기준</x:v>
      </x:c>
    </x:row>
    <x:row r="6" ht="58.5" customHeight="1">
      <x:c r="A6" s="143" t="str">
        <x:v>SKL-PC-002</x:v>
      </x:c>
      <x:c r="B6" s="135" t="str">
        <x:v>전투 도입</x:v>
      </x:c>
      <x:c r="C6" s="135" t="str">
        <x:v>균열 직후 첫 괴물 조우</x:v>
      </x:c>
      <x:c r="D6" s="135" t="str">
        <x:v>PC</x:v>
      </x:c>
      <x:c r="E6" s="147" t="str">
        <x:v>회피 이동</x:v>
      </x:c>
      <x:c r="F6" s="136" t="str">
        <x:v>입력 방향으로 짧게 이동하며 공격 판정을 피하는 생존 행동</x:v>
      </x:c>
      <x:c r="G6" s="135" t="str"/>
      <x:c r="H6" s="135" t="str">
        <x:v>액티브</x:v>
      </x:c>
      <x:c r="I6" s="135" t="str">
        <x:v>차한해</x:v>
      </x:c>
      <x:c r="J6" s="136" t="str">
        <x:v>무적 0.30초</x:v>
      </x:c>
      <x:c r="K6" s="135" t="str">
        <x:v>입력</x:v>
      </x:c>
      <x:c r="L6" s="136" t="str">
        <x:v>회피 입력 1회</x:v>
      </x:c>
      <x:c r="M6" s="135" t="str">
        <x:v>없음</x:v>
      </x:c>
      <x:c r="N6" s="151" t="n">
        <x:v>0</x:v>
      </x:c>
      <x:c r="O6" s="155" t="n">
        <x:v>0</x:v>
      </x:c>
      <x:c r="P6" s="136" t="str">
        <x:f>IF(M6="없음","피해 없음",IF(M6="기본 공격력 비율","기본 공격력 × "&amp;TEXT(N6,"0%"),IF(M6="고정 피해","고정 "&amp;TEXT(O6,"0"),IF(M6="즉시 처리","수치 계산 없이 즉시 처리","확인 필요"))))</x:f>
        <x:v>피해 없음</x:v>
      </x:c>
      <x:c r="Q6" s="159" t="n">
        <x:v>0</x:v>
      </x:c>
      <x:c r="R6" s="151" t="n">
        <x:v>0</x:v>
      </x:c>
      <x:c r="S6" s="135" t="str">
        <x:v>개별</x:v>
      </x:c>
      <x:c r="T6" s="163" t="n">
        <x:v>1.8</x:v>
      </x:c>
      <x:c r="U6" s="163" t="n">
        <x:v>0.1</x:v>
      </x:c>
      <x:c r="V6" s="135" t="str">
        <x:v>이동 속도</x:v>
      </x:c>
      <x:c r="W6" s="167" t="n">
        <x:v>80</x:v>
      </x:c>
      <x:c r="X6" s="135" t="str">
        <x:v>%</x:v>
      </x:c>
      <x:c r="Y6" s="163" t="n">
        <x:v>0.25</x:v>
      </x:c>
      <x:c r="Z6" s="136" t="str">
        <x:v>이동 종료</x:v>
      </x:c>
      <x:c r="AA6" s="135" t="str">
        <x:v>없음</x:v>
      </x:c>
      <x:c r="AB6" s="137" t="str">
        <x:v>첫 괴물 조우에서는 처치 대신 회피 학습에 사용</x:v>
      </x:c>
    </x:row>
    <x:row r="7" ht="58.5" customHeight="1">
      <x:c r="A7" s="144" t="str">
        <x:v>SKL-PC-003</x:v>
      </x:c>
      <x:c r="B7" s="131" t="str">
        <x:v>폐교</x:v>
      </x:c>
      <x:c r="C7" s="131" t="str">
        <x:v>폐교 일반 전투 1</x:v>
      </x:c>
      <x:c r="D7" s="131" t="str">
        <x:v>PC</x:v>
      </x:c>
      <x:c r="E7" s="148" t="str">
        <x:v>밀쳐내기</x:v>
      </x:c>
      <x:c r="F7" s="123" t="str">
        <x:v>짧은 충격으로 적을 밀어내어 이동 경로와 안전 거리를 확보</x:v>
      </x:c>
      <x:c r="G7" s="131" t="str"/>
      <x:c r="H7" s="131" t="str">
        <x:v>액티브</x:v>
      </x:c>
      <x:c r="I7" s="131" t="str">
        <x:v>차한해</x:v>
      </x:c>
      <x:c r="J7" s="123" t="str">
        <x:v>밀려남 1.5칸</x:v>
      </x:c>
      <x:c r="K7" s="131" t="str">
        <x:v>입력</x:v>
      </x:c>
      <x:c r="L7" s="123" t="str">
        <x:v>보조 행동 입력 1회</x:v>
      </x:c>
      <x:c r="M7" s="131" t="str">
        <x:v>기본 공격력 비율</x:v>
      </x:c>
      <x:c r="N7" s="152" t="n">
        <x:v>0.5</x:v>
      </x:c>
      <x:c r="O7" s="156" t="n">
        <x:v>0</x:v>
      </x:c>
      <x:c r="P7" s="123" t="str">
        <x:f>IF(M7="없음","피해 없음",IF(M7="기본 공격력 비율","기본 공격력 × "&amp;TEXT(N7,"0%"),IF(M7="고정 피해","고정 "&amp;TEXT(O7,"0"),IF(M7="즉시 처리","수치 계산 없이 즉시 처리","확인 필요"))))</x:f>
        <x:v>기본 공격력 × 50%</x:v>
      </x:c>
      <x:c r="Q7" s="160" t="n">
        <x:v>0</x:v>
      </x:c>
      <x:c r="R7" s="152" t="n">
        <x:v>0</x:v>
      </x:c>
      <x:c r="S7" s="131" t="str">
        <x:v>개별</x:v>
      </x:c>
      <x:c r="T7" s="164" t="n">
        <x:v>4</x:v>
      </x:c>
      <x:c r="U7" s="164" t="n">
        <x:v>0.35</x:v>
      </x:c>
      <x:c r="V7" s="131" t="str">
        <x:v>없음</x:v>
      </x:c>
      <x:c r="W7" s="168" t="n">
        <x:v>0</x:v>
      </x:c>
      <x:c r="X7" s="131" t="str">
        <x:v>없음</x:v>
      </x:c>
      <x:c r="Y7" s="164" t="n">
        <x:v>0</x:v>
      </x:c>
      <x:c r="Z7" s="123" t="str">
        <x:v>시전 종료</x:v>
      </x:c>
      <x:c r="AA7" s="131" t="str">
        <x:v>없음</x:v>
      </x:c>
      <x:c r="AB7" s="124" t="str">
        <x:v>보스와 고정형 개체에는 밀려남 미적용</x:v>
      </x:c>
    </x:row>
    <x:row r="8" ht="58.5" customHeight="1">
      <x:c r="A8" s="143" t="str">
        <x:v>SKL-PC-004</x:v>
      </x:c>
      <x:c r="B8" s="135" t="str">
        <x:v>폐교</x:v>
      </x:c>
      <x:c r="C8" s="135" t="str">
        <x:v>폐교 일반 전투 2</x:v>
      </x:c>
      <x:c r="D8" s="135" t="str">
        <x:v>PC</x:v>
      </x:c>
      <x:c r="E8" s="147" t="str">
        <x:v>방어 자세</x:v>
      </x:c>
      <x:c r="F8" s="136" t="str">
        <x:v>입력을 유지하는 동안 정면 공격의 피해와 경직을 완화</x:v>
      </x:c>
      <x:c r="G8" s="135" t="str"/>
      <x:c r="H8" s="135" t="str">
        <x:v>액티브</x:v>
      </x:c>
      <x:c r="I8" s="135" t="str">
        <x:v>차한해</x:v>
      </x:c>
      <x:c r="J8" s="136" t="str">
        <x:v>경직 저항 50%</x:v>
      </x:c>
      <x:c r="K8" s="135" t="str">
        <x:v>입력 유지</x:v>
      </x:c>
      <x:c r="L8" s="136" t="str">
        <x:v>방어 입력 유지</x:v>
      </x:c>
      <x:c r="M8" s="135" t="str">
        <x:v>없음</x:v>
      </x:c>
      <x:c r="N8" s="151" t="n">
        <x:v>0</x:v>
      </x:c>
      <x:c r="O8" s="155" t="n">
        <x:v>0</x:v>
      </x:c>
      <x:c r="P8" s="136" t="str">
        <x:f>IF(M8="없음","피해 없음",IF(M8="기본 공격력 비율","기본 공격력 × "&amp;TEXT(N8,"0%"),IF(M8="고정 피해","고정 "&amp;TEXT(O8,"0"),IF(M8="즉시 처리","수치 계산 없이 즉시 처리","확인 필요"))))</x:f>
        <x:v>피해 없음</x:v>
      </x:c>
      <x:c r="Q8" s="159" t="n">
        <x:v>0</x:v>
      </x:c>
      <x:c r="R8" s="151" t="n">
        <x:v>0</x:v>
      </x:c>
      <x:c r="S8" s="135" t="str">
        <x:v>공용</x:v>
      </x:c>
      <x:c r="T8" s="163" t="n">
        <x:v>0.2</x:v>
      </x:c>
      <x:c r="U8" s="163" t="n">
        <x:v>0.15</x:v>
      </x:c>
      <x:c r="V8" s="135" t="str">
        <x:v>받는 피해</x:v>
      </x:c>
      <x:c r="W8" s="167" t="n">
        <x:v>-50</x:v>
      </x:c>
      <x:c r="X8" s="135" t="str">
        <x:v>%</x:v>
      </x:c>
      <x:c r="Y8" s="163" t="n">
        <x:v>0</x:v>
      </x:c>
      <x:c r="Z8" s="136" t="str">
        <x:v>입력 해제·후방 피격</x:v>
      </x:c>
      <x:c r="AA8" s="135" t="str">
        <x:v>없음</x:v>
      </x:c>
      <x:c r="AB8" s="137" t="str">
        <x:v>이동 속도 40% 감소는 방어 자세 자체 약속에 포함</x:v>
      </x:c>
    </x:row>
    <x:row r="9" ht="58.5" customHeight="1">
      <x:c r="A9" s="144" t="str">
        <x:v>SKL-PC-005</x:v>
      </x:c>
      <x:c r="B9" s="131" t="str">
        <x:v>재난 대응</x:v>
      </x:c>
      <x:c r="C9" s="131" t="str">
        <x:v>측정 전 시민 구조</x:v>
      </x:c>
      <x:c r="D9" s="131" t="str">
        <x:v>PC</x:v>
      </x:c>
      <x:c r="E9" s="148" t="str">
        <x:v>시민 구조</x:v>
      </x:c>
      <x:c r="F9" s="123" t="str">
        <x:v>위험 지점의 시민을 부축해 지정된 안전 지점으로 이동</x:v>
      </x:c>
      <x:c r="G9" s="131" t="str"/>
      <x:c r="H9" s="131" t="str">
        <x:v>액티브</x:v>
      </x:c>
      <x:c r="I9" s="131" t="str">
        <x:v>차한해</x:v>
      </x:c>
      <x:c r="J9" s="123" t="str">
        <x:v>구조 대상 행동 잠금 해제</x:v>
      </x:c>
      <x:c r="K9" s="131" t="str">
        <x:v>대상 근접</x:v>
      </x:c>
      <x:c r="L9" s="123" t="str">
        <x:v>구조 가능 시민과 1칸 이내</x:v>
      </x:c>
      <x:c r="M9" s="131" t="str">
        <x:v>없음</x:v>
      </x:c>
      <x:c r="N9" s="152" t="n">
        <x:v>0</x:v>
      </x:c>
      <x:c r="O9" s="156" t="n">
        <x:v>0</x:v>
      </x:c>
      <x:c r="P9" s="123" t="str">
        <x:f>IF(M9="없음","피해 없음",IF(M9="기본 공격력 비율","기본 공격력 × "&amp;TEXT(N9,"0%"),IF(M9="고정 피해","고정 "&amp;TEXT(O9,"0"),IF(M9="즉시 처리","수치 계산 없이 즉시 처리","확인 필요"))))</x:f>
        <x:v>피해 없음</x:v>
      </x:c>
      <x:c r="Q9" s="160" t="n">
        <x:v>0</x:v>
      </x:c>
      <x:c r="R9" s="152" t="n">
        <x:v>0</x:v>
      </x:c>
      <x:c r="S9" s="131" t="str">
        <x:v>개별</x:v>
      </x:c>
      <x:c r="T9" s="164" t="n">
        <x:v>0.5</x:v>
      </x:c>
      <x:c r="U9" s="164" t="n">
        <x:v>1.2</x:v>
      </x:c>
      <x:c r="V9" s="131" t="str">
        <x:v>이동 속도</x:v>
      </x:c>
      <x:c r="W9" s="168" t="n">
        <x:v>-30</x:v>
      </x:c>
      <x:c r="X9" s="131" t="str">
        <x:v>%</x:v>
      </x:c>
      <x:c r="Y9" s="164" t="n">
        <x:v>0</x:v>
      </x:c>
      <x:c r="Z9" s="123" t="str">
        <x:v>피격·상호작용 해제</x:v>
      </x:c>
      <x:c r="AA9" s="131" t="str">
        <x:v>없음</x:v>
      </x:c>
      <x:c r="AB9" s="124" t="str">
        <x:v>구조 중 공격 불가, 안전 지점 도착 시 완료</x:v>
      </x:c>
    </x:row>
    <x:row r="10" ht="58.5" customHeight="1">
      <x:c r="A10" s="143" t="str">
        <x:v>SKL-PC-006</x:v>
      </x:c>
      <x:c r="B10" s="135" t="str">
        <x:v>일상</x:v>
      </x:c>
      <x:c r="C10" s="135" t="str">
        <x:v>동생 심부름—편의점</x:v>
      </x:c>
      <x:c r="D10" s="135" t="str">
        <x:v>PC</x:v>
      </x:c>
      <x:c r="E10" s="147" t="str">
        <x:v>상호작용</x:v>
      </x:c>
      <x:c r="F10" s="136" t="str">
        <x:v>NPC·문·오브젝트의 상황에 맞는 대화 또는 기능을 호출</x:v>
      </x:c>
      <x:c r="G10" s="135" t="str"/>
      <x:c r="H10" s="135" t="str">
        <x:v>액티브</x:v>
      </x:c>
      <x:c r="I10" s="135" t="str">
        <x:v>공용(전체)</x:v>
      </x:c>
      <x:c r="J10" s="136" t="str">
        <x:v>대상별 상호작용 이벤트 호출</x:v>
      </x:c>
      <x:c r="K10" s="135" t="str">
        <x:v>대상 근접</x:v>
      </x:c>
      <x:c r="L10" s="136" t="str">
        <x:v>상호작용 대상과 1칸 이내</x:v>
      </x:c>
      <x:c r="M10" s="135" t="str">
        <x:v>없음</x:v>
      </x:c>
      <x:c r="N10" s="151" t="n">
        <x:v>0</x:v>
      </x:c>
      <x:c r="O10" s="155" t="n">
        <x:v>0</x:v>
      </x:c>
      <x:c r="P10" s="136" t="str">
        <x:f>IF(M10="없음","피해 없음",IF(M10="기본 공격력 비율","기본 공격력 × "&amp;TEXT(N10,"0%"),IF(M10="고정 피해","고정 "&amp;TEXT(O10,"0"),IF(M10="즉시 처리","수치 계산 없이 즉시 처리","확인 필요"))))</x:f>
        <x:v>피해 없음</x:v>
      </x:c>
      <x:c r="Q10" s="159" t="n">
        <x:v>0</x:v>
      </x:c>
      <x:c r="R10" s="151" t="n">
        <x:v>0</x:v>
      </x:c>
      <x:c r="S10" s="135" t="str">
        <x:v>개별</x:v>
      </x:c>
      <x:c r="T10" s="163" t="n">
        <x:v>0.2</x:v>
      </x:c>
      <x:c r="U10" s="163" t="n">
        <x:v>0.25</x:v>
      </x:c>
      <x:c r="V10" s="135" t="str">
        <x:v>없음</x:v>
      </x:c>
      <x:c r="W10" s="167" t="n">
        <x:v>0</x:v>
      </x:c>
      <x:c r="X10" s="135" t="str">
        <x:v>없음</x:v>
      </x:c>
      <x:c r="Y10" s="163" t="n">
        <x:v>0</x:v>
      </x:c>
      <x:c r="Z10" s="136" t="str">
        <x:v>대상 이탈</x:v>
      </x:c>
      <x:c r="AA10" s="135" t="str">
        <x:v>없음</x:v>
      </x:c>
      <x:c r="AB10" s="137" t="str">
        <x:v>전투·탐색·퀘스트에서 공통 사용</x:v>
      </x:c>
    </x:row>
    <x:row r="11" ht="58.5" customHeight="1">
      <x:c r="A11" s="144" t="str">
        <x:v>SKL-PC-007</x:v>
      </x:c>
      <x:c r="B11" s="131" t="str">
        <x:v>재난 대응</x:v>
      </x:c>
      <x:c r="C11" s="131" t="str">
        <x:v>선의 측정—무한대 공개</x:v>
      </x:c>
      <x:c r="D11" s="131" t="str">
        <x:v>PC</x:v>
      </x:c>
      <x:c r="E11" s="148" t="str">
        <x:v>무한 선의</x:v>
      </x:c>
      <x:c r="F11" s="123" t="str">
        <x:v>선의 감소 연산을 무효화하고 측정 결과를 무한대로 반환하는 고유 특성</x:v>
      </x:c>
      <x:c r="G11" s="131" t="str"/>
      <x:c r="H11" s="131" t="str">
        <x:v>패시브</x:v>
      </x:c>
      <x:c r="I11" s="131" t="str">
        <x:v>차한해</x:v>
      </x:c>
      <x:c r="J11" s="123" t="str">
        <x:v>선의 감소량 0 고정</x:v>
      </x:c>
      <x:c r="K11" s="131" t="str">
        <x:v>상시</x:v>
      </x:c>
      <x:c r="L11" s="123" t="str">
        <x:v>차한해 활성 상태</x:v>
      </x:c>
      <x:c r="M11" s="131" t="str">
        <x:v>없음</x:v>
      </x:c>
      <x:c r="N11" s="152" t="n">
        <x:v>0</x:v>
      </x:c>
      <x:c r="O11" s="156" t="n">
        <x:v>0</x:v>
      </x:c>
      <x:c r="P11" s="123" t="str">
        <x:f>IF(M11="없음","피해 없음",IF(M11="기본 공격력 비율","기본 공격력 × "&amp;TEXT(N11,"0%"),IF(M11="고정 피해","고정 "&amp;TEXT(O11,"0"),IF(M11="즉시 처리","수치 계산 없이 즉시 처리","확인 필요"))))</x:f>
        <x:v>피해 없음</x:v>
      </x:c>
      <x:c r="Q11" s="160" t="n">
        <x:v>0</x:v>
      </x:c>
      <x:c r="R11" s="152" t="n">
        <x:v>0</x:v>
      </x:c>
      <x:c r="S11" s="131" t="str">
        <x:v>없음</x:v>
      </x:c>
      <x:c r="T11" s="164" t="n">
        <x:v>0</x:v>
      </x:c>
      <x:c r="U11" s="164" t="n">
        <x:v>0</x:v>
      </x:c>
      <x:c r="V11" s="131" t="str">
        <x:v>선의 감소량</x:v>
      </x:c>
      <x:c r="W11" s="168" t="n">
        <x:v>0</x:v>
      </x:c>
      <x:c r="X11" s="131" t="str">
        <x:v>고정값</x:v>
      </x:c>
      <x:c r="Y11" s="164" t="n">
        <x:v>0</x:v>
      </x:c>
      <x:c r="Z11" s="123" t="str">
        <x:v>해제 불가</x:v>
      </x:c>
      <x:c r="AA11" s="131" t="str">
        <x:v>SKL-BOS-011</x:v>
      </x:c>
      <x:c r="AB11" s="124" t="str">
        <x:v>전투 여부는 선의 감소 조건이 아님</x:v>
      </x:c>
    </x:row>
    <x:row r="12" ht="58.5" customHeight="1">
      <x:c r="A12" s="143" t="str">
        <x:v>SKL-PC-008</x:v>
      </x:c>
      <x:c r="B12" s="135" t="str">
        <x:v>균열 탐색</x:v>
      </x:c>
      <x:c r="C12" s="135" t="str">
        <x:v>잔류 반응 확인</x:v>
      </x:c>
      <x:c r="D12" s="135" t="str">
        <x:v>PC</x:v>
      </x:c>
      <x:c r="E12" s="147" t="str">
        <x:v>잔류 선의 감지</x:v>
      </x:c>
      <x:c r="F12" s="136" t="str">
        <x:v>주변 균열과 변이체에 남은 선의 반응을 시각·음향으로 표시</x:v>
      </x:c>
      <x:c r="G12" s="135" t="str"/>
      <x:c r="H12" s="135" t="str">
        <x:v>패시브</x:v>
      </x:c>
      <x:c r="I12" s="135" t="str">
        <x:v>차한해</x:v>
      </x:c>
      <x:c r="J12" s="136" t="str">
        <x:v>탐지 표식 표시</x:v>
      </x:c>
      <x:c r="K12" s="135" t="str">
        <x:v>대상 근접</x:v>
      </x:c>
      <x:c r="L12" s="136" t="str">
        <x:v>균열·변이체와 6칸 이내</x:v>
      </x:c>
      <x:c r="M12" s="135" t="str">
        <x:v>없음</x:v>
      </x:c>
      <x:c r="N12" s="151" t="n">
        <x:v>0</x:v>
      </x:c>
      <x:c r="O12" s="155" t="n">
        <x:v>0</x:v>
      </x:c>
      <x:c r="P12" s="136" t="str">
        <x:f>IF(M12="없음","피해 없음",IF(M12="기본 공격력 비율","기본 공격력 × "&amp;TEXT(N12,"0%"),IF(M12="고정 피해","고정 "&amp;TEXT(O12,"0"),IF(M12="즉시 처리","수치 계산 없이 즉시 처리","확인 필요"))))</x:f>
        <x:v>피해 없음</x:v>
      </x:c>
      <x:c r="Q12" s="159" t="n">
        <x:v>0</x:v>
      </x:c>
      <x:c r="R12" s="151" t="n">
        <x:v>0</x:v>
      </x:c>
      <x:c r="S12" s="135" t="str">
        <x:v>없음</x:v>
      </x:c>
      <x:c r="T12" s="163" t="n">
        <x:v>0</x:v>
      </x:c>
      <x:c r="U12" s="163" t="n">
        <x:v>0</x:v>
      </x:c>
      <x:c r="V12" s="135" t="str">
        <x:v>탐지 범위</x:v>
      </x:c>
      <x:c r="W12" s="167" t="n">
        <x:v>6</x:v>
      </x:c>
      <x:c r="X12" s="135" t="str">
        <x:v>칸</x:v>
      </x:c>
      <x:c r="Y12" s="163" t="n">
        <x:v>0</x:v>
      </x:c>
      <x:c r="Z12" s="136" t="str">
        <x:v>대상 범위 이탈</x:v>
      </x:c>
      <x:c r="AA12" s="135" t="str">
        <x:v>없음</x:v>
      </x:c>
      <x:c r="AB12" s="137" t="str">
        <x:v>몬스터의 인간 기원을 암시하는 정보 기능</x:v>
      </x:c>
    </x:row>
    <x:row r="13" ht="58.5" customHeight="1">
      <x:c r="A13" s="144" t="str">
        <x:v>SKL-PC-009</x:v>
      </x:c>
      <x:c r="B13" s="131" t="str">
        <x:v>장비</x:v>
      </x:c>
      <x:c r="C13" s="131" t="str">
        <x:v>첫 방호 장비 장착</x:v>
      </x:c>
      <x:c r="D13" s="131" t="str">
        <x:v>PC</x:v>
      </x:c>
      <x:c r="E13" s="148" t="str">
        <x:v>방호 장비 효과</x:v>
      </x:c>
      <x:c r="F13" s="123" t="str">
        <x:v>장착 중인 방어구의 방어력과 조건부 효과를 PC DATA에 합산</x:v>
      </x:c>
      <x:c r="G13" s="131" t="str"/>
      <x:c r="H13" s="131" t="str">
        <x:v>패시브</x:v>
      </x:c>
      <x:c r="I13" s="131" t="str">
        <x:v>차한해</x:v>
      </x:c>
      <x:c r="J13" s="123" t="str">
        <x:v>장비 방어 효과 호출</x:v>
      </x:c>
      <x:c r="K13" s="131" t="str">
        <x:v>아이템 착용</x:v>
      </x:c>
      <x:c r="L13" s="123" t="str">
        <x:v>방어구 1개 이상 장착</x:v>
      </x:c>
      <x:c r="M13" s="131" t="str">
        <x:v>없음</x:v>
      </x:c>
      <x:c r="N13" s="152" t="n">
        <x:v>0</x:v>
      </x:c>
      <x:c r="O13" s="156" t="n">
        <x:v>0</x:v>
      </x:c>
      <x:c r="P13" s="123" t="str">
        <x:f>IF(M13="없음","피해 없음",IF(M13="기본 공격력 비율","기본 공격력 × "&amp;TEXT(N13,"0%"),IF(M13="고정 피해","고정 "&amp;TEXT(O13,"0"),IF(M13="즉시 처리","수치 계산 없이 즉시 처리","확인 필요"))))</x:f>
        <x:v>피해 없음</x:v>
      </x:c>
      <x:c r="Q13" s="160" t="n">
        <x:v>0</x:v>
      </x:c>
      <x:c r="R13" s="152" t="n">
        <x:v>0</x:v>
      </x:c>
      <x:c r="S13" s="131" t="str">
        <x:v>없음</x:v>
      </x:c>
      <x:c r="T13" s="164" t="n">
        <x:v>0</x:v>
      </x:c>
      <x:c r="U13" s="164" t="n">
        <x:v>0</x:v>
      </x:c>
      <x:c r="V13" s="131" t="str">
        <x:v>방어력</x:v>
      </x:c>
      <x:c r="W13" s="168" t="n">
        <x:v>0</x:v>
      </x:c>
      <x:c r="X13" s="131" t="str">
        <x:v>장비 합산</x:v>
      </x:c>
      <x:c r="Y13" s="164" t="n">
        <x:v>0</x:v>
      </x:c>
      <x:c r="Z13" s="123" t="str">
        <x:v>장비 해제·파손</x:v>
      </x:c>
      <x:c r="AA13" s="131" t="str">
        <x:v>없음</x:v>
      </x:c>
      <x:c r="AB13" s="124" t="str">
        <x:v>실제 수치는 아이템 시트와 PC DATA에서 관리</x:v>
      </x:c>
    </x:row>
    <x:row r="14" ht="58.5" customHeight="1">
      <x:c r="A14" s="143" t="str">
        <x:v>SKL-PC-010</x:v>
      </x:c>
      <x:c r="B14" s="135" t="str">
        <x:v>재난 대응</x:v>
      </x:c>
      <x:c r="C14" s="135" t="str">
        <x:v>측정 전 부상자 구조</x:v>
      </x:c>
      <x:c r="D14" s="135" t="str">
        <x:v>PC</x:v>
      </x:c>
      <x:c r="E14" s="147" t="str">
        <x:v>긴급 대응</x:v>
      </x:c>
      <x:c r="F14" s="136" t="str">
        <x:v>붕괴물·화재·군중 위험에서 구조 대상의 상태를 안전으로 전환</x:v>
      </x:c>
      <x:c r="G14" s="135" t="str"/>
      <x:c r="H14" s="135" t="str">
        <x:v>이벤트</x:v>
      </x:c>
      <x:c r="I14" s="135" t="str">
        <x:v>차한해</x:v>
      </x:c>
      <x:c r="J14" s="136" t="str">
        <x:v>위험 상태→안전 상태</x:v>
      </x:c>
      <x:c r="K14" s="135" t="str">
        <x:v>사건 플래그</x:v>
      </x:c>
      <x:c r="L14" s="136" t="str">
        <x:v>구조 절차 완료</x:v>
      </x:c>
      <x:c r="M14" s="135" t="str">
        <x:v>없음</x:v>
      </x:c>
      <x:c r="N14" s="151" t="n">
        <x:v>0</x:v>
      </x:c>
      <x:c r="O14" s="155" t="n">
        <x:v>0</x:v>
      </x:c>
      <x:c r="P14" s="136" t="str">
        <x:f>IF(M14="없음","피해 없음",IF(M14="기본 공격력 비율","기본 공격력 × "&amp;TEXT(N14,"0%"),IF(M14="고정 피해","고정 "&amp;TEXT(O14,"0"),IF(M14="즉시 처리","수치 계산 없이 즉시 처리","확인 필요"))))</x:f>
        <x:v>피해 없음</x:v>
      </x:c>
      <x:c r="Q14" s="159" t="n">
        <x:v>0</x:v>
      </x:c>
      <x:c r="R14" s="151" t="n">
        <x:v>0</x:v>
      </x:c>
      <x:c r="S14" s="135" t="str">
        <x:v>없음</x:v>
      </x:c>
      <x:c r="T14" s="163" t="n">
        <x:v>0</x:v>
      </x:c>
      <x:c r="U14" s="163" t="n">
        <x:v>1.5</x:v>
      </x:c>
      <x:c r="V14" s="135" t="str">
        <x:v>구조 진행도</x:v>
      </x:c>
      <x:c r="W14" s="167" t="n">
        <x:v>1</x:v>
      </x:c>
      <x:c r="X14" s="135" t="str">
        <x:v>회</x:v>
      </x:c>
      <x:c r="Y14" s="163" t="n">
        <x:v>0</x:v>
      </x:c>
      <x:c r="Z14" s="136" t="str">
        <x:v>피격·구역 이탈</x:v>
      </x:c>
      <x:c r="AA14" s="135" t="str">
        <x:v>SKL-PC-005</x:v>
      </x:c>
      <x:c r="AB14" s="137" t="str">
        <x:v>콘텐츠별 구조 절차는 개별 약속으로 분리</x:v>
      </x:c>
    </x:row>
    <x:row r="15" ht="58.5" customHeight="1">
      <x:c r="A15" s="144" t="str">
        <x:v>SKL-EVT-001</x:v>
      </x:c>
      <x:c r="B15" s="131" t="str">
        <x:v>첫 괴물 조우</x:v>
      </x:c>
      <x:c r="C15" s="131" t="str">
        <x:v>아파트 문 앞 두 번째 조우</x:v>
      </x:c>
      <x:c r="D15" s="131" t="str">
        <x:v>시스템</x:v>
      </x:c>
      <x:c r="E15" s="148" t="str">
        <x:v>접촉 소멸</x:v>
      </x:c>
      <x:c r="F15" s="123" t="str">
        <x:v>차한해와 접촉한 초기 변이체가 피해 계산 없이 소멸하는 사건 호출</x:v>
      </x:c>
      <x:c r="G15" s="131" t="str"/>
      <x:c r="H15" s="131" t="str">
        <x:v>연출용</x:v>
      </x:c>
      <x:c r="I15" s="131" t="str">
        <x:v>차한해·초기 변이체</x:v>
      </x:c>
      <x:c r="J15" s="123" t="str">
        <x:v>변이체 즉시 소멸</x:v>
      </x:c>
      <x:c r="K15" s="131" t="str">
        <x:v>사건 플래그</x:v>
      </x:c>
      <x:c r="L15" s="123" t="str">
        <x:v>두 번째 조우 플래그+접촉</x:v>
      </x:c>
      <x:c r="M15" s="131" t="str">
        <x:v>즉시 처리</x:v>
      </x:c>
      <x:c r="N15" s="152" t="n">
        <x:v>0</x:v>
      </x:c>
      <x:c r="O15" s="156" t="n">
        <x:v>0</x:v>
      </x:c>
      <x:c r="P15" s="123" t="str">
        <x:f>IF(M15="없음","피해 없음",IF(M15="기본 공격력 비율","기본 공격력 × "&amp;TEXT(N15,"0%"),IF(M15="고정 피해","고정 "&amp;TEXT(O15,"0"),IF(M15="즉시 처리","수치 계산 없이 즉시 처리","확인 필요"))))</x:f>
        <x:v>수치 계산 없이 즉시 처리</x:v>
      </x:c>
      <x:c r="Q15" s="160" t="n">
        <x:v>0</x:v>
      </x:c>
      <x:c r="R15" s="152" t="n">
        <x:v>0</x:v>
      </x:c>
      <x:c r="S15" s="131" t="str">
        <x:v>없음</x:v>
      </x:c>
      <x:c r="T15" s="164" t="n">
        <x:v>0</x:v>
      </x:c>
      <x:c r="U15" s="164" t="n">
        <x:v>0.8</x:v>
      </x:c>
      <x:c r="V15" s="131" t="str">
        <x:v>없음</x:v>
      </x:c>
      <x:c r="W15" s="168" t="n">
        <x:v>0</x:v>
      </x:c>
      <x:c r="X15" s="131" t="str">
        <x:v>없음</x:v>
      </x:c>
      <x:c r="Y15" s="164" t="n">
        <x:v>0</x:v>
      </x:c>
      <x:c r="Z15" s="123" t="str">
        <x:v>연출 종료</x:v>
      </x:c>
      <x:c r="AA15" s="131" t="str">
        <x:v>SKL-PC-007</x:v>
      </x:c>
      <x:c r="AB15" s="124" t="str">
        <x:v>일반 전투 기술로 반복 사용 불가</x:v>
      </x:c>
    </x:row>
    <x:row r="16" ht="58.5" customHeight="1">
      <x:c r="A16" s="143" t="str">
        <x:v>SKL-EVT-002</x:v>
      </x:c>
      <x:c r="B16" s="135" t="str">
        <x:v>폐교</x:v>
      </x:c>
      <x:c r="C16" s="135" t="str">
        <x:v>폐교 보스전 종료</x:v>
      </x:c>
      <x:c r="D16" s="135" t="str">
        <x:v>시스템</x:v>
      </x:c>
      <x:c r="E16" s="147" t="str">
        <x:v>마지막 포옹</x:v>
      </x:c>
      <x:c r="F16" s="136" t="str">
        <x:v>소멸 직전 인간 모습으로 돌아온 친구를 끌어안는 결말 연출</x:v>
      </x:c>
      <x:c r="G16" s="135" t="str"/>
      <x:c r="H16" s="135" t="str">
        <x:v>연출용</x:v>
      </x:c>
      <x:c r="I16" s="135" t="str">
        <x:v>차한해·폐교의 보스(친구)</x:v>
      </x:c>
      <x:c r="J16" s="136" t="str">
        <x:v>공격 중단·인간 형태 복귀</x:v>
      </x:c>
      <x:c r="K16" s="135" t="str">
        <x:v>HP 임계</x:v>
      </x:c>
      <x:c r="L16" s="136" t="str">
        <x:v>보스 HP 1% 이하+전투 종료 플래그</x:v>
      </x:c>
      <x:c r="M16" s="135" t="str">
        <x:v>없음</x:v>
      </x:c>
      <x:c r="N16" s="151" t="n">
        <x:v>0</x:v>
      </x:c>
      <x:c r="O16" s="155" t="n">
        <x:v>0</x:v>
      </x:c>
      <x:c r="P16" s="136" t="str">
        <x:f>IF(M16="없음","피해 없음",IF(M16="기본 공격력 비율","기본 공격력 × "&amp;TEXT(N16,"0%"),IF(M16="고정 피해","고정 "&amp;TEXT(O16,"0"),IF(M16="즉시 처리","수치 계산 없이 즉시 처리","확인 필요"))))</x:f>
        <x:v>피해 없음</x:v>
      </x:c>
      <x:c r="Q16" s="159" t="n">
        <x:v>0</x:v>
      </x:c>
      <x:c r="R16" s="151" t="n">
        <x:v>0</x:v>
      </x:c>
      <x:c r="S16" s="135" t="str">
        <x:v>없음</x:v>
      </x:c>
      <x:c r="T16" s="163" t="n">
        <x:v>0</x:v>
      </x:c>
      <x:c r="U16" s="163" t="n">
        <x:v>3</x:v>
      </x:c>
      <x:c r="V16" s="135" t="str">
        <x:v>보스 행동</x:v>
      </x:c>
      <x:c r="W16" s="167" t="n">
        <x:v>-100</x:v>
      </x:c>
      <x:c r="X16" s="135" t="str">
        <x:v>%</x:v>
      </x:c>
      <x:c r="Y16" s="163" t="n">
        <x:v>3</x:v>
      </x:c>
      <x:c r="Z16" s="136" t="str">
        <x:v>연출 종료</x:v>
      </x:c>
      <x:c r="AA16" s="135" t="str">
        <x:v>없음</x:v>
      </x:c>
      <x:c r="AB16" s="137" t="str">
        <x:v>친구는 감사의 말을 남긴 뒤 소멸</x:v>
      </x:c>
    </x:row>
    <x:row r="17" ht="58.5" customHeight="1">
      <x:c r="A17" s="144" t="str">
        <x:v>SKL-EVT-003</x:v>
      </x:c>
      <x:c r="B17" s="131" t="str">
        <x:v>최종장</x:v>
      </x:c>
      <x:c r="C17" s="131" t="str">
        <x:v>최종 선택—균열 진입</x:v>
      </x:c>
      <x:c r="D17" s="131" t="str">
        <x:v>시스템</x:v>
      </x:c>
      <x:c r="E17" s="148" t="str">
        <x:v>균열 진입</x:v>
      </x:c>
      <x:c r="F17" s="123" t="str">
        <x:v>선택된 대상이 인접 균열로 들어가 결말 분기를 호출</x:v>
      </x:c>
      <x:c r="G17" s="131" t="str"/>
      <x:c r="H17" s="131" t="str">
        <x:v>이벤트</x:v>
      </x:c>
      <x:c r="I17" s="131" t="str">
        <x:v>공용(전체)</x:v>
      </x:c>
      <x:c r="J17" s="123" t="str">
        <x:v>균열 진입 상태</x:v>
      </x:c>
      <x:c r="K17" s="131" t="str">
        <x:v>선택 결과</x:v>
      </x:c>
      <x:c r="L17" s="123" t="str">
        <x:v>진입 선택 확정</x:v>
      </x:c>
      <x:c r="M17" s="131" t="str">
        <x:v>없음</x:v>
      </x:c>
      <x:c r="N17" s="152" t="n">
        <x:v>0</x:v>
      </x:c>
      <x:c r="O17" s="156" t="n">
        <x:v>0</x:v>
      </x:c>
      <x:c r="P17" s="123" t="str">
        <x:f>IF(M17="없음","피해 없음",IF(M17="기본 공격력 비율","기본 공격력 × "&amp;TEXT(N17,"0%"),IF(M17="고정 피해","고정 "&amp;TEXT(O17,"0"),IF(M17="즉시 처리","수치 계산 없이 즉시 처리","확인 필요"))))</x:f>
        <x:v>피해 없음</x:v>
      </x:c>
      <x:c r="Q17" s="160" t="n">
        <x:v>0</x:v>
      </x:c>
      <x:c r="R17" s="152" t="n">
        <x:v>0</x:v>
      </x:c>
      <x:c r="S17" s="131" t="str">
        <x:v>없음</x:v>
      </x:c>
      <x:c r="T17" s="164" t="n">
        <x:v>0</x:v>
      </x:c>
      <x:c r="U17" s="164" t="n">
        <x:v>1</x:v>
      </x:c>
      <x:c r="V17" s="131" t="str">
        <x:v>분기 호출</x:v>
      </x:c>
      <x:c r="W17" s="168" t="n">
        <x:v>1</x:v>
      </x:c>
      <x:c r="X17" s="131" t="str">
        <x:v>회</x:v>
      </x:c>
      <x:c r="Y17" s="164" t="n">
        <x:v>0</x:v>
      </x:c>
      <x:c r="Z17" s="123" t="str">
        <x:v>장면 전환</x:v>
      </x:c>
      <x:c r="AA17" s="131" t="str">
        <x:v>SKL-BOS-012</x:v>
      </x:c>
      <x:c r="AB17" s="124" t="str">
        <x:v>도시 인연 100%에서는 시민 전체로 대상 확장</x:v>
      </x:c>
    </x:row>
    <x:row r="18" ht="58.5" customHeight="1">
      <x:c r="A18" s="143" t="str">
        <x:v>SKL-SYS-001</x:v>
      </x:c>
      <x:c r="B18" s="135" t="str">
        <x:v>전 구간</x:v>
      </x:c>
      <x:c r="C18" s="135" t="str">
        <x:v>선행 강요 누적 첫 사건</x:v>
      </x:c>
      <x:c r="D18" s="135" t="str">
        <x:v>시스템</x:v>
      </x:c>
      <x:c r="E18" s="147" t="str">
        <x:v>자아 마모</x:v>
      </x:c>
      <x:c r="F18" s="136" t="str">
        <x:v>강요·상실 사건 발생 시 자아 마모 단계를 올리고 UI·표정을 갱신</x:v>
      </x:c>
      <x:c r="G18" s="135" t="str"/>
      <x:c r="H18" s="135" t="str">
        <x:v>패시브</x:v>
      </x:c>
      <x:c r="I18" s="135" t="str">
        <x:v>차한해</x:v>
      </x:c>
      <x:c r="J18" s="136" t="str">
        <x:v>자아 마모 단계+1</x:v>
      </x:c>
      <x:c r="K18" s="135" t="str">
        <x:v>사건 플래그</x:v>
      </x:c>
      <x:c r="L18" s="136" t="str">
        <x:v>마모 사건 1회 발생</x:v>
      </x:c>
      <x:c r="M18" s="135" t="str">
        <x:v>없음</x:v>
      </x:c>
      <x:c r="N18" s="151" t="n">
        <x:v>0</x:v>
      </x:c>
      <x:c r="O18" s="155" t="n">
        <x:v>0</x:v>
      </x:c>
      <x:c r="P18" s="136" t="str">
        <x:f>IF(M18="없음","피해 없음",IF(M18="기본 공격력 비율","기본 공격력 × "&amp;TEXT(N18,"0%"),IF(M18="고정 피해","고정 "&amp;TEXT(O18,"0"),IF(M18="즉시 처리","수치 계산 없이 즉시 처리","확인 필요"))))</x:f>
        <x:v>피해 없음</x:v>
      </x:c>
      <x:c r="Q18" s="159" t="n">
        <x:v>0</x:v>
      </x:c>
      <x:c r="R18" s="151" t="n">
        <x:v>0</x:v>
      </x:c>
      <x:c r="S18" s="135" t="str">
        <x:v>없음</x:v>
      </x:c>
      <x:c r="T18" s="163" t="n">
        <x:v>0</x:v>
      </x:c>
      <x:c r="U18" s="163" t="n">
        <x:v>0</x:v>
      </x:c>
      <x:c r="V18" s="135" t="str">
        <x:v>자아 마모 단계</x:v>
      </x:c>
      <x:c r="W18" s="167" t="n">
        <x:v>1</x:v>
      </x:c>
      <x:c r="X18" s="135" t="str">
        <x:v>단계</x:v>
      </x:c>
      <x:c r="Y18" s="163" t="n">
        <x:v>0</x:v>
      </x:c>
      <x:c r="Z18" s="136" t="str">
        <x:v>엔딩 판정 전까지 유지</x:v>
      </x:c>
      <x:c r="AA18" s="135" t="str">
        <x:v>없음</x:v>
      </x:c>
      <x:c r="AB18" s="137" t="str">
        <x:v>총 4단계, 중복 플래그는 1회만 반영</x:v>
      </x:c>
    </x:row>
    <x:row r="19" ht="58.5" customHeight="1">
      <x:c r="A19" s="144" t="str">
        <x:v>SKL-EVT-004</x:v>
      </x:c>
      <x:c r="B19" s="131" t="str">
        <x:v>세계 규칙</x:v>
      </x:c>
      <x:c r="C19" s="131" t="str">
        <x:v>선의 0 도달 연출</x:v>
      </x:c>
      <x:c r="D19" s="131" t="str">
        <x:v>시스템</x:v>
      </x:c>
      <x:c r="E19" s="148" t="str">
        <x:v>내면 괴물 발현</x:v>
      </x:c>
      <x:c r="F19" s="123" t="str">
        <x:v>선의를 모두 잃은 대상의 내면 괴물을 변이체로 전환해 소환</x:v>
      </x:c>
      <x:c r="G19" s="131" t="str"/>
      <x:c r="H19" s="131" t="str">
        <x:v>이벤트</x:v>
      </x:c>
      <x:c r="I19" s="131" t="str">
        <x:v>선의 보유자 공용</x:v>
      </x:c>
      <x:c r="J19" s="123" t="str">
        <x:v>인간 상태→변이체 상태</x:v>
      </x:c>
      <x:c r="K19" s="131" t="str">
        <x:v>상태치 임계</x:v>
      </x:c>
      <x:c r="L19" s="123" t="str">
        <x:v>선의≤0</x:v>
      </x:c>
      <x:c r="M19" s="131" t="str">
        <x:v>즉시 처리</x:v>
      </x:c>
      <x:c r="N19" s="152" t="n">
        <x:v>0</x:v>
      </x:c>
      <x:c r="O19" s="156" t="n">
        <x:v>0</x:v>
      </x:c>
      <x:c r="P19" s="123" t="str">
        <x:f>IF(M19="없음","피해 없음",IF(M19="기본 공격력 비율","기본 공격력 × "&amp;TEXT(N19,"0%"),IF(M19="고정 피해","고정 "&amp;TEXT(O19,"0"),IF(M19="즉시 처리","수치 계산 없이 즉시 처리","확인 필요"))))</x:f>
        <x:v>수치 계산 없이 즉시 처리</x:v>
      </x:c>
      <x:c r="Q19" s="160" t="n">
        <x:v>0</x:v>
      </x:c>
      <x:c r="R19" s="152" t="n">
        <x:v>0</x:v>
      </x:c>
      <x:c r="S19" s="131" t="str">
        <x:v>없음</x:v>
      </x:c>
      <x:c r="T19" s="164" t="n">
        <x:v>0</x:v>
      </x:c>
      <x:c r="U19" s="164" t="n">
        <x:v>2</x:v>
      </x:c>
      <x:c r="V19" s="131" t="str">
        <x:v>소환 개체 수</x:v>
      </x:c>
      <x:c r="W19" s="168" t="n">
        <x:v>1</x:v>
      </x:c>
      <x:c r="X19" s="131" t="str">
        <x:v>개체</x:v>
      </x:c>
      <x:c r="Y19" s="164" t="n">
        <x:v>0</x:v>
      </x:c>
      <x:c r="Z19" s="123" t="str">
        <x:v>변이 완료</x:v>
      </x:c>
      <x:c r="AA19" s="131" t="str">
        <x:v>없음</x:v>
      </x:c>
      <x:c r="AB19" s="124" t="str">
        <x:v>차한해는 무한 선의로 조건에 도달하지 않음</x:v>
      </x:c>
    </x:row>
    <x:row r="20" ht="58.5" customHeight="1">
      <x:c r="A20" s="143" t="str">
        <x:v>SKL-MON-001</x:v>
      </x:c>
      <x:c r="B20" s="135" t="str">
        <x:v>초기 변이 구간</x:v>
      </x:c>
      <x:c r="C20" s="135" t="str">
        <x:v>초기 변이체 첫 전투</x:v>
      </x:c>
      <x:c r="D20" s="135" t="str">
        <x:v>몬스터</x:v>
      </x:c>
      <x:c r="E20" s="147" t="str">
        <x:v>할퀴기</x:v>
      </x:c>
      <x:c r="F20" s="136" t="str">
        <x:v>전방 1칸을 빠르게 긁어 짧은 경직을 부여</x:v>
      </x:c>
      <x:c r="G20" s="135" t="str"/>
      <x:c r="H20" s="135" t="str">
        <x:v>액티브</x:v>
      </x:c>
      <x:c r="I20" s="135" t="str">
        <x:v>초기 변이체 공용</x:v>
      </x:c>
      <x:c r="J20" s="136" t="str">
        <x:v>경직 0.25초</x:v>
      </x:c>
      <x:c r="K20" s="135" t="str">
        <x:v>대상 근접</x:v>
      </x:c>
      <x:c r="L20" s="136" t="str">
        <x:v>플레이어와 1칸 이내</x:v>
      </x:c>
      <x:c r="M20" s="135" t="str">
        <x:v>기본 공격력 비율</x:v>
      </x:c>
      <x:c r="N20" s="151" t="n">
        <x:v>0.8</x:v>
      </x:c>
      <x:c r="O20" s="155" t="n">
        <x:v>0</x:v>
      </x:c>
      <x:c r="P20" s="136" t="str">
        <x:f>IF(M20="없음","피해 없음",IF(M20="기본 공격력 비율","기본 공격력 × "&amp;TEXT(N20,"0%"),IF(M20="고정 피해","고정 "&amp;TEXT(O20,"0"),IF(M20="즉시 처리","수치 계산 없이 즉시 처리","확인 필요"))))</x:f>
        <x:v>기본 공격력 × 80%</x:v>
      </x:c>
      <x:c r="Q20" s="159" t="n">
        <x:v>3.5</x:v>
      </x:c>
      <x:c r="R20" s="151" t="n">
        <x:v>0.7</x:v>
      </x:c>
      <x:c r="S20" s="135" t="str">
        <x:v>개별</x:v>
      </x:c>
      <x:c r="T20" s="163" t="n">
        <x:v>1.2</x:v>
      </x:c>
      <x:c r="U20" s="163" t="n">
        <x:v>0.35</x:v>
      </x:c>
      <x:c r="V20" s="135" t="str">
        <x:v>없음</x:v>
      </x:c>
      <x:c r="W20" s="167" t="n">
        <x:v>0</x:v>
      </x:c>
      <x:c r="X20" s="135" t="str">
        <x:v>없음</x:v>
      </x:c>
      <x:c r="Y20" s="163" t="n">
        <x:v>0</x:v>
      </x:c>
      <x:c r="Z20" s="136" t="str">
        <x:v>시전 종료</x:v>
      </x:c>
      <x:c r="AA20" s="135" t="str">
        <x:v>없음</x:v>
      </x:c>
      <x:c r="AB20" s="137" t="str">
        <x:v>초기 전투의 기본 공격 패턴</x:v>
      </x:c>
    </x:row>
    <x:row r="21" ht="58.5" customHeight="1">
      <x:c r="A21" s="144" t="str">
        <x:v>SKL-MON-002</x:v>
      </x:c>
      <x:c r="B21" s="131" t="str">
        <x:v>초기 변이 구간</x:v>
      </x:c>
      <x:c r="C21" s="131" t="str">
        <x:v>일반 변이체 첫 전투</x:v>
      </x:c>
      <x:c r="D21" s="131" t="str">
        <x:v>몬스터</x:v>
      </x:c>
      <x:c r="E21" s="148" t="str">
        <x:v>돌진</x:v>
      </x:c>
      <x:c r="F21" s="123" t="str">
        <x:v>짧은 예고 후 직선으로 돌진해 적중 대상을 밀어냄</x:v>
      </x:c>
      <x:c r="G21" s="131" t="str"/>
      <x:c r="H21" s="131" t="str">
        <x:v>액티브</x:v>
      </x:c>
      <x:c r="I21" s="131" t="str">
        <x:v>일반 변이체 공용</x:v>
      </x:c>
      <x:c r="J21" s="123" t="str">
        <x:v>밀려남 1칸</x:v>
      </x:c>
      <x:c r="K21" s="131" t="str">
        <x:v>대상 거리</x:v>
      </x:c>
      <x:c r="L21" s="123" t="str">
        <x:v>플레이어와 3~6칸</x:v>
      </x:c>
      <x:c r="M21" s="131" t="str">
        <x:v>기본 공격력 비율</x:v>
      </x:c>
      <x:c r="N21" s="152" t="n">
        <x:v>1.2</x:v>
      </x:c>
      <x:c r="O21" s="156" t="n">
        <x:v>0</x:v>
      </x:c>
      <x:c r="P21" s="123" t="str">
        <x:f>IF(M21="없음","피해 없음",IF(M21="기본 공격력 비율","기본 공격력 × "&amp;TEXT(N21,"0%"),IF(M21="고정 피해","고정 "&amp;TEXT(O21,"0"),IF(M21="즉시 처리","수치 계산 없이 즉시 처리","확인 필요"))))</x:f>
        <x:v>기본 공격력 × 120%</x:v>
      </x:c>
      <x:c r="Q21" s="160" t="n">
        <x:v>6</x:v>
      </x:c>
      <x:c r="R21" s="152" t="n">
        <x:v>0.45</x:v>
      </x:c>
      <x:c r="S21" s="131" t="str">
        <x:v>개별</x:v>
      </x:c>
      <x:c r="T21" s="164" t="n">
        <x:v>3</x:v>
      </x:c>
      <x:c r="U21" s="164" t="n">
        <x:v>0.9</x:v>
      </x:c>
      <x:c r="V21" s="131" t="str">
        <x:v>없음</x:v>
      </x:c>
      <x:c r="W21" s="168" t="n">
        <x:v>0</x:v>
      </x:c>
      <x:c r="X21" s="131" t="str">
        <x:v>없음</x:v>
      </x:c>
      <x:c r="Y21" s="164" t="n">
        <x:v>0</x:v>
      </x:c>
      <x:c r="Z21" s="123" t="str">
        <x:v>벽 충돌·시전 종료</x:v>
      </x:c>
      <x:c r="AA21" s="131" t="str">
        <x:v>없음</x:v>
      </x:c>
      <x:c r="AB21" s="124" t="str">
        <x:v>예고선으로 회피 방향을 학습</x:v>
      </x:c>
    </x:row>
    <x:row r="22" ht="58.5" customHeight="1">
      <x:c r="A22" s="143" t="str">
        <x:v>SKL-MON-003</x:v>
      </x:c>
      <x:c r="B22" s="135" t="str">
        <x:v>해양형 변이 구간</x:v>
      </x:c>
      <x:c r="C22" s="135" t="str">
        <x:v>해양형 변이체 첫 전투</x:v>
      </x:c>
      <x:c r="D22" s="135" t="str">
        <x:v>몬스터</x:v>
      </x:c>
      <x:c r="E22" s="147" t="str">
        <x:v>휘감기</x:v>
      </x:c>
      <x:c r="F22" s="136" t="str">
        <x:v>촉수로 대상을 붙잡아 이동 속도를 낮추는 제어 기술</x:v>
      </x:c>
      <x:c r="G22" s="135" t="str"/>
      <x:c r="H22" s="135" t="str">
        <x:v>액티브</x:v>
      </x:c>
      <x:c r="I22" s="135" t="str">
        <x:v>해양형 변이체 공용</x:v>
      </x:c>
      <x:c r="J22" s="136" t="str">
        <x:v>이동 속도 감소</x:v>
      </x:c>
      <x:c r="K22" s="135" t="str">
        <x:v>대상 거리</x:v>
      </x:c>
      <x:c r="L22" s="136" t="str">
        <x:v>플레이어와 2~4칸</x:v>
      </x:c>
      <x:c r="M22" s="135" t="str">
        <x:v>기본 공격력 비율</x:v>
      </x:c>
      <x:c r="N22" s="151" t="n">
        <x:v>0.6</x:v>
      </x:c>
      <x:c r="O22" s="155" t="n">
        <x:v>0</x:v>
      </x:c>
      <x:c r="P22" s="136" t="str">
        <x:f>IF(M22="없음","피해 없음",IF(M22="기본 공격력 비율","기본 공격력 × "&amp;TEXT(N22,"0%"),IF(M22="고정 피해","고정 "&amp;TEXT(O22,"0"),IF(M22="즉시 처리","수치 계산 없이 즉시 처리","확인 필요"))))</x:f>
        <x:v>기본 공격력 × 60%</x:v>
      </x:c>
      <x:c r="Q22" s="159" t="n">
        <x:v>7</x:v>
      </x:c>
      <x:c r="R22" s="151" t="n">
        <x:v>0.4</x:v>
      </x:c>
      <x:c r="S22" s="135" t="str">
        <x:v>개별</x:v>
      </x:c>
      <x:c r="T22" s="163" t="n">
        <x:v>4</x:v>
      </x:c>
      <x:c r="U22" s="163" t="n">
        <x:v>0.8</x:v>
      </x:c>
      <x:c r="V22" s="135" t="str">
        <x:v>이동 속도</x:v>
      </x:c>
      <x:c r="W22" s="167" t="n">
        <x:v>-40</x:v>
      </x:c>
      <x:c r="X22" s="135" t="str">
        <x:v>%</x:v>
      </x:c>
      <x:c r="Y22" s="163" t="n">
        <x:v>3</x:v>
      </x:c>
      <x:c r="Z22" s="136" t="str">
        <x:v>거리 5칸 초과·지속 종료</x:v>
      </x:c>
      <x:c r="AA22" s="135" t="str">
        <x:v>없음</x:v>
      </x:c>
      <x:c r="AB22" s="137" t="str">
        <x:v>연속 피격보다 이동 제약에 초점</x:v>
      </x:c>
    </x:row>
    <x:row r="23" ht="58.5" customHeight="1">
      <x:c r="A23" s="144" t="str">
        <x:v>SKL-MON-004</x:v>
      </x:c>
      <x:c r="B23" s="131" t="str">
        <x:v>해양형 변이 구간</x:v>
      </x:c>
      <x:c r="C23" s="131" t="str">
        <x:v>해양형 강화 변이체</x:v>
      </x:c>
      <x:c r="D23" s="131" t="str">
        <x:v>몬스터</x:v>
      </x:c>
      <x:c r="E23" s="148" t="str">
        <x:v>부식 분출</x:v>
      </x:c>
      <x:c r="F23" s="123" t="str">
        <x:v>부식성 체액을 포물선으로 분출해 방어 효율을 낮춤</x:v>
      </x:c>
      <x:c r="G23" s="131" t="str"/>
      <x:c r="H23" s="131" t="str">
        <x:v>액티브</x:v>
      </x:c>
      <x:c r="I23" s="131" t="str">
        <x:v>해양형 강화 변이체</x:v>
      </x:c>
      <x:c r="J23" s="123" t="str">
        <x:v>방어력 감소</x:v>
      </x:c>
      <x:c r="K23" s="131" t="str">
        <x:v>대상 거리</x:v>
      </x:c>
      <x:c r="L23" s="123" t="str">
        <x:v>플레이어와 3~7칸</x:v>
      </x:c>
      <x:c r="M23" s="131" t="str">
        <x:v>기본 공격력 비율</x:v>
      </x:c>
      <x:c r="N23" s="152" t="n">
        <x:v>0.75</x:v>
      </x:c>
      <x:c r="O23" s="156" t="n">
        <x:v>0</x:v>
      </x:c>
      <x:c r="P23" s="123" t="str">
        <x:f>IF(M23="없음","피해 없음",IF(M23="기본 공격력 비율","기본 공격력 × "&amp;TEXT(N23,"0%"),IF(M23="고정 피해","고정 "&amp;TEXT(O23,"0"),IF(M23="즉시 처리","수치 계산 없이 즉시 처리","확인 필요"))))</x:f>
        <x:v>기본 공격력 × 75%</x:v>
      </x:c>
      <x:c r="Q23" s="160" t="n">
        <x:v>8</x:v>
      </x:c>
      <x:c r="R23" s="152" t="n">
        <x:v>0.35</x:v>
      </x:c>
      <x:c r="S23" s="131" t="str">
        <x:v>개별</x:v>
      </x:c>
      <x:c r="T23" s="164" t="n">
        <x:v>5</x:v>
      </x:c>
      <x:c r="U23" s="164" t="n">
        <x:v>1.1</x:v>
      </x:c>
      <x:c r="V23" s="131" t="str">
        <x:v>방어력</x:v>
      </x:c>
      <x:c r="W23" s="168" t="n">
        <x:v>-20</x:v>
      </x:c>
      <x:c r="X23" s="131" t="str">
        <x:v>%</x:v>
      </x:c>
      <x:c r="Y23" s="164" t="n">
        <x:v>4</x:v>
      </x:c>
      <x:c r="Z23" s="123" t="str">
        <x:v>지속 종료</x:v>
      </x:c>
      <x:c r="AA23" s="131" t="str">
        <x:v>없음</x:v>
      </x:c>
      <x:c r="AB23" s="124" t="str">
        <x:v>바닥 경고 표시 후 착탄</x:v>
      </x:c>
    </x:row>
    <x:row r="24" ht="58.5" customHeight="1">
      <x:c r="A24" s="143" t="str">
        <x:v>SKL-MON-005</x:v>
      </x:c>
      <x:c r="B24" s="135" t="str">
        <x:v>군집형 변이 구간</x:v>
      </x:c>
      <x:c r="C24" s="135" t="str">
        <x:v>군집형 변이체 첫 전투</x:v>
      </x:c>
      <x:c r="D24" s="135" t="str">
        <x:v>몬스터</x:v>
      </x:c>
      <x:c r="E24" s="147" t="str">
        <x:v>군집 증식</x:v>
      </x:c>
      <x:c r="F24" s="136" t="str">
        <x:v>주변 빈 칸에 소형 분열 개체를 만들어 전장을 압박</x:v>
      </x:c>
      <x:c r="G24" s="135" t="str"/>
      <x:c r="H24" s="135" t="str">
        <x:v>액티브</x:v>
      </x:c>
      <x:c r="I24" s="135" t="str">
        <x:v>군집형 변이체 공용</x:v>
      </x:c>
      <x:c r="J24" s="136" t="str">
        <x:v>분열 개체 2체 생성</x:v>
      </x:c>
      <x:c r="K24" s="135" t="str">
        <x:v>주변 개체 수</x:v>
      </x:c>
      <x:c r="L24" s="136" t="str">
        <x:v>아군 분열 개체 2체 미만</x:v>
      </x:c>
      <x:c r="M24" s="135" t="str">
        <x:v>없음</x:v>
      </x:c>
      <x:c r="N24" s="151" t="n">
        <x:v>0</x:v>
      </x:c>
      <x:c r="O24" s="155" t="n">
        <x:v>0</x:v>
      </x:c>
      <x:c r="P24" s="136" t="str">
        <x:f>IF(M24="없음","피해 없음",IF(M24="기본 공격력 비율","기본 공격력 × "&amp;TEXT(N24,"0%"),IF(M24="고정 피해","고정 "&amp;TEXT(O24,"0"),IF(M24="즉시 처리","수치 계산 없이 즉시 처리","확인 필요"))))</x:f>
        <x:v>피해 없음</x:v>
      </x:c>
      <x:c r="Q24" s="159" t="n">
        <x:v>12</x:v>
      </x:c>
      <x:c r="R24" s="151" t="n">
        <x:v>0.3</x:v>
      </x:c>
      <x:c r="S24" s="135" t="str">
        <x:v>개별</x:v>
      </x:c>
      <x:c r="T24" s="163" t="n">
        <x:v>8</x:v>
      </x:c>
      <x:c r="U24" s="163" t="n">
        <x:v>1.5</x:v>
      </x:c>
      <x:c r="V24" s="135" t="str">
        <x:v>소환 개체 수</x:v>
      </x:c>
      <x:c r="W24" s="167" t="n">
        <x:v>2</x:v>
      </x:c>
      <x:c r="X24" s="135" t="str">
        <x:v>개체</x:v>
      </x:c>
      <x:c r="Y24" s="163" t="n">
        <x:v>0</x:v>
      </x:c>
      <x:c r="Z24" s="136" t="str">
        <x:v>분열 개체 처치</x:v>
      </x:c>
      <x:c r="AA24" s="135" t="str">
        <x:v>없음</x:v>
      </x:c>
      <x:c r="AB24" s="137" t="str">
        <x:v>동시 존재 상한 2체</x:v>
      </x:c>
    </x:row>
    <x:row r="25" ht="58.5" customHeight="1">
      <x:c r="A25" s="144" t="str">
        <x:v>SKL-MON-006</x:v>
      </x:c>
      <x:c r="B25" s="131" t="str">
        <x:v>군집형 변이 구간</x:v>
      </x:c>
      <x:c r="C25" s="131" t="str">
        <x:v>군집형 강화 변이체</x:v>
      </x:c>
      <x:c r="D25" s="131" t="str">
        <x:v>몬스터</x:v>
      </x:c>
      <x:c r="E25" s="148" t="str">
        <x:v>외피 경화</x:v>
      </x:c>
      <x:c r="F25" s="123" t="str">
        <x:v>HP가 낮아지면 외피를 굳혀 일정 시간 받는 피해를 줄임</x:v>
      </x:c>
      <x:c r="G25" s="131" t="str"/>
      <x:c r="H25" s="131" t="str">
        <x:v>패시브</x:v>
      </x:c>
      <x:c r="I25" s="131" t="str">
        <x:v>군집형 강화 변이체</x:v>
      </x:c>
      <x:c r="J25" s="123" t="str">
        <x:v>받는 피해 감소</x:v>
      </x:c>
      <x:c r="K25" s="131" t="str">
        <x:v>HP 임계</x:v>
      </x:c>
      <x:c r="L25" s="123" t="str">
        <x:v>HP 50% 이하·전투당 1회</x:v>
      </x:c>
      <x:c r="M25" s="131" t="str">
        <x:v>없음</x:v>
      </x:c>
      <x:c r="N25" s="152" t="n">
        <x:v>0</x:v>
      </x:c>
      <x:c r="O25" s="156" t="n">
        <x:v>0</x:v>
      </x:c>
      <x:c r="P25" s="123" t="str">
        <x:f>IF(M25="없음","피해 없음",IF(M25="기본 공격력 비율","기본 공격력 × "&amp;TEXT(N25,"0%"),IF(M25="고정 피해","고정 "&amp;TEXT(O25,"0"),IF(M25="즉시 처리","수치 계산 없이 즉시 처리","확인 필요"))))</x:f>
        <x:v>피해 없음</x:v>
      </x:c>
      <x:c r="Q25" s="160" t="n">
        <x:v>0</x:v>
      </x:c>
      <x:c r="R25" s="152" t="n">
        <x:v>0</x:v>
      </x:c>
      <x:c r="S25" s="131" t="str">
        <x:v>없음</x:v>
      </x:c>
      <x:c r="T25" s="164" t="n">
        <x:v>0</x:v>
      </x:c>
      <x:c r="U25" s="164" t="n">
        <x:v>0.6</x:v>
      </x:c>
      <x:c r="V25" s="131" t="str">
        <x:v>받는 피해</x:v>
      </x:c>
      <x:c r="W25" s="168" t="n">
        <x:v>-35</x:v>
      </x:c>
      <x:c r="X25" s="131" t="str">
        <x:v>%</x:v>
      </x:c>
      <x:c r="Y25" s="164" t="n">
        <x:v>5</x:v>
      </x:c>
      <x:c r="Z25" s="123" t="str">
        <x:v>지속 종료</x:v>
      </x:c>
      <x:c r="AA25" s="131" t="str">
        <x:v>없음</x:v>
      </x:c>
      <x:c r="AB25" s="124" t="str">
        <x:v>발동 중 외피 색상 변화로 상태 전달</x:v>
      </x:c>
    </x:row>
    <x:row r="26" ht="58.5" customHeight="1">
      <x:c r="A26" s="143" t="str">
        <x:v>SKL-MON-007</x:v>
      </x:c>
      <x:c r="B26" s="135" t="str">
        <x:v>소형 동물형 구간</x:v>
      </x:c>
      <x:c r="C26" s="135" t="str">
        <x:v>소형 동물형 변이체</x:v>
      </x:c>
      <x:c r="D26" s="135" t="str">
        <x:v>몬스터</x:v>
      </x:c>
      <x:c r="E26" s="147" t="str">
        <x:v>포식</x:v>
      </x:c>
      <x:c r="F26" s="136" t="str">
        <x:v>근접 공격 적중 시 가한 피해 일부만큼 자신의 HP를 회복</x:v>
      </x:c>
      <x:c r="G26" s="135" t="str"/>
      <x:c r="H26" s="135" t="str">
        <x:v>액티브</x:v>
      </x:c>
      <x:c r="I26" s="135" t="str">
        <x:v>소형 동물형 변이체 공용</x:v>
      </x:c>
      <x:c r="J26" s="136" t="str">
        <x:v>HP 회복</x:v>
      </x:c>
      <x:c r="K26" s="135" t="str">
        <x:v>대상 근접</x:v>
      </x:c>
      <x:c r="L26" s="136" t="str">
        <x:v>플레이어와 1칸 이내</x:v>
      </x:c>
      <x:c r="M26" s="135" t="str">
        <x:v>기본 공격력 비율</x:v>
      </x:c>
      <x:c r="N26" s="151" t="n">
        <x:v>1.5</x:v>
      </x:c>
      <x:c r="O26" s="155" t="n">
        <x:v>0</x:v>
      </x:c>
      <x:c r="P26" s="136" t="str">
        <x:f>IF(M26="없음","피해 없음",IF(M26="기본 공격력 비율","기본 공격력 × "&amp;TEXT(N26,"0%"),IF(M26="고정 피해","고정 "&amp;TEXT(O26,"0"),IF(M26="즉시 처리","수치 계산 없이 즉시 처리","확인 필요"))))</x:f>
        <x:v>기본 공격력 × 150%</x:v>
      </x:c>
      <x:c r="Q26" s="159" t="n">
        <x:v>7.5</x:v>
      </x:c>
      <x:c r="R26" s="151" t="n">
        <x:v>0.35</x:v>
      </x:c>
      <x:c r="S26" s="135" t="str">
        <x:v>개별</x:v>
      </x:c>
      <x:c r="T26" s="163" t="n">
        <x:v>4</x:v>
      </x:c>
      <x:c r="U26" s="163" t="n">
        <x:v>0.7</x:v>
      </x:c>
      <x:c r="V26" s="135" t="str">
        <x:v>HP</x:v>
      </x:c>
      <x:c r="W26" s="167" t="n">
        <x:v>10</x:v>
      </x:c>
      <x:c r="X26" s="135" t="str">
        <x:v>%</x:v>
      </x:c>
      <x:c r="Y26" s="163" t="n">
        <x:v>0</x:v>
      </x:c>
      <x:c r="Z26" s="136" t="str">
        <x:v>즉시 적용</x:v>
      </x:c>
      <x:c r="AA26" s="135" t="str">
        <x:v>없음</x:v>
      </x:c>
      <x:c r="AB26" s="137" t="str">
        <x:v>회복량은 최대 HP의 10% 상한</x:v>
      </x:c>
    </x:row>
    <x:row r="27" ht="58.5" customHeight="1">
      <x:c r="A27" s="144" t="str">
        <x:v>SKL-MON-008</x:v>
      </x:c>
      <x:c r="B27" s="131" t="str">
        <x:v>대형 동물형 구간</x:v>
      </x:c>
      <x:c r="C27" s="131" t="str">
        <x:v>대형 동물형 변이체</x:v>
      </x:c>
      <x:c r="D27" s="131" t="str">
        <x:v>몬스터</x:v>
      </x:c>
      <x:c r="E27" s="148" t="str">
        <x:v>충격파</x:v>
      </x:c>
      <x:c r="F27" s="123" t="str">
        <x:v>지면을 내려쳐 주변 원형 범위에 피해와 밀려남을 발생</x:v>
      </x:c>
      <x:c r="G27" s="131" t="str"/>
      <x:c r="H27" s="131" t="str">
        <x:v>액티브</x:v>
      </x:c>
      <x:c r="I27" s="131" t="str">
        <x:v>대형 동물형 변이체 공용</x:v>
      </x:c>
      <x:c r="J27" s="123" t="str">
        <x:v>밀려남 2칸</x:v>
      </x:c>
      <x:c r="K27" s="131" t="str">
        <x:v>대상 근접</x:v>
      </x:c>
      <x:c r="L27" s="123" t="str">
        <x:v>플레이어와 3칸 이내</x:v>
      </x:c>
      <x:c r="M27" s="131" t="str">
        <x:v>기본 공격력 비율</x:v>
      </x:c>
      <x:c r="N27" s="152" t="n">
        <x:v>1.1</x:v>
      </x:c>
      <x:c r="O27" s="156" t="n">
        <x:v>0</x:v>
      </x:c>
      <x:c r="P27" s="123" t="str">
        <x:f>IF(M27="없음","피해 없음",IF(M27="기본 공격력 비율","기본 공격력 × "&amp;TEXT(N27,"0%"),IF(M27="고정 피해","고정 "&amp;TEXT(O27,"0"),IF(M27="즉시 처리","수치 계산 없이 즉시 처리","확인 필요"))))</x:f>
        <x:v>기본 공격력 × 110%</x:v>
      </x:c>
      <x:c r="Q27" s="160" t="n">
        <x:v>9</x:v>
      </x:c>
      <x:c r="R27" s="152" t="n">
        <x:v>0.4</x:v>
      </x:c>
      <x:c r="S27" s="131" t="str">
        <x:v>개별</x:v>
      </x:c>
      <x:c r="T27" s="164" t="n">
        <x:v>5</x:v>
      </x:c>
      <x:c r="U27" s="164" t="n">
        <x:v>1.2</x:v>
      </x:c>
      <x:c r="V27" s="131" t="str">
        <x:v>없음</x:v>
      </x:c>
      <x:c r="W27" s="168" t="n">
        <x:v>0</x:v>
      </x:c>
      <x:c r="X27" s="131" t="str">
        <x:v>없음</x:v>
      </x:c>
      <x:c r="Y27" s="164" t="n">
        <x:v>0</x:v>
      </x:c>
      <x:c r="Z27" s="123" t="str">
        <x:v>시전 종료</x:v>
      </x:c>
      <x:c r="AA27" s="131" t="str">
        <x:v>없음</x:v>
      </x:c>
      <x:c r="AB27" s="124" t="str">
        <x:v>원형 경고 범위 1초 선표시</x:v>
      </x:c>
    </x:row>
    <x:row r="28" ht="58.5" customHeight="1">
      <x:c r="A28" s="143" t="str">
        <x:v>SKL-MON-009</x:v>
      </x:c>
      <x:c r="B28" s="135" t="str">
        <x:v>기계형 변이 구간</x:v>
      </x:c>
      <x:c r="C28" s="135" t="str">
        <x:v>기계형 변이체</x:v>
      </x:c>
      <x:c r="D28" s="135" t="str">
        <x:v>몬스터</x:v>
      </x:c>
      <x:c r="E28" s="147" t="str">
        <x:v>탄체 발사</x:v>
      </x:c>
      <x:c r="F28" s="136" t="str">
        <x:v>직선 탄체를 발사해 원거리에서 플레이어의 이동을 견제</x:v>
      </x:c>
      <x:c r="G28" s="135" t="str"/>
      <x:c r="H28" s="135" t="str">
        <x:v>액티브</x:v>
      </x:c>
      <x:c r="I28" s="135" t="str">
        <x:v>기계형 변이체 공용</x:v>
      </x:c>
      <x:c r="J28" s="136" t="str">
        <x:v>경직 0.20초</x:v>
      </x:c>
      <x:c r="K28" s="135" t="str">
        <x:v>대상 거리</x:v>
      </x:c>
      <x:c r="L28" s="136" t="str">
        <x:v>플레이어와 4~8칸</x:v>
      </x:c>
      <x:c r="M28" s="135" t="str">
        <x:v>기본 공격력 비율</x:v>
      </x:c>
      <x:c r="N28" s="151" t="n">
        <x:v>0.9</x:v>
      </x:c>
      <x:c r="O28" s="155" t="n">
        <x:v>0</x:v>
      </x:c>
      <x:c r="P28" s="136" t="str">
        <x:f>IF(M28="없음","피해 없음",IF(M28="기본 공격력 비율","기본 공격력 × "&amp;TEXT(N28,"0%"),IF(M28="고정 피해","고정 "&amp;TEXT(O28,"0"),IF(M28="즉시 처리","수치 계산 없이 즉시 처리","확인 필요"))))</x:f>
        <x:v>기본 공격력 × 90%</x:v>
      </x:c>
      <x:c r="Q28" s="159" t="n">
        <x:v>4.5</x:v>
      </x:c>
      <x:c r="R28" s="151" t="n">
        <x:v>0.55</x:v>
      </x:c>
      <x:c r="S28" s="135" t="str">
        <x:v>개별</x:v>
      </x:c>
      <x:c r="T28" s="163" t="n">
        <x:v>2.5</x:v>
      </x:c>
      <x:c r="U28" s="163" t="n">
        <x:v>0.6</x:v>
      </x:c>
      <x:c r="V28" s="135" t="str">
        <x:v>없음</x:v>
      </x:c>
      <x:c r="W28" s="167" t="n">
        <x:v>0</x:v>
      </x:c>
      <x:c r="X28" s="135" t="str">
        <x:v>없음</x:v>
      </x:c>
      <x:c r="Y28" s="163" t="n">
        <x:v>0</x:v>
      </x:c>
      <x:c r="Z28" s="136" t="str">
        <x:v>탄체 충돌·화면 밖 이탈</x:v>
      </x:c>
      <x:c r="AA28" s="135" t="str">
        <x:v>없음</x:v>
      </x:c>
      <x:c r="AB28" s="137" t="str">
        <x:v>연속 발사 없이 1발 단위</x:v>
      </x:c>
    </x:row>
    <x:row r="29" ht="58.5" customHeight="1">
      <x:c r="A29" s="144" t="str">
        <x:v>SKL-BOS-001</x:v>
      </x:c>
      <x:c r="B29" s="131" t="str">
        <x:v>닫힌 문지기</x:v>
      </x:c>
      <x:c r="C29" s="131" t="str">
        <x:v>닫힌 문지기 보스전</x:v>
      </x:c>
      <x:c r="D29" s="131" t="str">
        <x:v>보스</x:v>
      </x:c>
      <x:c r="E29" s="148" t="str">
        <x:v>문짝 압착</x:v>
      </x:c>
      <x:c r="F29" s="123" t="str">
        <x:v>양쪽 문짝을 닫아 중앙 안전 지대를 압박하는 주력 공격</x:v>
      </x:c>
      <x:c r="G29" s="131" t="str"/>
      <x:c r="H29" s="131" t="str">
        <x:v>액티브</x:v>
      </x:c>
      <x:c r="I29" s="131" t="str">
        <x:v>닫힌 문지기</x:v>
      </x:c>
      <x:c r="J29" s="123" t="str">
        <x:v>행동 불가 0.80초</x:v>
      </x:c>
      <x:c r="K29" s="131" t="str">
        <x:v>시간 경과</x:v>
      </x:c>
      <x:c r="L29" s="123" t="str">
        <x:v>전투 시작 후 20초부터</x:v>
      </x:c>
      <x:c r="M29" s="131" t="str">
        <x:v>기본 공격력 비율</x:v>
      </x:c>
      <x:c r="N29" s="152" t="n">
        <x:v>1.8</x:v>
      </x:c>
      <x:c r="O29" s="156" t="n">
        <x:v>0</x:v>
      </x:c>
      <x:c r="P29" s="123" t="str">
        <x:f>IF(M29="없음","피해 없음",IF(M29="기본 공격력 비율","기본 공격력 × "&amp;TEXT(N29,"0%"),IF(M29="고정 피해","고정 "&amp;TEXT(O29,"0"),IF(M29="즉시 처리","수치 계산 없이 즉시 처리","확인 필요"))))</x:f>
        <x:v>기본 공격력 × 180%</x:v>
      </x:c>
      <x:c r="Q29" s="160" t="n">
        <x:v>9</x:v>
      </x:c>
      <x:c r="R29" s="152" t="n">
        <x:v>0.5</x:v>
      </x:c>
      <x:c r="S29" s="131" t="str">
        <x:v>개별</x:v>
      </x:c>
      <x:c r="T29" s="164" t="n">
        <x:v>6</x:v>
      </x:c>
      <x:c r="U29" s="164" t="n">
        <x:v>1.3</x:v>
      </x:c>
      <x:c r="V29" s="131" t="str">
        <x:v>없음</x:v>
      </x:c>
      <x:c r="W29" s="168" t="n">
        <x:v>0</x:v>
      </x:c>
      <x:c r="X29" s="131" t="str">
        <x:v>없음</x:v>
      </x:c>
      <x:c r="Y29" s="164" t="n">
        <x:v>0</x:v>
      </x:c>
      <x:c r="Z29" s="123" t="str">
        <x:v>압착 종료</x:v>
      </x:c>
      <x:c r="AA29" s="131" t="str">
        <x:v>없음</x:v>
      </x:c>
      <x:c r="AB29" s="124" t="str">
        <x:v>닫힌 통로와 고립의 서사를 전투 공간으로 표현</x:v>
      </x:c>
    </x:row>
    <x:row r="30" ht="58.5" customHeight="1">
      <x:c r="A30" s="143" t="str">
        <x:v>SKL-BOS-002</x:v>
      </x:c>
      <x:c r="B30" s="135" t="str">
        <x:v>닫힌 문지기</x:v>
      </x:c>
      <x:c r="C30" s="135" t="str">
        <x:v>닫힌 문지기 2페이즈</x:v>
      </x:c>
      <x:c r="D30" s="135" t="str">
        <x:v>보스</x:v>
      </x:c>
      <x:c r="E30" s="147" t="str">
        <x:v>통로 봉쇄</x:v>
      </x:c>
      <x:c r="F30" s="136" t="str">
        <x:v>안전 통로 하나를 잠시 닫아 플레이어의 이동 선택지를 제한</x:v>
      </x:c>
      <x:c r="G30" s="135" t="str"/>
      <x:c r="H30" s="135" t="str">
        <x:v>이벤트</x:v>
      </x:c>
      <x:c r="I30" s="135" t="str">
        <x:v>닫힌 문지기</x:v>
      </x:c>
      <x:c r="J30" s="136" t="str">
        <x:v>이동 가능 경로 1개 감소</x:v>
      </x:c>
      <x:c r="K30" s="135" t="str">
        <x:v>HP 임계</x:v>
      </x:c>
      <x:c r="L30" s="136" t="str">
        <x:v>보스 HP 60% 이하</x:v>
      </x:c>
      <x:c r="M30" s="135" t="str">
        <x:v>없음</x:v>
      </x:c>
      <x:c r="N30" s="151" t="n">
        <x:v>0</x:v>
      </x:c>
      <x:c r="O30" s="155" t="n">
        <x:v>0</x:v>
      </x:c>
      <x:c r="P30" s="136" t="str">
        <x:f>IF(M30="없음","피해 없음",IF(M30="기본 공격력 비율","기본 공격력 × "&amp;TEXT(N30,"0%"),IF(M30="고정 피해","고정 "&amp;TEXT(O30,"0"),IF(M30="즉시 처리","수치 계산 없이 즉시 처리","확인 필요"))))</x:f>
        <x:v>피해 없음</x:v>
      </x:c>
      <x:c r="Q30" s="159" t="n">
        <x:v>15</x:v>
      </x:c>
      <x:c r="R30" s="151" t="n">
        <x:v>1</x:v>
      </x:c>
      <x:c r="S30" s="135" t="str">
        <x:v>개별</x:v>
      </x:c>
      <x:c r="T30" s="163" t="n">
        <x:v>10</x:v>
      </x:c>
      <x:c r="U30" s="163" t="n">
        <x:v>1</x:v>
      </x:c>
      <x:c r="V30" s="135" t="str">
        <x:v>이동 가능 경로</x:v>
      </x:c>
      <x:c r="W30" s="167" t="n">
        <x:v>-1</x:v>
      </x:c>
      <x:c r="X30" s="135" t="str">
        <x:v>개</x:v>
      </x:c>
      <x:c r="Y30" s="163" t="n">
        <x:v>4</x:v>
      </x:c>
      <x:c r="Z30" s="136" t="str">
        <x:v>봉쇄물 파괴·지속 종료</x:v>
      </x:c>
      <x:c r="AA30" s="135" t="str">
        <x:v>SKL-BOS-001</x:v>
      </x:c>
      <x:c r="AB30" s="137" t="str">
        <x:v>봉쇄 위치는 직전 플레이어 위치를 제외</x:v>
      </x:c>
    </x:row>
    <x:row r="31" ht="58.5" customHeight="1">
      <x:c r="A31" s="144" t="str">
        <x:v>SKL-BOS-003</x:v>
      </x:c>
      <x:c r="B31" s="131" t="str">
        <x:v>융합된 괴물</x:v>
      </x:c>
      <x:c r="C31" s="131" t="str">
        <x:v>융합된 괴물 보스전</x:v>
      </x:c>
      <x:c r="D31" s="131" t="str">
        <x:v>보스</x:v>
      </x:c>
      <x:c r="E31" s="148" t="str">
        <x:v>융합 휩쓸기</x:v>
      </x:c>
      <x:c r="F31" s="123" t="str">
        <x:v>결합된 여러 팔과 촉수를 넓게 휘둘러 부채꼴 범위를 공격</x:v>
      </x:c>
      <x:c r="G31" s="131" t="str"/>
      <x:c r="H31" s="131" t="str">
        <x:v>액티브</x:v>
      </x:c>
      <x:c r="I31" s="131" t="str">
        <x:v>융합된 괴물</x:v>
      </x:c>
      <x:c r="J31" s="123" t="str">
        <x:v>밀려남 2칸</x:v>
      </x:c>
      <x:c r="K31" s="131" t="str">
        <x:v>대상 거리</x:v>
      </x:c>
      <x:c r="L31" s="123" t="str">
        <x:v>플레이어와 1~5칸</x:v>
      </x:c>
      <x:c r="M31" s="131" t="str">
        <x:v>기본 공격력 비율</x:v>
      </x:c>
      <x:c r="N31" s="152" t="n">
        <x:v>1.5</x:v>
      </x:c>
      <x:c r="O31" s="156" t="n">
        <x:v>0</x:v>
      </x:c>
      <x:c r="P31" s="123" t="str">
        <x:f>IF(M31="없음","피해 없음",IF(M31="기본 공격력 비율","기본 공격력 × "&amp;TEXT(N31,"0%"),IF(M31="고정 피해","고정 "&amp;TEXT(O31,"0"),IF(M31="즉시 처리","수치 계산 없이 즉시 처리","확인 필요"))))</x:f>
        <x:v>기본 공격력 × 150%</x:v>
      </x:c>
      <x:c r="Q31" s="160" t="n">
        <x:v>8</x:v>
      </x:c>
      <x:c r="R31" s="152" t="n">
        <x:v>0.5</x:v>
      </x:c>
      <x:c r="S31" s="131" t="str">
        <x:v>개별</x:v>
      </x:c>
      <x:c r="T31" s="164" t="n">
        <x:v>5</x:v>
      </x:c>
      <x:c r="U31" s="164" t="n">
        <x:v>1.1</x:v>
      </x:c>
      <x:c r="V31" s="131" t="str">
        <x:v>없음</x:v>
      </x:c>
      <x:c r="W31" s="168" t="n">
        <x:v>0</x:v>
      </x:c>
      <x:c r="X31" s="131" t="str">
        <x:v>없음</x:v>
      </x:c>
      <x:c r="Y31" s="164" t="n">
        <x:v>0</x:v>
      </x:c>
      <x:c r="Z31" s="123" t="str">
        <x:v>시전 종료</x:v>
      </x:c>
      <x:c r="AA31" s="131" t="str">
        <x:v>없음</x:v>
      </x:c>
      <x:c r="AB31" s="124" t="str">
        <x:v>범위가 넓지만 중심 안쪽에 회피 여지 제공</x:v>
      </x:c>
    </x:row>
    <x:row r="32" ht="58.5" customHeight="1">
      <x:c r="A32" s="143" t="str">
        <x:v>SKL-BOS-004</x:v>
      </x:c>
      <x:c r="B32" s="135" t="str">
        <x:v>융합된 괴물</x:v>
      </x:c>
      <x:c r="C32" s="135" t="str">
        <x:v>융합된 괴물 잔해 생성 후</x:v>
      </x:c>
      <x:c r="D32" s="135" t="str">
        <x:v>보스</x:v>
      </x:c>
      <x:c r="E32" s="147" t="str">
        <x:v>잔해 흡수</x:v>
      </x:c>
      <x:c r="F32" s="136" t="str">
        <x:v>주변 변이 잔해를 끌어당겨 흡수하고 보스 HP를 회복</x:v>
      </x:c>
      <x:c r="G32" s="135" t="str"/>
      <x:c r="H32" s="135" t="str">
        <x:v>액티브</x:v>
      </x:c>
      <x:c r="I32" s="135" t="str">
        <x:v>융합된 괴물</x:v>
      </x:c>
      <x:c r="J32" s="136" t="str">
        <x:v>잔해 최대 2개 소모</x:v>
      </x:c>
      <x:c r="K32" s="135" t="str">
        <x:v>주변 개체 수</x:v>
      </x:c>
      <x:c r="L32" s="136" t="str">
        <x:v>흡수 가능 잔해 1개 이상</x:v>
      </x:c>
      <x:c r="M32" s="135" t="str">
        <x:v>없음</x:v>
      </x:c>
      <x:c r="N32" s="151" t="n">
        <x:v>0</x:v>
      </x:c>
      <x:c r="O32" s="155" t="n">
        <x:v>0</x:v>
      </x:c>
      <x:c r="P32" s="136" t="str">
        <x:f>IF(M32="없음","피해 없음",IF(M32="기본 공격력 비율","기본 공격력 × "&amp;TEXT(N32,"0%"),IF(M32="고정 피해","고정 "&amp;TEXT(O32,"0"),IF(M32="즉시 처리","수치 계산 없이 즉시 처리","확인 필요"))))</x:f>
        <x:v>피해 없음</x:v>
      </x:c>
      <x:c r="Q32" s="159" t="n">
        <x:v>14</x:v>
      </x:c>
      <x:c r="R32" s="151" t="n">
        <x:v>0.6</x:v>
      </x:c>
      <x:c r="S32" s="135" t="str">
        <x:v>개별</x:v>
      </x:c>
      <x:c r="T32" s="163" t="n">
        <x:v>9</x:v>
      </x:c>
      <x:c r="U32" s="163" t="n">
        <x:v>2</x:v>
      </x:c>
      <x:c r="V32" s="135" t="str">
        <x:v>HP</x:v>
      </x:c>
      <x:c r="W32" s="167" t="n">
        <x:v>8</x:v>
      </x:c>
      <x:c r="X32" s="135" t="str">
        <x:v>%</x:v>
      </x:c>
      <x:c r="Y32" s="163" t="n">
        <x:v>0</x:v>
      </x:c>
      <x:c r="Z32" s="136" t="str">
        <x:v>시전 중 3회 피격</x:v>
      </x:c>
      <x:c r="AA32" s="135" t="str">
        <x:v>없음</x:v>
      </x:c>
      <x:c r="AB32" s="137" t="str">
        <x:v>잔해 1개당 4%, 최대 8% 회복</x:v>
      </x:c>
    </x:row>
    <x:row r="33" ht="58.5" customHeight="1">
      <x:c r="A33" s="144" t="str">
        <x:v>SKL-BOS-005</x:v>
      </x:c>
      <x:c r="B33" s="131" t="str">
        <x:v>갈채를 먹는 자</x:v>
      </x:c>
      <x:c r="C33" s="131" t="str">
        <x:v>갈채를 먹는 자 보스전</x:v>
      </x:c>
      <x:c r="D33" s="131" t="str">
        <x:v>보스</x:v>
      </x:c>
      <x:c r="E33" s="148" t="str">
        <x:v>갈채 흡수</x:v>
      </x:c>
      <x:c r="F33" s="123" t="str">
        <x:v>주변의 찬양과 기대를 흡수해 공격력을 일시적으로 강화</x:v>
      </x:c>
      <x:c r="G33" s="131" t="str"/>
      <x:c r="H33" s="131" t="str">
        <x:v>액티브</x:v>
      </x:c>
      <x:c r="I33" s="131" t="str">
        <x:v>갈채를 먹는 자</x:v>
      </x:c>
      <x:c r="J33" s="123" t="str">
        <x:v>갈채 1스택 소모</x:v>
      </x:c>
      <x:c r="K33" s="131" t="str">
        <x:v>상태치 임계</x:v>
      </x:c>
      <x:c r="L33" s="123" t="str">
        <x:v>갈채 스택 3 이상</x:v>
      </x:c>
      <x:c r="M33" s="131" t="str">
        <x:v>없음</x:v>
      </x:c>
      <x:c r="N33" s="152" t="n">
        <x:v>0</x:v>
      </x:c>
      <x:c r="O33" s="156" t="n">
        <x:v>0</x:v>
      </x:c>
      <x:c r="P33" s="123" t="str">
        <x:f>IF(M33="없음","피해 없음",IF(M33="기본 공격력 비율","기본 공격력 × "&amp;TEXT(N33,"0%"),IF(M33="고정 피해","고정 "&amp;TEXT(O33,"0"),IF(M33="즉시 처리","수치 계산 없이 즉시 처리","확인 필요"))))</x:f>
        <x:v>피해 없음</x:v>
      </x:c>
      <x:c r="Q33" s="160" t="n">
        <x:v>12</x:v>
      </x:c>
      <x:c r="R33" s="152" t="n">
        <x:v>0.8</x:v>
      </x:c>
      <x:c r="S33" s="131" t="str">
        <x:v>개별</x:v>
      </x:c>
      <x:c r="T33" s="164" t="n">
        <x:v>8</x:v>
      </x:c>
      <x:c r="U33" s="164" t="n">
        <x:v>1.5</x:v>
      </x:c>
      <x:c r="V33" s="131" t="str">
        <x:v>공격력</x:v>
      </x:c>
      <x:c r="W33" s="168" t="n">
        <x:v>20</x:v>
      </x:c>
      <x:c r="X33" s="131" t="str">
        <x:v>%</x:v>
      </x:c>
      <x:c r="Y33" s="164" t="n">
        <x:v>10</x:v>
      </x:c>
      <x:c r="Z33" s="123" t="str">
        <x:v>지속 종료·경직 3회</x:v>
      </x:c>
      <x:c r="AA33" s="131" t="str">
        <x:v>없음</x:v>
      </x:c>
      <x:c r="AB33" s="124" t="str">
        <x:v>영웅 대접이 구호 의지를 잠식한 서사 반영</x:v>
      </x:c>
    </x:row>
    <x:row r="34" ht="58.5" customHeight="1">
      <x:c r="A34" s="143" t="str">
        <x:v>SKL-BOS-006</x:v>
      </x:c>
      <x:c r="B34" s="135" t="str">
        <x:v>갈채를 먹는 자</x:v>
      </x:c>
      <x:c r="C34" s="135" t="str">
        <x:v>갈채를 먹는 자 2페이즈</x:v>
      </x:c>
      <x:c r="D34" s="135" t="str">
        <x:v>보스</x:v>
      </x:c>
      <x:c r="E34" s="147" t="str">
        <x:v>시선 고정</x:v>
      </x:c>
      <x:c r="F34" s="136" t="str">
        <x:v>과도한 주목을 시선의 형태로 투사해 이동을 둔화</x:v>
      </x:c>
      <x:c r="G34" s="135" t="str"/>
      <x:c r="H34" s="135" t="str">
        <x:v>액티브</x:v>
      </x:c>
      <x:c r="I34" s="135" t="str">
        <x:v>갈채를 먹는 자</x:v>
      </x:c>
      <x:c r="J34" s="136" t="str">
        <x:v>이동 속도 감소</x:v>
      </x:c>
      <x:c r="K34" s="135" t="str">
        <x:v>HP 임계</x:v>
      </x:c>
      <x:c r="L34" s="136" t="str">
        <x:v>보스 HP 70% 이하</x:v>
      </x:c>
      <x:c r="M34" s="135" t="str">
        <x:v>기본 공격력 비율</x:v>
      </x:c>
      <x:c r="N34" s="151" t="n">
        <x:v>0.9</x:v>
      </x:c>
      <x:c r="O34" s="155" t="n">
        <x:v>0</x:v>
      </x:c>
      <x:c r="P34" s="136" t="str">
        <x:f>IF(M34="없음","피해 없음",IF(M34="기본 공격력 비율","기본 공격력 × "&amp;TEXT(N34,"0%"),IF(M34="고정 피해","고정 "&amp;TEXT(O34,"0"),IF(M34="즉시 처리","수치 계산 없이 즉시 처리","확인 필요"))))</x:f>
        <x:v>기본 공격력 × 90%</x:v>
      </x:c>
      <x:c r="Q34" s="159" t="n">
        <x:v>10</x:v>
      </x:c>
      <x:c r="R34" s="151" t="n">
        <x:v>0.45</x:v>
      </x:c>
      <x:c r="S34" s="135" t="str">
        <x:v>개별</x:v>
      </x:c>
      <x:c r="T34" s="163" t="n">
        <x:v>6</x:v>
      </x:c>
      <x:c r="U34" s="163" t="n">
        <x:v>1</x:v>
      </x:c>
      <x:c r="V34" s="135" t="str">
        <x:v>이동 속도</x:v>
      </x:c>
      <x:c r="W34" s="167" t="n">
        <x:v>-50</x:v>
      </x:c>
      <x:c r="X34" s="135" t="str">
        <x:v>%</x:v>
      </x:c>
      <x:c r="Y34" s="163" t="n">
        <x:v>3</x:v>
      </x:c>
      <x:c r="Z34" s="136" t="str">
        <x:v>시야 차단물 뒤 이동·지속 종료</x:v>
      </x:c>
      <x:c r="AA34" s="135" t="str">
        <x:v>SKL-BOS-005</x:v>
      </x:c>
      <x:c r="AB34" s="137" t="str">
        <x:v>시선 방향을 바닥 선으로 선표시</x:v>
      </x:c>
    </x:row>
    <x:row r="35" ht="58.5" customHeight="1">
      <x:c r="A35" s="144" t="str">
        <x:v>SKL-BOS-007</x:v>
      </x:c>
      <x:c r="B35" s="131" t="str">
        <x:v>폭력의 순환체</x:v>
      </x:c>
      <x:c r="C35" s="131" t="str">
        <x:v>폭력의 순환체 보스전</x:v>
      </x:c>
      <x:c r="D35" s="131" t="str">
        <x:v>보스</x:v>
      </x:c>
      <x:c r="E35" s="148" t="str">
        <x:v>보복 표식</x:v>
      </x:c>
      <x:c r="F35" s="123" t="str">
        <x:v>자신이 받은 폭력을 다음 공격에 되돌리는 반사 상태를 부여</x:v>
      </x:c>
      <x:c r="G35" s="131" t="str"/>
      <x:c r="H35" s="131" t="str">
        <x:v>액티브</x:v>
      </x:c>
      <x:c r="I35" s="131" t="str">
        <x:v>폭력의 순환체</x:v>
      </x:c>
      <x:c r="J35" s="123" t="str">
        <x:v>피해 반사 50%</x:v>
      </x:c>
      <x:c r="K35" s="131" t="str">
        <x:v>피격</x:v>
      </x:c>
      <x:c r="L35" s="123" t="str">
        <x:v>5초 내 누적 3회 피격</x:v>
      </x:c>
      <x:c r="M35" s="131" t="str">
        <x:v>없음</x:v>
      </x:c>
      <x:c r="N35" s="152" t="n">
        <x:v>0</x:v>
      </x:c>
      <x:c r="O35" s="156" t="n">
        <x:v>0</x:v>
      </x:c>
      <x:c r="P35" s="123" t="str">
        <x:f>IF(M35="없음","피해 없음",IF(M35="기본 공격력 비율","기본 공격력 × "&amp;TEXT(N35,"0%"),IF(M35="고정 피해","고정 "&amp;TEXT(O35,"0"),IF(M35="즉시 처리","수치 계산 없이 즉시 처리","확인 필요"))))</x:f>
        <x:v>피해 없음</x:v>
      </x:c>
      <x:c r="Q35" s="160" t="n">
        <x:v>11</x:v>
      </x:c>
      <x:c r="R35" s="152" t="n">
        <x:v>0.6</x:v>
      </x:c>
      <x:c r="S35" s="131" t="str">
        <x:v>개별</x:v>
      </x:c>
      <x:c r="T35" s="164" t="n">
        <x:v>7</x:v>
      </x:c>
      <x:c r="U35" s="164" t="n">
        <x:v>0.8</x:v>
      </x:c>
      <x:c r="V35" s="131" t="str">
        <x:v>피해 반사</x:v>
      </x:c>
      <x:c r="W35" s="168" t="n">
        <x:v>50</x:v>
      </x:c>
      <x:c r="X35" s="131" t="str">
        <x:v>%</x:v>
      </x:c>
      <x:c r="Y35" s="164" t="n">
        <x:v>4</x:v>
      </x:c>
      <x:c r="Z35" s="123" t="str">
        <x:v>플레이어 공격 1회 반사·지속 종료</x:v>
      </x:c>
      <x:c r="AA35" s="131" t="str">
        <x:v>SKL-BOS-008</x:v>
      </x:c>
      <x:c r="AB35" s="124" t="str">
        <x:v>무리한 연속 공격을 멈추게 하는 판단 패턴</x:v>
      </x:c>
    </x:row>
    <x:row r="36" ht="58.5" customHeight="1">
      <x:c r="A36" s="143" t="str">
        <x:v>SKL-BOS-008</x:v>
      </x:c>
      <x:c r="B36" s="135" t="str">
        <x:v>폭력의 순환체</x:v>
      </x:c>
      <x:c r="C36" s="135" t="str">
        <x:v>폭력의 순환체 2페이즈</x:v>
      </x:c>
      <x:c r="D36" s="135" t="str">
        <x:v>보스</x:v>
      </x:c>
      <x:c r="E36" s="147" t="str">
        <x:v>연쇄 난타</x:v>
      </x:c>
      <x:c r="F36" s="136" t="str">
        <x:v>서로 이어지는 세 번의 공격으로 폭력이 반복되는 구조를 표현</x:v>
      </x:c>
      <x:c r="G36" s="135" t="str"/>
      <x:c r="H36" s="135" t="str">
        <x:v>액티브</x:v>
      </x:c>
      <x:c r="I36" s="135" t="str">
        <x:v>폭력의 순환체</x:v>
      </x:c>
      <x:c r="J36" s="136" t="str">
        <x:v>3타 연속 경직</x:v>
      </x:c>
      <x:c r="K36" s="135" t="str">
        <x:v>HP 임계</x:v>
      </x:c>
      <x:c r="L36" s="136" t="str">
        <x:v>보스 HP 65% 이하</x:v>
      </x:c>
      <x:c r="M36" s="135" t="str">
        <x:v>기본 공격력 비율</x:v>
      </x:c>
      <x:c r="N36" s="151" t="n">
        <x:v>1.65</x:v>
      </x:c>
      <x:c r="O36" s="155" t="n">
        <x:v>0</x:v>
      </x:c>
      <x:c r="P36" s="136" t="str">
        <x:f>IF(M36="없음","피해 없음",IF(M36="기본 공격력 비율","기본 공격력 × "&amp;TEXT(N36,"0%"),IF(M36="고정 피해","고정 "&amp;TEXT(O36,"0"),IF(M36="즉시 처리","수치 계산 없이 즉시 처리","확인 필요"))))</x:f>
        <x:v>기본 공격력 × 165%</x:v>
      </x:c>
      <x:c r="Q36" s="159" t="n">
        <x:v>8</x:v>
      </x:c>
      <x:c r="R36" s="151" t="n">
        <x:v>0.55</x:v>
      </x:c>
      <x:c r="S36" s="135" t="str">
        <x:v>개별</x:v>
      </x:c>
      <x:c r="T36" s="163" t="n">
        <x:v>5</x:v>
      </x:c>
      <x:c r="U36" s="163" t="n">
        <x:v>1.2</x:v>
      </x:c>
      <x:c r="V36" s="135" t="str">
        <x:v>없음</x:v>
      </x:c>
      <x:c r="W36" s="167" t="n">
        <x:v>0</x:v>
      </x:c>
      <x:c r="X36" s="135" t="str">
        <x:v>없음</x:v>
      </x:c>
      <x:c r="Y36" s="163" t="n">
        <x:v>0</x:v>
      </x:c>
      <x:c r="Z36" s="136" t="str">
        <x:v>3타 종료</x:v>
      </x:c>
      <x:c r="AA36" s="135" t="str">
        <x:v>SKL-BOS-007</x:v>
      </x:c>
      <x:c r="AB36" s="137" t="str">
        <x:v>총 165%: 55%×3회, 타격 간 0.35초</x:v>
      </x:c>
    </x:row>
    <x:row r="37" ht="58.5" customHeight="1">
      <x:c r="A37" s="144" t="str">
        <x:v>SKL-BOS-009</x:v>
      </x:c>
      <x:c r="B37" s="131" t="str">
        <x:v>폐교의 보스</x:v>
      </x:c>
      <x:c r="C37" s="131" t="str">
        <x:v>폐교 보스전 2페이즈</x:v>
      </x:c>
      <x:c r="D37" s="131" t="str">
        <x:v>보스</x:v>
      </x:c>
      <x:c r="E37" s="148" t="str">
        <x:v>조롱의 메아리</x:v>
      </x:c>
      <x:c r="F37" s="123" t="str">
        <x:v>과거의 조롱을 공간 전체에 반복해 자아 마모 연출을 강화</x:v>
      </x:c>
      <x:c r="G37" s="131" t="str"/>
      <x:c r="H37" s="131" t="str">
        <x:v>이벤트</x:v>
      </x:c>
      <x:c r="I37" s="131" t="str">
        <x:v>폐교의 보스(친구)</x:v>
      </x:c>
      <x:c r="J37" s="123" t="str">
        <x:v>UI 노이즈 단계+1</x:v>
      </x:c>
      <x:c r="K37" s="131" t="str">
        <x:v>HP 임계</x:v>
      </x:c>
      <x:c r="L37" s="123" t="str">
        <x:v>보스 HP 60% 이하·전투당 1회</x:v>
      </x:c>
      <x:c r="M37" s="131" t="str">
        <x:v>없음</x:v>
      </x:c>
      <x:c r="N37" s="152" t="n">
        <x:v>0</x:v>
      </x:c>
      <x:c r="O37" s="156" t="n">
        <x:v>0</x:v>
      </x:c>
      <x:c r="P37" s="123" t="str">
        <x:f>IF(M37="없음","피해 없음",IF(M37="기본 공격력 비율","기본 공격력 × "&amp;TEXT(N37,"0%"),IF(M37="고정 피해","고정 "&amp;TEXT(O37,"0"),IF(M37="즉시 처리","수치 계산 없이 즉시 처리","확인 필요"))))</x:f>
        <x:v>피해 없음</x:v>
      </x:c>
      <x:c r="Q37" s="160" t="n">
        <x:v>0</x:v>
      </x:c>
      <x:c r="R37" s="152" t="n">
        <x:v>1</x:v>
      </x:c>
      <x:c r="S37" s="131" t="str">
        <x:v>없음</x:v>
      </x:c>
      <x:c r="T37" s="164" t="n">
        <x:v>0</x:v>
      </x:c>
      <x:c r="U37" s="164" t="n">
        <x:v>1.5</x:v>
      </x:c>
      <x:c r="V37" s="131" t="str">
        <x:v>UI 노이즈 단계</x:v>
      </x:c>
      <x:c r="W37" s="168" t="n">
        <x:v>1</x:v>
      </x:c>
      <x:c r="X37" s="131" t="str">
        <x:v>단계</x:v>
      </x:c>
      <x:c r="Y37" s="164" t="n">
        <x:v>0</x:v>
      </x:c>
      <x:c r="Z37" s="123" t="str">
        <x:v>전투 종료</x:v>
      </x:c>
      <x:c r="AA37" s="131" t="str">
        <x:v>SKL-SYS-001</x:v>
      </x:c>
      <x:c r="AB37" s="124" t="str">
        <x:v>실제 자아 마모 단계가 아닌 보스전 한정 연출값</x:v>
      </x:c>
    </x:row>
    <x:row r="38" ht="58.5" customHeight="1">
      <x:c r="A38" s="143" t="str">
        <x:v>SKL-BOS-010</x:v>
      </x:c>
      <x:c r="B38" s="135" t="str">
        <x:v>폐교의 보스</x:v>
      </x:c>
      <x:c r="C38" s="135" t="str">
        <x:v>폐교 보스전 3페이즈</x:v>
      </x:c>
      <x:c r="D38" s="135" t="str">
        <x:v>보스</x:v>
      </x:c>
      <x:c r="E38" s="147" t="str">
        <x:v>기억 감금</x:v>
      </x:c>
      <x:c r="F38" s="136" t="str">
        <x:v>고통스러운 기억의 장벽으로 플레이어를 가두고 파편 파괴를 요구</x:v>
      </x:c>
      <x:c r="G38" s="135" t="str"/>
      <x:c r="H38" s="135" t="str">
        <x:v>액티브</x:v>
      </x:c>
      <x:c r="I38" s="135" t="str">
        <x:v>폐교의 보스(친구)</x:v>
      </x:c>
      <x:c r="J38" s="136" t="str">
        <x:v>이동 구역 제한</x:v>
      </x:c>
      <x:c r="K38" s="135" t="str">
        <x:v>HP 임계</x:v>
      </x:c>
      <x:c r="L38" s="136" t="str">
        <x:v>보스 HP 35% 이하</x:v>
      </x:c>
      <x:c r="M38" s="135" t="str">
        <x:v>기본 공격력 비율</x:v>
      </x:c>
      <x:c r="N38" s="151" t="n">
        <x:v>1.25</x:v>
      </x:c>
      <x:c r="O38" s="155" t="n">
        <x:v>0</x:v>
      </x:c>
      <x:c r="P38" s="136" t="str">
        <x:f>IF(M38="없음","피해 없음",IF(M38="기본 공격력 비율","기본 공격력 × "&amp;TEXT(N38,"0%"),IF(M38="고정 피해","고정 "&amp;TEXT(O38,"0"),IF(M38="즉시 처리","수치 계산 없이 즉시 처리","확인 필요"))))</x:f>
        <x:v>기본 공격력 × 125%</x:v>
      </x:c>
      <x:c r="Q38" s="159" t="n">
        <x:v>14</x:v>
      </x:c>
      <x:c r="R38" s="151" t="n">
        <x:v>0.5</x:v>
      </x:c>
      <x:c r="S38" s="135" t="str">
        <x:v>개별</x:v>
      </x:c>
      <x:c r="T38" s="163" t="n">
        <x:v>9</x:v>
      </x:c>
      <x:c r="U38" s="163" t="n">
        <x:v>1.6</x:v>
      </x:c>
      <x:c r="V38" s="135" t="str">
        <x:v>이동 가능 구역</x:v>
      </x:c>
      <x:c r="W38" s="167" t="n">
        <x:v>-1</x:v>
      </x:c>
      <x:c r="X38" s="135" t="str">
        <x:v>구역</x:v>
      </x:c>
      <x:c r="Y38" s="163" t="n">
        <x:v>0</x:v>
      </x:c>
      <x:c r="Z38" s="136" t="str">
        <x:v>기억 파편 3개 파괴</x:v>
      </x:c>
      <x:c r="AA38" s="135" t="str">
        <x:v>SKL-EVT-002</x:v>
      </x:c>
      <x:c r="AB38" s="137" t="str">
        <x:v>해제 후 마지막 전투 구간으로 연결</x:v>
      </x:c>
    </x:row>
    <x:row r="39" ht="58.5" customHeight="1">
      <x:c r="A39" s="144" t="str">
        <x:v>SKL-BOS-011</x:v>
      </x:c>
      <x:c r="B39" s="131" t="str">
        <x:v>선의 계량자</x:v>
      </x:c>
      <x:c r="C39" s="131" t="str">
        <x:v>선의 계량자 첫 대면</x:v>
      </x:c>
      <x:c r="D39" s="131" t="str">
        <x:v>보스</x:v>
      </x:c>
      <x:c r="E39" s="148" t="str">
        <x:v>선의 계량</x:v>
      </x:c>
      <x:c r="F39" s="123" t="str">
        <x:v>대상의 선의를 측정해 일반 수치 또는 무한대 판정을 반환</x:v>
      </x:c>
      <x:c r="G39" s="131" t="str"/>
      <x:c r="H39" s="131" t="str">
        <x:v>이벤트</x:v>
      </x:c>
      <x:c r="I39" s="131" t="str">
        <x:v>선의 계량자</x:v>
      </x:c>
      <x:c r="J39" s="123" t="str">
        <x:v>선의 측정 결과 저장</x:v>
      </x:c>
      <x:c r="K39" s="131" t="str">
        <x:v>대상 근접</x:v>
      </x:c>
      <x:c r="L39" s="123" t="str">
        <x:v>계량 장치와 대상 접촉</x:v>
      </x:c>
      <x:c r="M39" s="131" t="str">
        <x:v>없음</x:v>
      </x:c>
      <x:c r="N39" s="152" t="n">
        <x:v>0</x:v>
      </x:c>
      <x:c r="O39" s="156" t="n">
        <x:v>0</x:v>
      </x:c>
      <x:c r="P39" s="123" t="str">
        <x:f>IF(M39="없음","피해 없음",IF(M39="기본 공격력 비율","기본 공격력 × "&amp;TEXT(N39,"0%"),IF(M39="고정 피해","고정 "&amp;TEXT(O39,"0"),IF(M39="즉시 처리","수치 계산 없이 즉시 처리","확인 필요"))))</x:f>
        <x:v>피해 없음</x:v>
      </x:c>
      <x:c r="Q39" s="160" t="n">
        <x:v>0</x:v>
      </x:c>
      <x:c r="R39" s="152" t="n">
        <x:v>1</x:v>
      </x:c>
      <x:c r="S39" s="131" t="str">
        <x:v>없음</x:v>
      </x:c>
      <x:c r="T39" s="164" t="n">
        <x:v>0</x:v>
      </x:c>
      <x:c r="U39" s="164" t="n">
        <x:v>2</x:v>
      </x:c>
      <x:c r="V39" s="131" t="str">
        <x:v>측정 결과</x:v>
      </x:c>
      <x:c r="W39" s="168" t="n">
        <x:v>0</x:v>
      </x:c>
      <x:c r="X39" s="131" t="str">
        <x:v>수치·∞</x:v>
      </x:c>
      <x:c r="Y39" s="164" t="n">
        <x:v>0</x:v>
      </x:c>
      <x:c r="Z39" s="123" t="str">
        <x:v>판정 완료</x:v>
      </x:c>
      <x:c r="AA39" s="131" t="str">
        <x:v>SKL-PC-007</x:v>
      </x:c>
      <x:c r="AB39" s="124" t="str">
        <x:v>차한해 판정은 무한대, 이후 진실 공개 콘텐츠 해금</x:v>
      </x:c>
    </x:row>
    <x:row r="40" ht="58.5" customHeight="1">
      <x:c r="A40" s="145" t="str">
        <x:v>SKL-BOS-012</x:v>
      </x:c>
      <x:c r="B40" s="139" t="str">
        <x:v>선의 계량자</x:v>
      </x:c>
      <x:c r="C40" s="139" t="str">
        <x:v>진실 공개 이후</x:v>
      </x:c>
      <x:c r="D40" s="139" t="str">
        <x:v>보스</x:v>
      </x:c>
      <x:c r="E40" s="149" t="str">
        <x:v>희생 강요</x:v>
      </x:c>
      <x:c r="F40" s="140" t="str">
        <x:v>차한해 한 사람에게 균열의 책임을 집중시키는 도시 결말 분기 호출</x:v>
      </x:c>
      <x:c r="G40" s="139" t="str"/>
      <x:c r="H40" s="139" t="str">
        <x:v>이벤트</x:v>
      </x:c>
      <x:c r="I40" s="139" t="str">
        <x:v>선의 계량자·도시 군중</x:v>
      </x:c>
      <x:c r="J40" s="140" t="str">
        <x:v>희생 선택 분기</x:v>
      </x:c>
      <x:c r="K40" s="139" t="str">
        <x:v>인연 수치</x:v>
      </x:c>
      <x:c r="L40" s="140" t="str">
        <x:v>진실 공개 완료+도시 인연 판정</x:v>
      </x:c>
      <x:c r="M40" s="139" t="str">
        <x:v>없음</x:v>
      </x:c>
      <x:c r="N40" s="153" t="n">
        <x:v>0</x:v>
      </x:c>
      <x:c r="O40" s="157" t="n">
        <x:v>0</x:v>
      </x:c>
      <x:c r="P40" s="140" t="str">
        <x:f>IF(M40="없음","피해 없음",IF(M40="기본 공격력 비율","기본 공격력 × "&amp;TEXT(N40,"0%"),IF(M40="고정 피해","고정 "&amp;TEXT(O40,"0"),IF(M40="즉시 처리","수치 계산 없이 즉시 처리","확인 필요"))))</x:f>
        <x:v>피해 없음</x:v>
      </x:c>
      <x:c r="Q40" s="161" t="n">
        <x:v>0</x:v>
      </x:c>
      <x:c r="R40" s="153" t="n">
        <x:v>1</x:v>
      </x:c>
      <x:c r="S40" s="139" t="str">
        <x:v>없음</x:v>
      </x:c>
      <x:c r="T40" s="165" t="n">
        <x:v>0</x:v>
      </x:c>
      <x:c r="U40" s="165" t="n">
        <x:v>0</x:v>
      </x:c>
      <x:c r="V40" s="139" t="str">
        <x:v>분기 호출</x:v>
      </x:c>
      <x:c r="W40" s="169" t="n">
        <x:v>1</x:v>
      </x:c>
      <x:c r="X40" s="139" t="str">
        <x:v>회</x:v>
      </x:c>
      <x:c r="Y40" s="165" t="n">
        <x:v>0</x:v>
      </x:c>
      <x:c r="Z40" s="140" t="str">
        <x:v>결말 선택 완료</x:v>
      </x:c>
      <x:c r="AA40" s="139" t="str">
        <x:v>SKL-EVT-003</x:v>
      </x:c>
      <x:c r="AB40" s="141" t="str">
        <x:v>인연 100%에서는 시민의 반대가 확산되어 공동 진입으로 전환</x:v>
      </x:c>
    </x:row>
  </x:sheetData>
  <x:mergeCells>
    <x:mergeCell ref="A1:AB1"/>
    <x:mergeCell ref="A2:AB2"/>
    <x:mergeCell ref="A3:D3"/>
    <x:mergeCell ref="E3:I3"/>
    <x:mergeCell ref="J3:L3"/>
    <x:mergeCell ref="M3:P3"/>
    <x:mergeCell ref="Q3:R3"/>
    <x:mergeCell ref="S3:U3"/>
    <x:mergeCell ref="V3:Y3"/>
    <x:mergeCell ref="Z3:AB3"/>
  </x:mergeCells>
  <x:conditionalFormatting sqref="H5:H40">
    <x:cfRule type="expression" dxfId="0" priority="1">
      <x:formula>$H5="액티브"</x:formula>
    </x:cfRule>
    <x:cfRule type="expression" dxfId="1" priority="2">
      <x:formula>$H5="패시브"</x:formula>
    </x:cfRule>
    <x:cfRule type="expression" dxfId="2" priority="3">
      <x:formula>$H5="이벤트"</x:formula>
    </x:cfRule>
    <x:cfRule type="expression" dxfId="3" priority="4">
      <x:formula>$H5="연출용"</x:formula>
    </x:cfRule>
  </x:conditionalFormatting>
  <x:dataValidations count="5">
    <x:dataValidation type="list" sqref="D5:D40">
      <x:formula1>"PC,NPC,몬스터,보스,시스템"</x:formula1>
    </x:dataValidation>
    <x:dataValidation type="list" sqref="H5:H40">
      <x:formula1>"액티브,패시브,이벤트,연출용"</x:formula1>
    </x:dataValidation>
    <x:dataValidation type="list" sqref="K5:K40">
      <x:formula1>"입력,입력 유지,상시,대상 근접,대상 거리,사건 플래그,선택 결과,상태치 임계,HP 임계,시간 경과,피격,주변 개체 수,아이템 착용,인연 수치"</x:formula1>
    </x:dataValidation>
    <x:dataValidation type="list" sqref="M5:M40">
      <x:formula1>"없음,기본 공격력 비율,고정 피해,즉시 처리"</x:formula1>
    </x:dataValidation>
    <x:dataValidation type="list" sqref="S5:S40">
      <x:formula1>"없음,개별,공용"</x:formula1>
    </x:dataValidation>
  </x:dataValidations>
  <x:pageMargins left="0.7" right="0.7" top="0.75" bottom="0.75" header="0.3" footer="0.3"/>
  <x:drawing xmlns:r="http://schemas.openxmlformats.org/officeDocument/2006/relationships" r:id="R3aeb628349e945c0"/>
  <x:legacyDrawing xmlns:r="http://schemas.openxmlformats.org/officeDocument/2006/relationships" r:id="R9237536131604ffe"/>
  <x:tableParts count="1">
    <x:tablePart xmlns:r="http://schemas.openxmlformats.org/officeDocument/2006/relationships" r:id="Re4f7509c901c49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18.889999389648438" hidden="0" customWidth="1"/>
    <x:col min="3" max="3" width="47.779998779296875" hidden="0" customWidth="1"/>
    <x:col min="4" max="4" width="2.6700000762939453" hidden="0" customWidth="1"/>
    <x:col min="5" max="5" width="11.670000076293945" hidden="0" customWidth="1"/>
    <x:col min="6" max="6" width="40" hidden="0" customWidth="1"/>
    <x:col min="7" max="7" width="13.329999923706055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</x:cols>
  <x:sheetData>
    <x:row r="1" ht="31.5" customHeight="1">
      <x:c r="A1" s="4" t="str">
        <x:v>스킬 시트 작성 기준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171" t="str">
        <x:v>목적: 스킬의 화면 정보, 발동 약속, 수치 데이터를 한 행에서 추적하고 시스템 기획에 재사용</x:v>
      </x:c>
      <x:c r="B2" s="171"/>
      <x:c r="C2" s="171"/>
      <x:c r="D2" s="171"/>
      <x:c r="E2" s="171"/>
      <x:c r="G2" s="173" t="str">
        <x:v>총 스킬 수</x:v>
      </x:c>
      <x:c r="H2" s="173" t="str">
        <x:v>PC·시스템</x:v>
      </x:c>
      <x:c r="I2" s="173" t="str">
        <x:v>몬스터·보스</x:v>
      </x:c>
      <x:c r="J2" s="173" t="str">
        <x:v>이벤트·연출</x:v>
      </x:c>
    </x:row>
    <x:row r="3" ht="28.5" customHeight="1">
      <x:c r="G3" s="179" t="n">
        <x:f>COUNTA('스킬 DATA'!$A$5:$A$40)</x:f>
        <x:v>36</x:v>
      </x:c>
      <x:c r="H3" s="179" t="n">
        <x:f>COUNTIF('스킬 DATA'!$D$5:$D$40,"PC")+COUNTIF('스킬 DATA'!$D$5:$D$40,"시스템")</x:f>
        <x:v>15</x:v>
      </x:c>
      <x:c r="I3" s="179" t="n">
        <x:f>COUNTIF('스킬 DATA'!$D$5:$D$40,"몬스터")+COUNTIF('스킬 DATA'!$D$5:$D$40,"보스")</x:f>
        <x:v>21</x:v>
      </x:c>
      <x:c r="J3" s="179" t="n">
        <x:f>COUNTIF('스킬 DATA'!$H$5:$H$40,"이벤트")+COUNTIF('스킬 DATA'!$H$5:$H$40,"연출용")</x:f>
        <x:v>9</x:v>
      </x:c>
    </x:row>
    <x:row r="5">
      <x:c r="A5" s="182" t="str">
        <x:v>핵심 작성 원칙</x:v>
      </x:c>
      <x:c r="B5" s="182"/>
      <x:c r="C5" s="182"/>
      <x:c r="D5" s="182"/>
      <x:c r="E5" s="206" t="str">
        <x:v>입력값 코드와 의미</x:v>
      </x:c>
      <x:c r="F5" s="206"/>
      <x:c r="G5" s="206"/>
      <x:c r="H5" s="206"/>
      <x:c r="I5" s="206"/>
      <x:c r="J5" s="206"/>
    </x:row>
    <x:row r="6" ht="22.5" customHeight="1">
      <x:c r="A6" s="199" t="str">
        <x:v>1</x:v>
      </x:c>
      <x:c r="B6" s="202" t="str">
        <x:v>한 행에 한 스킬</x:v>
      </x:c>
      <x:c r="C6" s="190" t="str">
        <x:v>액티브·패시브뿐 아니라 사건 호출과 연출 호출도 독립 스킬로 기록</x:v>
      </x:c>
      <x:c r="E6" s="173" t="str">
        <x:v>항목</x:v>
      </x:c>
      <x:c r="F6" s="173" t="str">
        <x:v>입력값</x:v>
      </x:c>
      <x:c r="G6" s="173" t="str">
        <x:v>의미</x:v>
      </x:c>
    </x:row>
    <x:row r="7" ht="27" customHeight="1">
      <x:c r="A7" s="200" t="str">
        <x:v>2</x:v>
      </x:c>
      <x:c r="B7" s="203" t="str">
        <x:v>ID 영구 유지</x:v>
      </x:c>
      <x:c r="C7" s="191" t="str">
        <x:v>삭제된 ID를 다른 스킬에 재사용하지 않아 데이터·연계 오류 방지</x:v>
      </x:c>
      <x:c r="E7" s="216" t="str">
        <x:v>스킬 타입</x:v>
      </x:c>
      <x:c r="F7" s="216" t="str">
        <x:v>액티브</x:v>
      </x:c>
      <x:c r="G7" s="213" t="str">
        <x:v>사용자 또는 AI가 실행하는 기술</x:v>
      </x:c>
    </x:row>
    <x:row r="8" ht="27" customHeight="1">
      <x:c r="A8" s="200" t="str">
        <x:v>3</x:v>
      </x:c>
      <x:c r="B8" s="203" t="str">
        <x:v>발동 타입+값 한 쌍</x:v>
      </x:c>
      <x:c r="C8" s="191" t="str">
        <x:v>무엇을 확인하는지와 실제 임계·거리·입력 값을 반드시 함께 작성</x:v>
      </x:c>
      <x:c r="E8" s="217" t="str">
        <x:v>스킬 타입</x:v>
      </x:c>
      <x:c r="F8" s="217" t="str">
        <x:v>패시브</x:v>
      </x:c>
      <x:c r="G8" s="214" t="str">
        <x:v>조건을 만족하면 자동 적용되는 상시·장착 효과</x:v>
      </x:c>
    </x:row>
    <x:row r="9" ht="27" customHeight="1">
      <x:c r="A9" s="200" t="str">
        <x:v>4</x:v>
      </x:c>
      <x:c r="B9" s="203" t="str">
        <x:v>피해 입력 분리</x:v>
      </x:c>
      <x:c r="C9" s="191" t="str">
        <x:v>기본 공격력 비율, 고정 피해, 즉시 처리를 구분하고 산정식은 자동 표시</x:v>
      </x:c>
      <x:c r="E9" s="217" t="str">
        <x:v>스킬 타입</x:v>
      </x:c>
      <x:c r="F9" s="217" t="str">
        <x:v>이벤트</x:v>
      </x:c>
      <x:c r="G9" s="214" t="str">
        <x:v>사건·분기·상태 전환을 호출하는 시스템 기술</x:v>
      </x:c>
    </x:row>
    <x:row r="10" ht="27" customHeight="1">
      <x:c r="A10" s="200" t="str">
        <x:v>5</x:v>
      </x:c>
      <x:c r="B10" s="203" t="str">
        <x:v>AI 제어 명시</x:v>
      </x:c>
      <x:c r="C10" s="191" t="str">
        <x:v>AI 미사용 스킬은 주기·확률을 0으로 기록하고, AI 스킬은 두 값을 모두 입력</x:v>
      </x:c>
      <x:c r="E10" s="217" t="str">
        <x:v>스킬 타입</x:v>
      </x:c>
      <x:c r="F10" s="217" t="str">
        <x:v>연출용</x:v>
      </x:c>
      <x:c r="G10" s="214" t="str">
        <x:v>조작보다 컷신·표정·형태 변화 호출이 목적인 기술</x:v>
      </x:c>
    </x:row>
    <x:row r="11" ht="27" customHeight="1">
      <x:c r="A11" s="200" t="str">
        <x:v>6</x:v>
      </x:c>
      <x:c r="B11" s="203" t="str">
        <x:v>시간 항목 분리</x:v>
      </x:c>
      <x:c r="C11" s="191" t="str">
        <x:v>발동 주기, 쿨타임, 시전 필요 시간, 지속 시간의 역할을 혼합하지 않음</x:v>
      </x:c>
      <x:c r="E11" s="217" t="str">
        <x:v>피해 타입</x:v>
      </x:c>
      <x:c r="F11" s="217" t="str">
        <x:v>기본 공격력 비율</x:v>
      </x:c>
      <x:c r="G11" s="214" t="str">
        <x:v>피해 계수×사용자 기본 공격력</x:v>
      </x:c>
    </x:row>
    <x:row r="12" ht="27" customHeight="1">
      <x:c r="A12" s="200" t="str">
        <x:v>7</x:v>
      </x:c>
      <x:c r="B12" s="203" t="str">
        <x:v>버프·디버프 부호</x:v>
      </x:c>
      <x:c r="C12" s="191" t="str">
        <x:v>능력 변동 수치는 +가 버프, -가 디버프이며 단위와 함께 해석</x:v>
      </x:c>
      <x:c r="E12" s="217" t="str">
        <x:v>피해 타입</x:v>
      </x:c>
      <x:c r="F12" s="217" t="str">
        <x:v>고정 피해</x:v>
      </x:c>
      <x:c r="G12" s="214" t="str">
        <x:v>고정 피해 열의 수치를 그대로 적용</x:v>
      </x:c>
    </x:row>
    <x:row r="13" ht="27" customHeight="1">
      <x:c r="A13" s="200" t="str">
        <x:v>8</x:v>
      </x:c>
      <x:c r="B13" s="203" t="str">
        <x:v>상태 이상 약속</x:v>
      </x:c>
      <x:c r="C13" s="191" t="str">
        <x:v>누가·언제·어디서·어떻게 적용되고 무엇으로 종료되는지 기록</x:v>
      </x:c>
      <x:c r="E13" s="217" t="str">
        <x:v>피해 타입</x:v>
      </x:c>
      <x:c r="F13" s="217" t="str">
        <x:v>즉시 처리</x:v>
      </x:c>
      <x:c r="G13" s="214" t="str">
        <x:v>피해 계산 없이 소멸·변이·장면 전환 처리</x:v>
      </x:c>
    </x:row>
    <x:row r="14" ht="27" customHeight="1">
      <x:c r="A14" s="200" t="str">
        <x:v>9</x:v>
      </x:c>
      <x:c r="B14" s="203" t="str">
        <x:v>콘텐츠 최초 지점</x:v>
      </x:c>
      <x:c r="C14" s="191" t="str">
        <x:v>최초 사용 콘텐츠를 고정해 튜토리얼·해금·연출 순서의 충돌을 확인</x:v>
      </x:c>
      <x:c r="E14" s="217" t="str">
        <x:v>피해 타입</x:v>
      </x:c>
      <x:c r="F14" s="217" t="str">
        <x:v>없음</x:v>
      </x:c>
      <x:c r="G14" s="214" t="str">
        <x:v>피해를 발생시키지 않는 제어·버프·사건 기술</x:v>
      </x:c>
    </x:row>
    <x:row r="15" ht="27" customHeight="1">
      <x:c r="A15" s="201" t="str">
        <x:v>10</x:v>
      </x:c>
      <x:c r="B15" s="204" t="str">
        <x:v>아이콘 안전 여백</x:v>
      </x:c>
      <x:c r="C15" s="192" t="str">
        <x:v>아이콘은 셀 안에 여백을 두고 배치하여 시뮬레이터·필터 사용 시 이탈 방지</x:v>
      </x:c>
      <x:c r="E15" s="217" t="str">
        <x:v>쿨타임</x:v>
      </x:c>
      <x:c r="F15" s="217" t="str">
        <x:v>개별</x:v>
      </x:c>
      <x:c r="G15" s="214" t="str">
        <x:v>해당 스킬만 사용 불가</x:v>
      </x:c>
    </x:row>
    <x:row r="16" ht="27" customHeight="1">
      <x:c r="E16" s="217" t="str">
        <x:v>쿨타임</x:v>
      </x:c>
      <x:c r="F16" s="217" t="str">
        <x:v>공용</x:v>
      </x:c>
      <x:c r="G16" s="214" t="str">
        <x:v>같은 공용 그룹 스킬 전체가 사용 불가</x:v>
      </x:c>
    </x:row>
    <x:row r="17" ht="27" customHeight="1">
      <x:c r="E17" s="217" t="str">
        <x:v>쿨타임</x:v>
      </x:c>
      <x:c r="F17" s="217" t="str">
        <x:v>없음</x:v>
      </x:c>
      <x:c r="G17" s="214" t="str">
        <x:v>쿨타임 연산을 사용하지 않음</x:v>
      </x:c>
    </x:row>
    <x:row r="18" ht="27" customHeight="1">
      <x:c r="E18" s="218" t="str">
        <x:v>숫자 0</x:v>
      </x:c>
      <x:c r="F18" s="218" t="str">
        <x:v>해당 제어 미사용</x:v>
      </x:c>
      <x:c r="G18" s="215" t="str">
        <x:v>빈칸과 누락을 구분하기 위한 명시값</x:v>
      </x:c>
    </x:row>
    <x:row r="20">
      <x:c r="A20" s="221" t="str">
        <x:v>열별 작성 기준</x:v>
      </x:c>
      <x:c r="B20" s="221"/>
      <x:c r="C20" s="221"/>
      <x:c r="D20" s="221"/>
      <x:c r="E20" s="226" t="str">
        <x:v>현재 설계 범위와 주의사항</x:v>
      </x:c>
      <x:c r="F20" s="226"/>
      <x:c r="G20" s="226"/>
      <x:c r="H20" s="226"/>
      <x:c r="I20" s="226"/>
      <x:c r="J20" s="226"/>
    </x:row>
    <x:row r="21" ht="36" customHeight="1">
      <x:c r="A21" s="173" t="str">
        <x:v>열</x:v>
      </x:c>
      <x:c r="B21" s="173" t="str">
        <x:v>작성 내용</x:v>
      </x:c>
      <x:c r="C21" s="173" t="str">
        <x:v>형식·예시</x:v>
      </x:c>
      <x:c r="E21" s="234" t="str">
        <x:v>설계 범위</x:v>
      </x:c>
      <x:c r="F21" s="213" t="str">
        <x:v>PC 조작·패시브, 공용 변이체, 주요 보스, 사건·연출 호출을 포함</x:v>
      </x:c>
    </x:row>
    <x:row r="22" ht="36" customHeight="1">
      <x:c r="A22" s="222" t="str">
        <x:v>스킬 ID</x:v>
      </x:c>
      <x:c r="B22" s="213" t="str">
        <x:v>연계와 데이터 호출에 사용하는 고유 식별자</x:v>
      </x:c>
      <x:c r="C22" s="213" t="str">
        <x:v>SKL-PC-001</x:v>
      </x:c>
      <x:c r="E22" s="235" t="str">
        <x:v>몬스터 공용화</x:v>
      </x:c>
      <x:c r="F22" s="214" t="str">
        <x:v>42개 몬스터 모두에 개별 기술을 중복 작성하지 않고, 같은 행동은 공용 스킬 ID를 참조</x:v>
      </x:c>
    </x:row>
    <x:row r="23" ht="36" customHeight="1">
      <x:c r="A23" s="223" t="str">
        <x:v>구간</x:v>
      </x:c>
      <x:c r="B23" s="214" t="str">
        <x:v>스킬이 처음 속하는 장·장소·보스 구간</x:v>
      </x:c>
      <x:c r="C23" s="214" t="str">
        <x:v>폐교 / 균열 탐색</x:v>
      </x:c>
      <x:c r="E23" s="235" t="str">
        <x:v>보스 서사</x:v>
      </x:c>
      <x:c r="F23" s="214" t="str">
        <x:v>닫힌 문지기=고립, 융합된 괴물=결합, 갈채를 먹는 자=영웅 대접, 폭력의 순환체=보복, 폐교의 보스=기억, 선의 계량자=희생 강요를 패턴에 반영</x:v>
      </x:c>
    </x:row>
    <x:row r="24" ht="36" customHeight="1">
      <x:c r="A24" s="223" t="str">
        <x:v>최초 사용 콘텐츠</x:v>
      </x:c>
      <x:c r="B24" s="214" t="str">
        <x:v>플레이어 또는 AI가 처음 실제로 확인하는 지점</x:v>
      </x:c>
      <x:c r="C24" s="214" t="str">
        <x:v>아파트 문 앞 두 번째 조우</x:v>
      </x:c>
      <x:c r="E24" s="235" t="str">
        <x:v>선의 규칙</x:v>
      </x:c>
      <x:c r="F24" s="214" t="str">
        <x:v>전투 자체는 선의 감소 원인이 아니며, 차한해의 선의는 무한으로 처리</x:v>
      </x:c>
    </x:row>
    <x:row r="25" ht="36" customHeight="1">
      <x:c r="A25" s="223" t="str">
        <x:v>사용 주체</x:v>
      </x:c>
      <x:c r="B25" s="214" t="str">
        <x:v>PC·NPC·몬스터·보스·시스템 구분</x:v>
      </x:c>
      <x:c r="C25" s="214" t="str">
        <x:v>보스</x:v>
      </x:c>
      <x:c r="E25" s="235" t="str">
        <x:v>복원 규칙</x:v>
      </x:c>
      <x:c r="F25" s="214" t="str">
        <x:v>전투로 만난 모든 변이체를 복원할 수 있는 것이 아니며, 복원 가능 대상은 친구로 제한</x:v>
      </x:c>
    </x:row>
    <x:row r="26" ht="36" customHeight="1">
      <x:c r="A26" s="223" t="str">
        <x:v>스킬 추가 설명</x:v>
      </x:c>
      <x:c r="B26" s="214" t="str">
        <x:v>설정 의미와 플레이 효용을 함께 서술</x:v>
      </x:c>
      <x:c r="C26" s="214" t="str">
        <x:v>통로 제한으로 이동 판단 요구</x:v>
      </x:c>
      <x:c r="E26" s="235" t="str">
        <x:v>수치 검증</x:v>
      </x:c>
      <x:c r="F26" s="214" t="str">
        <x:v>몬스터 HP·PC DATA와 연결되기 전 단계이므로 피해는 기본 공격력 비율 중심으로 작성</x:v>
      </x:c>
    </x:row>
    <x:row r="27" ht="36" customHeight="1">
      <x:c r="A27" s="223" t="str">
        <x:v>스킬 타입</x:v>
      </x:c>
      <x:c r="B27" s="214" t="str">
        <x:v>액티브·패시브·이벤트·연출용 중 선택</x:v>
      </x:c>
      <x:c r="C27" s="214" t="str">
        <x:v>이벤트</x:v>
      </x:c>
      <x:c r="E27" s="235" t="str">
        <x:v>향후 수정</x:v>
      </x:c>
      <x:c r="F27" s="214" t="str">
        <x:v>콘텐츠 추가·삭제 시 ID를 유지하고 최초 사용 콘텐츠·연계 ID·보스 페이즈를 함께 갱신</x:v>
      </x:c>
    </x:row>
    <x:row r="28" ht="36" customHeight="1">
      <x:c r="A28" s="223" t="str">
        <x:v>지정 사용자</x:v>
      </x:c>
      <x:c r="B28" s="214" t="str">
        <x:v>사용 가능한 구체적 대상, 미지정은 공용(전체)</x:v>
      </x:c>
      <x:c r="C28" s="214" t="str">
        <x:v>차한해 / 공용(전체)</x:v>
      </x:c>
      <x:c r="E28" s="236" t="str">
        <x:v>참고 자료</x:v>
      </x:c>
      <x:c r="F28" s="215" t="str">
        <x:v>(8.4) 스킬 시트 추가.pptx의 필드와 강의 설명을 우리 게임 구조에 맞게 재설계</x:v>
      </x:c>
    </x:row>
    <x:row r="29" ht="28.5" customHeight="1">
      <x:c r="A29" s="223" t="str">
        <x:v>상태 이상 값</x:v>
      </x:c>
      <x:c r="B29" s="214" t="str">
        <x:v>적용 결과를 대상과 수치까지 명시</x:v>
      </x:c>
      <x:c r="C29" s="214" t="str">
        <x:v>이동 속도 감소 40%</x:v>
      </x:c>
    </x:row>
    <x:row r="30" ht="28.5" customHeight="1">
      <x:c r="A30" s="223" t="str">
        <x:v>발동 조건 타입</x:v>
      </x:c>
      <x:c r="B30" s="214" t="str">
        <x:v>발동 여부를 확인하는 데이터 종류</x:v>
      </x:c>
      <x:c r="C30" s="214" t="str">
        <x:v>HP 임계</x:v>
      </x:c>
    </x:row>
    <x:row r="31" ht="28.5" customHeight="1">
      <x:c r="A31" s="223" t="str">
        <x:v>발동 필요 값</x:v>
      </x:c>
      <x:c r="B31" s="214" t="str">
        <x:v>실제 입력·거리·임계값·플래그</x:v>
      </x:c>
      <x:c r="C31" s="214" t="str">
        <x:v>보스 HP 60% 이하</x:v>
      </x:c>
    </x:row>
    <x:row r="32" ht="28.5" customHeight="1">
      <x:c r="A32" s="223" t="str">
        <x:v>피해 계수</x:v>
      </x:c>
      <x:c r="B32" s="214" t="str">
        <x:v>기본 공격력 비율일 때만 사용, 1.00=100%</x:v>
      </x:c>
      <x:c r="C32" s="214" t="str">
        <x:v>1.65</x:v>
      </x:c>
    </x:row>
    <x:row r="33" ht="28.5" customHeight="1">
      <x:c r="A33" s="223" t="str">
        <x:v>AI 발동 주기</x:v>
      </x:c>
      <x:c r="B33" s="214" t="str">
        <x:v>AI가 사용 가능 여부를 다시 확인하는 간격</x:v>
      </x:c>
      <x:c r="C33" s="214" t="str">
        <x:v>8.0초</x:v>
      </x:c>
    </x:row>
    <x:row r="34" ht="28.5" customHeight="1">
      <x:c r="A34" s="223" t="str">
        <x:v>AI 발동 확률</x:v>
      </x:c>
      <x:c r="B34" s="214" t="str">
        <x:v>주기 도달 후 사용할 확률</x:v>
      </x:c>
      <x:c r="C34" s="214" t="str">
        <x:v>0.50=50%</x:v>
      </x:c>
    </x:row>
    <x:row r="35" ht="28.5" customHeight="1">
      <x:c r="A35" s="223" t="str">
        <x:v>쿨타임 타입</x:v>
      </x:c>
      <x:c r="B35" s="214" t="str">
        <x:v>개별·공용·없음 구분</x:v>
      </x:c>
      <x:c r="C35" s="214" t="str">
        <x:v>개별</x:v>
      </x:c>
    </x:row>
    <x:row r="36" ht="28.5" customHeight="1">
      <x:c r="A36" s="223" t="str">
        <x:v>시전 필요 시간</x:v>
      </x:c>
      <x:c r="B36" s="214" t="str">
        <x:v>입력 또는 AI 결정 후 판정 발생까지의 시간</x:v>
      </x:c>
      <x:c r="C36" s="214" t="str">
        <x:v>1.20초</x:v>
      </x:c>
    </x:row>
    <x:row r="37" ht="28.5" customHeight="1">
      <x:c r="A37" s="223" t="str">
        <x:v>능력 변동 수치</x:v>
      </x:c>
      <x:c r="B37" s="214" t="str">
        <x:v>버프는 +, 디버프는 -로 입력</x:v>
      </x:c>
      <x:c r="C37" s="214" t="str">
        <x:v>-50 / 단위 %</x:v>
      </x:c>
    </x:row>
    <x:row r="38" ht="28.5" customHeight="1">
      <x:c r="A38" s="223" t="str">
        <x:v>종료·취소 조건</x:v>
      </x:c>
      <x:c r="B38" s="214" t="str">
        <x:v>지속 또는 시전을 끝내는 모든 조건</x:v>
      </x:c>
      <x:c r="C38" s="214" t="str">
        <x:v>지속 종료·경직 3회</x:v>
      </x:c>
    </x:row>
    <x:row r="39" ht="28.5" customHeight="1">
      <x:c r="A39" s="223" t="str">
        <x:v>연계 스킬 ID</x:v>
      </x:c>
      <x:c r="B39" s="214" t="str">
        <x:v>호출하거나 다음에 연결되는 스킬</x:v>
      </x:c>
      <x:c r="C39" s="214" t="str">
        <x:v>SKL-EVT-003</x:v>
      </x:c>
    </x:row>
    <x:row r="40" ht="28.5" customHeight="1">
      <x:c r="A40" s="224" t="str">
        <x:v>비고</x:v>
      </x:c>
      <x:c r="B40" s="215" t="str">
        <x:v>상한·예외·페이즈·서사 의도</x:v>
      </x:c>
      <x:c r="C40" s="215" t="str">
        <x:v>전투당 1회</x:v>
      </x:c>
    </x:row>
  </x:sheetData>
  <x:mergeCells>
    <x:mergeCell ref="A1:J1"/>
    <x:mergeCell ref="A2:E2"/>
    <x:mergeCell ref="A5:J5"/>
    <x:mergeCell ref="E5:J5"/>
    <x:mergeCell ref="A20:J20"/>
    <x:mergeCell ref="E20:J20"/>
  </x:mergeCells>
  <x:pageMargins left="0.7" right="0.7" top="0.75" bottom="0.75" header="0.3" footer="0.3"/>
</x:worksheet>
</file>
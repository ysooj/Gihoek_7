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7\"/>
    </mc:Choice>
  </mc:AlternateContent>
  <x:bookViews>
    <x:workbookView xWindow="0" yWindow="0" windowWidth="18945" windowHeight="5940"/>
  </x:bookViews>
  <x:sheets>
    <x:sheet name="밸런스 문서" sheetId="1" r:id="rId4"/>
    <x:sheet name="밸런스 팩터" sheetId="2" r:id="rId5"/>
    <x:sheet name="작성 기준" sheetId="3" r:id="rId6"/>
    <x:sheet name="밸런스 곡선" sheetId="4" r:id="rId7"/>
  </x:sheets>
  <x:calcPr xmlns:mc="http://schemas.openxmlformats.org/markup-compatibility/2006" xmlns:hs="http://schemas.haansoft.com/office/spreadsheet/8.0" iterate="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<x:sst xmlns:r="http://schemas.openxmlformats.org/officeDocument/2006/relationships" xmlns:c="http://schemas.openxmlformats.org/drawingml/2006/chart" xmlns:x="http://schemas.openxmlformats.org/spreadsheetml/2006/main" count="1323" uniqueCount="838">
  <x:si>
    <x:t>우리 게임 적용 기준</x:t>
  </x:si>
  <x:si>
    <x:t>엔딩 크레딧 감상하기</x:t>
  </x:si>
  <x:si>
    <x:t>구체적 플레이 절차</x:t>
  </x:si>
  <x:si>
    <x:t>방해요인의 난이도</x:t>
  </x:si>
  <x:si>
    <x:t>소멸 선택지 확인하기</x:t>
  </x:si>
  <x:si>
    <x:t>균열 핵에 접근하기</x:t>
  </x:si>
  <x:si>
    <x:t>최종 선택지 확정</x:t>
  </x:si>
  <x:si>
    <x:t>균열 핵과 동기화하기</x:t>
  </x:si>
  <x:si>
    <x:t>필수 기억 전부 회수</x:t>
  </x:si>
  <x:si>
    <x:t>마지막 기억 회수하기</x:t>
  </x:si>
  <x:si>
    <x:t>최종 선택 실행하기</x:t>
  </x:si>
  <x:si>
    <x:t>Q2 공원 청소</x:t>
  </x:si>
  <x:si>
    <x:t>S (100%)</x:t>
  </x:si>
  <x:si>
    <x:t>평균 조작난이도</x:t>
  </x:si>
  <x:si>
    <x:t>예상 플레이타임</x:t>
  </x:si>
  <x:si>
    <x:t>Q1 동생 심부름</x:t>
  </x:si>
  <x:si>
    <x:t>Q4 폐교 보스</x:t>
  </x:si>
  <x:si>
    <x:t>컨텐츠 제시순서</x:t>
  </x:si>
  <x:si>
    <x:t>최소 50개 이상</x:t>
  </x:si>
  <x:si>
    <x:t>1부터 연속 넘버링</x:t>
  </x:si>
  <x:si>
    <x:t>구체적 판정 조건</x:t>
  </x:si>
  <x:si>
    <x:t>난이도 조절 요소</x:t>
  </x:si>
  <x:si>
    <x:t>콘텐츠 진행 순서</x:t>
  </x:si>
  <x:si>
    <x:t>난이도 보정 컨텐츠</x:t>
  </x:si>
  <x:si>
    <x:t>최고 조작난이도</x:t>
  </x:si>
  <x:si>
    <x:t>필요한 경우 작성</x:t>
  </x:si>
  <x:si>
    <x:t>최고 방해요인 난이도</x:t>
  </x:si>
  <x:si>
    <x:t>현관으로 이동하기</x:t>
  </x:si>
  <x:si>
    <x:t>지하철역으로 이동하기</x:t>
  </x:si>
  <x:si>
    <x:t>1-G | 공원 진입</x:t>
  </x:si>
  <x:si>
    <x:t>균열 내부에 진입하기</x:t>
  </x:si>
  <x:si>
    <x:t>과거 기억 재생하기</x:t>
  </x:si>
  <x:si>
    <x:t>필수 자원 전부 수집</x:t>
  </x:si>
  <x:si>
    <x:t>영화관으로 이동하기</x:t>
  </x:si>
  <x:si>
    <x:t>이동 조작 안내 확인</x:t>
  </x:si>
  <x:si>
    <x:t>누적 플레이 시간</x:t>
  </x:si>
  <x:si>
    <x:t>현관문 조사 완료</x:t>
  </x:si>
  <x:si>
    <x:t>목표 달성 조건</x:t>
  </x:si>
  <x:si>
    <x:t>선의 조각 수집하기</x:t>
  </x:si>
  <x:si>
    <x:t>출생의 진실 확인하기</x:t>
  </x:si>
  <x:si>
    <x:t>5-B | 균열 내부</x:t>
  </x:si>
  <x:si>
    <x:t>1 | 동생 심부름</x:t>
  </x:si>
  <x:si>
    <x:t>예상 소요 시간</x:t>
  </x:si>
  <x:si>
    <x:t>편의점으로 이동하기</x:t>
  </x:si>
  <x:si>
    <x:t>동생 연락 받기</x:t>
  </x:si>
  <x:si>
    <x:t>일반쓰레기 분류하기</x:t>
  </x:si>
  <x:si>
    <x:t>1-F | 지하철역</x:t>
  </x:si>
  <x:si>
    <x:t>재활용품 분류하기</x:t>
  </x:si>
  <x:si>
    <x:t>헤어롤 구매하기</x:t>
  </x:si>
  <x:si>
    <x:t>중고 거래 완료하기</x:t>
  </x:si>
  <x:si>
    <x:t>헤어롤 진열대 찾기</x:t>
  </x:si>
  <x:si>
    <x:t>다이소로 이동하기</x:t>
  </x:si>
  <x:si>
    <x:t>품절 안내 조사하기</x:t>
  </x:si>
  <x:si>
    <x:t>1-B | 편의점</x:t>
  </x:si>
  <x:si>
    <x:t>집 밖으로 나가기</x:t>
  </x:si>
  <x:si>
    <x:t>1-C | 다이소</x:t>
  </x:si>
  <x:si>
    <x:t>신상 과자 구매하기</x:t>
  </x:si>
  <x:si>
    <x:t>남은 쓰레기 확인하기</x:t>
  </x:si>
  <x:si>
    <x:t>1-D | 영화관</x:t>
  </x:si>
  <x:si>
    <x:t>3 | 재난 대응</x:t>
  </x:si>
  <x:si>
    <x:t>한도윤과 대화하기</x:t>
  </x:si>
  <x:si>
    <x:t>사건 연출 종료</x:t>
  </x:si>
  <x:si>
    <x:t>청소 도구 찾기</x:t>
  </x:si>
  <x:si>
    <x:t>필수 단서 모두 조사</x:t>
  </x:si>
  <x:si>
    <x:t>선의 측정 받기</x:t>
  </x:si>
  <x:si>
    <x:t>2-D | 귀가·밤</x:t>
  </x:si>
  <x:si>
    <x:t>2 | 공원 청소</x:t>
  </x:si>
  <x:si>
    <x:t>균열 발생을 목격하기</x:t>
  </x:si>
  <x:si>
    <x:t>중고 거래자 찾기</x:t>
  </x:si>
  <x:si>
    <x:t>2-B | 분리수거장</x:t>
  </x:si>
  <x:si>
    <x:t>2-C | 균열 발생</x:t>
  </x:si>
  <x:si>
    <x:t>우정 반지 찾기</x:t>
  </x:si>
  <x:si>
    <x:t>측정 절차 모두 완료</x:t>
  </x:si>
  <x:si>
    <x:t>첫 쓰레기 줍기</x:t>
  </x:si>
  <x:si>
    <x:t>선택지 1개 확정</x:t>
  </x:si>
  <x:si>
    <x:t>집으로 귀가하기</x:t>
  </x:si>
  <x:si>
    <x:t>선의관리국 안내 듣기</x:t>
  </x:si>
  <x:si>
    <x:t>정문 봉인 해제하기</x:t>
  </x:si>
  <x:si>
    <x:t>가족들 대피시키기</x:t>
  </x:si>
  <x:si>
    <x:t>고립 시민 찾기</x:t>
  </x:si>
  <x:si>
    <x:t>시민 대피 유도하기</x:t>
  </x:si>
  <x:si>
    <x:t>한도윤과 합류하기</x:t>
  </x:si>
  <x:si>
    <x:t>임시 대피소 도착하기</x:t>
  </x:si>
  <x:si>
    <x:t>분리수거 완료하기</x:t>
  </x:si>
  <x:si>
    <x:t>비상 물품 챙기기</x:t>
  </x:si>
  <x:si>
    <x:t>임무 수락 선택 완료</x:t>
  </x:si>
  <x:si>
    <x:t>영웅화 보도 확인하기</x:t>
  </x:si>
  <x:si>
    <x:t>제안 대화 종료</x:t>
  </x:si>
  <x:si>
    <x:t>환영체 회피하기</x:t>
  </x:si>
  <x:si>
    <x:t>3-B | 대피 경로</x:t>
  </x:si>
  <x:si>
    <x:t>이웃 주민 구조하기</x:t>
  </x:si>
  <x:si>
    <x:t>폐교 조사 명령 받기</x:t>
  </x:si>
  <x:si>
    <x:t>친구에게 다가가기</x:t>
  </x:si>
  <x:si>
    <x:t>폐교 정문에 도착하기</x:t>
  </x:si>
  <x:si>
    <x:t>명령 브리핑 종료</x:t>
  </x:si>
  <x:si>
    <x:t>강당 열쇠 찾기</x:t>
  </x:si>
  <x:si>
    <x:t>폐교에서 탈출하기</x:t>
  </x:si>
  <x:si>
    <x:t>진짜 동료 전원 선택</x:t>
  </x:si>
  <x:si>
    <x:t>4 | 폐교 탐색</x:t>
  </x:si>
  <x:si>
    <x:t>조사 장비 수령하기</x:t>
  </x:si>
  <x:si>
    <x:t>4-B | 폐교 정문</x:t>
  </x:si>
  <x:si>
    <x:t>본관 1층 탐색하기</x:t>
  </x:si>
  <x:si>
    <x:t>정답 순서 완성</x:t>
  </x:si>
  <x:si>
    <x:t>모든 봉인 조건 해제</x:t>
  </x:si>
  <x:si>
    <x:t>필수 부탁 전부 완료</x:t>
  </x:si>
  <x:si>
    <x:t>4-A | 출동 준비</x:t>
  </x:si>
  <x:si>
    <x:t>다음 출동 준비하기</x:t>
  </x:si>
  <x:si>
    <x:t>강당에 진입하기</x:t>
  </x:si>
  <x:si>
    <x:t>예상 기준 (미들)</x:t>
  </x:si>
  <x:si>
    <x:t>최종 브리핑 종료</x:t>
  </x:si>
  <x:si>
    <x:t>아군 환영 구분하기</x:t>
  </x:si>
  <x:si>
    <x:t>포옹 상호작용 완료</x:t>
  </x:si>
  <x:si>
    <x:t>친구를 포옹하기</x:t>
  </x:si>
  <x:si>
    <x:t>5 | 균열의 진실</x:t>
  </x:si>
  <x:si>
    <x:t>압박 대화 전부 확인</x:t>
  </x:si>
  <x:si>
    <x:t>1은 단순 확인·대화, 10은 빠른 보스 패턴과 복합 입력</x:t>
  </x:si>
  <x:si>
    <x:t>자원이 움직이는 지형과 위험 구역에 분산되어 수집 동선이 길어짐</x:t>
  </x:si>
  <x:si>
    <x:t>두 게이지가 서로 반대로 움직여 하나만 맞추면 다른 값이 벗어남</x:t>
  </x:si>
  <x:si>
    <x:t>전투에서 사용하던 공격 입력과 반대되는 행동을 선택해야 함</x:t>
  </x:si>
  <x:si>
    <x:t>3/10 – 목표 간 충돌 정도·브리핑 정보량이 난이도를 결정함</x:t>
  </x:si>
  <x:si>
    <x:t>1 – 상호작용 표시의 가시성과 조사 범위가 난이도를 결정함</x:t>
  </x:si>
  <x:si>
    <x:t>2/10 – 보고 항목 수·정보 분산 정도가 난이도를 결정함</x:t>
  </x:si>
  <x:si>
    <x:t>핵의 충격파가 일정 주기로 넓어져 접근 가능한 시간이 짧음</x:t>
  </x:si>
  <x:si>
    <x:t>동료마다 역할과 행동 우선순위가 달라 협력 방식을 이해해야 함</x:t>
  </x:si>
  <x:si>
    <x:t>5/10 – 잡음 강도·대사 길이·감정적 부담이 난이도를 결정함</x:t>
  </x:si>
  <x:si>
    <x:t>비슷한 복장의 NPC가 있어 물건의 주인을 잘못 선택할 수 있음</x:t>
  </x:si>
  <x:si>
    <x:t>3/10 – 정보 비대칭·목표 충돌 정도가 난이도를 결정함</x:t>
  </x:si>
  <x:si>
    <x:t>목적지 주변에 잘못된 진입로와 위험 오브젝트가 배치되어 있음</x:t>
  </x:si>
  <x:si>
    <x:t>붕괴로 기존 길이 막히고 동료와 함께 제한시간 안에 탈출해야 함</x:t>
  </x:si>
  <x:si>
    <x:t>7/10 – 선택의 비가역성과 감정적 부담이 난이도를 결정함</x:t>
  </x:si>
  <x:si>
    <x:t>시민들이 서로 다른 속도로 이동하고 공포 상태에서 경로를 이탈함</x:t>
  </x:si>
  <x:si>
    <x:t>손전등과 안전한 발판을 확인하며 환영이 반복되는 계단를 통과함</x:t>
  </x:si>
  <x:si>
    <x:t>3/10 – 보고 항목 수·정보 분산 정도가 난이도를 결정함</x:t>
  </x:si>
  <x:si>
    <x:t>통신이 끊기고 잡음이 섞여 상대의 의도를 정확히 듣기 어려움</x:t>
  </x:si>
  <x:si>
    <x:t>플레이어가 실제 입력을 수행할 때 느끼는 손 조작의 어려움</x:t>
  </x:si>
  <x:si>
    <x:t>여러 지역과 인물의 변화를 짧은 장면 안에서 연결해 이해해야 함</x:t>
  </x:si>
  <x:si>
    <x:t>기억 조각이 위험 구역과 멀리 떨어져 있어 수집 순서가 중요함</x:t>
  </x:si>
  <x:si>
    <x:t>현재와 과거 장면이 교차해 사건의 시간 순서를 혼동할 수 있음</x:t>
  </x:si>
  <x:si>
    <x:t>새로 열린 우회로를 따라가며 붕괴하는 폐교에서 파티원을 기다림</x:t>
  </x:si>
  <x:si>
    <x:t>탐지기와 표지물을 확인하며 폐교 정문의 안전한 진입로로 이동함</x:t>
  </x:si>
  <x:si>
    <x:t>소리 크기와 탐지기 반응을 비교하며 잔해 속 구조 신호를 탐색함</x:t>
  </x:si>
  <x:si>
    <x:t>가장 느린 시민 속도에 맞추고 위험 앞에서 집결 명령을 사용함</x:t>
  </x:si>
  <x:si>
    <x:t>기존에 알고 있던 세계 규칙과 반대되는 정보가 연속으로 제시됨</x:t>
  </x:si>
  <x:si>
    <x:t>UI 변화가 서서히 나타나 원인과 의미를 알아차리기 어려움</x:t>
  </x:si>
  <x:si>
    <x:t>탐색·긴장·감정·반전·성취를 모두 포함하며 실제 테스트값이 아님</x:t>
  </x:si>
  <x:si>
    <x:t>예: 신상 과자 진열대 찾기, 균열 괴물과 첫 전투 치르기</x:t>
  </x:si>
  <x:si>
    <x:t>60초 이상 미발견 시 가장 가까운 미수거 대상 방향 표시</x:t>
  </x:si>
  <x:si>
    <x:t>잔해와 효과음 때문에 구조 신호의 방향을 정확히 판단하기 어려움</x:t>
  </x:si>
  <x:si>
    <x:t>6/10 – 탐색 범위·가짜 신호 수·제한시간이 난이도를 결정함</x:t>
  </x:si>
  <x:si>
    <x:t>3/10 – 목표 수·위험 정보량·선택지 수가 난이도를 결정함</x:t>
  </x:si>
  <x:si>
    <x:t>방 구조가 반복되고 일부 길이 연결되어 현재 위치를 잃기 쉬움</x:t>
  </x:si>
  <x:si>
    <x:t>6/10 – 통로 폭·시야 범위·장애물 간격이 난이도를 결정함</x:t>
  </x:si>
  <x:si>
    <x:t>6/10 – 방 수·연결 구조·지도 정보량이 난이도를 결정함</x:t>
  </x:si>
  <x:si>
    <x:t>3/10 – 동시 정보량·필수 관찰 대상 수가 난이도를 결정함</x:t>
  </x:si>
  <x:si>
    <x:t>반사음과 가짜 목소리 때문에 실제 방향을 잘못 판단할 수 있음</x:t>
  </x:si>
  <x:si>
    <x:t>넓은 공격 범위와 소환 패턴이 겹쳐 이동 공간이 빠르게 줄어듦</x:t>
  </x:si>
  <x:si>
    <x:t>장비 칸이 제한되어 탐색과 전투 장비를 모두 챙길 수 없음</x:t>
  </x:si>
  <x:si>
    <x:t>35초</x:t>
  </x:si>
  <x:si>
    <x:t>30초</x:t>
  </x:si>
  <x:si>
    <x:t>잠자기</x:t>
  </x:si>
  <x:si>
    <x:t>-</x:t>
  </x:si>
  <x:si>
    <x:t>초/분</x:t>
  </x:si>
  <x:si>
    <x:t>45초</x:t>
  </x:si>
  <x:si>
    <x:t>미션</x:t>
  </x:si>
  <x:si>
    <x:t>20초</x:t>
  </x:si>
  <x:si>
    <x:t>항목</x:t>
  </x:si>
  <x:si>
    <x:t>a</x:t>
  </x:si>
  <x:si>
    <x:t>4분</x:t>
  </x:si>
  <x:si>
    <x:t>1분</x:t>
  </x:si>
  <x:si>
    <x:t>50초</x:t>
  </x:si>
  <x:si>
    <x:t>6분</x:t>
  </x:si>
  <x:si>
    <x:t>재미율</x:t>
  </x:si>
  <x:si>
    <x:t>55초</x:t>
  </x:si>
  <x:si>
    <x:t>정수</x:t>
  </x:si>
  <x:si>
    <x:t>40초</x:t>
  </x:si>
  <x:si>
    <x:t>2분</x:t>
  </x:si>
  <x:si>
    <x:t>5분</x:t>
  </x:si>
  <x:si>
    <x:t>25초</x:t>
  </x:si>
  <x:si>
    <x:t>챕터</x:t>
  </x:si>
  <x:si>
    <x:t>3분</x:t>
  </x:si>
  <x:si>
    <x:t>구간</x:t>
  </x:si>
  <x:si>
    <x:t>b</x:t>
  </x:si>
  <x:si>
    <x:t>임무 목표와 위험 요소가 한 번에 제시되어 우선순위를 놓칠 수 있음</x:t>
  </x:si>
  <x:si>
    <x:t>1 – 맵 크기·갈림길 수·목적지 표식의 가시성이 난이도를 결정함</x:t>
  </x:si>
  <x:si>
    <x:t>목표 지점 도달 45 / 피격 30 / 경로 판단 15 / 시간 10</x:t>
  </x:si>
  <x:si>
    <x:t>조사 대상이 배경 오브젝트와 비슷해 상호작용 가능 여부를 놓칠 수 있음</x:t>
  </x:si>
  <x:si>
    <x:t>2 – 대사 길이·핵심 정보의 명확성·선택지 수가 난이도를 결정함</x:t>
  </x:si>
  <x:si>
    <x:t>2 – 상품 후보 수·품목 유사도·구매 단계 수가 난이도를 결정함</x:t>
  </x:si>
  <x:si>
    <x:t>대상이 빠르게 이동하고 시민과 건물이 시야를 가려 추적이 끊길 수 있음</x:t>
  </x:si>
  <x:si>
    <x:t>적이 소리에 반응하고 시야 밖에서도 이동해 안전 구간을 예측하기 어려움</x:t>
  </x:si>
  <x:si>
    <x:t>2/10 – 대사 길이·핵심 정보의 명확성·선택지 수가 난이도를 결정함</x:t>
  </x:si>
  <x:si>
    <x:t>2 – 조사 대상의 크기·배경과의 대비·상호작용 범위가 난이도를 결정함</x:t>
  </x:si>
  <x:si>
    <x:t>3/10 – 상품 후보 수·품목 유사도·구매 단계 수가 난이도를 결정함</x:t>
  </x:si>
  <x:si>
    <x:t>1 – 조사 대상의 크기·배경과의 대비·상호작용 범위가 난이도를 결정함</x:t>
  </x:si>
  <x:si>
    <x:t>재입고 시간과 물류 트럭 정보에 관한 대화를 마지막 문장까지 진행</x:t>
  </x:si>
  <x:si>
    <x:t>탈출 성공 50 / 파티 생존·피격 25 / 재시도 15 / 시간 10</x:t>
  </x:si>
  <x:si>
    <x:t>여러 NPC가 동시에 진열대로 이동해 접근 경로와 상호작용 위치가 막힘</x:t>
  </x:si>
  <x:si>
    <x:t>강조되는 핵심 단어와 NPC의 요구를 확인하며 대화를 끝까지 진행함</x:t>
  </x:si>
  <x:si>
    <x:t>신상 과자·헤어롤·팝콘 심부름에 관한 대화를 마지막 문장까지 진행</x:t>
  </x:si>
  <x:si>
    <x:t>8/10 – 후보 수·복제 정확도·행동 단서의 명확성이 난이도를 결정함</x:t>
  </x:si>
  <x:si>
    <x:t>5/10 – 확인 항목 수·인벤토리 복잡도·추천 정보가 난이도를 결정함</x:t>
  </x:si>
  <x:si>
    <x:t>표지판·미니맵·NPC 이동 방향을 확인하며 아파트에서 편의점까지 이동함</x:t>
  </x:si>
  <x:si>
    <x:t>조사 가능한 가구가 많아 조작 가능한 대상을 바로 알아보기 어려움</x:t>
  </x:si>
  <x:si>
    <x:t>3 – 후보 오브젝트 수·외형 유사도·탐색 범위가 난이도를 결정함</x:t>
  </x:si>
  <x:si>
    <x:t>2 – 맵 크기·갈림길 수·목적지 표식의 가시성이 난이도를 결정함</x:t>
  </x:si>
  <x:si>
    <x:t>1 – 동시에 제시되는 조작 수와 입력 허용 시간이 난이도를 결정함</x:t>
  </x:si>
  <x:si>
    <x:t>구역별 표지와 상품 외형을 비교하며 생활용품 코너의 헤어롤을 조사함</x:t>
  </x:si>
  <x:si>
    <x:t>핵심 장면의 시선 유도와 짧은 자막을 통해 관계와 감정 변화를 이해함</x:t>
  </x:si>
  <x:si>
    <x:t>표지판·미니맵·NPC 이동 방향을 확인하며 다이소에서 영화관까지 이동함</x:t>
  </x:si>
  <x:si>
    <x:t>6/10 – 단서 수·방 분산 정도·환영 연출 길이가 난이도를 결정함</x:t>
  </x:si>
  <x:si>
    <x:t>6/10 – 관찰 대상 수·단서의 명확성·외형 유사도가 난이도를 결정함</x:t>
  </x:si>
  <x:si>
    <x:t>환영이 동료의 외형과 목소리를 복제해 단순 외형만으로 구분할 수 없음</x:t>
  </x:si>
  <x:si>
    <x:t>갈림길과 주변 상호작용 오브젝트 때문에 목적지 방향을 놓칠 수 있음</x:t>
  </x:si>
  <x:si>
    <x:t>4/10 – 파티원 수·역할 차이·지원 조건 수가 난이도를 결정함</x:t>
  </x:si>
  <x:si>
    <x:t>7/10 – 적 감지 범위·순찰 주기·은폐물 간격이 난이도를 결정함</x:t>
  </x:si>
  <x:si>
    <x:t>7/10 – 요청 수·이동 거리·동시 활성 목표 수가 난이도를 결정함</x:t>
  </x:si>
  <x:si>
    <x:t>5/10 – 단계 수·단서 위치·오답 초기화 범위가 난이도를 결정함</x:t>
  </x:si>
  <x:si>
    <x:t>대화를 통해 역할이 다른 고등급자 3명의 역할과 지원 조건을 확인함</x:t>
  </x:si>
  <x:si>
    <x:t>안내에 따라 손을 올리고 재측정 절차를 완료해 선의 측정 장치를 확인함</x:t>
  </x:si>
  <x:si>
    <x:t>4/10 – 변화의 시각적 차이·설명 문구의 명확성이 난이도를 결정함</x:t>
  </x:si>
  <x:si>
    <x:t>이전 상태와 비교하며 표정·UI 색상·독백 변화의 변화 단계를 확인함</x:t>
  </x:si>
  <x:si>
    <x:t>장치 반응과 안내 문구가 평소와 달라 오류인지 결과인지 판단하기 어려움</x:t>
  </x:si>
  <x:si>
    <x:t>방송 화면·시민 반응·관리국 설명이 동시에 제시되어 의미가 분산됨</x:t>
  </x:si>
  <x:si>
    <x:t>3/10 – 조건 문구의 간접성·선택지의 감정적 부담이 난이도를 결정함</x:t>
  </x:si>
  <x:si>
    <x:t>표지판·미니맵·NPC 이동 방향을 확인하며 거실에서 현관문까지 이동함</x:t>
  </x:si>
  <x:si>
    <x:t>지도에 방문 구역을 표시하며 교실·교무실·복도를 한 방향으로 탐색함</x:t>
  </x:si>
  <x:si>
    <x:t>7/10 – 후보 오브젝트 수·외형 유사도·탐색 범위가 난이도를 결정함</x:t>
  </x:si>
  <x:si>
    <x:t>목표 아이콘과 도로 방향을 보며 허용 거리 안에서 물류 트럭을 따라감</x:t>
  </x:si>
  <x:si>
    <x:t>4/10 – 진입로 수·위험 구역 범위·탐지기 명확성이 난이도를 결정함</x:t>
  </x:si>
  <x:si>
    <x:t>6/10 – 단계 수·단서 위치·오답 초기화 범위가 난이도를 결정함</x:t>
  </x:si>
  <x:si>
    <x:t>표지판·미니맵·NPC 이동 방향을 확인하며 편의점에서 다이소까지 이동함</x:t>
  </x:si>
  <x:si>
    <x:t>비슷한 오브젝트와 진열대가 많아 목표 대상을 한 번에 찾기 어려움</x:t>
  </x:si>
  <x:si>
    <x:t>필수 단서가 여러 방에 흩어져 있고 일부는 환영 연출 뒤에 숨겨짐</x:t>
  </x:si>
  <x:si>
    <x:t>공격 예고를 보고 회피한 뒤 빈틈에 공격하며 하급 균열 괴물를 처치함</x:t>
  </x:si>
  <x:si>
    <x:t>7/10 – 적 수·공격 빈도·회피 타이밍·회복 수단이 난이도를 결정함</x:t>
  </x:si>
  <x:si>
    <x:t>1 – 대사 길이·핵심 정보의 명확성·선택지 수가 난이도를 결정함</x:t>
  </x:si>
  <x:si>
    <x:t>주변 단서와 장치 반응을 확인해 균열 문양 4개를 순서대로 해제함</x:t>
  </x:si>
  <x:si>
    <x:t>선택 퍼즐 35 / 환영 판별 35 / 오판·피격 20 / 시간 10</x:t>
  </x:si>
  <x:si>
    <x:t>혼란 속에서 신호를 보내는 한도윤에 관한 대화를 마지막 문장까지 진행</x:t>
  </x:si>
  <x:si>
    <x:t>6/10 – 목표물 크기·탐색 범위·가짜 후보 수가 난이도를 결정함</x:t>
  </x:si>
  <x:si>
    <x:t>5/10 – 맵 크기·갈림길 수·목적지 표식의 가시성이 난이도를 결정함</x:t>
  </x:si>
  <x:si>
    <x:t>4/10 – 새 정보량·기존 정보와의 충돌 정도가 난이도를 결정함</x:t>
  </x:si>
  <x:si>
    <x:t>동행 NPC가 장애물에 걸리거나 플레이어와 멀어지면 대피가 중단됨</x:t>
  </x:si>
  <x:si>
    <x:t>완료 정보와 새로 발견한 사실 중 무엇을 보고해야 하는지 구분해야 함</x:t>
  </x:si>
  <x:si>
    <x:t>4/10 – 장비 후보 수·슬롯 제한·역할 중복이 난이도를 결정함</x:t>
  </x:si>
  <x:si>
    <x:t>구역별 표지와 상품 외형을 비교하며 공원 관리함의 집게와 봉투를 조사함</x:t>
  </x:si>
  <x:si>
    <x:t>1 매우 느림, 3 보통, 5 빠름. 이동이 핵심이 아닐 때는 공란</x:t>
  </x:si>
  <x:si>
    <x:t>어떤 선택도 완전한 보상이 없고 플레이어가 결말을 직접 확정해야 함</x:t>
  </x:si>
  <x:si>
    <x:t>짧은 연출 안에서 사건의 원인과 인물의 태도를 동시에 이해해야 함</x:t>
  </x:si>
  <x:si>
    <x:t>표지판·미니맵·NPC 이동 방향을 확인하며 공원에서 집까지 이동함</x:t>
  </x:si>
  <x:si>
    <x:t>외형이 비슷하거나 내용물이 남은 쓰레기는 분류 기준을 혼동하기 쉬움</x:t>
  </x:si>
  <x:si>
    <x:t>붕괴 경고 표시를 보고 붕괴되는 출입구의 열린 통로로 빠르게 이동함</x:t>
  </x:si>
  <x:si>
    <x:t>표지판·미니맵·NPC 이동 방향을 확인하며 임시 대피소까지 이동함</x:t>
  </x:si>
  <x:si>
    <x:t>7/10 – 제한시간·안전 경로 폭·장애물 발생 주기가 난이도를 결정함</x:t>
  </x:si>
  <x:si>
    <x:t>거래자 판별 50 / 필수 단서 확인 25 / 오답 15 / 시간 10</x:t>
  </x:si>
  <x:si>
    <x:t>통로가 붕괴하고 화면 왜곡이 심해져 이동 경로를 오래 유지할 수 없음</x:t>
  </x:si>
  <x:si>
    <x:t>이전 대화와 행동 습관을 비교해 동료와 똑같이 행동하는 환영을 판별함</x:t>
  </x:si>
  <x:si>
    <x:t>4/10 – 맵 크기·갈림길 수·목적지 표식의 가시성이 난이도를 결정함</x:t>
  </x:si>
  <x:si>
    <x:t>혼자 청소하는 이유와 도움 제안에 관한 대화를 마지막 문장까지 진행</x:t>
  </x:si>
  <x:si>
    <x:t>7/10 – 잔해 수·입력 횟수·위험 순서·피격 빈도가 난이도를 결정함</x:t>
  </x:si>
  <x:si>
    <x:t>호의처럼 보이는 제안 안에 이후 행동을 제한하는 조건이 포함되어 있음</x:t>
  </x:si>
  <x:si>
    <x:t>주변 단서와 장치 반응을 확인해 봉인된 강당 출입문를 순서대로 해제함</x:t>
  </x:si>
  <x:si>
    <x:t>2/10 – 맵 크기·갈림길 수·목적지 표식의 가시성이 난이도를 결정함</x:t>
  </x:si>
  <x:si>
    <x:t>최종 선택을 실행하면 되돌릴 수 없다는 사실이 강한 심리적 부담을 줌</x:t>
  </x:si>
  <x:si>
    <x:t>목표를 바로 달성하지 못하게 만드는 맵·NPC·시간·정보·전투 요소</x:t>
  </x:si>
  <x:si>
    <x:t>공격 회피만으로 해결되지 않고 이전 선택에 따라 누적 수치가 달라짐</x:t>
  </x:si>
  <x:si>
    <x:t>크레딧 사이의 주요 장면과 엔딩 크레딧를 확인하며 마지막까지 감상함</x:t>
  </x:si>
  <x:si>
    <x:t>잔류 공격 사이의 빈틈을 이용해 공격을 멈춘 친구에게 단계적으로 접근함</x:t>
  </x:si>
  <x:si>
    <x:t>4/10 – 검사 항목 수·오류 위치의 분산 정도가 난이도를 결정함</x:t>
  </x:si>
  <x:si>
    <x:t>반짝임 표시가 있는 산책로의 첫 쓰레기에 접근해 줍기 입력을 수행함</x:t>
  </x:si>
  <x:si>
    <x:t>3/10 – 관찰 대상 수·단서의 명확성·외형 유사도가 난이도를 결정함</x:t>
  </x:si>
  <x:si>
    <x:t>쓰레기가 넓은 구역과 가려진 틈에 흩어져 있어 남은 대상을 찾기 어려움</x:t>
  </x:si>
  <x:si>
    <x:t>칭찬과 비난이 번갈아 제시되어 올바른 길보다 감정적 반응을 유도함</x:t>
  </x:si>
  <x:si>
    <x:t>5/10 – 장면 수·시간 순서의 복잡도·인물 수가 난이도를 결정함</x:t>
  </x:si>
  <x:si>
    <x:t>가짜 기억과 실제 전투 화면이 겹쳐 입력 대상과 회피 방향을 혼동함</x:t>
  </x:si>
  <x:si>
    <x:t>복원 과정 중 친구의 상태와 주인공의 선의 수치를 동시에 유지해야 함</x:t>
  </x:si>
  <x:si>
    <x:t>비슷한 후보, 넓은 탐색 범위, 제한시간, 시야 차단, 감정적 압박 등</x:t>
  </x:si>
  <x:si>
    <x:t>1/10 – 추가 장면의 노출 시간과 배치 간격이 난이도를 결정함</x:t>
  </x:si>
  <x:si>
    <x:t>7/10 – 화면 왜곡 강도·안전 표식 수·통로 폭이 난이도를 결정함</x:t>
  </x:si>
  <x:si>
    <x:t>방해요소를 해결하기 위해 플레이어가 관찰·판단·조작해야 하는 내용</x:t>
  </x:si>
  <x:si>
    <x:t>9/10 – 동시 정보량·모순 단서 수·입력 제한시간이 난이도를 결정함</x:t>
  </x:si>
  <x:si>
    <x:t>완료한 것처럼 보여도 남은 대상이나 오분류 항목이 존재할 수 있음</x:t>
  </x:si>
  <x:si>
    <x:t>목표물이 작고 수거 가능한 쓰레기 사이에 섞여 있어 탐색 부담이 큼</x:t>
  </x:si>
  <x:si>
    <x:t>6/10 – 맵 크기·갈림길 수·목적지 표식의 가시성이 난이도를 결정함</x:t>
  </x:si>
  <x:si>
    <x:t>두 선택 모두 이후 상황에 영향을 주므로 감정적 판단 부담이 발생함</x:t>
  </x:si>
  <x:si>
    <x:t>카메라가 강조하는 인물과 오브젝트를 보며 아이와 가족의 행동을 확인함</x:t>
  </x:si>
  <x:si>
    <x:t>작은 단서가 쓰레기와 배경에 섞여 있어 일반 수거물로 오인할 수 있음</x:t>
  </x:si>
  <x:si>
    <x:t>게임 시작부터 엔딩까지 해금되는 모든 플레이 내용을 순서대로 기록</x:t>
  </x:si>
  <x:si>
    <x:t>초회 플레이어가 해당 콘텐츠를 완료하는 데 걸릴 것으로 예상하는 시간</x:t>
  </x:si>
  <x:si>
    <x:t>3/10 – 대사 길이·핵심 정보의 명확성·선택지 수가 난이도를 결정함</x:t>
  </x:si>
  <x:si>
    <x:t>동행자 속도에 맞춰 이동하고 위험 구역 앞에서 부모와 동생를 기다림</x:t>
  </x:si>
  <x:si>
    <x:t>4/10 – 관찰 대상 수·단서의 명확성·외형 유사도가 난이도를 결정함</x:t>
  </x:si>
  <x:si>
    <x:t>여러 인물이 서로 다른 이유로 같은 희생을 요구해 감정적 압박이 커짐</x:t>
  </x:si>
  <x:si>
    <x:t>8/10 – 결과의 비가역성·정보량·감정적 부담이 난이도를 결정함</x:t>
  </x:si>
  <x:si>
    <x:t>5/10 – 기존 조작 습관과 선택의 감정적 부담이 난이도를 결정함</x:t>
  </x:si>
  <x:si>
    <x:t>빠른 공격과 선택 강요 패턴이 연속으로 이어져 회복할 시간이 부족함</x:t>
  </x:si>
  <x:si>
    <x:t>2/10 – 상품 후보 수·품목 유사도·구매 단계 수가 난이도를 결정함</x:t>
  </x:si>
  <x:si>
    <x:t>5/10 – 관찰 대상 수·단서의 명확성·외형 유사도가 난이도를 결정함</x:t>
  </x:si>
  <x:si>
    <x:t>동료가 담당하는 구역과 플레이어 구역이 겹치면 불필요한 이동이 발생함</x:t>
  </x:si>
  <x:si>
    <x:t>후보들이 공통 특징을 가지고 있어 한 가지 단서만으로는 구별할 수 없음</x:t>
  </x:si>
  <x:si>
    <x:t>재난 문자와 주변 효과음이 동시에 출력되어 핵심 행동을 놓칠 수 있음</x:t>
  </x:si>
  <x:si>
    <x:t>3/10 – 후보 오브젝트 수·외형 유사도·탐색 범위가 난이도를 결정함</x:t>
  </x:si>
  <x:si>
    <x:t>1분 10초</x:t>
  </x:si>
  <x:si>
    <x:t>5분 40초</x:t>
  </x:si>
  <x:si>
    <x:t>3분 10초</x:t>
  </x:si>
  <x:si>
    <x:t>2분 30초</x:t>
  </x:si>
  <x:si>
    <x:t>잔해 제거하기</x:t>
  </x:si>
  <x:si>
    <x:t>2분 40초</x:t>
  </x:si>
  <x:si>
    <x:t>값/형식</x:t>
  </x:si>
  <x:si>
    <x:t>조작난이도</x:t>
  </x:si>
  <x:si>
    <x:t>균열의 진실</x:t>
  </x:si>
  <x:si>
    <x:t>1분 5초</x:t>
  </x:si>
  <x:si>
    <x:t>이동속도 B</x:t>
  </x:si>
  <x:si>
    <x:t>헤비 유저</x:t>
  </x:si>
  <x:si>
    <x:t>1~10 숫자</x:t>
  </x:si>
  <x:si>
    <x:t>미들 유저</x:t>
  </x:si>
  <x:si>
    <x:t>총 콘텐츠 수</x:t>
  </x:si>
  <x:si>
    <x:t>1분 20초</x:t>
  </x:si>
  <x:si>
    <x:t>라이트 유저</x:t>
  </x:si>
  <x:si>
    <x:t>3분 50초</x:t>
  </x:si>
  <x:si>
    <x:t>경험치 그래프</x:t>
  </x:si>
  <x:si>
    <x:t>스테이지</x:t>
  </x:si>
  <x:si>
    <x:t>심층부 도착</x:t>
  </x:si>
  <x:si>
    <x:t>방해요소 공략</x:t>
  </x:si>
  <x:si>
    <x:t>이동속도 A</x:t>
  </x:si>
  <x:si>
    <x:t>플레이 목표</x:t>
  </x:si>
  <x:si>
    <x:t>1분 30초</x:t>
  </x:si>
  <x:si>
    <x:t>크레딧 종료</x:t>
  </x:si>
  <x:si>
    <x:t>빨래 개기</x:t>
  </x:si>
  <x:si>
    <x:t>실패 결과</x:t>
  </x:si>
  <x:si>
    <x:t>1분 35초</x:t>
  </x:si>
  <x:si>
    <x:t>평균 재미율</x:t>
  </x:si>
  <x:si>
    <x:t>최고 재미율</x:t>
  </x:si>
  <x:si>
    <x:t>1~5 상대값</x:t>
  </x:si>
  <x:si>
    <x:t>미션개수</x:t>
  </x:si>
  <x:si>
    <x:t>공략 방법</x:t>
  </x:si>
  <x:si>
    <x:t>성공 미션조건</x:t>
  </x:si>
  <x:si>
    <x:t>행동형 제목</x:t>
  </x:si>
  <x:si>
    <x:t>문서 범위</x:t>
  </x:si>
  <x:si>
    <x:t>방해요소</x:t>
  </x:si>
  <x:si>
    <x:t>통신 종료</x:t>
  </x:si>
  <x:si>
    <x:t>구체적 서술</x:t>
  </x:si>
  <x:si>
    <x:t>실패 미션조건</x:t>
  </x:si>
  <x:si>
    <x:t>콘텐츠 수</x:t>
  </x:si>
  <x:si>
    <x:t>3분 40초</x:t>
  </x:si>
  <x:si>
    <x:t>C (55%)</x:t>
  </x:si>
  <x:si>
    <x:t>균열 구경하기</x:t>
  </x:si>
  <x:si>
    <x:t>밸런스 팩터</x:t>
  </x:si>
  <x:si>
    <x:t>4분 20초</x:t>
  </x:si>
  <x:si>
    <x:t>체감 난이도</x:t>
  </x:si>
  <x:si>
    <x:t>A (85%)</x:t>
  </x:si>
  <x:si>
    <x:t>3분 20초</x:t>
  </x:si>
  <x:si>
    <x:t>B (70%)</x:t>
  </x:si>
  <x:si>
    <x:t>플레이 흥미도</x:t>
  </x:si>
  <x:si>
    <x:t>1분 50초</x:t>
  </x:si>
  <x:si>
    <x:t>2분 10초</x:t>
  </x:si>
  <x:si>
    <x:t>2분 20초</x:t>
  </x:si>
  <x:si>
    <x:t>1분 25초</x:t>
  </x:si>
  <x:si>
    <x:t>목적지 도착</x:t>
  </x:si>
  <x:si>
    <x:t>3분 30초</x:t>
  </x:si>
  <x:si>
    <x:t>1분 40초</x:t>
  </x:si>
  <x:si>
    <x:t>수행 과제 수</x:t>
  </x:si>
  <x:si>
    <x:t>플레이 난이도</x:t>
  </x:si>
  <x:si>
    <x:t>2분 50초</x:t>
  </x:si>
  <x:si>
    <x:t>플레이 난관</x:t>
  </x:si>
  <x:si>
    <x:t>팝콘 구매하기</x:t>
  </x:si>
  <x:si>
    <x:t>1분 15초</x:t>
  </x:si>
  <x:si>
    <x:t>가족 찾기</x:t>
  </x:si>
  <x:si>
    <x:t>작성 방식</x:t>
  </x:si>
  <x:si>
    <x:t>집으로 돌아가는 길에 공원 진입하기</x:t>
  </x:si>
  <x:si>
    <x:t>필수 장비 장착 및 회복품 보유</x:t>
  </x:si>
  <x:si>
    <x:t>오프닝 재생이 끝나면 자동 완료</x:t>
  </x:si>
  <x:si>
    <x:t>모든 적 처치 및 주인공 생존</x:t>
  </x:si>
  <x:si>
    <x:t>필수 장비 미장착 시 출동 불가</x:t>
  </x:si>
  <x:si>
    <x:t>이탈 시민 방향과 안전 경로를 표시</x:t>
  </x:si>
  <x:si>
    <x:t>누락 항목이 있으면 보고 완료 불가</x:t>
  </x:si>
  <x:si>
    <x:t>오답 2회 후 분류 기준 그림 표시</x:t>
  </x:si>
  <x:si>
    <x:t>오답 입력 5회 시 장치 초기화</x:t>
  </x:si>
  <x:si>
    <x:t>미수집 단서가 있는 방에 지도 표시</x:t>
  </x:si>
  <x:si>
    <x:t>실패 후 제한시간 10초 증가</x:t>
  </x:si>
  <x:si>
    <x:t>모든 파티원 소개 및 역할 확인</x:t>
  </x:si>
  <x:si>
    <x:t>필수 장비 누락 시 출발 불가</x:t>
  </x:si>
  <x:si>
    <x:t>접근 실패 후 안전 지점 표시</x:t>
  </x:si>
  <x:si>
    <x:t>안전 발판 테두리와 체크포인트 제공</x:t>
  </x:si>
  <x:si>
    <x:t>임시 대피소의 도착 트리거에 진입</x:t>
  </x:si>
  <x:si>
    <x:t>전투 UI에 역할 아이콘 고정 표시</x:t>
  </x:si>
  <x:si>
    <x:t>실패 후 모순되는 대사의 일부 강조</x:t>
  </x:si>
  <x:si>
    <x:t>안전 진입로에 탐지기 반응 강화</x:t>
  </x:si>
  <x:si>
    <x:t>제안 조건의 핵심 문구를 강조</x:t>
  </x:si>
  <x:si>
    <x:t>필수 방송 및 NPC 반응 확인</x:t>
  </x:si>
  <x:si>
    <x:t>인간형 보스 2페이즈 공략하기</x:t>
  </x:si>
  <x:si>
    <x:t>구간별 체크포인트와 안전 발판 강조</x:t>
  </x:si>
  <x:si>
    <x:t>모든 생존 파티원이 출구 도착</x:t>
  </x:si>
  <x:si>
    <x:t>누락 항목 경고와 추천 장비 표시</x:t>
  </x:si>
  <x:si>
    <x:t>호화 숙소와 전용 지원 제안 받기</x:t>
  </x:si>
  <x:si>
    <x:t>미보고 항목을 체크리스트로 표시</x:t>
  </x:si>
  <x:si>
    <x:t>모든 동행 NPC가 대피 지점 도착</x:t>
  </x:si>
  <x:si>
    <x:t>일반쓰레기 8개 전부 올바르게 분류</x:t>
  </x:si>
  <x:si>
    <x:t>잠자기 확인 후 다음 장면 전환</x:t>
  </x:si>
  <x:si>
    <x:t>일시정지·배속·다시 보기 기능 제공</x:t>
  </x:si>
  <x:si>
    <x:t>잔디 구역 쓰레기 8개 전부 수거</x:t>
  </x:si>
  <x:si>
    <x:t>입력하지 않은 키 안내를 계속 유지</x:t>
  </x:si>
  <x:si>
    <x:t>괴물형 보스 1페이즈 공략하기</x:t>
  </x:si>
  <x:si>
    <x:t>핵심 대사 자막을 화면에 오래 유지</x:t>
  </x:si>
  <x:si>
    <x:t>잔여 수량 0 및 오류 항목 0</x:t>
  </x:si>
  <x:si>
    <x:t>대상 체력 경고와 안전 경로 표시</x:t>
  </x:si>
  <x:si>
    <x:t>현재 측정 단계와 남은 시간을 표시</x:t>
  </x:si>
  <x:si>
    <x:t>Y
레벨업을 위한 필요 경험치</x:t>
  </x:si>
  <x:si>
    <x:t>구체적 판정 조건 또는 실패 없음</x:t>
  </x:si>
  <x:si>
    <x:t>필수 물품 누락 시 용도 힌트 표시</x:t>
  </x:si>
  <x:si>
    <x:t>실패 후 충격파 예고 시간 증가</x:t>
  </x:si>
  <x:si>
    <x:t>요청 품목에 작은 임무 아이콘 표시</x:t>
  </x:si>
  <x:si>
    <x:t>산책로 쓰레기 7개 전부 수거</x:t>
  </x:si>
  <x:si>
    <x:t>공원에서 집의 도착 트리거에 진입</x:t>
  </x:si>
  <x:si>
    <x:t>필수 확인 대상을 목록으로 표시</x:t>
  </x:si>
  <x:si>
    <x:t>수락 후 목표를 세 줄로 요약 표시</x:t>
  </x:si>
  <x:si>
    <x:t>보스 체력 0 및 주인공 생존</x:t>
  </x:si>
  <x:si>
    <x:t>첫 상호작용 대상에 반짝임 표시</x:t>
  </x:si>
  <x:si>
    <x:t>실패 후 고정 표식의 밝기 증가</x:t>
  </x:si>
  <x:si>
    <x:t>3회 실패 후 공격 예고 시간 증가</x:t>
  </x:si>
  <x:si>
    <x:t>제한시간 안에 탈출 지점 도착</x:t>
  </x:si>
  <x:si>
    <x:t>침대에 임무 아이콘 표시</x:t>
  </x:si>
  <x:si>
    <x:t>재난 문자 핵심 항목 확인</x:t>
  </x:si>
  <x:si>
    <x:t>시민들의 연속 부탁 처리하기</x:t>
  </x:si>
  <x:si>
    <x:t>한도윤과 구역 분담하기</x:t>
  </x:si>
  <x:si>
    <x:t>오염된 쓰레기 분류하기</x:t>
  </x:si>
  <x:si>
    <x:t>모든 구조 대상 위치 확인</x:t>
  </x:si>
  <x:si>
    <x:t>무한대 수치 재측정하기</x:t>
  </x:si>
  <x:si>
    <x:t>구조 대상이 안전 지점 도착</x:t>
  </x:si>
  <x:si>
    <x:t>첫 구조 임무 수락하기</x:t>
  </x:si>
  <x:si>
    <x:t>괴물의 첫 습격 회피하기</x:t>
  </x:si>
  <x:si>
    <x:t>통로를 막는 잔해 전부 제거</x:t>
  </x:si>
  <x:si>
    <x:t>3-D | 도심 구조 임무</x:t>
  </x:si>
  <x:si>
    <x:t>아파트 밖으로 탈출하기</x:t>
  </x:si>
  <x:si>
    <x:t>구조 임무 완료 보고하기</x:t>
  </x:si>
  <x:si>
    <x:t>다음 층 도착 트리거 진입</x:t>
  </x:si>
  <x:si>
    <x:t>편의점 물류 트럭 발견하기</x:t>
  </x:si>
  <x:si>
    <x:t>잔디 구역 쓰레기 수거하기</x:t>
  </x:si>
  <x:si>
    <x:t>2-A | 공원 축제·청소</x:t>
  </x:si>
  <x:si>
    <x:t>안내된 수거 행동 3회 완료</x:t>
  </x:si>
  <x:si>
    <x:t>균열 괴물과 첫 전투 치르기</x:t>
  </x:si>
  <x:si>
    <x:t>편의점 물류 트럭 따라가기</x:t>
  </x:si>
  <x:si>
    <x:t>새벽 재난 문자 확인하기</x:t>
  </x:si>
  <x:si>
    <x:t>올바른 NPC에게 물품 전달</x:t>
  </x:si>
  <x:si>
    <x:t>필수 관찰 대상 모두 조사</x:t>
  </x:si>
  <x:si>
    <x:t>필수 보고 항목 모두 선택</x:t>
  </x:si>
  <x:si>
    <x:t>1-E | 편의점 재입고</x:t>
  </x:si>
  <x:si>
    <x:t>축제 종료 현장 관찰하기</x:t>
  </x:si>
  <x:si>
    <x:t>벤치 주변 쓰레기 수거하기</x:t>
  </x:si>
  <x:si>
    <x:t>우정 반지 단서 발견하기</x:t>
  </x:si>
  <x:si>
    <x:t>상태 안내와 독백 확인</x:t>
  </x:si>
  <x:si>
    <x:t>콘텐츠 진행 포인트 누적</x:t>
  </x:si>
  <x:si>
    <x:t>중학생에게 반지 전달하기</x:t>
  </x:si>
  <x:si>
    <x:t>동생에게 심부름 지시 받기</x:t>
  </x:si>
  <x:si>
    <x:t>올바른 거래자와 대화 시작</x:t>
  </x:si>
  <x:si>
    <x:t>아파트 계단으로 이동하기</x:t>
  </x:si>
  <x:si>
    <x:t>회피 구간 종료 지점 도착</x:t>
  </x:si>
  <x:si>
    <x:t>알바생 NPC와 대화하기</x:t>
  </x:si>
  <x:si>
    <x:t>신상 과자 진열대 찾기</x:t>
  </x:si>
  <x:si>
    <x:t>안전 구역으로 이동하기</x:t>
  </x:si>
  <x:si>
    <x:t>자아 마모도 변화 확인하기</x:t>
  </x:si>
  <x:si>
    <x:t>도심 잔해 구역으로 이동하기</x:t>
  </x:si>
  <x:si>
    <x:t>신상 과자 오픈런 참가하기</x:t>
  </x:si>
  <x:si>
    <x:t>1-A | 집·튜토리얼</x:t>
  </x:si>
  <x:si>
    <x:t>3-C | 대피소·선의관리국</x:t>
  </x:si>
  <x:si>
    <x:t>거래자 후보 3명 관찰하기</x:t>
  </x:si>
  <x:si>
    <x:t>산책로 쓰레기 수거하기</x:t>
  </x:si>
  <x:si>
    <x:t>3-A | 아파트 재난</x:t>
  </x:si>
  <x:si>
    <x:t>친구를 인간으로 복원하기</x:t>
  </x:si>
  <x:si>
    <x:t>4-G | 폐교 탈출·귀환</x:t>
  </x:si>
  <x:si>
    <x:t>필수 기억 장면 모두 확인</x:t>
  </x:si>
  <x:si>
    <x:t>4-E | 폐교 본관 3층</x:t>
  </x:si>
  <x:si>
    <x:t>실패 후 적 청각 범위 감소</x:t>
  </x:si>
  <x:si>
    <x:t>죄책감 축적 패턴 버티기</x:t>
  </x:si>
  <x:si>
    <x:t>친구의 목소리 추적하기</x:t>
  </x:si>
  <x:si>
    <x:t>차한해의 과거 오프닝 감상</x:t>
  </x:si>
  <x:si>
    <x:t>복원 게이지 100% 달성</x:t>
  </x:si>
  <x:si>
    <x:t>강제 출동 압박 견디기</x:t>
  </x:si>
  <x:si>
    <x:t>필수 기억 단서 전부 수집</x:t>
  </x:si>
  <x:si>
    <x:t>교실 기억 단서 수집하기</x:t>
  </x:si>
  <x:si>
    <x:t>컴퓨터 잠금 퍼즐 해결하기</x:t>
  </x:si>
  <x:si>
    <x:t>본관 2층으로 이동하기</x:t>
  </x:si>
  <x:si>
    <x:t>4-C | 폐교 본관 1층</x:t>
  </x:si>
  <x:si>
    <x:t>기억 개입 패턴 전부 해제</x:t>
  </x:si>
  <x:si>
    <x:t>선택의 분기 퍼즐 해결하기</x:t>
  </x:si>
  <x:si>
    <x:t>분리수거장으로 이동하기</x:t>
  </x:si>
  <x:si>
    <x:t>본관 3층으로 이동하기</x:t>
  </x:si>
  <x:si>
    <x:t>5-A | 대형 균열 외부</x:t>
  </x:si>
  <x:si>
    <x:t>쓰레기를 치우기로 결정하기</x:t>
  </x:si>
  <x:si>
    <x:t>4-F | 폐교 강당·보스전</x:t>
  </x:si>
  <x:si>
    <x:t>학교폭력 흔적 조사하기</x:t>
  </x:si>
  <x:si>
    <x:t>올바른 강당 방향 도착</x:t>
  </x:si>
  <x:si>
    <x:t>4-D | 폐교 본관 2층</x:t>
  </x:si>
  <x:si>
    <x:t>균열 내부 첫 구역 도착</x:t>
  </x:si>
  <x:si>
    <x:t>X
콘텐츠 진행 포인트</x:t>
  </x:si>
  <x:si>
    <x:t>보스 앞 상호작용 지점 도착</x:t>
  </x:si>
  <x:si>
    <x:t>고등급자 파티에 합류하기</x:t>
  </x:si>
  <x:si>
    <x:t>스킵·다시 보기 기능 제공</x:t>
  </x:si>
  <x:si>
    <x:t>보스 체력 50% 이하 도달</x:t>
  </x:si>
  <x:si>
    <x:t>기억 개입 패턴 공략하기</x:t>
  </x:si>
  <x:si>
    <x:t>이중 확인과 자동 저장 제공</x:t>
  </x:si>
  <x:si>
    <x:t>균열과 몬스터 소멸 확인하기</x:t>
  </x:si>
  <x:si>
    <x:t>5-C | 균열 심층부</x:t>
  </x:si>
  <x:si>
    <x:t>가짜 가족 환영 돌파하기</x:t>
  </x:si>
  <x:si>
    <x:t>최종 행동 확인 입력 완료</x:t>
  </x:si>
  <x:si>
    <x:t>숫자/10 + 원인 설명</x:t>
  </x:si>
  <x:si>
    <x:t>균열 중심부로 이동하기</x:t>
  </x:si>
  <x:si>
    <x:t>한마리 몬스터가 주는 경험치</x:t>
  </x:si>
  <x:si>
    <x:t>장비 역할과 추천 조합 표시</x:t>
  </x:si>
  <x:si>
    <x:t>균열 심층부로 이동하기</x:t>
  </x:si>
  <x:si>
    <x:t>한마리 몬스터와 전투시간</x:t>
  </x:si>
  <x:si>
    <x:t>스테이지 점수 산정 기준</x:t>
  </x:si>
  <x:si>
    <x:t>균열 핵 상호작용 지점 도착</x:t>
  </x:si>
  <x:si>
    <x:t>환영 구역 종료 지점 도착</x:t>
  </x:si>
  <x:si>
    <x:t>오답 후 잘못된 단계만 표시</x:t>
  </x:si>
  <x:si>
    <x:t>후일담 장면 전부 재생</x:t>
  </x:si>
  <x:si>
    <x:t>한도윤과 마지막 통신하기</x:t>
  </x:si>
  <x:si>
    <x:t>Q3 재난 대응과 영웅화</x:t>
  </x:si>
  <x:si>
    <x:t>동기화 게이지 100% 달성</x:t>
  </x:si>
  <x:si>
    <x:t>스테이지 1회 클리어 시간</x:t>
  </x:si>
  <x:si>
    <x:t>5-D | 최종 선택·후일담</x:t>
  </x:si>
  <x:si>
    <x:t>필수 진실 기록 전부 확인</x:t>
  </x:si>
  <x:si>
    <x:t>Q5 균열 탐색과 결말</x:t>
  </x:si>
  <x:si>
    <x:t>생존자들의 후일담 확인하기</x:t>
  </x:si>
  <x:si>
    <x:t>균열 수호체 전투 치르기</x:t>
  </x:si>
  <x:si>
    <x:t>레벨 업을 위한 전투시간</x:t>
  </x:si>
  <x:si>
    <x:t>밸런스 문서 작성 기준</x:t>
  </x:si>
  <x:si>
    <x:t>전체 밸런스 곡선 요약</x:t>
  </x:si>
  <x:si>
    <x:t>관리국에 귀환 보고하기</x:t>
  </x:si>
  <x:si>
    <x:t>큰 원은 플레이 전반에 미치는 영향이 큰 핵심 팩터이며, 작은 원은 장면·미션 단위에서 조정하는 세부 팩터임</x:t>
  </x:si>
  <x:si>
    <x:t>충격파 예고를 보고 안전 지점에서 대기한 뒤 주기적으로 충격파를 내보내는 균열 핵에 단계적으로 접근함</x:t>
  </x:si>
  <x:si>
    <x:t>구역을 일정한 방향으로 순회하고 반짝임·잔여 개수 UI를 확인하며 벤치와 가려진 틈의 쓰레기 6개를 수거함</x:t>
  </x:si>
  <x:si>
    <x:t>시선·행동·복장·주변 오브젝트를 순서대로 확인해 회색 후드 특징이 겹치는 세 명의 후보의 특징을 파악함</x:t>
  </x:si>
  <x:si>
    <x:t>5/10 – 측정 단계 수·대기 시간·비정상 결과의 설명 명확성이 난이도를 결정함</x:t>
  </x:si>
  <x:si>
    <x:t>7/10 – 목표 수·동선 길이·위험 구역 밀도·자아 마모도 증가량이 난이도를 결정함</x:t>
  </x:si>
  <x:si>
    <x:t>구조·전투 목표 50 / 시민·파티 피해 25 / 피격·자원 15 / 시간 10</x:t>
  </x:si>
  <x:si>
    <x:t>안내에 따라 손을 올리고 재측정 절차를 완료해 오류로 의심받는 무한대 수치를 확인함</x:t>
  </x:si>
  <x:si>
    <x:t>장면 순서와 반복되는 상징을 보며 가족·한도윤·친구·시민의 변화의 결과를 확인함</x:t>
  </x:si>
  <x:si>
    <x:t>장비·회복품·동료 상태를 동시에 확인해야 하며 준비 누락이 다음 임무에 영향을 줌</x:t>
  </x:si>
  <x:si>
    <x:t>표지판·미니맵·NPC 이동 방향을 확인하며 아파트에서 임시 안전 구역까지 이동함</x:t>
  </x:si>
  <x:si>
    <x:t>지금까지 수집한 정보와 관계 변화를 확인해 자신의 소멸과 균열 소멸의 관계를 결정함</x:t>
  </x:si>
  <x:si>
    <x:t>표지판·미니맵·NPC 이동 방향을 확인하며 편의점에서 지하철역 개찰구까지 이동함</x:t>
  </x:si>
  <x:si>
    <x:t>방문 기록과 단서 목록을 확인하며 친구의 과거를 보여주는 기억 단서 5개를 수집함</x:t>
  </x:si>
  <x:si>
    <x:t>9/10 – 게이지 이동속도·목표 범위·동시 입력 수·초기화 범위가 난이도를 결정함</x:t>
  </x:si>
  <x:si>
    <x:t>제안 내용과 조건을 확인해 영웅 대우를 전제로 한 관리국의 제안의 의미를 파악함</x:t>
  </x:si>
  <x:si>
    <x:t>대화와 자료를 확인해 폐교 균열 조사와 실종자 수색의 공식 목표와 숨은 위험을 구분함</x:t>
  </x:si>
  <x:si>
    <x:t>대피 상황에 필요한 물품을 비교해 가방·물·손전등·구급품 중 필수 물품를 선택함</x:t>
  </x:si>
  <x:si>
    <x:t>요청 지역·구조 대상·예상 위험을 확인한 뒤 도심 잔해 구역 구조 요청를 수락함</x:t>
  </x:si>
  <x:si>
    <x:t>7/10 – 동행 인원·속도 편차·위험 구간 수·명령 재사용 시간이 난이도를 결정함</x:t>
  </x:si>
  <x:si>
    <x:t>소리 크기 변화와 파티원의 반응을 비교하며 복도마다 방향이 달라지는 목소리를 추적함</x:t>
  </x:si>
  <x:si>
    <x:t>정확한 경로 추적 40 / 열쇠 탐색 30 / 불필요 조사·힌트 20 / 시간 10</x:t>
  </x:si>
  <x:si>
    <x:t>4/10 – 측정 단계 수·대기 시간·비정상 결과의 설명 명확성이 난이도를 결정함</x:t>
  </x:si>
  <x:si>
    <x:t>게임 「넌 착해!」의 플레이 경험에 영향을 주는 주요 조정 요소를 원형으로 정리</x:t>
  </x:si>
  <x:si>
    <x:t>표지판·미니맵·NPC 이동 방향을 확인하며 지하철역에서 축제 종료 공원까지 이동함</x:t>
  </x:si>
  <x:si>
    <x:t>임무 결과·인원·특이사항을 확인하고 친구 복원 사실과 균열 정보를 순서대로 보고함</x:t>
  </x:si>
  <x:si>
    <x:t>군중의 이동 방향을 예측하고 빈 공간으로 우회해 편의점 진열대 앞 군중에 접근함</x:t>
  </x:si>
  <x:si>
    <x:t>2/10 – NPC 후보 수·위치 이동 여부·의뢰 단서 명확성이 난이도를 결정함</x:t>
  </x:si>
  <x:si>
    <x:t>잔여 수량과 각 구역 상태를 확인해 모든 분류함과 오분류 여부의 미완료 항목을 점검함</x:t>
  </x:si>
  <x:si>
    <x:t>장애물 뒤로 이동하고 공격 예고를 확인하며 새벽에 출현한 균열 괴물의 공격을 피함</x:t>
  </x:si>
  <x:si>
    <x:t>4/10 – 구역 수·동료 행동 예측 가능성·이동 동선이 난이도를 결정함</x:t>
  </x:si>
  <x:si>
    <x:t>위험 패턴이 멈춘 순간에 접근해 계단에 쓰러진 이웃 주민를 안전 지점으로 옮김</x:t>
  </x:si>
  <x:si>
    <x:t>8/10 – 단서 수·추론 단계·오답 페널티·초기화 범위가 난이도를 결정함</x:t>
  </x:si>
  <x:si>
    <x:t>7/10 – 목표 수량·배치 거리·위험 주기·이동 지형이 난이도를 결정함</x:t>
  </x:si>
  <x:si>
    <x:t>6 – 플레이어와 대상의 속도 차이·허용 거리·시야 차단물이 난이도를 결정함</x:t>
  </x:si>
  <x:si>
    <x:t>예상 위험에 맞춰 손전등·회복품·탐지기·전투 장비 중 필수 장비를 선택함</x:t>
  </x:si>
  <x:si>
    <x:t>제한된 가방 칸 때문에 모든 물품을 챙길 수 없고 우선순위 판단이 필요함</x:t>
  </x:si>
  <x:si>
    <x:t>2 – 대상 노출 시간·화면 내 이동속도·시선 유도 강도가 난이도를 결정함</x:t>
  </x:si>
  <x:si>
    <x:t>위험이 지속되는 동안 대상 상태를 확인하고 구조 행동을 여러 번 수행해야 함</x:t>
  </x:si>
  <x:si>
    <x:t>짧은 시간 동안 화면을 지나가는 대상이라 시선을 다른 곳에 두면 놓칠 수 있음</x:t>
  </x:si>
  <x:si>
    <x:t>6/10 – 후보 수·공통 특징 수·추가 단서의 명확성이 난이도를 결정함</x:t>
  </x:si>
  <x:si>
    <x:t>재질·오염 여부·남은 내용물을 확인하고 일반쓰레기 8개를 올바른 수거함에 넣음</x:t>
  </x:si>
  <x:si>
    <x:t>구역별 표지와 상품 외형을 비교하며 관리실·음악실·방송실의 열쇠 후보를 조사함</x:t>
  </x:si>
  <x:si>
    <x:t>6/10 – 분류 종류 수·외형 유사도·오답 허용 횟수가 난이도를 결정함</x:t>
  </x:si>
  <x:si>
    <x:t>임무 결과·인원·특이사항을 확인하고 구조 인원과 현장 상태를 순서대로 보고함</x:t>
  </x:si>
  <x:si>
    <x:t>5/10 – 후보 물품 수·인벤토리 제한·필수 조합 수가 난이도를 결정함</x:t>
  </x:si>
  <x:si>
    <x:t>구역별 표지와 상품 외형을 비교하며 편의점 안 신상 과자 진열대를 조사함</x:t>
  </x:si>
  <x:si>
    <x:t>8/10 – 잔류 패턴 수·안전 구간 길이·필요 접근 횟수가 난이도를 결정함</x:t>
  </x:si>
  <x:si>
    <x:t>중학생이 잃어버린 반지의 흔적의 형태와 주변 대사를 확인하고 별도 조사함</x:t>
  </x:si>
  <x:si>
    <x:t>9/10 – 누적 속도·감소 수단·제한시간·체력 회복량이 난이도를 결정함</x:t>
  </x:si>
  <x:si>
    <x:t>요청받은 품목을 확인하고 상품 선택→계산대 상호작용→결제를 순서대로 진행함</x:t>
  </x:si>
  <x:si>
    <x:t>7/10 – 가짜 신호 수·방향 변화 빈도·이동 거리의 차이가 난이도를 결정함</x:t>
  </x:si>
  <x:si>
    <x:t>7/10 – 분류 종류 수·외형 유사도·오답 허용 횟수가 난이도를 결정함</x:t>
  </x:si>
  <x:si>
    <x:t>4/10 – 입력 타이밍·유지 시간·실패 시 초기화 범위가 난이도를 결정함</x:t>
  </x:si>
  <x:si>
    <x:t>안내되는 타이밍에 상호작용해 선의가 고갈된 친구의 변이 수치를 단계적으로 낮춤</x:t>
  </x:si>
  <x:si>
    <x:t>4/10 – 분류 종류 수·외형 유사도·오답 허용 횟수가 난이도를 결정함</x:t>
  </x:si>
  <x:si>
    <x:t>6/10 – 동행 인원·속도 차이·장애물 수·허용 거리가 난이도를 결정함</x:t>
  </x:si>
  <x:si>
    <x:t>입양 이후 가족 안에서 희생을 요구받아 온 과거를 보여주는 연출이 길게 이어져 플레이어가 핵심 정보를 놓칠 수 있음</x:t>
  </x:si>
  <x:si>
    <x:t>수집한 기록을 비교하고 서로 다른 기억 문을 선택하는 퍼즐의 규칙에 맞게 단계별로 입력함</x:t>
  </x:si>
  <x:si>
    <x:t>재질·오염 여부·남은 내용물을 확인하고 플라스틱·캔·종이 10개를 올바른 수거함에 넣음</x:t>
  </x:si>
  <x:si>
    <x:t>공격 예고를 보고 안전 구역으로 이동한 뒤 소환체부터 제거하며 친구의 괴물형 보스를 공략함</x:t>
  </x:si>
  <x:si>
    <x:t>요청 위치를 묶어 처리하고 우선순위를 정해 작은 부탁이 끊임없이 추가되는 상황를 완료함</x:t>
  </x:si>
  <x:si>
    <x:t>기록·기억·균열 반응을 비교해 차한해가 균열에서 태어난 존재라는 기록의 사실 관계를 확인함</x:t>
  </x:si>
  <x:si>
    <x:t>수거 8개, 단서 5개, 대화 1회, 보스 패턴 6회 등</x:t>
  </x:si>
  <x:si>
    <x:t>각 인물의 요구와 주인공의 상태를 비교하며 가족·관리국·시민의 희생 요구의 의미를 판단함</x:t>
  </x:si>
  <x:si>
    <x:t>잔여 수량과 각 구역 상태를 확인해 공원 미수거 구역과 남은 수량의 미완료 항목을 점검함</x:t>
  </x:si>
  <x:si>
    <x:t>카메라 이동과 NPC 시선을 따라 영화관 출구 앞을 지나가는 편의점 물류 트럭을 확인함</x:t>
  </x:si>
  <x:si>
    <x:t>카메라가 강조하는 인물과 오브젝트를 보며 분리수거장 바닥에서 열리는 도덕 균열를 확인함</x:t>
  </x:si>
  <x:si>
    <x:t>비어 있는 진열칸과 손글씨 품절 안내 가까이 이동한 뒤 상호작용 아이콘이 나타날 때 조사함</x:t>
  </x:si>
  <x:si>
    <x:t>10/10 – 패턴 수·동시 관리 자원·안전 구역 크기·체크포인트 간격이 난이도를 결정함</x:t>
  </x:si>
  <x:si>
    <x:t>안전 행동을 유지하고 올바른 기억 선택으로 피격보다 선택 실패로 쌓이는 죄책감의 누적을 낮춤</x:t>
  </x:si>
  <x:si>
    <x:t>주요 보도 문구와 주변 인물 반응을 순서대로 확인해 생방송과 주변 시민의 반응을 확인함</x:t>
  </x:si>
  <x:si>
    <x:t>복장·소지품·대화 반응을 함께 비교해 대화 단서와 복장 단서가 일치하는 거래자를 선택함</x:t>
  </x:si>
  <x:si>
    <x:t>10/10 – 공격 속도·연속 패턴 수·회복 가능 시간·선택 제한시간이 난이도를 결정함</x:t>
  </x:si>
  <x:si>
    <x:t>시선·행동·복장·주변 오브젝트를 순서대로 확인해 균열의 빛·소리·주변 반응의 특징을 파악함</x:t>
  </x:si>
  <x:si>
    <x:t>화면에 표시되는 키를 순서대로 입력하고 각 동작의 결과를 확인함</x:t>
  </x:si>
  <x:si>
    <x:t>2/10 – 동시 정보량·경고 문구의 명확성이 난이도를 결정함</x:t>
  </x:si>
  <x:si>
    <x:t>현관문 가까이 이동한 뒤 상호작용 아이콘이 나타날 때 조사함</x:t>
  </x:si>
  <x:si>
    <x:t>제목만 읽어도 플레이어가 무엇을 해야 하는지 보이도록 작성</x:t>
  </x:si>
  <x:si>
    <x:t>여러 조작을 한 번에 제시하면 입력 방법을 혼동할 수 있음</x:t>
  </x:si>
  <x:si>
    <x:t>방향 표시, 반짝임, 속도 감소, 체크포인트, 오답 힌트 등</x:t>
  </x:si>
  <x:si>
    <x:t>영화관 출구 앞을 지나가는 편의점 물류 트럭을 화면 안에서 확인</x:t>
  </x:si>
  <x:si>
    <x:t>1/10 – 연출 속도·동시에 제시되는 정보량이 난이도를 결정함</x:t>
  </x:si>
  <x:si>
    <x:t>추격 거리 초과, 체력 0, 제한시간 종료, 오답 누적 등</x:t>
  </x:si>
  <x:si>
    <x:t>막힌 플레이어가 목표를 다시 파악하도록 돕는 힌트와 보정 장치</x:t>
  </x:si>
  <x:si>
    <x:t>선의 측정과 등급제 설명에 관한 대화를 마지막 문장까지 진행</x:t>
  </x:si>
  <x:si>
    <x:t>관찰·판단·공략의 어려움과 그 난이도를 만드는 요인을 함께 기록</x:t>
  </x:si>
  <x:si>
    <x:t>중고 거래 물품 수령 요청에 관한 대화를 마지막 문장까지 진행</x:t>
  </x:si>
  <x:si>
    <x:t>중요한 단서가 여러 인물과 배경 오브젝트 사이에 분산되어 있음</x:t>
  </x:si>
  <x:si>
    <x:t>균열 인근 대피 안내의 대피 위치와 위험 지역을 먼저 확인함</x:t>
  </x:si>
  <x:si>
    <x:t>5/10 – 통로 폭·시야 범위·장애물 간격이 난이도를 결정함</x:t>
  </x:si>
  <x:si>
    <x:t>적의 시야와 공격 범위가 넓어 직선 이동만으로는 회피하기 어려움</x:t>
  </x:si>
  <x:si>
    <x:t>해당 행의 목표를 완료하기 위해 필요한 행동·대상·단계의 수</x:t>
  </x:si>
  <x:si>
    <x:t>4/10 – 단서 크기·배경 대비·오인 가능성이 난이도를 결정함</x:t>
  </x:si>
  <x:si>
    <x:t>재질·오염 여부·남은 내용물을 확인하고 내용물이 남거나 오염된 쓰레기 6개를 올바른 수거함에 넣음</x:t>
  </x:si>
  <x:si>
    <x:t>거리 유지와 방어를 우선하고 선택 패턴이 끝난 직후 빠른 근접 공격과 선택 강요 패턴를 공격함</x:t>
  </x:si>
  <x:si>
    <x:t>구역을 일정한 방향으로 순회하고 반짝임·잔여 개수 UI를 확인하며 잔디 구역 쓰레기 8개를 수거함</x:t>
  </x:si>
  <x:si>
    <x:t>시선·행동·복장·주변 오브젝트를 순서대로 확인해 낙서·찢어진 공책·잠긴 사물함의 특징을 파악함</x:t>
  </x:si>
  <x:si>
    <x:t>입력 강도와 타이밍을 조절해 선의와 자아 마모도를 맞추는 입력의 두 수치를 목표 범위에 유지함</x:t>
  </x:si>
  <x:si>
    <x:t>구역을 일정한 방향으로 순회하고 반짝임·잔여 개수 UI를 확인하며 산책로 쓰레기 7개를 수거함</x:t>
  </x:si>
  <x:si>
    <x:t>말의 내용보다 행동과 기억의 모순을 확인해 칭찬과 비난을 반복하는 가족 환영을 무시하고 진행함</x:t>
  </x:si>
  <x:si>
    <x:t>수호체 제압 40 / 피격·자아 마모 25 / 패턴 대응 20 / 자원 10 / 추가 목표 5</x:t>
  </x:si>
  <x:si>
    <x:t>수집한 기록을 비교하고 교실 단서를 순서대로 입력하는 잠금 장치의 규칙에 맞게 단계별로 입력함</x:t>
  </x:si>
  <x:si>
    <x:t>시선·행동·복장·주변 오브젝트를 순서대로 확인해 떠나는 시민과 공원에 남은 쓰레기의 특징을 파악함</x:t>
  </x:si>
  <x:si>
    <x:t>현재 상황과 주인공의 독백을 확인한 뒤 공원을 지나갈지 쓰레기를 치울지 판단에 대한 행동을 결정함</x:t>
  </x:si>
  <x:si>
    <x:t>기억 속 모순 단서를 찾아 가짜 기억을 강제로 재생하는 패턴를 끊고 실제 공격 타이밍에 회피함</x:t>
  </x:si>
  <x:si>
    <x:t>반복되는 핵심 문구를 확인하며 귀환을 요청하는 한도윤의 마지막 대화를 진행함</x:t>
  </x:si>
  <x:si>
    <x:t>균열이 적은 잔해부터 선택하고 반복 입력으로 통로를 막는 잔해 6개를 제거함</x:t>
  </x:si>
  <x:si>
    <x:t>7/10 – 제한시간·우회로 길이·동행 인원·붕괴 주기가 난이도를 결정함</x:t>
  </x:si>
  <x:si>
    <x:t>7/10 – 적 속도·공격 범위·예고 시간·안전 지점 수가 난이도를 결정함</x:t>
  </x:si>
  <x:si>
    <x:t>4/10 – 목표 수량·배치 밀도·가림 오브젝트·탐색 범위가 난이도를 결정함</x:t>
  </x:si>
  <x:si>
    <x:t>3/10 – 등장 인물 수·장면 전환 속도·결과 연결성이 난이도를 결정함</x:t>
  </x:si>
  <x:si>
    <x:t>주인공의 기억과 친구의 상태를 확인하고 처치 대신 포옹하는 선택를 선택함</x:t>
  </x:si>
  <x:si>
    <x:t>대화에서 정한 담당 구역을 확인하고 서로 다른 공원 구역를 순서대로 처리함</x:t>
  </x:si>
  <x:si>
    <x:t>기획자가 해당 구간이 이 정도로 재미있기를 기대하며 정하는 정성적 목표값</x:t>
  </x:si>
  <x:si>
    <x:t>적 이동 소리와 순찰 경로를 확인해 소리에 반응하는 환영체를 피하며 이동함</x:t>
  </x:si>
  <x:si>
    <x:t>공식 명령과 주인공의 생존 가능성이 충돌해 목표를 단순히 받아들이기 어려움</x:t>
  </x:si>
  <x:si>
    <x:t>표지판·미니맵·NPC 이동 방향을 확인하며 공원에서 분리수거장까지 이동함</x:t>
  </x:si>
  <x:si>
    <x:t>확인 문구와 지금까지의 결과를 검토한 뒤 균열과 함께 소멸하는 선택를 실행함</x:t>
  </x:si>
  <x:si>
    <x:t>표지판·미니맵·NPC 이동 방향을 확인하며 도시에서 대형 균열 중심까지 이동함</x:t>
  </x:si>
  <x:si>
    <x:t>위험 주기를 피하며 가까운 순서로 균열 내부에 흩어진 선의 조각 8개를 수집함</x:t>
  </x:si>
  <x:si>
    <x:t>심층부 도달 45 / 기억 회수 25 / 충격파·경로 이탈 20 / 시간 10</x:t>
  </x:si>
  <x:si>
    <x:t>6/10 – 요구 인물 수·대사 강도·선택지의 감정적 부담이 난이도를 결정함</x:t>
  </x:si>
  <x:si>
    <x:t>표지판·미니맵·NPC 이동 방향을 확인하며 대피소에서 붕괴 지역까지 이동함</x:t>
  </x:si>
  <x:si>
    <x:t>5/10 – 목표 수량·배치 밀도·가림 오브젝트·탐색 범위가 난이도를 결정함</x:t>
  </x:si>
  <x:si>
    <x:t>9/10 – 패턴 수·공격 범위·소환체 수·안전 구역 크기가 난이도를 결정함</x:t>
  </x:si>
  <x:si>
    <x:t>가장 안전한 경로를 정하고 주인공이 지키고 싶었던 사람들의 기억 5개를 회수함</x:t>
  </x:si>
  <x:si>
    <x:t>3/10 – 정보의 불완전성·결과 예측 가능성·감정적 부담이 난이도를 결정함</x:t>
  </x:si>
  <x:si>
    <x:t>장면 순서와 반복되는 상징을 보며 도시 곳곳의 균열과 괴물의 결과를 확인함</x:t>
  </x:si>
  <x:si>
    <x:t>필수 대상 대피 40 / 대상 피해 30 / 우선순위 판단 20 / 시간 10</x:t>
  </x:si>
  <x:si>
    <x:t>6 – 경쟁 NPC 수·충돌 범위·재고 수량·접근 가능 시간이 난이도를 결정함</x:t>
  </x:si>
  <x:si>
    <x:t>안전 구역을 확보하고 약점 노출 때 집중 공격해 균열 심층부 수호체를 처치함</x:t>
  </x:si>
  <x:si>
    <x:t>7/10 – 단서 수·추론 단계·오답 페널티·초기화 범위가 난이도를 결정함</x:t>
  </x:si>
  <x:si>
    <x:t>마지막 목격 위치와 반짝임 주기를 이용해 쓰레기 사이에 섞인 작은 반지를 찾음</x:t>
  </x:si>
  <x:si>
    <x:t>2/10 – 등장 인물 수·장면 전환 속도·결과 연결성이 난이도를 결정함</x:t>
  </x:si>
  <x:si>
    <x:t>자료와 대화를 확인해 주인공만 진입 가능한 대형 균열의 목적과 위험을 이해함</x:t>
  </x:si>
  <x:si>
    <x:t>UI 미션뿐 아니라 이동·조사·대화·전투·업적성 행동·연출 확인까지 포함</x:t>
  </x:si>
  <x:si>
    <x:t>9/10 – 충격파 주기·안전 지점 거리·필요 접근 횟수가 난이도를 결정함</x:t>
  </x:si>
  <x:si>
    <x:t>7/10 – 붕괴 속도·통로 폭·왜곡 강도·체크포인트 간격이 난이도를 결정함</x:t>
  </x:si>
  <x:si>
    <x:t>고정된 빛 표식과 바닥 파동을 기준으로 왜곡된 진입 통로의 통로를 통과함</x:t>
  </x:si>
  <x:si>
    <x:t>붕괴 예고와 고정 표식을 보며 붕괴하는 균열 통로까지 짧은 구간 단위로 이동함</x:t>
  </x:si>
  <x:si>
    <x:t>반복되는 사물과 대사를 기준으로 주인공의 탄생과 가족의 기억의 순서를 맞춤</x:t>
  </x:si>
  <x:si>
    <x:t>9/10 – 환영 수·가짜 단서의 설득력·자아 마모도 누적량이 난이도를 결정함</x:t>
  </x:si>
  <x:si>
    <x:t>목표 상품 확보 50 / 추격 거리·충돌 25 / 재시도 15 / 시간 10</x:t>
  </x:si>
  <x:si>
    <x:t>체력과 보유 자원을 확인해 회복 아이템·장비·동료 상태를 기준 이상으로 맞춤</x:t>
  </x:si>
  <x:si>
    <x:t>7/10 – 위험 주기·대상 체력·이동 거리·구조 단계 수가 난이도를 결정함</x:t>
  </x:si>
  <x:si>
    <x:t>잘못된 품목 구매 시 다시 선택해야 함</x:t>
  </x:si>
  <x:si>
    <x:t>고립 시민 5명 전원이 안전 지점 도착</x:t>
  </x:si>
  <x:si>
    <x:t>핵심 오브젝트에 카메라 줌과 효과음 적용</x:t>
  </x:si>
  <x:si>
    <x:t>플레이어 담당 구역의 목표 수량 달성</x:t>
  </x:si>
  <x:si>
    <x:t>단서를 버리려 하면 경고 후 행동 취소</x:t>
  </x:si>
  <x:si>
    <x:t>대상을 놓치면 짧은 연출이 다시 재생됨</x:t>
  </x:si>
  <x:si>
    <x:t>신상 과자 1봉 구매 후 인벤토리에 등록</x:t>
  </x:si>
  <x:si>
    <x:t>헤어롤 1개 구매 후 인벤토리에 등록</x:t>
  </x:si>
  <x:si>
    <x:t>제한시간 종료 또는 3회 피격 시 재시작</x:t>
  </x:si>
  <x:si>
    <x:t>소파 옆 주인공에서 조사 입력 1회 완료</x:t>
  </x:si>
  <x:si>
    <x:t>공원에서 분리수거장의 도착 트리거에 진입</x:t>
  </x:si>
  <x:si>
    <x:t>편의점에서 다이소의 도착 트리거에 진입</x:t>
  </x:si>
  <x:si>
    <x:t>침대를 조사하고 휴식 확인 선택지를 선택함</x:t>
  </x:si>
  <x:si>
    <x:t>대피소에서 붕괴 지역의 도착 트리거에 진입</x:t>
  </x:si>
  <x:si>
    <x:t>벤치와 가려진 틈의 쓰레기 6개 전부 수거</x:t>
  </x:si>
  <x:si>
    <x:t>주인공 체력 0 시 전투 시작 지점 재시작</x:t>
  </x:si>
  <x:si>
    <x:t>조건 미달 시 완료 상호작용이 비활성화됨</x:t>
  </x:si>
  <x:si>
    <x:t>허용 거리 안에서 추적 종료 지점 도착</x:t>
  </x:si>
  <x:si>
    <x:t>공격 예고 시간을 늘리고 안전 지점 표시</x:t>
  </x:si>
  <x:si>
    <x:t>재시도 시 경쟁 NPC 수 1명 감소</x:t>
  </x:si>
  <x:si>
    <x:t>상호작용 가능 범위를 넓히고 아이콘 표시</x:t>
  </x:si>
  <x:si>
    <x:t>중간 이탈 시 측정 단계 처음부터 재진행</x:t>
  </x:si>
  <x:si>
    <x:t>생활용품 코너의 헤어롤 발견 및 조사 완료</x:t>
  </x:si>
  <x:si>
    <x:t>탐지기 반응 범위를 넓히고 방향 표시 제공</x:t>
  </x:si>
  <x:si>
    <x:t>아파트에서 편의점의 도착 트리거에 진입</x:t>
  </x:si>
  <x:si>
    <x:t>다이소에서 영화관의 도착 트리거에 진입</x:t>
  </x:si>
  <x:si>
    <x:t>거실에서 현관문의 도착 트리거에 진입</x:t>
  </x:si>
  <x:si>
    <x:t>필수 물품이 포함된 상태로 준비 완료</x:t>
  </x:si>
  <x:si>
    <x:t>필수 장비가 포함된 상태로 준비 완료</x:t>
  </x:si>
  <x:si>
    <x:t>불안정 수치 최대 시 동기화 단계 재시작</x:t>
  </x:si>
  <x:si>
    <x:t>게임 시작부터 엔딩까지 모든 콘텐츠를 작성</x:t>
  </x:si>
  <x:si>
    <x:t>대화 사이에 독백과 상태 확인 시간을 제공</x:t>
  </x:si>
  <x:si>
    <x:t>반복 실패 시 회복 아이템 1개 추가</x:t>
  </x:si>
  <x:si>
    <x:t>중단 게이지 최대 시 복원 단계 재시작</x:t>
  </x:si>
  <x:si>
    <x:t>오답 3회 후 사용하지 않은 단서 강조</x:t>
  </x:si>
  <x:si>
    <x:t>필수 구역과 상호작용 대상 모두 확인</x:t>
  </x:si>
  <x:si>
    <x:t>인물별 이름과 이전 선택 결과를 함께 표시</x:t>
  </x:si>
  <x:si>
    <x:t>남은 자원의 대략적 방향과 거리 표시</x:t>
  </x:si>
  <x:si>
    <x:t>보스 체력 0 또는 인간형 상태 해제</x:t>
  </x:si>
  <x:si>
    <x:t>충격파 5회 피격 또는 체력 0 시 재시작</x:t>
  </x:si>
  <x:si>
    <x:t>단서 부족 시 다음 퍼즐 활성화 불가</x:t>
  </x:si>
  <x:si>
    <x:t>레벨 업을 위해 잡아야하는 몬스터 수</x:t>
  </x:si>
  <x:si>
    <x:t>환영 선택 시 전투 또는 체력 감소 발생</x:t>
  </x:si>
  <x:si>
    <x:t>죄책감 최대치 또는 체력 0 시 재시작</x:t>
  </x:si>
  <x:si>
    <x:t>선택 전 저장 및 주요 결과 요약 제공</x:t>
  </x:si>
  <x:si>
    <x:t>정체 45초 후 실제 방향의 음량을 강화</x:t>
  </x:si>
  <x:si>
    <x:t>공격 선택 시 다른 결말 분기로 전환</x:t>
  </x:si>
  <x:si>
    <x:t>현재 문서에는 총 119개 콘텐츠를 기록</x:t>
  </x:si>
  <x:si>
    <x:t>실패 후 모순 단서 노출 시간을 늘림</x:t>
  </x:si>
  <x:si>
    <x:t>제한시간 종료 또는 파티원 전멸 시 재시작</x:t>
  </x:si>
  <x:si>
    <x:t>잔류 공격에 4회 피격 시 구간 재시작</x:t>
  </x:si>
  <x:si>
    <x:t>방문한 문과 미방문 문을 아이콘으로 구분</x:t>
  </x:si>
  <x:si>
    <x:t>이 표에서 가장 핵심적인 항목으로 작성</x:t>
  </x:si>
  <x:si>
    <x:t>오답 후 구분 가능한 행동 단서 1개 표시</x:t>
  </x:si>
  <x:si>
    <x:t>필수 부탁을 포기하면 해당 구간 보상 감소</x:t>
  </x:si>
  <x:si>
    <x:t>오답 누적 시 퍼즐 단계 일부 초기화</x:t>
  </x:si>
  <x:si>
    <x:t>실패 후 붕괴 주기 완화 및 우회로 표시</x:t>
  </x:si>
  <x:si>
    <x:t>파티 전멸 시 2페이즈 시작 지점 재시작</x:t>
  </x:si>
  <x:si>
    <x:t>왜곡 구역 낙하 3회 시 체크포인트 재시작</x:t>
  </x:si>
  <x:si>
    <x:t>손전등과 안전한 발판을 확인하며 정전된 계단를 통과함</x:t>
  </x:si>
  <x:si>
    <x:t>후보 수, 맵 크기, 속도 차이, 제한시간, 패턴 수 등</x:t>
  </x:si>
  <x:si>
    <x:t>손전등과 안전한 발판을 확인하며 붕괴된 계단를 통과함</x:t>
  </x:si>
  <x:si>
    <x:t>작은 목표가 연속으로 추가되어 피로와 동선 낭비가 누적됨</x:t>
  </x:si>
  <x:si>
    <x:t>여러 단서를 조합해 입력 순서나 의미를 추론해야 함</x:t>
  </x:si>
  <x:si>
    <x:t>위험 잔해를 먼저 제거하면 체력 감소 및 진행 지연</x:t>
  </x:si>
  <x:si>
    <x:t>동행 NPC가 위험 구역에 8초 이상 고립되면 재시작</x:t>
  </x:si>
  <x:si>
    <x:t>1/10 – 상호작용 대상의 명확성이 난이도를 결정함</x:t>
  </x:si>
  <x:si>
    <x:t>제한시간 종료 시 가장 가까운 체크포인트에서 재시작</x:t>
  </x:si>
  <x:si>
    <x:t>공격·회피·회복 조작을 처음 전투에서 동시에 익혀야 함</x:t>
  </x:si>
  <x:si>
    <x:t>관리국의 공식 목표와 주인공이 느끼는 개인적 목적이 다름</x:t>
  </x:si>
  <x:si>
    <x:t>연속 발각 3회 또는 체력 0 시 체크포인트 재시작</x:t>
  </x:si>
  <x:si>
    <x:t>체력 0 또는 연속 피격 4회 시 체크포인트 재시작</x:t>
  </x:si>
  <x:si>
    <x:t>이동거리·미션개수·대사량·재시도 가능성을 함께 고려</x:t>
  </x:si>
  <x:si>
    <x:t>여러 장치와 열쇠 조건을 올바른 순서로 충족해야 함</x:t>
  </x:si>
  <x:si>
    <x:t>좁은 통로·어두운 조명·장애물로 이동 경로가 제한됨</x:t>
  </x:si>
  <x:si>
    <x:t>다음 날로 넘어가는 상호작용임을 알아차리지 못할 수 있음</x:t>
  </x:si>
  <x:si>
    <x:t>브리핑 종료 후 공식 목표와 개인 목표를 분리 표시</x:t>
  </x:si>
  <x:si>
    <x:t>상하좌우 이동과 조사 키를 안내 순서대로 모두 수행</x:t>
  </x:si>
  <x:si>
    <x:t>2/10 – 대상 가시성·입력 단계 수가 난이도를 결정함</x:t>
  </x:si>
  <x:si>
    <x:t>긴 크레딧 중 추가 장면과 기록이 삽입되어 놓칠 수 있음</x:t>
  </x:si>
  <x:si>
    <x:t>상호작용 직전 공격 버튼 안내를 숨기고 선택 문구 강조</x:t>
  </x:si>
  <x:si>
    <x:t>실패가 존재하는 경우 재시작·페널티가 발생하는 조건</x:t>
  </x:si>
  <x:si>
    <x:t>관리실·음악실·방송실의 열쇠 후보 발견 및 조사 완료</x:t>
  </x:si>
  <x:si>
    <x:t>A와 B의 속도 차이가 추격·호위·회피 난이도를 결정</x:t>
  </x:si>
  <x:si>
    <x:t>대화 속에 다음 목적지와 필요한 물품 정보가 섞여 있음</x:t>
  </x:si>
  <x:si>
    <x:t>추격 대상·동행 NPC·위협체 등 상대 캐릭터의 이동속도</x:t>
  </x:si>
  <x:si>
    <x:t>90초 이상 미발견 시 탐색 범위를 단계적으로 축소</x:t>
  </x:si>
  <x:si>
    <x:t>의뢰 대사와 위치를 확인한 뒤 반지의 주인에게 전달함</x:t>
  </x:si>
  <x:si>
    <x:t>공간 왜곡으로 이동 방향과 상호작용 위치가 계속 바뀜</x:t>
  </x:si>
  <x:si>
    <x:t>수거 대상과 배경 장식의 차이를 처음에는 구별하기 어려움</x:t>
  </x:si>
  <x:si>
    <x:t>주인공 주변의 상호작용 표시를 확인하고 조사 키를 누름</x:t>
  </x:si>
  <x:si>
    <x:t>플레이어 또는 해당 행에서 주체가 되는 캐릭터의 이동속도</x:t>
  </x:si>
  <x:si>
    <x:t>다단계 패턴·환경 공격·자아 마모도 관리가 동시에 요구됨</x:t>
  </x:si>
  <x:si>
    <x:t>제한시간 동안 생존하고 죄책감 수치 기준 이하 유지</x:t>
  </x:si>
  <x:si>
    <x:t>보스가 공격을 멈추더라도 잔류 패턴과 화면 왜곡이 계속됨</x:t>
  </x:si>
  <x:si>
    <x:t>30초 이상 미발견 시 목표 구역에 약한 반짝임 표시</x:t>
  </x:si>
  <x:si>
    <x:t>오답 후보 선택 시 경계 대사가 출력되고 다시 선택</x:t>
  </x:si>
  <x:si>
    <x:t>내용물이 남거나 오염된 쓰레기 6개 전부 올바르게 분류</x:t>
  </x:si>
  <x:si>
    <x:t>실패 2회 후 대상 속도 감소 및 경로 화살표 표시</x:t>
  </x:si>
  <x:si>
    <x:t>1 – 연출 길이와 정보량이 난이도를 결정함</x:t>
  </x:si>
  <x:si>
    <x:t>재고가 모두 소진되면 직전 체크포인트에서 재시도</x:t>
  </x:si>
  <x:si>
    <x:t>오답 2회 후 확인하지 않은 단서 목록 표시</x:t>
  </x:si>
  <x:si>
    <x:t>대상 등장 직전 효과음과 화면 가장자리 표시</x:t>
  </x:si>
  <x:si>
    <x:t>일정 시간 정체 시 목적지 방향 화살표 표시</x:t>
  </x:si>
  <x:si>
    <x:t>수거 대상 반짝임과 상호작용 범위를 크게 설정</x:t>
  </x:si>
  <x:si>
    <x:t>대화 종료 후 핵심 내용을 화면 한쪽에 요약 표시</x:t>
  </x:si>
  <x:si>
    <x:t>동생이 부탁한 중고 물품 구매 후 인벤토리에 등록</x:t>
  </x:si>
  <x:si>
    <x:t>편의점 안 신상 과자 진열대 발견 및 조사 완료</x:t>
  </x:si>
  <x:si>
    <x:t>동생이 지정한 팝콘 구매 후 인벤토리에 등록</x:t>
  </x:si>
  <x:si>
    <x:t>쓰레기 사이에 섞인 작은 반지 발견 후 획득</x:t>
  </x:si>
  <x:si>
    <x:t>미완료 구역과 오류 수량을 별도 UI로 표시</x:t>
  </x:si>
  <x:si>
    <x:t>공원 관리함의 집게와 봉투 발견 및 조사 완료</x:t>
  </x:si>
  <x:si>
    <x:t>오분류 5회 누적 시 해당 분류 단계 재시작</x:t>
  </x:si>
  <x:si>
    <x:t>편의점에서 지하철역 개찰구의 도착 트리거에 진입</x:t>
  </x:si>
  <x:si>
    <x:t>단서에 일반 쓰레기와 다른 약한 빛 효과 적용</x:t>
  </x:si>
  <x:si>
    <x:t>아이가 쓰레기에 걸려 넘어질 뻔한 장면 목격하기</x:t>
  </x:si>
  <x:si>
    <x:t>플라스틱·캔·종이 10개 전부 올바르게 분류</x:t>
  </x:si>
  <x:si>
    <x:t>필수 수량을 채우지 못하면 다음 구역 진행 불가</x:t>
  </x:si>
  <x:si>
    <x:t>오답 NPC 선택 시 전달이 취소되고 다시 선택</x:t>
  </x:si>
  <x:si>
    <x:t>비어 있는 진열칸과 손글씨 품절 안내 조사 완료</x:t>
  </x:si>
  <x:si>
    <x:t>선택 직전 핵심 상황을 한 문장으로 다시 표시</x:t>
  </x:si>
  <x:si>
    <x:t>미니맵에 담당 구역을 서로 다른 테두리로 표시</x:t>
  </x:si>
  <x:si>
    <x:t>의뢰 NPC 머리 위에 약한 대화 아이콘 표시</x:t>
  </x:si>
  <x:si>
    <x:t>대상과 6초 이상 거리 초과 시 추격 구간 재시작</x:t>
  </x:si>
  <x:si>
    <x:t>구매 대상·수량·결제 순서를 잘못 선택할 수 있음</x:t>
  </x:si>
  <x:si>
    <x:t>지하철역에서 축제 종료 공원의 도착 트리거에 진입</x:t>
  </x:si>
  <x:si>
    <x:t>재고가 남아 있을 때 목표 상품 상호작용 성공</x:t>
  </x:si>
  <x:si>
    <x:t>필수 대상 위에 짧은 시선 유도 아이콘 표시</x:t>
  </x:si>
  <x:si>
    <x:t>첫 변화 발생 시 이전·현재 상태 비교 창 제공</x:t>
  </x:si>
  <x:si>
    <x:t>자아 마모도 최대 시 직전 체크포인트 재시작</x:t>
  </x:si>
  <x:si>
    <x:t>문자를 닫은 뒤 화면에 대피 목표를 고정 표시</x:t>
  </x:si>
  <x:si>
    <x:t>비슷한 위치의 부탁을 한 묶음으로 지도에 표시</x:t>
  </x:si>
  <x:si>
    <x:t>기억 장면마다 시간 표식과 인물 관계 아이콘 표시</x:t>
  </x:si>
  <x:si>
    <x:t>필수 수량 미달 시 심층부 통로 활성화 불가</x:t>
  </x:si>
  <x:si>
    <x:t>반복 실패 시 체크포인트 세분화와 회복 자원 추가</x:t>
  </x:si>
  <x:si>
    <x:t>주인공 또는 필수 동료 전멸 시 페이즈 재시작</x:t>
  </x:si>
  <x:si>
    <x:t>체력 0 또는 자아 마모도 최대 시 전투 재시작</x:t>
  </x:si>
  <x:si>
    <x:t>목표 수량 달성, 트리거 진입, 보스 체력 0 등</x:t>
  </x:si>
  <x:si>
    <x:t>아파트에서 임시 안전 구역의 도착 트리거에 진입</x:t>
  </x:si>
  <x:si>
    <x:t>핵심 사실을 단계별로 요약해 기록 메뉴에 저장</x:t>
  </x:si>
  <x:si>
    <x:t>도시에서 대형 균열 중심의 도착 트리거에 진입</x:t>
  </x:si>
  <x:si>
    <x:t>가짜 경로 끝에 도달하면 추가 환영 전투 발생</x:t>
  </x:si>
  <x:si>
    <x:t>안전한 제거 순서를 색이 아닌 아이콘으로 표시</x:t>
  </x:si>
  <x:si>
    <x:t>낙하 또는 제한시간 종료 시 직전 지점 재시작</x:t>
  </x:si>
  <x:si>
    <x:t>동행 NPC가 멀어지면 화면 가장자리에 방향 표시</x:t>
  </x:si>
  <x:si>
    <x:t>명령의 공개 정보와 숨겨진 조건을 구분해 표시</x:t>
  </x:si>
  <x:si>
    <x:t>첫 패턴은 느리게 재생하고 회복 아이템 자동 지급</x:t>
  </x:si>
  <x:si>
    <x:t>출구가 무너지고 안전 경로가 짧은 시간마다 바뀜</x:t>
  </x:si>
  <x:si>
    <x:t>남은 기억 방향과 안전 경로를 단계적으로 표시</x:t>
  </x:si>
  <x:si>
    <x:t>부모와 동생에 관한 대화를 마지막 문장까지 진행</x:t>
  </x:si>
  <x:si>
    <x:t>위험 지역 진입 후 체력 0 시 체크포인트 재시작</x:t>
  </x:si>
  <x:si>
    <x:t>낙하 또는 장애물 피격 3회 시 구간 재시작</x:t>
  </x:si>
  <x:si>
    <x:t>발각되지 않거나 추적을 끊고 종료 지점 도착</x:t>
  </x:si>
  <x:si>
    <x:t>구조 대상 체력이 0이 되면 체크포인트 재시작</x:t>
  </x:si>
  <x:si>
    <x:t>누적 수치가 높을 때 감소 가능한 선택을 강조</x:t>
  </x:si>
  <x:si>
    <x:t>오답 선택 누적 시 죄책감 수치와 피격 위험 증가</x:t>
  </x:si>
  <x:si>
    <x:t>필수 물품이 없으면 확인 단계에서 진행 불가</x:t>
  </x:si>
  <x:si>
    <x:t>잘못된 환영 선택 누적 시 자아 마모도 증가</x:t>
  </x:si>
  <x:si>
    <x:t>입력 타이밍 범위를 넓히고 단계 체크포인트 제공</x:t>
  </x:si>
  <x:si>
    <x:t>시민 1명이라도 체력 0이 되면 체크포인트 재시작</x:t>
  </x:si>
  <x:si>
    <x:t>시스템이 완료를 판정할 수 있는 명확한 조건</x:t>
  </x:si>
  <x:si>
    <x:t>잔해마다 필요한 조작과 안전한 제거 순서가 다름</x:t>
  </x:si>
  <x:si>
    <x:t>실패 후 목표 범위 확대와 중간 체크포인트 제공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</x:si>
</x:sst>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"/>
    <x:numFmt numFmtId="165" formatCode="[h]&quot;시간 &quot;m&quot;분 &quot;s&quot;초&quot;"/>
    <x:numFmt numFmtId="166" formatCode="[m]&quot;분 &quot;s&quot;초&quot;"/>
    <x:numFmt numFmtId="167" formatCode="[m]&quot;분 &quot;ss&quot;초&quot;"/>
    <x:numFmt numFmtId="168" formatCode="\&amp;\q\u\o\t"/>
  </x:numFmts>
  <x:fonts count="29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0"/>
      <x:color rgb="ffffffff"/>
      <x:b val="1"/>
    </x:font>
    <x:font>
      <x:name val="Carlito"/>
      <x:sz val="11"/>
      <x:color rgb="ff172b4d"/>
      <x:b val="1"/>
    </x:font>
    <x:font>
      <x:name val="Carlito"/>
      <x:sz val="16"/>
      <x:color rgb="ff000000"/>
      <x:b val="1"/>
    </x:font>
    <x:font>
      <x:name val="Carlito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172b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172b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20"/>
          <x:color rgb="ff1f1f1f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20"/>
          <x:color rgb="ff1f1f1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0"/>
          <x:color rgb="ff666666"/>
          <hs:size val="100"/>
          <hs:ratio val="100"/>
          <hs:spacing val="0"/>
          <hs:offset val="0"/>
        </x:font>
      </mc:Choice>
      <mc:Fallback>
        <x:font>
          <x:name val="Carlito"/>
          <x:sz val="10"/>
          <x:color rgb="ff6666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0"/>
          <x:color rgb="ff404040"/>
          <hs:size val="100"/>
          <hs:ratio val="100"/>
          <hs:spacing val="0"/>
          <hs:offset val="0"/>
        </x:font>
      </mc:Choice>
      <mc:Fallback>
        <x:font>
          <x:name val="Carlito"/>
          <x:sz val="10"/>
          <x:color rgb="ff40404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5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5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6.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6.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3.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3.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2.7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2.7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.2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.2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4.2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4.2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9.7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9.7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0.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0.5"/>
          <x:color rgb="ff000000"/>
          <x:b val="1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334e68"/>
        <x:bgColor indexed="64"/>
      </x:patternFill>
    </x:fill>
    <x:fill>
      <x:patternFill patternType="solid">
        <x:fgColor rgb="ffd9e2f3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cde5ff"/>
        <x:bgColor indexed="64"/>
      </x:patternFill>
    </x:fill>
    <x:fill>
      <x:patternFill patternType="solid">
        <x:fgColor rgb="ffd7ffcd"/>
        <x:bgColor indexed="64"/>
      </x:patternFill>
    </x:fill>
    <x:fill>
      <x:patternFill patternType="solid">
        <x:fgColor rgb="fffffbcd"/>
        <x:bgColor indexed="64"/>
      </x:patternFill>
    </x:fill>
    <x:fill>
      <x:patternFill patternType="solid">
        <x:fgColor rgb="ffffdbd5"/>
        <x:bgColor indexed="64"/>
      </x:patternFill>
    </x:fill>
    <x:fill>
      <x:patternFill patternType="solid">
        <x:fgColor rgb="fff8ddff"/>
        <x:bgColor indexed="64"/>
      </x:patternFill>
    </x:fill>
    <x:fill>
      <x:patternFill patternType="solid">
        <x:fgColor rgb="ff24324a"/>
        <x:bgColor indexed="64"/>
      </x:patternFill>
    </x:fill>
  </x:fills>
  <x:borders count="3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172b4d"/>
      </x:left>
      <x:right>
        <x:color auto="1"/>
      </x:right>
      <x:top style="thin">
        <x:color rgb="ff172b4d"/>
      </x:top>
      <x:bottom style="thin">
        <x:color rgb="ff172b4d"/>
      </x:bottom>
    </x:border>
    <x:border>
      <x:left>
        <x:color auto="1"/>
      </x:left>
      <x:right>
        <x:color auto="1"/>
      </x:right>
      <x:top style="thin">
        <x:color rgb="ff172b4d"/>
      </x:top>
      <x:bottom style="thin">
        <x:color rgb="ff172b4d"/>
      </x:bottom>
    </x:border>
    <x:border>
      <x:left>
        <x:color auto="1"/>
      </x:left>
      <x:right style="thin">
        <x:color rgb="ff172b4d"/>
      </x:right>
      <x:top style="thin">
        <x:color rgb="ff172b4d"/>
      </x:top>
      <x:bottom style="thin">
        <x:color rgb="ff172b4d"/>
      </x:bottom>
    </x:border>
    <x:border>
      <x:left style="thin">
        <x:color rgb="ffc8d1dc"/>
      </x:left>
      <x:right>
        <x:color auto="1"/>
      </x:right>
      <x:top style="thin">
        <x:color rgb="ffc8d1dc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c8d1dc"/>
      </x:top>
      <x:bottom>
        <x:color auto="1"/>
      </x:bottom>
    </x:border>
    <x:border>
      <x:left>
        <x:color auto="1"/>
      </x:left>
      <x:right style="thin">
        <x:color rgb="ffc8d1dc"/>
      </x:right>
      <x:top style="thin">
        <x:color rgb="ffc8d1dc"/>
      </x:top>
      <x:bottom>
        <x:color auto="1"/>
      </x:bottom>
    </x:border>
    <x:border>
      <x:left style="thin">
        <x:color rgb="ffc8d1dc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c8d1dc"/>
      </x:right>
      <x:top>
        <x:color auto="1"/>
      </x:top>
      <x:bottom>
        <x:color auto="1"/>
      </x:bottom>
    </x:border>
    <x:border>
      <x:left style="thin">
        <x:color rgb="ffc8d1dc"/>
      </x:left>
      <x:right>
        <x:color auto="1"/>
      </x:right>
      <x:top>
        <x:color auto="1"/>
      </x:top>
      <x:bottom style="thin">
        <x:color rgb="ffc8d1dc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c8d1dc"/>
      </x:bottom>
    </x:border>
    <x:border>
      <x:left>
        <x:color auto="1"/>
      </x:left>
      <x:right style="thin">
        <x:color rgb="ffc8d1dc"/>
      </x:right>
      <x:top>
        <x:color auto="1"/>
      </x:top>
      <x:bottom style="thin">
        <x:color rgb="ffc8d1dc"/>
      </x:bottom>
    </x:border>
    <x:border>
      <x:left style="thin">
        <x:color rgb="ff7f8fa6"/>
      </x:left>
      <x:right>
        <x:color auto="1"/>
      </x:right>
      <x:top style="thin">
        <x:color rgb="ff7f8fa6"/>
      </x:top>
      <x:bottom style="thin">
        <x:color rgb="ff7f8fa6"/>
      </x:bottom>
    </x:border>
    <x:border>
      <x:left>
        <x:color auto="1"/>
      </x:left>
      <x:right>
        <x:color auto="1"/>
      </x:right>
      <x:top style="thin">
        <x:color rgb="ff7f8fa6"/>
      </x:top>
      <x:bottom style="thin">
        <x:color rgb="ff7f8fa6"/>
      </x:bottom>
    </x:border>
    <x:border>
      <x:left>
        <x:color auto="1"/>
      </x:left>
      <x:right style="thin">
        <x:color rgb="ff7f8fa6"/>
      </x:right>
      <x:top style="thin">
        <x:color rgb="ff7f8fa6"/>
      </x:top>
      <x:bottom style="thin">
        <x:color rgb="ff7f8fa6"/>
      </x:bottom>
    </x:border>
    <x:border>
      <x:left style="thin">
        <x:color rgb="ff000000"/>
      </x:left>
      <x:right>
        <x:color auto="1"/>
      </x:right>
      <x:top style="thin">
        <x:color rgb="ff172b4d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172b4d"/>
      </x:top>
      <x:bottom>
        <x:color auto="1"/>
      </x:bottom>
    </x:border>
    <x:border>
      <x:left style="thin">
        <x:color rgb="ff172b4d"/>
      </x:left>
      <x:right>
        <x:color auto="1"/>
      </x:right>
      <x:top style="thin">
        <x:color rgb="ff172b4d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rgb="ff000000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85"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1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0" xfId="1" applyNumberFormat="1" applyFont="1" applyFill="1" applyBorder="1" applyAlignment="1">
      <x:alignment horizontal="general" vertical="top" wrapText="1"/>
    </x:xf>
    <x:xf numFmtId="0" fontId="0" fillId="0" borderId="4" xfId="1" applyNumberFormat="1" applyFont="1" applyFill="1" applyBorder="1" applyAlignment="1">
      <x:alignment horizontal="general" vertical="top" wrapText="1"/>
    </x:xf>
    <x:xf numFmtId="0" fontId="0" fillId="0" borderId="5" xfId="1" applyNumberFormat="1" applyFont="1" applyFill="1" applyBorder="1" applyAlignment="1">
      <x:alignment horizontal="general" vertical="top" wrapText="1"/>
    </x:xf>
    <x:xf numFmtId="0" fontId="0" fillId="0" borderId="6" xfId="1" applyNumberFormat="1" applyFont="1" applyFill="1" applyBorder="1" applyAlignment="1">
      <x:alignment horizontal="general" vertical="top" wrapText="1"/>
    </x:xf>
    <x:xf numFmtId="0" fontId="0" fillId="0" borderId="7" xfId="1" applyNumberFormat="1" applyFont="1" applyFill="1" applyBorder="1" applyAlignment="1">
      <x:alignment horizontal="general" vertical="top" wrapText="1"/>
    </x:xf>
    <x:xf numFmtId="0" fontId="0" fillId="0" borderId="8" xfId="1" applyNumberFormat="1" applyFont="1" applyFill="1" applyBorder="1" applyAlignment="1">
      <x:alignment horizontal="general" vertical="top" wrapText="1"/>
    </x:xf>
    <x:xf numFmtId="0" fontId="0" fillId="0" borderId="9" xfId="1" applyNumberFormat="1" applyFont="1" applyFill="1" applyBorder="1" applyAlignment="1">
      <x:alignment horizontal="general" vertical="top" wrapText="1"/>
    </x:xf>
    <x:xf numFmtId="0" fontId="0" fillId="0" borderId="10" xfId="1" applyNumberFormat="1" applyFont="1" applyFill="1" applyBorder="1" applyAlignment="1">
      <x:alignment horizontal="general" vertical="top" wrapText="1"/>
    </x:xf>
    <x:xf numFmtId="0" fontId="0" fillId="0" borderId="11" xfId="1" applyNumberFormat="1" applyFont="1" applyFill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7" fillId="3" borderId="1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3" borderId="1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3" borderId="13" xfId="1" applyNumberFormat="1" applyFont="1" applyFill="1" applyBorder="1" applyAlignment="1">
          <x:alignment horizontal="center" vertical="center"/>
        </x:xf>
      </mc:Fallback>
    </mc:AlternateContent>
    <x:xf numFmtId="0" fontId="0" fillId="0" borderId="4" xfId="1" applyNumberFormat="1" applyFont="1" applyFill="1" applyBorder="1">
      <x:alignment horizontal="general" vertical="bottom"/>
    </x:xf>
    <x:xf numFmtId="0" fontId="0" fillId="0" borderId="5" xfId="1" applyNumberFormat="1" applyFont="1" applyFill="1" applyBorder="1">
      <x:alignment horizontal="general" vertical="bottom"/>
    </x:xf>
    <x:xf numFmtId="0" fontId="0" fillId="0" borderId="6" xfId="1" applyNumberFormat="1" applyFont="1" applyFill="1" applyBorder="1">
      <x:alignment horizontal="general" vertical="bottom"/>
    </x:xf>
    <x:xf numFmtId="0" fontId="0" fillId="0" borderId="7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8" xfId="1" applyNumberFormat="1" applyFont="1" applyFill="1" applyBorder="1">
      <x:alignment horizontal="general" vertical="bottom"/>
    </x:xf>
    <x:xf numFmtId="0" fontId="0" fillId="0" borderId="9" xfId="1" applyNumberFormat="1" applyFont="1" applyFill="1" applyBorder="1">
      <x:alignment horizontal="general" vertical="bottom"/>
    </x:xf>
    <x:xf numFmtId="0" fontId="0" fillId="0" borderId="10" xfId="1" applyNumberFormat="1" applyFont="1" applyFill="1" applyBorder="1">
      <x:alignment horizontal="general" vertical="bottom"/>
    </x:xf>
    <x:xf numFmtId="0" fontId="0" fillId="0" borderId="11" xfId="1" applyNumberFormat="1" applyFont="1" applyFill="1" applyBorder="1">
      <x:alignment horizontal="general" vertical="bottom"/>
    </x:xf>
    <x:xf numFmtId="164" fontId="0" fillId="0" borderId="5" xfId="1" applyNumberFormat="1" applyFont="1" applyFill="1" applyBorder="1">
      <x:alignment horizontal="general" vertical="bottom"/>
    </x:xf>
    <x:xf numFmtId="164" fontId="0" fillId="0" borderId="0" xfId="1" applyNumberFormat="1" applyFont="1" applyFill="1" applyBorder="1">
      <x:alignment horizontal="general" vertical="bottom"/>
    </x:xf>
    <x:xf numFmtId="164" fontId="0" fillId="0" borderId="10" xfId="1" applyNumberFormat="1" applyFont="1" applyFill="1" applyBorder="1">
      <x:alignment horizontal="general" vertical="bottom"/>
    </x:xf>
    <x:xf numFmtId="0" fontId="8" fillId="4" borderId="0" xfId="2" applyNumberFormat="1" applyFont="1" applyFill="1" applyAlignment="1">
      <x:alignment horizontal="general" vertical="bottom"/>
    </x:xf>
    <x:xf numFmtId="0" fontId="0" fillId="0" borderId="0" xfId="2" applyNumberFormat="1" applyAlignment="1">
      <x:alignment horizontal="general" vertical="bottom"/>
    </x:xf>
    <x:xf numFmtId="0" fontId="9" fillId="4" borderId="0" xfId="2" applyNumberFormat="1" applyFont="1" applyFill="1" applyAlignment="1">
      <x:alignment horizontal="general" vertical="bottom" wrapText="1"/>
    </x:xf>
    <x:xf numFmtId="0" fontId="10" fillId="0" borderId="0" xfId="2" applyNumberFormat="1" applyFont="1" applyAlignment="1">
      <x:alignment horizontal="general" vertical="bottom"/>
    </x:xf>
    <x:xf numFmtId="0" fontId="11" fillId="0" borderId="0" xfId="0" applyNumberFormat="1" applyFont="1" applyAlignment="1">
      <x:alignment horizontal="general" vertical="center"/>
    </x:xf>
    <x:xf numFmtId="0" fontId="11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" fillId="2" borderId="15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15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16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16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17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17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3" fontId="12" fillId="2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3" fontId="12" fillId="2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19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19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2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2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2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2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8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8" xfId="1" applyNumberFormat="1" applyFont="1" applyBorder="1" applyAlignment="1">
          <x:alignment horizontal="center" vertical="center" wrapText="1"/>
        </x:xf>
      </mc:Fallback>
    </mc:AlternateContent>
    <x:xf numFmtId="0" fontId="13" fillId="0" borderId="18" xfId="1" applyNumberFormat="1" applyFont="1" applyBorder="1" applyAlignment="1">
      <x:alignment horizontal="general" vertical="center" wrapText="1"/>
    </x:xf>
    <x:xf numFmtId="0" fontId="11" fillId="0" borderId="18" xfId="1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5" fontId="11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0" borderId="18" xfId="0" applyNumberFormat="1" applyFont="1" applyBorder="1" applyAlignment="1">
          <x:alignment horizontal="center" vertical="center"/>
        </x:xf>
      </mc:Fallback>
    </mc:AlternateContent>
    <x:xf numFmtId="0" fontId="11" fillId="0" borderId="18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" fontId="11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2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2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2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2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2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2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2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2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2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24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5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5" xfId="1" applyNumberFormat="1" applyFont="1" applyBorder="1" applyAlignment="1">
          <x:alignment horizontal="center" vertical="center" wrapText="1"/>
        </x:xf>
      </mc:Fallback>
    </mc:AlternateContent>
    <x:xf numFmtId="0" fontId="11" fillId="0" borderId="25" xfId="1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5" fontId="11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0" borderId="25" xfId="0" applyNumberFormat="1" applyFont="1" applyBorder="1" applyAlignment="1">
          <x:alignment horizontal="center" vertical="center"/>
        </x:xf>
      </mc:Fallback>
    </mc:AlternateContent>
    <x:xf numFmtId="0" fontId="11" fillId="0" borderId="25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" fontId="11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7" xfId="0" applyNumberFormat="1" applyFont="1" applyBorder="1" applyAlignment="1">
          <x:alignment horizontal="center" vertical="center"/>
        </x:xf>
      </mc:Fallback>
    </mc:AlternateContent>
    <x:xf numFmtId="0" fontId="11" fillId="0" borderId="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1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1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5" fillId="0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5" fillId="0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1" fillId="0" borderId="2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1" fillId="0" borderId="2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2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2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5" fillId="0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5" fillId="0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0" applyNumberFormat="1" applyFont="1" applyFill="1" applyBorder="1" applyAlignment="1" applyProtection="1">
          <x:alignment horizontal="center" vertical="center"/>
        </x:xf>
      </mc:Fallback>
    </mc:AlternateContent>
    <x:xf numFmtId="0" fontId="17" fillId="0" borderId="0" xfId="2" applyNumberFormat="1" applyFont="1" applyFill="1" applyBorder="1" applyAlignment="1">
      <x:alignment horizontal="left" vertical="center"/>
    </x:xf>
    <x:xf numFmtId="0" fontId="0" fillId="0" borderId="0" xfId="2" applyNumberFormat="1" applyAlignment="1">
      <x:alignment horizontal="general" vertical="bottom"/>
    </x:xf>
    <x:xf numFmtId="0" fontId="18" fillId="0" borderId="0" xfId="2" applyNumberFormat="1" applyFont="1" applyFill="1" applyBorder="1" applyAlignment="1">
      <x:alignment horizontal="left" vertical="center" wrapText="1"/>
    </x:xf>
    <x:xf numFmtId="0" fontId="19" fillId="4" borderId="0" xfId="2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1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0" borderId="0" xfId="1" applyNumberFormat="1" applyFont="1" applyFill="1" applyBorder="1" applyAlignment="1">
          <x:alignment horizontal="center" vertical="center"/>
        </x:xf>
      </mc:Fallback>
    </mc:AlternateContent>
  </x:cellXfs>
  <x:cellStyles count="3">
    <x:cellStyle name="표준" xfId="0" builtinId="0"/>
    <x:cellStyle name="Normal" xfId="1"/>
    <x:cellStyle name="표준 2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charts/chart2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  <c:size val="7"/>
          </c:marker>
          <c:val>
            <c:numRef>
              <c:f>'밸런스 문서'!$R$5:$R$123</c:f>
              <c:numCache>
                <c:formatCode>G/표준</c:formatCode>
                <c:ptCount val="119"/>
                <c:pt idx="0">
                  <c:v>1.98</c:v>
                </c:pt>
                <c:pt idx="1">
                  <c:v>3.12</c:v>
                </c:pt>
                <c:pt idx="2">
                  <c:v>6.12</c:v>
                </c:pt>
                <c:pt idx="3">
                  <c:v>9</c:v>
                </c:pt>
                <c:pt idx="4">
                  <c:v>12.42</c:v>
                </c:pt>
                <c:pt idx="5">
                  <c:v>16.38</c:v>
                </c:pt>
                <c:pt idx="6">
                  <c:v>24.18</c:v>
                </c:pt>
                <c:pt idx="7">
                  <c:v>35.52</c:v>
                </c:pt>
                <c:pt idx="8">
                  <c:v>44.28</c:v>
                </c:pt>
                <c:pt idx="9">
                  <c:v>56.58</c:v>
                </c:pt>
                <c:pt idx="10">
                  <c:v>73.32</c:v>
                </c:pt>
                <c:pt idx="11">
                  <c:v>95.58</c:v>
                </c:pt>
                <c:pt idx="12">
                  <c:v>109.62</c:v>
                </c:pt>
                <c:pt idx="13">
                  <c:v>136.5</c:v>
                </c:pt>
                <c:pt idx="14">
                  <c:v>161.88</c:v>
                </c:pt>
                <c:pt idx="15">
                  <c:v>180</c:v>
                </c:pt>
                <c:pt idx="16">
                  <c:v>224.28</c:v>
                </c:pt>
                <c:pt idx="17">
                  <c:v>267.72</c:v>
                </c:pt>
                <c:pt idx="18">
                  <c:v>296.82</c:v>
                </c:pt>
                <c:pt idx="19">
                  <c:v>327.42</c:v>
                </c:pt>
                <c:pt idx="20">
                  <c:v>372.78</c:v>
                </c:pt>
                <c:pt idx="21">
                  <c:v>421.08</c:v>
                </c:pt>
                <c:pt idx="22">
                  <c:v>487.5</c:v>
                </c:pt>
                <c:pt idx="23">
                  <c:v>526.5</c:v>
                </c:pt>
                <c:pt idx="24">
                  <c:v>575.28</c:v>
                </c:pt>
                <c:pt idx="25">
                  <c:v>617.58</c:v>
                </c:pt>
                <c:pt idx="26">
                  <c:v>652.5</c:v>
                </c:pt>
                <c:pt idx="27">
                  <c:v>688.38</c:v>
                </c:pt>
                <c:pt idx="28">
                  <c:v>744</c:v>
                </c:pt>
                <c:pt idx="29">
                  <c:v>782.28</c:v>
                </c:pt>
                <c:pt idx="30">
                  <c:v>871.92</c:v>
                </c:pt>
                <c:pt idx="31">
                  <c:v>966.42</c:v>
                </c:pt>
                <c:pt idx="32">
                  <c:v>1065.78</c:v>
                </c:pt>
                <c:pt idx="33">
                  <c:v>1123.08</c:v>
                </c:pt>
                <c:pt idx="34">
                  <c:v>1217.88</c:v>
                </c:pt>
                <c:pt idx="35">
                  <c:v>1291.5</c:v>
                </c:pt>
                <c:pt idx="36">
                  <c:v>1419</c:v>
                </c:pt>
                <c:pt idx="37">
                  <c:v>1498.38</c:v>
                </c:pt>
                <c:pt idx="38">
                  <c:v>1579.92</c:v>
                </c:pt>
                <c:pt idx="39">
                  <c:v>1663.62</c:v>
                </c:pt>
                <c:pt idx="40">
                  <c:v>1778.58</c:v>
                </c:pt>
                <c:pt idx="41">
                  <c:v>1927.68</c:v>
                </c:pt>
                <c:pt idx="42">
                  <c:v>2082.78</c:v>
                </c:pt>
                <c:pt idx="43">
                  <c:v>2178.72</c:v>
                </c:pt>
                <c:pt idx="44">
                  <c:v>2276.82</c:v>
                </c:pt>
                <c:pt idx="45">
                  <c:v>2410.98</c:v>
                </c:pt>
                <c:pt idx="46">
                  <c:v>2531.52</c:v>
                </c:pt>
                <c:pt idx="47">
                  <c:v>2601.72</c:v>
                </c:pt>
                <c:pt idx="48">
                  <c:v>2672.88</c:v>
                </c:pt>
                <c:pt idx="49">
                  <c:v>2799.72</c:v>
                </c:pt>
                <c:pt idx="50">
                  <c:v>2948.28</c:v>
                </c:pt>
                <c:pt idx="51">
                  <c:v>3139.38</c:v>
                </c:pt>
                <c:pt idx="52">
                  <c:v>3296.58</c:v>
                </c:pt>
                <c:pt idx="53">
                  <c:v>3519</c:v>
                </c:pt>
                <c:pt idx="54">
                  <c:v>3727.5</c:v>
                </c:pt>
                <c:pt idx="55">
                  <c:v>3920.28</c:v>
                </c:pt>
                <c:pt idx="56">
                  <c:v>4162.5</c:v>
                </c:pt>
                <c:pt idx="57">
                  <c:v>4320.42</c:v>
                </c:pt>
                <c:pt idx="58">
                  <c:v>4504.5</c:v>
                </c:pt>
                <c:pt idx="59">
                  <c:v>4668.72</c:v>
                </c:pt>
                <c:pt idx="60">
                  <c:v>4835.88</c:v>
                </c:pt>
                <c:pt idx="61">
                  <c:v>5055.12</c:v>
                </c:pt>
                <c:pt idx="62">
                  <c:v>5254.08</c:v>
                </c:pt>
                <c:pt idx="63">
                  <c:v>5431.32</c:v>
                </c:pt>
                <c:pt idx="64">
                  <c:v>5585.58</c:v>
                </c:pt>
                <c:pt idx="65">
                  <c:v>5821.02</c:v>
                </c:pt>
                <c:pt idx="66">
                  <c:v>6088.32</c:v>
                </c:pt>
                <c:pt idx="67">
                  <c:v>6389.28</c:v>
                </c:pt>
                <c:pt idx="68">
                  <c:v>6697.5</c:v>
                </c:pt>
                <c:pt idx="69">
                  <c:v>7071.12</c:v>
                </c:pt>
                <c:pt idx="70">
                  <c:v>7246.98</c:v>
                </c:pt>
                <c:pt idx="71">
                  <c:v>7605.18</c:v>
                </c:pt>
                <c:pt idx="72">
                  <c:v>7787.52</c:v>
                </c:pt>
                <c:pt idx="73">
                  <c:v>8002.98</c:v>
                </c:pt>
                <c:pt idx="74">
                  <c:v>8221.38</c:v>
                </c:pt>
                <c:pt idx="75">
                  <c:v>8410.92</c:v>
                </c:pt>
                <c:pt idx="76">
                  <c:v>8634.78</c:v>
                </c:pt>
                <c:pt idx="77">
                  <c:v>8894.22</c:v>
                </c:pt>
                <c:pt idx="78">
                  <c:v>9190.68</c:v>
                </c:pt>
                <c:pt idx="79">
                  <c:v>9559.62</c:v>
                </c:pt>
                <c:pt idx="80">
                  <c:v>9970.38</c:v>
                </c:pt>
                <c:pt idx="81">
                  <c:v>10354.5</c:v>
                </c:pt>
                <c:pt idx="82">
                  <c:v>10745.88</c:v>
                </c:pt>
                <c:pt idx="83">
                  <c:v>10998.72</c:v>
                </c:pt>
                <c:pt idx="84">
                  <c:v>11401.98</c:v>
                </c:pt>
                <c:pt idx="85">
                  <c:v>11887.92</c:v>
                </c:pt>
                <c:pt idx="86">
                  <c:v>12307.02</c:v>
                </c:pt>
                <c:pt idx="87">
                  <c:v>12616.38</c:v>
                </c:pt>
                <c:pt idx="88">
                  <c:v>13048.02</c:v>
                </c:pt>
                <c:pt idx="89">
                  <c:v>13486.92</c:v>
                </c:pt>
                <c:pt idx="90">
                  <c:v>13770</c:v>
                </c:pt>
                <c:pt idx="91">
                  <c:v>14469.72</c:v>
                </c:pt>
                <c:pt idx="92">
                  <c:v>15101.52</c:v>
                </c:pt>
                <c:pt idx="93">
                  <c:v>15877.5</c:v>
                </c:pt>
                <c:pt idx="94">
                  <c:v>16539</c:v>
                </c:pt>
                <c:pt idx="95">
                  <c:v>17032.68</c:v>
                </c:pt>
                <c:pt idx="96">
                  <c:v>17350.62</c:v>
                </c:pt>
                <c:pt idx="97">
                  <c:v>17763.72</c:v>
                </c:pt>
                <c:pt idx="98">
                  <c:v>18275.22</c:v>
                </c:pt>
                <c:pt idx="99">
                  <c:v>18604.5</c:v>
                </c:pt>
                <c:pt idx="100">
                  <c:v>18936.72</c:v>
                </c:pt>
                <c:pt idx="101">
                  <c:v>19368.18</c:v>
                </c:pt>
                <c:pt idx="102">
                  <c:v>19902.12</c:v>
                </c:pt>
                <c:pt idx="103">
                  <c:v>20393.82</c:v>
                </c:pt>
                <c:pt idx="104">
                  <c:v>21042</c:v>
                </c:pt>
                <c:pt idx="105">
                  <c:v>21649.32</c:v>
                </c:pt>
                <c:pt idx="106">
                  <c:v>22420.62</c:v>
                </c:pt>
                <c:pt idx="107">
                  <c:v>23416.98</c:v>
                </c:pt>
                <c:pt idx="108">
                  <c:v>24003.72</c:v>
                </c:pt>
                <c:pt idx="109">
                  <c:v>24597.72</c:v>
                </c:pt>
                <c:pt idx="110">
                  <c:v>25144.02</c:v>
                </c:pt>
                <c:pt idx="111">
                  <c:v>25640.82</c:v>
                </c:pt>
                <c:pt idx="112">
                  <c:v>26310.78</c:v>
                </c:pt>
                <c:pt idx="113">
                  <c:v>26989.38</c:v>
                </c:pt>
                <c:pt idx="114">
                  <c:v>27792</c:v>
                </c:pt>
                <c:pt idx="115">
                  <c:v>28255.92</c:v>
                </c:pt>
                <c:pt idx="116">
                  <c:v>28841.22</c:v>
                </c:pt>
                <c:pt idx="117">
                  <c:v>29551.5</c:v>
                </c:pt>
                <c:pt idx="118">
                  <c:v>30150</c:v>
                </c:pt>
              </c:numCache>
            </c:numRef>
          </c:val>
          <c:smooth val="0"/>
        </c:ser>
        <c:dLbls>
          <c:delete val="0"/>
          <c:dLblPos val="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smooth val="0"/>
        <c:axId val="1588924160"/>
        <c:axId val="1280682000"/>
      </c:lineChart>
      <c:catAx>
        <c:axId val="1588924160"/>
        <c:scaling>
          <c:orientation val="minMax"/>
        </c:scaling>
        <c:axPos val="b"/>
        <c:crossAx val="1280682000"/>
        <c:delete val="0"/>
        <c:numFmt formatCode="G/표준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1280682000"/>
        <c:scaling>
          <c:orientation val="minMax"/>
        </c:scaling>
        <c:axPos val="l"/>
        <c:crossAx val="1588924160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/표준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게임 시작부터 엔딩까지의 조작난이도·재미율</a:t>
            </a:r>
            <a:endParaRPr/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조작난이도</c:v>
          </c:tx>
          <c:marker>
            <c:symbol val="diamond"/>
            <c:size val="7"/>
          </c:marker>
          <c:cat>
            <c:numRef>
              <c:f>'밸런스 곡선'!$A$15:$A$133</c:f>
              <c:numCache>
                <c:formatCode>G/표준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'밸런스 곡선'!$B$15:$B$133</c:f>
              <c:numCache>
                <c:formatCode>G/표준</c:formatCode>
                <c:ptCount val="1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4</c:v>
                </c:pt>
                <c:pt idx="56">
                  <c:v>6</c:v>
                </c:pt>
                <c:pt idx="57">
                  <c:v>2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4</c:v>
                </c:pt>
                <c:pt idx="66">
                  <c:v>4</c:v>
                </c:pt>
                <c:pt idx="67">
                  <c:v>6</c:v>
                </c:pt>
                <c:pt idx="68">
                  <c:v>5</c:v>
                </c:pt>
                <c:pt idx="69">
                  <c:v>6</c:v>
                </c:pt>
                <c:pt idx="70">
                  <c:v>1</c:v>
                </c:pt>
                <c:pt idx="71">
                  <c:v>4</c:v>
                </c:pt>
                <c:pt idx="72">
                  <c:v>1</c:v>
                </c:pt>
                <c:pt idx="73">
                  <c:v>3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4</c:v>
                </c:pt>
                <c:pt idx="80">
                  <c:v>6</c:v>
                </c:pt>
                <c:pt idx="81">
                  <c:v>3</c:v>
                </c:pt>
                <c:pt idx="82">
                  <c:v>5</c:v>
                </c:pt>
                <c:pt idx="83">
                  <c:v>4</c:v>
                </c:pt>
                <c:pt idx="84">
                  <c:v>3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3</c:v>
                </c:pt>
                <c:pt idx="91">
                  <c:v>8</c:v>
                </c:pt>
                <c:pt idx="92">
                  <c:v>8</c:v>
                </c:pt>
                <c:pt idx="93">
                  <c:v>9</c:v>
                </c:pt>
                <c:pt idx="94">
                  <c:v>8</c:v>
                </c:pt>
                <c:pt idx="95">
                  <c:v>7</c:v>
                </c:pt>
                <c:pt idx="96">
                  <c:v>1</c:v>
                </c:pt>
                <c:pt idx="97">
                  <c:v>2</c:v>
                </c:pt>
                <c:pt idx="98">
                  <c:v>6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5</c:v>
                </c:pt>
                <c:pt idx="103">
                  <c:v>6</c:v>
                </c:pt>
                <c:pt idx="104">
                  <c:v>5</c:v>
                </c:pt>
                <c:pt idx="105">
                  <c:v>2</c:v>
                </c:pt>
                <c:pt idx="106">
                  <c:v>7</c:v>
                </c:pt>
                <c:pt idx="107">
                  <c:v>9</c:v>
                </c:pt>
                <c:pt idx="108">
                  <c:v>6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4</c:v>
                </c:pt>
                <c:pt idx="113">
                  <c:v>7</c:v>
                </c:pt>
                <c:pt idx="114">
                  <c:v>6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재미율</c:v>
          </c:tx>
          <c:marker>
            <c:symbol val="square"/>
            <c:size val="7"/>
          </c:marker>
          <c:cat>
            <c:numRef>
              <c:f>'밸런스 곡선'!$A$15:$A$133</c:f>
              <c:numCache>
                <c:formatCode>G/표준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'밸런스 곡선'!$C$15:$C$133</c:f>
              <c:numCache>
                <c:formatCode>G/표준</c:formatCode>
                <c:ptCount val="119"/>
                <c:pt idx="0">
                  <c:v>7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6</c:v>
                </c:pt>
                <c:pt idx="20">
                  <c:v>5</c:v>
                </c:pt>
                <c:pt idx="21">
                  <c:v>7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7</c:v>
                </c:pt>
                <c:pt idx="36">
                  <c:v>8</c:v>
                </c:pt>
                <c:pt idx="37">
                  <c:v>8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9</c:v>
                </c:pt>
                <c:pt idx="45">
                  <c:v>9</c:v>
                </c:pt>
                <c:pt idx="46">
                  <c:v>6</c:v>
                </c:pt>
                <c:pt idx="47">
                  <c:v>6</c:v>
                </c:pt>
                <c:pt idx="48">
                  <c:v>8</c:v>
                </c:pt>
                <c:pt idx="49">
                  <c:v>7</c:v>
                </c:pt>
                <c:pt idx="50">
                  <c:v>7</c:v>
                </c:pt>
                <c:pt idx="51">
                  <c:v>9</c:v>
                </c:pt>
                <c:pt idx="52">
                  <c:v>8</c:v>
                </c:pt>
                <c:pt idx="53">
                  <c:v>9</c:v>
                </c:pt>
                <c:pt idx="54">
                  <c:v>9</c:v>
                </c:pt>
                <c:pt idx="55">
                  <c:v>8</c:v>
                </c:pt>
                <c:pt idx="56">
                  <c:v>9</c:v>
                </c:pt>
                <c:pt idx="57">
                  <c:v>8</c:v>
                </c:pt>
                <c:pt idx="58">
                  <c:v>8</c:v>
                </c:pt>
                <c:pt idx="59">
                  <c:v>7</c:v>
                </c:pt>
                <c:pt idx="60">
                  <c:v>8</c:v>
                </c:pt>
                <c:pt idx="61">
                  <c:v>9</c:v>
                </c:pt>
                <c:pt idx="62">
                  <c:v>9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9</c:v>
                </c:pt>
                <c:pt idx="69">
                  <c:v>9</c:v>
                </c:pt>
                <c:pt idx="70">
                  <c:v>7</c:v>
                </c:pt>
                <c:pt idx="71">
                  <c:v>7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7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8</c:v>
                </c:pt>
                <c:pt idx="83">
                  <c:v>8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9</c:v>
                </c:pt>
                <c:pt idx="99">
                  <c:v>8</c:v>
                </c:pt>
                <c:pt idx="100">
                  <c:v>8</c:v>
                </c:pt>
                <c:pt idx="101">
                  <c:v>9</c:v>
                </c:pt>
                <c:pt idx="102">
                  <c:v>9</c:v>
                </c:pt>
                <c:pt idx="103">
                  <c:v>10</c:v>
                </c:pt>
                <c:pt idx="104">
                  <c:v>9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9</c:v>
                </c:pt>
                <c:pt idx="118">
                  <c:v>9</c:v>
                </c:pt>
              </c:numCache>
            </c:numRef>
          </c:val>
          <c:smooth val="0"/>
        </c:ser>
        <c:dLbls>
          <c:delete val="0"/>
          <c:dLblPos val="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/표준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legend>
      <c:legendPos val="b"/>
      <c:layout/>
      <c:overlay val="0"/>
    </c:legend>
    <c:plotVisOnly val="0"/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chart" Target="../charts/chart2.xml"  /></Relationships>
</file>

<file path=xl/drawings/_rels/drawing5.xml.rels><?xml version="1.0" encoding="UTF-8" standalone="yes" ?><Relationships xmlns="http://schemas.openxmlformats.org/package/2006/relationships"><Relationship Id="rId1" Type="http://schemas.openxmlformats.org/officeDocument/2006/relationships/chart" Target="../charts/chart3.xml"  /></Relationships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13</xdr:col>
      <xdr:colOff>295275</xdr:colOff>
      <xdr:row>0</xdr:row>
      <xdr:rowOff>57150</xdr:rowOff>
    </xdr:from>
    <xdr:to>
      <xdr:col>14</xdr:col>
      <xdr:colOff>904875</xdr:colOff>
      <xdr:row>2</xdr:row>
      <xdr:rowOff>352425</xdr:rowOff>
    </xdr:to>
    <xdr:graphicFrame fPublished="0">
      <xdr:nvGraphicFramePr>
        <xdr:cNvPr id="2" name="차트 1"/>
        <xdr:cNvGraphicFramePr/>
      </xdr:nvGraphicFramePr>
      <xdr:xfrm>
        <a:off x="54806848" y="114300"/>
        <a:ext cx="4267200" cy="24574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drawings/drawing4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fLocksText="1" fPublished="0">
      <xdr:nvSpPr>
        <xdr:cNvPr id="2" name="밸런스팩터_01"/>
        <xdr:cNvSpPr>
          <a:spLocks noGrp="1" noRot="1"/>
        </xdr:cNvSpPr>
      </xdr:nvSpPr>
      <xdr:spPr>
        <a:xfrm>
          <a:off x="13854545" y="9455727"/>
          <a:ext cx="5385954" cy="5264727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퀘스트 동선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레벨디자인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오브젝트 배치</a:t>
          </a:r>
        </a:p>
      </xdr:txBody>
    </xdr:sp>
    <xdr:clientData fLocksWithSheet="1" fPrintsWithSheet="1"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fLocksText="1" fPublished="0">
      <xdr:nvSpPr>
        <xdr:cNvPr id="3" name="밸런스팩터_02"/>
        <xdr:cNvSpPr>
          <a:spLocks noGrp="1" noRot="1"/>
        </xdr:cNvSpPr>
      </xdr:nvSpPr>
      <xdr:spPr>
        <a:xfrm>
          <a:off x="10079181" y="13092545"/>
          <a:ext cx="4416136" cy="432954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공원 쓰레기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개수·배치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분리수거 규칙</a:t>
          </a:r>
        </a:p>
      </xdr:txBody>
    </xdr:sp>
    <xdr:clientData fLocksWithSheet="1" fPrintsWithSheet="1"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fLocksText="1" fPublished="0">
      <xdr:nvSpPr>
        <xdr:cNvPr id="4" name="밸런스팩터_03"/>
        <xdr:cNvSpPr>
          <a:spLocks noGrp="1" noRot="1"/>
        </xdr:cNvSpPr>
      </xdr:nvSpPr>
      <xdr:spPr>
        <a:xfrm>
          <a:off x="19742728" y="10027227"/>
          <a:ext cx="4416136" cy="4312227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선의 감소량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자아 마모도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회복 수단</a:t>
          </a:r>
        </a:p>
      </xdr:txBody>
    </xdr:sp>
    <xdr:clientData fLocksWithSheet="1" fPrintsWithSheet="1"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fLocksText="1" fPublished="0">
      <xdr:nvSpPr>
        <xdr:cNvPr id="5" name="밸런스팩터_04"/>
        <xdr:cNvSpPr>
          <a:spLocks noGrp="1" noRot="1"/>
        </xdr:cNvSpPr>
      </xdr:nvSpPr>
      <xdr:spPr>
        <a:xfrm>
          <a:off x="18980726" y="5559136"/>
          <a:ext cx="4139045" cy="40351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몬스터 개수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배치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공격 판정</a:t>
          </a:r>
        </a:p>
      </xdr:txBody>
    </xdr:sp>
    <xdr:clientData fLocksWithSheet="1" fPrintsWithSheet="1"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fLocksText="1" fPublished="0">
      <xdr:nvSpPr>
        <xdr:cNvPr id="6" name="밸런스팩터_05"/>
        <xdr:cNvSpPr>
          <a:spLocks noGrp="1" noRot="1"/>
        </xdr:cNvSpPr>
      </xdr:nvSpPr>
      <xdr:spPr>
        <a:xfrm>
          <a:off x="9040091" y="8918863"/>
          <a:ext cx="3948545" cy="38446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이벤트 템포</a:t>
          </a:r>
        </a:p>
      </xdr:txBody>
    </xdr:sp>
    <xdr:clientData fLocksWithSheet="1" fPrintsWithSheet="1"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fLocksText="1" fPublished="0">
      <xdr:nvSpPr>
        <xdr:cNvPr id="7" name="밸런스팩터_06"/>
        <xdr:cNvSpPr>
          <a:spLocks noGrp="1" noRot="1"/>
        </xdr:cNvSpPr>
      </xdr:nvSpPr>
      <xdr:spPr>
        <a:xfrm>
          <a:off x="15932728" y="3602182"/>
          <a:ext cx="2892136" cy="2822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PC 이동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속도</a:t>
          </a:r>
        </a:p>
      </xdr:txBody>
    </xdr:sp>
    <xdr:clientData fLocksWithSheet="1" fPrintsWithSheet="1"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fLocksText="1" fPublished="0">
      <xdr:nvSpPr>
        <xdr:cNvPr id="8" name="밸런스팩터_07"/>
        <xdr:cNvSpPr>
          <a:spLocks noGrp="1" noRot="1"/>
        </xdr:cNvSpPr>
      </xdr:nvSpPr>
      <xdr:spPr>
        <a:xfrm>
          <a:off x="21197454" y="2892136"/>
          <a:ext cx="2597727" cy="25284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달리기 속도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지속시간</a:t>
          </a:r>
        </a:p>
      </xdr:txBody>
    </xdr:sp>
    <xdr:clientData fLocksWithSheet="1" fPrintsWithSheet="1"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fLocksText="1" fPublished="0">
      <xdr:nvSpPr>
        <xdr:cNvPr id="9" name="밸런스팩터_08"/>
        <xdr:cNvSpPr>
          <a:spLocks noGrp="1" noRot="1"/>
        </xdr:cNvSpPr>
      </xdr:nvSpPr>
      <xdr:spPr>
        <a:xfrm>
          <a:off x="24972818" y="3013363"/>
          <a:ext cx="2788227" cy="2736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425" b="1">
              <a:solidFill>
                <a:srgbClr val="000000"/>
              </a:solidFill>
              <a:latin typeface="Carlito"/>
              <a:ea typeface="Carlito"/>
            </a:rPr>
            <a:t>맵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425" b="1">
              <a:solidFill>
                <a:srgbClr val="000000"/>
              </a:solidFill>
              <a:latin typeface="Carlito"/>
              <a:ea typeface="Carlito"/>
            </a:rPr>
            <a:t>크기</a:t>
          </a:r>
        </a:p>
      </xdr:txBody>
    </xdr:sp>
    <xdr:clientData fLocksWithSheet="1" fPrintsWithSheet="1"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fLocksText="1" fPublished="0">
      <xdr:nvSpPr>
        <xdr:cNvPr id="10" name="밸런스팩터_09"/>
        <xdr:cNvSpPr>
          <a:spLocks noGrp="1" noRot="1"/>
        </xdr:cNvSpPr>
      </xdr:nvSpPr>
      <xdr:spPr>
        <a:xfrm>
          <a:off x="8035636" y="1662545"/>
          <a:ext cx="2701636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카메라 시야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가시성</a:t>
          </a:r>
        </a:p>
      </xdr:txBody>
    </xdr:sp>
    <xdr:clientData fLocksWithSheet="1" fPrintsWithSheet="1"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fLocksText="1" fPublished="0">
      <xdr:nvSpPr>
        <xdr:cNvPr id="11" name="밸런스팩터_10"/>
        <xdr:cNvSpPr>
          <a:spLocks noGrp="1" noRot="1"/>
        </xdr:cNvSpPr>
      </xdr:nvSpPr>
      <xdr:spPr>
        <a:xfrm>
          <a:off x="6234545" y="8174182"/>
          <a:ext cx="2684318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트리거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위치</a:t>
          </a:r>
        </a:p>
      </xdr:txBody>
    </xdr:sp>
    <xdr:clientData fLocksWithSheet="1" fPrintsWithSheet="1"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fLocksText="1" fPublished="0">
      <xdr:nvSpPr>
        <xdr:cNvPr id="12" name="밸런스팩터_11"/>
        <xdr:cNvSpPr>
          <a:spLocks noGrp="1" noRot="1"/>
        </xdr:cNvSpPr>
      </xdr:nvSpPr>
      <xdr:spPr>
        <a:xfrm>
          <a:off x="6927272" y="12001500"/>
          <a:ext cx="2684318" cy="261504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상호작용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범위</a:t>
          </a:r>
        </a:p>
      </xdr:txBody>
    </xdr:sp>
    <xdr:clientData fLocksWithSheet="1" fPrintsWithSheet="1"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fLocksText="1" fPublished="0">
      <xdr:nvSpPr>
        <xdr:cNvPr id="13" name="밸런스팩터_12"/>
        <xdr:cNvSpPr>
          <a:spLocks noGrp="1" noRot="1"/>
        </xdr:cNvSpPr>
      </xdr:nvSpPr>
      <xdr:spPr>
        <a:xfrm>
          <a:off x="11083636" y="2701636"/>
          <a:ext cx="2684318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목표 표시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힌트량</a:t>
          </a:r>
        </a:p>
      </xdr:txBody>
    </xdr:sp>
    <xdr:clientData fLocksWithSheet="1" fPrintsWithSheet="1"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fLocksText="1" fPublished="0">
      <xdr:nvSpPr>
        <xdr:cNvPr id="14" name="밸런스팩터_13"/>
        <xdr:cNvSpPr>
          <a:spLocks noGrp="1" noRot="1"/>
        </xdr:cNvSpPr>
      </xdr:nvSpPr>
      <xdr:spPr>
        <a:xfrm>
          <a:off x="8763000" y="6147954"/>
          <a:ext cx="2407227" cy="23379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NPC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밀도</a:t>
          </a:r>
        </a:p>
      </xdr:txBody>
    </xdr:sp>
    <xdr:clientData fLocksWithSheet="1" fPrintsWithSheet="1"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fLocksText="1" fPublished="0">
      <xdr:nvSpPr>
        <xdr:cNvPr id="15" name="밸런스팩터_14"/>
        <xdr:cNvSpPr>
          <a:spLocks noGrp="1" noRot="1"/>
        </xdr:cNvSpPr>
      </xdr:nvSpPr>
      <xdr:spPr>
        <a:xfrm>
          <a:off x="7810500" y="15915409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미니게임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제한 시간</a:t>
          </a:r>
        </a:p>
      </xdr:txBody>
    </xdr:sp>
    <xdr:clientData fLocksWithSheet="1" fPrintsWithSheet="1"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fLocksText="1" fPublished="0">
      <xdr:nvSpPr>
        <xdr:cNvPr id="16" name="밸런스팩터_15"/>
        <xdr:cNvSpPr>
          <a:spLocks noGrp="1" noRot="1"/>
        </xdr:cNvSpPr>
      </xdr:nvSpPr>
      <xdr:spPr>
        <a:xfrm>
          <a:off x="14789728" y="15014864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미션 실패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패널티</a:t>
          </a:r>
        </a:p>
      </xdr:txBody>
    </xdr:sp>
    <xdr:clientData fLocksWithSheet="1" fPrintsWithSheet="1"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fLocksText="1" fPublished="0">
      <xdr:nvSpPr>
        <xdr:cNvPr id="17" name="밸런스팩터_16"/>
        <xdr:cNvSpPr>
          <a:spLocks noGrp="1" noRot="1"/>
        </xdr:cNvSpPr>
      </xdr:nvSpPr>
      <xdr:spPr>
        <a:xfrm>
          <a:off x="16140545" y="6909954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칭찬·보상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빈도</a:t>
          </a:r>
        </a:p>
      </xdr:txBody>
    </xdr:sp>
    <xdr:clientData fLocksWithSheet="1" fPrintsWithSheet="1"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fLocksText="1" fPublished="0">
      <xdr:nvSpPr>
        <xdr:cNvPr id="18" name="밸런스팩터_17"/>
        <xdr:cNvSpPr>
          <a:spLocks noGrp="1" noRot="1"/>
        </xdr:cNvSpPr>
      </xdr:nvSpPr>
      <xdr:spPr>
        <a:xfrm>
          <a:off x="14010409" y="1801091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체크포인트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간격</a:t>
          </a:r>
        </a:p>
      </xdr:txBody>
    </xdr:sp>
    <xdr:clientData fLocksWithSheet="1" fPrintsWithSheet="1"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fLocksText="1" fPublished="0">
      <xdr:nvSpPr>
        <xdr:cNvPr id="19" name="밸런스팩터_18"/>
        <xdr:cNvSpPr>
          <a:spLocks noGrp="1" noRot="1"/>
        </xdr:cNvSpPr>
      </xdr:nvSpPr>
      <xdr:spPr>
        <a:xfrm>
          <a:off x="18010910" y="18166772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선택지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영향도</a:t>
          </a:r>
        </a:p>
      </xdr:txBody>
    </xdr:sp>
    <xdr:clientData fLocksWithSheet="1" fPrintsWithSheet="1"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fLocksText="1" fPublished="0">
      <xdr:nvSpPr>
        <xdr:cNvPr id="20" name="밸런스팩터_19"/>
        <xdr:cNvSpPr>
          <a:spLocks noGrp="1" noRot="1"/>
        </xdr:cNvSpPr>
      </xdr:nvSpPr>
      <xdr:spPr>
        <a:xfrm>
          <a:off x="23587362" y="6061364"/>
          <a:ext cx="2597727" cy="25284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보스 패턴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속도</a:t>
          </a:r>
        </a:p>
      </xdr:txBody>
    </xdr:sp>
    <xdr:clientData fLocksWithSheet="1" fPrintsWithSheet="1"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fLocksText="1" fPublished="0">
      <xdr:nvSpPr>
        <xdr:cNvPr id="21" name="밸런스팩터_20"/>
        <xdr:cNvSpPr>
          <a:spLocks noGrp="1" noRot="1"/>
        </xdr:cNvSpPr>
      </xdr:nvSpPr>
      <xdr:spPr>
        <a:xfrm>
          <a:off x="10061864" y="17526000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퍼즐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힌트량</a:t>
          </a:r>
        </a:p>
      </xdr:txBody>
    </xdr:sp>
    <xdr:clientData fLocksWithSheet="1" fPrintsWithSheet="1"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fLocksText="1" fPublished="0">
      <xdr:nvSpPr>
        <xdr:cNvPr id="22" name="밸런스팩터_21"/>
        <xdr:cNvSpPr>
          <a:spLocks noGrp="1" noRot="1"/>
        </xdr:cNvSpPr>
      </xdr:nvSpPr>
      <xdr:spPr>
        <a:xfrm>
          <a:off x="24089590" y="8970818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균열 발생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타이밍</a:t>
          </a:r>
        </a:p>
      </xdr:txBody>
    </xdr:sp>
    <xdr:clientData fLocksWithSheet="1" fPrintsWithSheet="1"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fLocksText="1" fPublished="0">
      <xdr:nvSpPr>
        <xdr:cNvPr id="23" name="밸런스팩터_22"/>
        <xdr:cNvSpPr>
          <a:spLocks noGrp="1" noRot="1"/>
        </xdr:cNvSpPr>
      </xdr:nvSpPr>
      <xdr:spPr>
        <a:xfrm>
          <a:off x="3671454" y="4364181"/>
          <a:ext cx="2407227" cy="2355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975" b="1">
              <a:solidFill>
                <a:srgbClr val="000000"/>
              </a:solidFill>
              <a:latin typeface="Carlito"/>
              <a:ea typeface="Carlito"/>
            </a:rPr>
            <a:t>회색 후드 NPC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975" b="1">
              <a:solidFill>
                <a:srgbClr val="000000"/>
              </a:solidFill>
              <a:latin typeface="Carlito"/>
              <a:ea typeface="Carlito"/>
            </a:rPr>
            <a:t>구분 난도</a:t>
          </a:r>
        </a:p>
      </xdr:txBody>
    </xdr:sp>
    <xdr:clientData fLocksWithSheet="1" fPrintsWithSheet="1"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fLocksText="1" fPublished="0">
      <xdr:nvSpPr>
        <xdr:cNvPr id="24" name="밸런스팩터_23"/>
        <xdr:cNvSpPr>
          <a:spLocks noGrp="1" noRot="1"/>
        </xdr:cNvSpPr>
      </xdr:nvSpPr>
      <xdr:spPr>
        <a:xfrm>
          <a:off x="3827318" y="9975273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편의점 재고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연출 타이밍</a:t>
          </a:r>
        </a:p>
      </xdr:txBody>
    </xdr:sp>
    <xdr:clientData fLocksWithSheet="1" fPrintsWithSheet="1"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fLocksText="1" fPublished="0">
      <xdr:nvSpPr>
        <xdr:cNvPr id="25" name="밸런스팩터_24"/>
        <xdr:cNvSpPr>
          <a:spLocks noGrp="1" noRot="1"/>
        </xdr:cNvSpPr>
      </xdr:nvSpPr>
      <xdr:spPr>
        <a:xfrm>
          <a:off x="3498272" y="7239000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물류 트럭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이동 속도</a:t>
          </a:r>
        </a:p>
      </xdr:txBody>
    </xdr:sp>
    <xdr:clientData fLocksWithSheet="1" fPrintsWithSheet="1"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fLocksText="1" fPublished="0">
      <xdr:nvSpPr>
        <xdr:cNvPr id="26" name="밸런스팩터_25"/>
        <xdr:cNvSpPr>
          <a:spLocks noGrp="1" noRot="1"/>
        </xdr:cNvSpPr>
      </xdr:nvSpPr>
      <xdr:spPr>
        <a:xfrm>
          <a:off x="6684818" y="4416136"/>
          <a:ext cx="2320636" cy="2251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오픈런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경쟁</a:t>
          </a:r>
        </a:p>
      </xdr:txBody>
    </xdr:sp>
    <xdr:clientData fLocksWithSheet="1" fPrintsWithSheet="1"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fLocksText="1" fPublished="0">
      <xdr:nvSpPr>
        <xdr:cNvPr id="27" name="밸런스팩터_26"/>
        <xdr:cNvSpPr>
          <a:spLocks noGrp="1" noRot="1"/>
        </xdr:cNvSpPr>
      </xdr:nvSpPr>
      <xdr:spPr>
        <a:xfrm>
          <a:off x="16746681" y="969818"/>
          <a:ext cx="2389909" cy="2355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사운드·시각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경고 강도</a:t>
          </a:r>
        </a:p>
      </xdr:txBody>
    </xdr:sp>
    <xdr:clientData fLocksWithSheet="1" fPrintsWithSheet="1"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fLocksText="1" fPublished="0">
      <xdr:nvSpPr>
        <xdr:cNvPr id="28" name="밸런스팩터_05"/>
        <xdr:cNvSpPr>
          <a:spLocks noGrp="1" noRot="1"/>
        </xdr:cNvSpPr>
      </xdr:nvSpPr>
      <xdr:spPr>
        <a:xfrm>
          <a:off x="17595272" y="14010409"/>
          <a:ext cx="3948545" cy="38619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대화 길이</a:t>
          </a:r>
        </a:p>
      </xdr:txBody>
    </xdr:sp>
    <xdr:clientData fLocksWithSheet="1" fPrintsWithSheet="1"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fLocksText="1" fPublished="0">
      <xdr:nvSpPr>
        <xdr:cNvPr id="29" name="밸런스팩터_05"/>
        <xdr:cNvSpPr>
          <a:spLocks noGrp="1" noRot="1"/>
        </xdr:cNvSpPr>
      </xdr:nvSpPr>
      <xdr:spPr>
        <a:xfrm>
          <a:off x="11966864" y="5541818"/>
          <a:ext cx="3931227" cy="38446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연출 밀도</a:t>
          </a:r>
        </a:p>
      </xdr:txBody>
    </xdr:sp>
    <xdr:clientData fLocksWithSheet="1" fPrintsWithSheet="1"/>
  </xdr:twoCellAnchor>
</xdr:wsDr>
</file>

<file path=xl/drawings/drawing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6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fPublished="0">
      <xdr:nvGraphicFramePr>
        <xdr:cNvPr id="2" name="Chart"/>
        <xdr:cNvGraphicFramePr/>
      </xdr:nvGraphicFramePr>
      <xdr:xfrm>
        <a:off x="16678275" y="2000250"/>
        <a:ext cx="16402051" cy="7991474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Relationship Id="rId2" Type="http://schemas.openxmlformats.org/officeDocument/2006/relationships/vmlDrawing" Target="../drawings/vmlDrawing1.v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4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J127"/>
  <x:sheetViews>
    <x:sheetView tabSelected="1" topLeftCell="O1" zoomScale="40" zoomScaleNormal="50" zoomScaleSheetLayoutView="40" workbookViewId="0">
      <x:selection activeCell="S4" activeCellId="0" sqref="S4:AE4"/>
    </x:sheetView>
  </x:sheetViews>
  <x:sheetFormatPr defaultColWidth="9" defaultRowHeight="13.19999999999999928946"/>
  <x:cols>
    <x:col min="1" max="1" width="13.875" style="33" customWidth="1"/>
    <x:col min="2" max="3" width="13.125" style="33" customWidth="1"/>
    <x:col min="4" max="4" width="13.375" style="33" customWidth="1"/>
    <x:col min="5" max="5" width="42" style="33" customWidth="1"/>
    <x:col min="6" max="6" width="40.5" style="33" customWidth="1"/>
    <x:col min="7" max="7" width="40.125" style="33" customWidth="1"/>
    <x:col min="8" max="8" width="33.75" style="33" customWidth="1"/>
    <x:col min="9" max="9" width="11.875" style="33" customWidth="1"/>
    <x:col min="10" max="10" width="33.5" style="33" customWidth="1"/>
    <x:col min="11" max="11" width="39.625" style="33" customWidth="1"/>
    <x:col min="12" max="12" width="18.625" style="33" customWidth="1"/>
    <x:col min="13" max="13" width="20.875" style="33" customWidth="1"/>
    <x:col min="14" max="14" width="18.75" style="33" customWidth="1"/>
    <x:col min="15" max="17" width="18.875" style="33" customWidth="1"/>
    <x:col min="18" max="18" width="19.5" style="33" customWidth="1"/>
    <x:col min="19" max="19" width="21.75" style="33" customWidth="1"/>
    <x:col min="20" max="20" width="19.5" style="33" customWidth="1"/>
    <x:col min="21" max="28" width="18.875" style="33" customWidth="1"/>
    <x:col min="29" max="29" width="19.75" style="33" customWidth="1"/>
    <x:col min="30" max="36" width="18.875" style="33" customWidth="1"/>
    <x:col min="37" max="16384" width="9" style="33"/>
  </x:cols>
  <x:sheetData>
    <x:row r="1" spans="17:18" ht="36.75" customHeight="1">
      <x:c r="Q1" s="33" t="s">
        <x:v>166</x:v>
      </x:c>
      <x:c r="R1" s="33" t="s">
        <x:v>181</x:v>
      </x:c>
    </x:row>
    <x:row r="2" spans="13:18" ht="36.75" customHeight="1">
      <x:c r="M2" s="73" t="s">
        <x:v>320</x:v>
      </x:c>
      <x:c r="Q2" s="34">
        <x:v>3</x:v>
      </x:c>
      <x:c r="R2" s="34">
        <x:v>15</x:v>
      </x:c>
    </x:row>
    <x:row r="3" spans="17:31" ht="35.25" customHeight="1">
      <x:c r="Q3" s="34">
        <x:f>Q2*0.01</x:f>
        <x:v>0.029999999999999999</x:v>
      </x:c>
      <x:c r="R3" s="34">
        <x:f>R2*0.01</x:f>
        <x:v>0.14999999999999999</x:v>
      </x:c>
      <x:c r="AB3" s="78" t="s">
        <x:v>519</x:v>
      </x:c>
      <x:c r="AC3" s="79"/>
      <x:c r="AD3" s="79"/>
      <x:c r="AE3" s="79"/>
    </x:row>
    <x:row r="4" spans="1:36" ht="42" customHeight="1">
      <x:c r="A4" s="35" t="s">
        <x:v>178</x:v>
      </x:c>
      <x:c r="B4" s="36" t="s">
        <x:v>22</x:v>
      </x:c>
      <x:c r="C4" s="37" t="s">
        <x:v>362</x:v>
      </x:c>
      <x:c r="D4" s="36" t="s">
        <x:v>353</x:v>
      </x:c>
      <x:c r="E4" s="36" t="s">
        <x:v>325</x:v>
      </x:c>
      <x:c r="F4" s="36" t="s">
        <x:v>364</x:v>
      </x:c>
      <x:c r="G4" s="36" t="s">
        <x:v>335</x:v>
      </x:c>
      <x:c r="H4" s="36" t="s">
        <x:v>349</x:v>
      </x:c>
      <x:c r="I4" s="36" t="s">
        <x:v>361</x:v>
      </x:c>
      <x:c r="J4" s="36" t="s">
        <x:v>37</x:v>
      </x:c>
      <x:c r="K4" s="36" t="s">
        <x:v>329</x:v>
      </x:c>
      <x:c r="L4" s="36" t="s">
        <x:v>42</x:v>
      </x:c>
      <x:c r="M4" s="36" t="s">
        <x:v>21</x:v>
      </x:c>
      <x:c r="N4" s="38" t="s">
        <x:v>35</x:v>
      </x:c>
      <x:c r="O4" s="39" t="s">
        <x:v>321</x:v>
      </x:c>
      <x:c r="P4" s="39" t="s">
        <x:v>451</x:v>
      </x:c>
      <x:c r="Q4" s="40" t="s">
        <x:v>494</x:v>
      </x:c>
      <x:c r="R4" s="41" t="s">
        <x:v>407</x:v>
      </x:c>
      <x:c r="S4" s="39" t="s">
        <x:v>507</x:v>
      </x:c>
      <x:c r="T4" s="39" t="s">
        <x:v>510</x:v>
      </x:c>
      <x:c r="U4" s="39" t="s">
        <x:v>525</x:v>
      </x:c>
      <x:c r="V4" s="39" t="s">
        <x:v>716</x:v>
      </x:c>
      <x:c r="W4" s="39" t="s">
        <x:v>511</x:v>
      </x:c>
      <x:c r="X4" s="76" t="s">
        <x:v>12</x:v>
      </x:c>
      <x:c r="Y4" s="76" t="s">
        <x:v>350</x:v>
      </x:c>
      <x:c r="Z4" s="76" t="s">
        <x:v>352</x:v>
      </x:c>
      <x:c r="AA4" s="76" t="s">
        <x:v>345</x:v>
      </x:c>
      <x:c r="AB4" s="39" t="s">
        <x:v>108</x:v>
      </x:c>
      <x:c r="AC4" s="39" t="s">
        <x:v>318</x:v>
      </x:c>
      <x:c r="AD4" s="39" t="s">
        <x:v>315</x:v>
      </x:c>
      <x:c r="AE4" s="39" t="s">
        <x:v>313</x:v>
      </x:c>
      <x:c r="AF4" s="39"/>
      <x:c r="AG4" s="39"/>
      <x:c r="AH4" s="39"/>
      <x:c r="AI4" s="39"/>
      <x:c r="AJ4" s="42"/>
    </x:row>
    <x:row r="5" spans="1:36" ht="81.95000000000000284217" customHeight="1">
      <x:c r="A5" s="43" t="s">
        <x:v>41</x:v>
      </x:c>
      <x:c r="B5" s="44">
        <x:v>1</x:v>
      </x:c>
      <x:c r="C5" s="44">
        <x:v>1</x:v>
      </x:c>
      <x:c r="D5" s="44">
        <x:v>8</x:v>
      </x:c>
      <x:c r="E5" s="45" t="s">
        <x:v>475</x:v>
      </x:c>
      <x:c r="F5" s="46" t="s">
        <x:v>586</x:v>
      </x:c>
      <x:c r="G5" s="46" t="s">
        <x:v>207</x:v>
      </x:c>
      <x:c r="H5" s="44" t="s">
        <x:v>774</x:v>
      </x:c>
      <x:c r="I5" s="44">
        <x:v>1</x:v>
      </x:c>
      <x:c r="J5" s="46" t="s">
        <x:v>371</x:v>
      </x:c>
      <x:c r="K5" s="46" t="s">
        <x:v>160</x:v>
      </x:c>
      <x:c r="L5" s="44" t="s">
        <x:v>326</x:v>
      </x:c>
      <x:c r="M5" s="44" t="s">
        <x:v>497</x:v>
      </x:c>
      <x:c r="N5" s="47">
        <x:f>(IFERROR(VALUE(LEFT(L5,FIND("분",L5)-1))*60,0)+IFERROR(VALUE(TRIM(MID(L5,IFERROR(FIND("분",L5),0)+1,FIND("초",L5)-IFERROR(FIND("분",L5),0)-1))),0))/86400</x:f>
        <x:v>0.0010416666666666667</x:v>
      </x:c>
      <x:c r="O5" s="48" t="s">
        <x:v>463</x:v>
      </x:c>
      <x:c r="P5" s="49">
        <x:v>6</x:v>
      </x:c>
      <x:c r="Q5" s="50">
        <x:v>3</x:v>
      </x:c>
      <x:c r="R5" s="51">
        <x:f>$Q$3*P5*P5+$R$3*P5</x:f>
        <x:v>1.98</x:v>
      </x:c>
      <x:c r="S5" s="68"/>
      <x:c r="T5" s="68"/>
      <x:c r="U5" s="68"/>
      <x:c r="V5" s="68"/>
      <x:c r="W5" s="68"/>
      <x:c r="X5" s="68"/>
      <x:c r="Y5" s="68"/>
      <x:c r="Z5" s="68"/>
      <x:c r="AA5" s="68"/>
      <x:c r="AB5" s="68"/>
      <x:c r="AC5" s="68"/>
      <x:c r="AD5" s="68"/>
      <x:c r="AE5" s="49"/>
      <x:c r="AF5" s="49"/>
      <x:c r="AG5" s="49"/>
      <x:c r="AH5" s="49"/>
      <x:c r="AI5" s="49"/>
      <x:c r="AJ5" s="52"/>
    </x:row>
    <x:row r="6" spans="1:36" ht="81.95000000000000284217" customHeight="1">
      <x:c r="A6" s="43" t="s">
        <x:v>41</x:v>
      </x:c>
      <x:c r="B6" s="44">
        <x:v>2</x:v>
      </x:c>
      <x:c r="C6" s="44">
        <x:v>1</x:v>
      </x:c>
      <x:c r="D6" s="44">
        <x:v>3</x:v>
      </x:c>
      <x:c r="E6" s="46" t="s">
        <x:v>328</x:v>
      </x:c>
      <x:c r="F6" s="46" t="s">
        <x:v>202</x:v>
      </x:c>
      <x:c r="G6" s="46" t="s">
        <x:v>765</x:v>
      </x:c>
      <x:c r="H6" s="44" t="s">
        <x:v>120</x:v>
      </x:c>
      <x:c r="I6" s="44">
        <x:v>1</x:v>
      </x:c>
      <x:c r="J6" s="46" t="s">
        <x:v>684</x:v>
      </x:c>
      <x:c r="K6" s="46" t="s">
        <x:v>160</x:v>
      </x:c>
      <x:c r="L6" s="44" t="s">
        <x:v>164</x:v>
      </x:c>
      <x:c r="M6" s="44" t="s">
        <x:v>417</x:v>
      </x:c>
      <x:c r="N6" s="47">
        <x:f>N5+(IFERROR(VALUE(LEFT(L6,FIND("분",L6)-1))*60,0)+IFERROR(VALUE(TRIM(MID(L6,IFERROR(FIND("분",L6),0)+1,FIND("초",L6)-IFERROR(FIND("분",L6),0)-1))),0))/86400</x:f>
        <x:v>0.0012731481481481483</x:v>
      </x:c>
      <x:c r="O6" s="48" t="s">
        <x:v>463</x:v>
      </x:c>
      <x:c r="P6" s="49">
        <x:f>P5+2</x:f>
        <x:v>8</x:v>
      </x:c>
      <x:c r="Q6" s="50">
        <x:v>2</x:v>
      </x:c>
      <x:c r="R6" s="51">
        <x:f>$Q$3*P6*P6+$R$3*P6</x:f>
        <x:v>3.1200000000000001</x:v>
      </x:c>
      <x:c r="S6" s="68"/>
      <x:c r="T6" s="68"/>
      <x:c r="U6" s="68"/>
      <x:c r="V6" s="68"/>
      <x:c r="W6" s="68"/>
      <x:c r="X6" s="68"/>
      <x:c r="Y6" s="68"/>
      <x:c r="Z6" s="68"/>
      <x:c r="AA6" s="68"/>
      <x:c r="AB6" s="68"/>
      <x:c r="AC6" s="68"/>
      <x:c r="AD6" s="68"/>
      <x:c r="AE6" s="49"/>
      <x:c r="AF6" s="49"/>
      <x:c r="AG6" s="49"/>
      <x:c r="AH6" s="49"/>
      <x:c r="AI6" s="49"/>
      <x:c r="AJ6" s="52"/>
    </x:row>
    <x:row r="7" spans="1:36" ht="81.95000000000000284217" customHeight="1">
      <x:c r="A7" s="43" t="s">
        <x:v>41</x:v>
      </x:c>
      <x:c r="B7" s="44">
        <x:v>3</x:v>
      </x:c>
      <x:c r="C7" s="44">
        <x:v>1</x:v>
      </x:c>
      <x:c r="D7" s="44">
        <x:v>5</x:v>
      </x:c>
      <x:c r="E7" s="46" t="s">
        <x:v>453</x:v>
      </x:c>
      <x:c r="F7" s="46" t="s">
        <x:v>759</x:v>
      </x:c>
      <x:c r="G7" s="46" t="s">
        <x:v>197</x:v>
      </x:c>
      <x:c r="H7" s="44" t="s">
        <x:v>235</x:v>
      </x:c>
      <x:c r="I7" s="44">
        <x:v>1</x:v>
      </x:c>
      <x:c r="J7" s="46" t="s">
        <x:v>198</x:v>
      </x:c>
      <x:c r="K7" s="46" t="s">
        <x:v>160</x:v>
      </x:c>
      <x:c r="L7" s="44" t="s">
        <x:v>168</x:v>
      </x:c>
      <x:c r="M7" s="44" t="s">
        <x:v>780</x:v>
      </x:c>
      <x:c r="N7" s="47">
        <x:f t="shared" ref="N7:N37" si="0">N6+(IFERROR(VALUE(LEFT(L7,FIND("분",L7)-1))*60,0)+IFERROR(VALUE(TRIM(MID(L7,IFERROR(FIND("분",L7),0)+1,FIND("초",L7)-IFERROR(FIND("분",L7),0)-1))),0))/86400</x:f>
        <x:v>0.0019675925925925928</x:v>
      </x:c>
      <x:c r="O7" s="48" t="s">
        <x:v>463</x:v>
      </x:c>
      <x:c r="P7" s="49">
        <x:f>P6+4</x:f>
        <x:v>12</x:v>
      </x:c>
      <x:c r="Q7" s="50">
        <x:v>4</x:v>
      </x:c>
      <x:c r="R7" s="51">
        <x:f>$Q$3*P7*P7+$R$3*P7</x:f>
        <x:v>6.1200000000000001</x:v>
      </x:c>
      <x:c r="S7" s="68"/>
      <x:c r="T7" s="68"/>
      <x:c r="U7" s="68"/>
      <x:c r="V7" s="68"/>
      <x:c r="W7" s="68"/>
      <x:c r="X7" s="68"/>
      <x:c r="Y7" s="68"/>
      <x:c r="Z7" s="68"/>
      <x:c r="AA7" s="68"/>
      <x:c r="AB7" s="68"/>
      <x:c r="AC7" s="68"/>
      <x:c r="AD7" s="68"/>
      <x:c r="AE7" s="49"/>
      <x:c r="AF7" s="49"/>
      <x:c r="AG7" s="49"/>
      <x:c r="AH7" s="49"/>
      <x:c r="AI7" s="49"/>
      <x:c r="AJ7" s="52"/>
    </x:row>
    <x:row r="8" spans="1:36" ht="81.95000000000000284217" customHeight="1">
      <x:c r="A8" s="43" t="s">
        <x:v>41</x:v>
      </x:c>
      <x:c r="B8" s="44">
        <x:v>4</x:v>
      </x:c>
      <x:c r="C8" s="44">
        <x:v>1</x:v>
      </x:c>
      <x:c r="D8" s="44">
        <x:v>3</x:v>
      </x:c>
      <x:c r="E8" s="46" t="s">
        <x:v>34</x:v>
      </x:c>
      <x:c r="F8" s="46" t="s">
        <x:v>608</x:v>
      </x:c>
      <x:c r="G8" s="46" t="s">
        <x:v>604</x:v>
      </x:c>
      <x:c r="H8" s="44" t="s">
        <x:v>205</x:v>
      </x:c>
      <x:c r="I8" s="44">
        <x:v>4</x:v>
      </x:c>
      <x:c r="J8" s="46" t="s">
        <x:v>752</x:v>
      </x:c>
      <x:c r="K8" s="46" t="s">
        <x:v>160</x:v>
      </x:c>
      <x:c r="L8" s="44" t="s">
        <x:v>174</x:v>
      </x:c>
      <x:c r="M8" s="44" t="s">
        <x:v>401</x:v>
      </x:c>
      <x:c r="N8" s="47">
        <x:f t="shared" si="0"/>
        <x:v>0.0024305555555555556</x:v>
      </x:c>
      <x:c r="O8" s="48" t="s">
        <x:v>463</x:v>
      </x:c>
      <x:c r="P8" s="49">
        <x:f>P7+3</x:f>
        <x:v>15</x:v>
      </x:c>
      <x:c r="Q8" s="50">
        <x:v>3</x:v>
      </x:c>
      <x:c r="R8" s="51">
        <x:f>$Q$3*P8*P8+$R$3*P8</x:f>
        <x:v>9</x:v>
      </x:c>
      <x:c r="S8" s="68"/>
      <x:c r="T8" s="68"/>
      <x:c r="U8" s="68"/>
      <x:c r="V8" s="68"/>
      <x:c r="W8" s="68"/>
      <x:c r="X8" s="68"/>
      <x:c r="Y8" s="68"/>
      <x:c r="Z8" s="68"/>
      <x:c r="AA8" s="68"/>
      <x:c r="AB8" s="68"/>
      <x:c r="AC8" s="68"/>
      <x:c r="AD8" s="68"/>
      <x:c r="AE8" s="49"/>
      <x:c r="AF8" s="49"/>
      <x:c r="AG8" s="49"/>
      <x:c r="AH8" s="49"/>
      <x:c r="AI8" s="49"/>
      <x:c r="AJ8" s="52"/>
    </x:row>
    <x:row r="9" spans="1:36" ht="81.95000000000000284217" customHeight="1">
      <x:c r="A9" s="43" t="s">
        <x:v>41</x:v>
      </x:c>
      <x:c r="B9" s="44">
        <x:v>5</x:v>
      </x:c>
      <x:c r="C9" s="44">
        <x:v>1</x:v>
      </x:c>
      <x:c r="D9" s="44">
        <x:v>3</x:v>
      </x:c>
      <x:c r="E9" s="46" t="s">
        <x:v>27</x:v>
      </x:c>
      <x:c r="F9" s="46" t="s">
        <x:v>212</x:v>
      </x:c>
      <x:c r="G9" s="46" t="s">
        <x:v>224</x:v>
      </x:c>
      <x:c r="H9" s="44" t="s">
        <x:v>183</x:v>
      </x:c>
      <x:c r="I9" s="44">
        <x:v>1</x:v>
      </x:c>
      <x:c r="J9" s="46" t="s">
        <x:v>701</x:v>
      </x:c>
      <x:c r="K9" s="46" t="s">
        <x:v>160</x:v>
      </x:c>
      <x:c r="L9" s="44" t="s">
        <x:v>158</x:v>
      </x:c>
      <x:c r="M9" s="44" t="s">
        <x:v>778</x:v>
      </x:c>
      <x:c r="N9" s="47">
        <x:f t="shared" si="0"/>
        <x:v>0.0027777777777777779</x:v>
      </x:c>
      <x:c r="O9" s="48" t="s">
        <x:v>463</x:v>
      </x:c>
      <x:c r="P9" s="49">
        <x:f>P8+3</x:f>
        <x:v>18</x:v>
      </x:c>
      <x:c r="Q9" s="50">
        <x:v>3</x:v>
      </x:c>
      <x:c r="R9" s="51">
        <x:f>$Q$3*P9*P9+$R$3*P9</x:f>
        <x:v>12.42</x:v>
      </x:c>
      <x:c r="S9" s="68"/>
      <x:c r="T9" s="68"/>
      <x:c r="U9" s="68"/>
      <x:c r="V9" s="68"/>
      <x:c r="W9" s="68"/>
      <x:c r="X9" s="68"/>
      <x:c r="Y9" s="68"/>
      <x:c r="Z9" s="68"/>
      <x:c r="AA9" s="68"/>
      <x:c r="AB9" s="68"/>
      <x:c r="AC9" s="68"/>
      <x:c r="AD9" s="68"/>
      <x:c r="AE9" s="49"/>
      <x:c r="AF9" s="49"/>
      <x:c r="AG9" s="49"/>
      <x:c r="AH9" s="49"/>
      <x:c r="AI9" s="49"/>
      <x:c r="AJ9" s="52"/>
    </x:row>
    <x:row r="10" spans="1:36" ht="81.95000000000000284217" customHeight="1">
      <x:c r="A10" s="43" t="s">
        <x:v>41</x:v>
      </x:c>
      <x:c r="B10" s="44">
        <x:v>6</x:v>
      </x:c>
      <x:c r="C10" s="44">
        <x:v>1</x:v>
      </x:c>
      <x:c r="D10" s="44">
        <x:v>5</x:v>
      </x:c>
      <x:c r="E10" s="46" t="s">
        <x:v>54</x:v>
      </x:c>
      <x:c r="F10" s="46" t="s">
        <x:v>185</x:v>
      </x:c>
      <x:c r="G10" s="46" t="s">
        <x:v>606</x:v>
      </x:c>
      <x:c r="H10" s="44" t="s">
        <x:v>193</x:v>
      </x:c>
      <x:c r="I10" s="44">
        <x:v>1</x:v>
      </x:c>
      <x:c r="J10" s="46" t="s">
        <x:v>36</x:v>
      </x:c>
      <x:c r="K10" s="46" t="s">
        <x:v>160</x:v>
      </x:c>
      <x:c r="L10" s="44" t="s">
        <x:v>164</x:v>
      </x:c>
      <x:c r="M10" s="44" t="s">
        <x:v>695</x:v>
      </x:c>
      <x:c r="N10" s="47">
        <x:f t="shared" si="0"/>
        <x:v>0.0030092592592592593</x:v>
      </x:c>
      <x:c r="O10" s="48" t="s">
        <x:v>463</x:v>
      </x:c>
      <x:c r="P10" s="49">
        <x:f>P9+3</x:f>
        <x:v>21</x:v>
      </x:c>
      <x:c r="Q10" s="50">
        <x:v>3</x:v>
      </x:c>
      <x:c r="R10" s="51">
        <x:f>$Q$3*P10*P10+$R$3*P10</x:f>
        <x:v>16.379999999999999</x:v>
      </x:c>
      <x:c r="S10" s="68"/>
      <x:c r="T10" s="68"/>
      <x:c r="U10" s="68"/>
      <x:c r="V10" s="68"/>
      <x:c r="W10" s="68"/>
      <x:c r="X10" s="68"/>
      <x:c r="Y10" s="68"/>
      <x:c r="Z10" s="68"/>
      <x:c r="AA10" s="68"/>
      <x:c r="AB10" s="68"/>
      <x:c r="AC10" s="68"/>
      <x:c r="AD10" s="68"/>
      <x:c r="AE10" s="49"/>
      <x:c r="AF10" s="49"/>
      <x:c r="AG10" s="49"/>
      <x:c r="AH10" s="49"/>
      <x:c r="AI10" s="49"/>
      <x:c r="AJ10" s="52"/>
    </x:row>
    <x:row r="11" spans="1:36" ht="81.95000000000000284217" customHeight="1">
      <x:c r="A11" s="43" t="s">
        <x:v>41</x:v>
      </x:c>
      <x:c r="B11" s="44">
        <x:v>7</x:v>
      </x:c>
      <x:c r="C11" s="44">
        <x:v>2</x:v>
      </x:c>
      <x:c r="D11" s="44">
        <x:v>5</x:v>
      </x:c>
      <x:c r="E11" s="46" t="s">
        <x:v>43</x:v>
      </x:c>
      <x:c r="F11" s="46" t="s">
        <x:v>212</x:v>
      </x:c>
      <x:c r="G11" s="46" t="s">
        <x:v>201</x:v>
      </x:c>
      <x:c r="H11" s="44" t="s">
        <x:v>204</x:v>
      </x:c>
      <x:c r="I11" s="44">
        <x:v>1</x:v>
      </x:c>
      <x:c r="J11" s="46" t="s">
        <x:v>699</x:v>
      </x:c>
      <x:c r="K11" s="46" t="s">
        <x:v>160</x:v>
      </x:c>
      <x:c r="L11" s="44" t="s">
        <x:v>366</x:v>
      </x:c>
      <x:c r="M11" s="44" t="s">
        <x:v>778</x:v>
      </x:c>
      <x:c r="N11" s="47">
        <x:f t="shared" si="0"/>
        <x:v>0.0038773148148148148</x:v>
      </x:c>
      <x:c r="O11" s="48" t="s">
        <x:v>53</x:v>
      </x:c>
      <x:c r="P11" s="49">
        <x:f>P10+5</x:f>
        <x:v>26</x:v>
      </x:c>
      <x:c r="Q11" s="50">
        <x:v>5</x:v>
      </x:c>
      <x:c r="R11" s="51">
        <x:f>$Q$3*P11*P11+$R$3*P11</x:f>
        <x:v>24.18</x:v>
      </x:c>
      <x:c r="S11" s="68"/>
      <x:c r="T11" s="68"/>
      <x:c r="U11" s="68"/>
      <x:c r="V11" s="68"/>
      <x:c r="W11" s="68"/>
      <x:c r="X11" s="68"/>
      <x:c r="Y11" s="68"/>
      <x:c r="Z11" s="68"/>
      <x:c r="AA11" s="68"/>
      <x:c r="AB11" s="68"/>
      <x:c r="AC11" s="68"/>
      <x:c r="AD11" s="68"/>
      <x:c r="AE11" s="49"/>
      <x:c r="AF11" s="49"/>
      <x:c r="AG11" s="49"/>
      <x:c r="AH11" s="49"/>
      <x:c r="AI11" s="49"/>
      <x:c r="AJ11" s="52"/>
    </x:row>
    <x:row r="12" spans="1:36" ht="81.95000000000000284217" customHeight="1">
      <x:c r="A12" s="43" t="s">
        <x:v>41</x:v>
      </x:c>
      <x:c r="B12" s="44">
        <x:v>8</x:v>
      </x:c>
      <x:c r="C12" s="44">
        <x:v>2</x:v>
      </x:c>
      <x:c r="D12" s="44">
        <x:v>6</x:v>
      </x:c>
      <x:c r="E12" s="46" t="s">
        <x:v>458</x:v>
      </x:c>
      <x:c r="F12" s="46" t="s">
        <x:v>231</x:v>
      </x:c>
      <x:c r="G12" s="46" t="s">
        <x:v>575</x:v>
      </x:c>
      <x:c r="H12" s="44" t="s">
        <x:v>203</x:v>
      </x:c>
      <x:c r="I12" s="44">
        <x:v>4</x:v>
      </x:c>
      <x:c r="J12" s="46" t="s">
        <x:v>782</x:v>
      </x:c>
      <x:c r="K12" s="46" t="s">
        <x:v>160</x:v>
      </x:c>
      <x:c r="L12" s="44" t="s">
        <x:v>326</x:v>
      </x:c>
      <x:c r="M12" s="44" t="s">
        <x:v>770</x:v>
      </x:c>
      <x:c r="N12" s="47">
        <x:f t="shared" si="0"/>
        <x:v>0.0049189814814814816</x:v>
      </x:c>
      <x:c r="O12" s="48" t="s">
        <x:v>53</x:v>
      </x:c>
      <x:c r="P12" s="49">
        <x:f>P11+6</x:f>
        <x:v>32</x:v>
      </x:c>
      <x:c r="Q12" s="50">
        <x:v>6</x:v>
      </x:c>
      <x:c r="R12" s="51">
        <x:f>$Q$3*P12*P12+$R$3*P12</x:f>
        <x:v>35.519999999999996</x:v>
      </x:c>
      <x:c r="S12" s="68"/>
      <x:c r="T12" s="68"/>
      <x:c r="U12" s="68"/>
      <x:c r="V12" s="68"/>
      <x:c r="W12" s="68"/>
      <x:c r="X12" s="68"/>
      <x:c r="Y12" s="68"/>
      <x:c r="Z12" s="68"/>
      <x:c r="AA12" s="68"/>
      <x:c r="AB12" s="68"/>
      <x:c r="AC12" s="68"/>
      <x:c r="AD12" s="68"/>
      <x:c r="AE12" s="49"/>
      <x:c r="AF12" s="49"/>
      <x:c r="AG12" s="49"/>
      <x:c r="AH12" s="49"/>
      <x:c r="AI12" s="49"/>
      <x:c r="AJ12" s="52"/>
    </x:row>
    <x:row r="13" spans="1:36" ht="81.95000000000000284217" customHeight="1">
      <x:c r="A13" s="43" t="s">
        <x:v>41</x:v>
      </x:c>
      <x:c r="B13" s="44">
        <x:v>9</x:v>
      </x:c>
      <x:c r="C13" s="44">
        <x:v>1</x:v>
      </x:c>
      <x:c r="D13" s="44">
        <x:v>5</x:v>
      </x:c>
      <x:c r="E13" s="46" t="s">
        <x:v>52</x:v>
      </x:c>
      <x:c r="F13" s="46" t="s">
        <x:v>185</x:v>
      </x:c>
      <x:c r="G13" s="46" t="s">
        <x:v>597</x:v>
      </x:c>
      <x:c r="H13" s="44" t="s">
        <x:v>191</x:v>
      </x:c>
      <x:c r="I13" s="44">
        <x:v>2</x:v>
      </x:c>
      <x:c r="J13" s="46" t="s">
        <x:v>794</x:v>
      </x:c>
      <x:c r="K13" s="46" t="s">
        <x:v>160</x:v>
      </x:c>
      <x:c r="L13" s="44" t="s">
        <x:v>157</x:v>
      </x:c>
      <x:c r="M13" s="44" t="s">
        <x:v>695</x:v>
      </x:c>
      <x:c r="N13" s="47">
        <x:f t="shared" si="0"/>
        <x:v>0.005324074074074074</x:v>
      </x:c>
      <x:c r="O13" s="48" t="s">
        <x:v>53</x:v>
      </x:c>
      <x:c r="P13" s="49">
        <x:f>P12+4</x:f>
        <x:v>36</x:v>
      </x:c>
      <x:c r="Q13" s="50">
        <x:v>4</x:v>
      </x:c>
      <x:c r="R13" s="51">
        <x:f>$Q$3*P13*P13+$R$3*P13</x:f>
        <x:v>44.280000000000001</x:v>
      </x:c>
      <x:c r="S13" s="68"/>
      <x:c r="T13" s="68"/>
      <x:c r="U13" s="68"/>
      <x:c r="V13" s="68"/>
      <x:c r="W13" s="68"/>
      <x:c r="X13" s="68"/>
      <x:c r="Y13" s="68"/>
      <x:c r="Z13" s="68"/>
      <x:c r="AA13" s="68"/>
      <x:c r="AB13" s="68"/>
      <x:c r="AC13" s="68"/>
      <x:c r="AD13" s="68"/>
      <x:c r="AE13" s="49"/>
      <x:c r="AF13" s="49"/>
      <x:c r="AG13" s="49"/>
      <x:c r="AH13" s="49"/>
      <x:c r="AI13" s="49"/>
      <x:c r="AJ13" s="52"/>
    </x:row>
    <x:row r="14" spans="1:36" ht="81.95000000000000284217" customHeight="1">
      <x:c r="A14" s="43" t="s">
        <x:v>41</x:v>
      </x:c>
      <x:c r="B14" s="44">
        <x:v>10</x:v>
      </x:c>
      <x:c r="C14" s="44">
        <x:v>1</x:v>
      </x:c>
      <x:c r="D14" s="44">
        <x:v>6</x:v>
      </x:c>
      <x:c r="E14" s="46" t="s">
        <x:v>457</x:v>
      </x:c>
      <x:c r="F14" s="46" t="s">
        <x:v>759</x:v>
      </x:c>
      <x:c r="G14" s="46" t="s">
        <x:v>197</x:v>
      </x:c>
      <x:c r="H14" s="44" t="s">
        <x:v>186</x:v>
      </x:c>
      <x:c r="I14" s="44">
        <x:v>1</x:v>
      </x:c>
      <x:c r="J14" s="46" t="s">
        <x:v>194</x:v>
      </x:c>
      <x:c r="K14" s="46" t="s">
        <x:v>160</x:v>
      </x:c>
      <x:c r="L14" s="44" t="s">
        <x:v>366</x:v>
      </x:c>
      <x:c r="M14" s="44" t="s">
        <x:v>780</x:v>
      </x:c>
      <x:c r="N14" s="47">
        <x:f t="shared" si="0"/>
        <x:v>0.006192129629629629</x:v>
      </x:c>
      <x:c r="O14" s="48" t="s">
        <x:v>53</x:v>
      </x:c>
      <x:c r="P14" s="49">
        <x:f>P13+5</x:f>
        <x:v>41</x:v>
      </x:c>
      <x:c r="Q14" s="50">
        <x:v>5</x:v>
      </x:c>
      <x:c r="R14" s="51">
        <x:f>$Q$3*P14*P14+$R$3*P14</x:f>
        <x:v>56.579999999999998</x:v>
      </x:c>
      <x:c r="S14" s="68"/>
      <x:c r="T14" s="68"/>
      <x:c r="U14" s="68"/>
      <x:c r="V14" s="68"/>
      <x:c r="W14" s="68"/>
      <x:c r="X14" s="68"/>
      <x:c r="Y14" s="68"/>
      <x:c r="Z14" s="68"/>
      <x:c r="AA14" s="68"/>
      <x:c r="AB14" s="68"/>
      <x:c r="AC14" s="68"/>
      <x:c r="AD14" s="68"/>
      <x:c r="AE14" s="49"/>
      <x:c r="AF14" s="49"/>
      <x:c r="AG14" s="49"/>
      <x:c r="AH14" s="49"/>
      <x:c r="AI14" s="49"/>
      <x:c r="AJ14" s="52"/>
    </x:row>
    <x:row r="15" spans="1:36" ht="81.95000000000000284217" customHeight="1">
      <x:c r="A15" s="43" t="s">
        <x:v>41</x:v>
      </x:c>
      <x:c r="B15" s="44">
        <x:v>11</x:v>
      </x:c>
      <x:c r="C15" s="44">
        <x:v>2</x:v>
      </x:c>
      <x:c r="D15" s="44">
        <x:v>5</x:v>
      </x:c>
      <x:c r="E15" s="46" t="s">
        <x:v>51</x:v>
      </x:c>
      <x:c r="F15" s="46" t="s">
        <x:v>212</x:v>
      </x:c>
      <x:c r="G15" s="46" t="s">
        <x:v>230</x:v>
      </x:c>
      <x:c r="H15" s="44" t="s">
        <x:v>204</x:v>
      </x:c>
      <x:c r="I15" s="44">
        <x:v>1</x:v>
      </x:c>
      <x:c r="J15" s="46" t="s">
        <x:v>686</x:v>
      </x:c>
      <x:c r="K15" s="46" t="s">
        <x:v>160</x:v>
      </x:c>
      <x:c r="L15" s="44" t="s">
        <x:v>326</x:v>
      </x:c>
      <x:c r="M15" s="44" t="s">
        <x:v>778</x:v>
      </x:c>
      <x:c r="N15" s="47">
        <x:f t="shared" si="0"/>
        <x:v>0.0072337962962962955</x:v>
      </x:c>
      <x:c r="O15" s="48" t="s">
        <x:v>55</x:v>
      </x:c>
      <x:c r="P15" s="49">
        <x:f>P14+6</x:f>
        <x:v>47</x:v>
      </x:c>
      <x:c r="Q15" s="50">
        <x:v>6</x:v>
      </x:c>
      <x:c r="R15" s="51">
        <x:f>$Q$3*P15*P15+$R$3*P15</x:f>
        <x:v>73.319999999999993</x:v>
      </x:c>
      <x:c r="S15" s="68"/>
      <x:c r="T15" s="68"/>
      <x:c r="U15" s="68"/>
      <x:c r="V15" s="68"/>
      <x:c r="W15" s="68"/>
      <x:c r="X15" s="68"/>
      <x:c r="Y15" s="68"/>
      <x:c r="Z15" s="68"/>
      <x:c r="AA15" s="68"/>
      <x:c r="AB15" s="68"/>
      <x:c r="AC15" s="68"/>
      <x:c r="AD15" s="68"/>
      <x:c r="AE15" s="49"/>
      <x:c r="AF15" s="49"/>
      <x:c r="AG15" s="49"/>
      <x:c r="AH15" s="49"/>
      <x:c r="AI15" s="49"/>
      <x:c r="AJ15" s="52"/>
    </x:row>
    <x:row r="16" spans="1:36" ht="81.95000000000000284217" customHeight="1">
      <x:c r="A16" s="43" t="s">
        <x:v>41</x:v>
      </x:c>
      <x:c r="B16" s="44">
        <x:v>12</x:v>
      </x:c>
      <x:c r="C16" s="44">
        <x:v>2</x:v>
      </x:c>
      <x:c r="D16" s="44">
        <x:v>6</x:v>
      </x:c>
      <x:c r="E16" s="46" t="s">
        <x:v>50</x:v>
      </x:c>
      <x:c r="F16" s="46" t="s">
        <x:v>231</x:v>
      </x:c>
      <x:c r="G16" s="46" t="s">
        <x:v>206</x:v>
      </x:c>
      <x:c r="H16" s="44" t="s">
        <x:v>203</x:v>
      </x:c>
      <x:c r="I16" s="44">
        <x:v>5</x:v>
      </x:c>
      <x:c r="J16" s="46" t="s">
        <x:v>697</x:v>
      </x:c>
      <x:c r="K16" s="46" t="s">
        <x:v>160</x:v>
      </x:c>
      <x:c r="L16" s="44" t="s">
        <x:v>354</x:v>
      </x:c>
      <x:c r="M16" s="44" t="s">
        <x:v>770</x:v>
      </x:c>
      <x:c r="N16" s="47">
        <x:f t="shared" si="0"/>
        <x:v>0.0085069444444444437</x:v>
      </x:c>
      <x:c r="O16" s="48" t="s">
        <x:v>55</x:v>
      </x:c>
      <x:c r="P16" s="49">
        <x:f>P15+7</x:f>
        <x:v>54</x:v>
      </x:c>
      <x:c r="Q16" s="50">
        <x:v>7</x:v>
      </x:c>
      <x:c r="R16" s="51">
        <x:f>$Q$3*P16*P16+$R$3*P16</x:f>
        <x:v>95.579999999999984</x:v>
      </x:c>
      <x:c r="S16" s="68"/>
      <x:c r="T16" s="68"/>
      <x:c r="U16" s="68"/>
      <x:c r="V16" s="68"/>
      <x:c r="W16" s="68"/>
      <x:c r="X16" s="68"/>
      <x:c r="Y16" s="68"/>
      <x:c r="Z16" s="68"/>
      <x:c r="AA16" s="68"/>
      <x:c r="AB16" s="68"/>
      <x:c r="AC16" s="68"/>
      <x:c r="AD16" s="68"/>
      <x:c r="AE16" s="49"/>
      <x:c r="AF16" s="49"/>
      <x:c r="AG16" s="49"/>
      <x:c r="AH16" s="49"/>
      <x:c r="AI16" s="49"/>
      <x:c r="AJ16" s="52"/>
    </x:row>
    <x:row r="17" spans="1:36" ht="81.95000000000000284217" customHeight="1">
      <x:c r="A17" s="43" t="s">
        <x:v>41</x:v>
      </x:c>
      <x:c r="B17" s="44">
        <x:v>13</x:v>
      </x:c>
      <x:c r="C17" s="44">
        <x:v>1</x:v>
      </x:c>
      <x:c r="D17" s="44">
        <x:v>5</x:v>
      </x:c>
      <x:c r="E17" s="46" t="s">
        <x:v>48</x:v>
      </x:c>
      <x:c r="F17" s="46" t="s">
        <x:v>799</x:v>
      </x:c>
      <x:c r="G17" s="46" t="s">
        <x:v>579</x:v>
      </x:c>
      <x:c r="H17" s="44" t="s">
        <x:v>187</x:v>
      </x:c>
      <x:c r="I17" s="44">
        <x:v>3</x:v>
      </x:c>
      <x:c r="J17" s="46" t="s">
        <x:v>682</x:v>
      </x:c>
      <x:c r="K17" s="46" t="s">
        <x:v>675</x:v>
      </x:c>
      <x:c r="L17" s="44" t="s">
        <x:v>169</x:v>
      </x:c>
      <x:c r="M17" s="44" t="s">
        <x:v>411</x:v>
      </x:c>
      <x:c r="N17" s="47">
        <x:f t="shared" si="0"/>
        <x:v>0.0090856481481481483</x:v>
      </x:c>
      <x:c r="O17" s="48" t="s">
        <x:v>55</x:v>
      </x:c>
      <x:c r="P17" s="49">
        <x:f>P16+4</x:f>
        <x:v>58</x:v>
      </x:c>
      <x:c r="Q17" s="50">
        <x:v>4</x:v>
      </x:c>
      <x:c r="R17" s="51">
        <x:f>$Q$3*P17*P17+$R$3*P17</x:f>
        <x:v>109.62</x:v>
      </x:c>
      <x:c r="S17" s="68"/>
      <x:c r="T17" s="68"/>
      <x:c r="U17" s="68"/>
      <x:c r="V17" s="68"/>
      <x:c r="W17" s="68"/>
      <x:c r="X17" s="68"/>
      <x:c r="Y17" s="68"/>
      <x:c r="Z17" s="68"/>
      <x:c r="AA17" s="68"/>
      <x:c r="AB17" s="68"/>
      <x:c r="AC17" s="69"/>
      <x:c r="AD17" s="69"/>
      <x:c r="AE17" s="49"/>
      <x:c r="AF17" s="49"/>
      <x:c r="AG17" s="49"/>
      <x:c r="AH17" s="49"/>
      <x:c r="AI17" s="49"/>
      <x:c r="AJ17" s="52"/>
    </x:row>
    <x:row r="18" spans="1:36" ht="81.95000000000000284217" customHeight="1">
      <x:c r="A18" s="43" t="s">
        <x:v>41</x:v>
      </x:c>
      <x:c r="B18" s="44">
        <x:v>14</x:v>
      </x:c>
      <x:c r="C18" s="44">
        <x:v>2</x:v>
      </x:c>
      <x:c r="D18" s="44">
        <x:v>5</x:v>
      </x:c>
      <x:c r="E18" s="46" t="s">
        <x:v>33</x:v>
      </x:c>
      <x:c r="F18" s="46" t="s">
        <x:v>212</x:v>
      </x:c>
      <x:c r="G18" s="46" t="s">
        <x:v>208</x:v>
      </x:c>
      <x:c r="H18" s="44" t="s">
        <x:v>204</x:v>
      </x:c>
      <x:c r="I18" s="44">
        <x:v>1</x:v>
      </x:c>
      <x:c r="J18" s="46" t="s">
        <x:v>700</x:v>
      </x:c>
      <x:c r="K18" s="46" t="s">
        <x:v>160</x:v>
      </x:c>
      <x:c r="L18" s="44" t="s">
        <x:v>175</x:v>
      </x:c>
      <x:c r="M18" s="44" t="s">
        <x:v>778</x:v>
      </x:c>
      <x:c r="N18" s="47">
        <x:f t="shared" si="0"/>
        <x:v>0.010474537037037038</x:v>
      </x:c>
      <x:c r="O18" s="48" t="s">
        <x:v>58</x:v>
      </x:c>
      <x:c r="P18" s="49">
        <x:f>P17+7</x:f>
        <x:v>65</x:v>
      </x:c>
      <x:c r="Q18" s="50">
        <x:v>7</x:v>
      </x:c>
      <x:c r="R18" s="51">
        <x:f>$Q$3*P18*P18+$R$3*P18</x:f>
        <x:v>136.5</x:v>
      </x:c>
      <x:c r="S18" s="68"/>
      <x:c r="T18" s="68"/>
      <x:c r="U18" s="68"/>
      <x:c r="V18" s="68"/>
      <x:c r="W18" s="68"/>
      <x:c r="X18" s="68"/>
      <x:c r="Y18" s="68"/>
      <x:c r="Z18" s="68"/>
      <x:c r="AA18" s="68"/>
      <x:c r="AB18" s="68"/>
      <x:c r="AC18" s="69"/>
      <x:c r="AD18" s="69"/>
      <x:c r="AE18" s="49"/>
      <x:c r="AF18" s="49"/>
      <x:c r="AG18" s="49"/>
      <x:c r="AH18" s="49"/>
      <x:c r="AI18" s="49"/>
      <x:c r="AJ18" s="52"/>
    </x:row>
    <x:row r="19" spans="1:36" ht="81.95000000000000284217" customHeight="1">
      <x:c r="A19" s="43" t="s">
        <x:v>41</x:v>
      </x:c>
      <x:c r="B19" s="44">
        <x:v>15</x:v>
      </x:c>
      <x:c r="C19" s="44">
        <x:v>2</x:v>
      </x:c>
      <x:c r="D19" s="44">
        <x:v>5</x:v>
      </x:c>
      <x:c r="E19" s="46" t="s">
        <x:v>365</x:v>
      </x:c>
      <x:c r="F19" s="46" t="s">
        <x:v>799</x:v>
      </x:c>
      <x:c r="G19" s="46" t="s">
        <x:v>579</x:v>
      </x:c>
      <x:c r="H19" s="44" t="s">
        <x:v>187</x:v>
      </x:c>
      <x:c r="I19" s="44">
        <x:v>3</x:v>
      </x:c>
      <x:c r="J19" s="46" t="s">
        <x:v>783</x:v>
      </x:c>
      <x:c r="K19" s="46" t="s">
        <x:v>675</x:v>
      </x:c>
      <x:c r="L19" s="44" t="s">
        <x:v>317</x:v>
      </x:c>
      <x:c r="M19" s="44" t="s">
        <x:v>411</x:v>
      </x:c>
      <x:c r="N19" s="47">
        <x:f t="shared" si="0"/>
        <x:v>0.011400462962962961</x:v>
      </x:c>
      <x:c r="O19" s="48" t="s">
        <x:v>58</x:v>
      </x:c>
      <x:c r="P19" s="49">
        <x:f>P18+6</x:f>
        <x:v>71</x:v>
      </x:c>
      <x:c r="Q19" s="50">
        <x:v>6</x:v>
      </x:c>
      <x:c r="R19" s="51">
        <x:f>$Q$3*P19*P19+$R$3*P19</x:f>
        <x:v>161.88</x:v>
      </x:c>
      <x:c r="S19" s="68"/>
      <x:c r="T19" s="68"/>
      <x:c r="U19" s="68"/>
      <x:c r="V19" s="68"/>
      <x:c r="W19" s="68"/>
      <x:c r="X19" s="68"/>
      <x:c r="Y19" s="68"/>
      <x:c r="Z19" s="68"/>
      <x:c r="AA19" s="68"/>
      <x:c r="AB19" s="68"/>
      <x:c r="AC19" s="69"/>
      <x:c r="AD19" s="69"/>
      <x:c r="AE19" s="49"/>
      <x:c r="AF19" s="49"/>
      <x:c r="AG19" s="49"/>
      <x:c r="AH19" s="49"/>
      <x:c r="AI19" s="49"/>
      <x:c r="AJ19" s="52"/>
    </x:row>
    <x:row r="20" spans="1:36" ht="81.95000000000000284217" customHeight="1">
      <x:c r="A20" s="43" t="s">
        <x:v>41</x:v>
      </x:c>
      <x:c r="B20" s="44">
        <x:v>16</x:v>
      </x:c>
      <x:c r="C20" s="44">
        <x:v>1</x:v>
      </x:c>
      <x:c r="D20" s="44">
        <x:v>7</x:v>
      </x:c>
      <x:c r="E20" s="46" t="s">
        <x:v>436</x:v>
      </x:c>
      <x:c r="F20" s="46" t="s">
        <x:v>568</x:v>
      </x:c>
      <x:c r="G20" s="46" t="s">
        <x:v>595</x:v>
      </x:c>
      <x:c r="H20" s="44" t="s">
        <x:v>566</x:v>
      </x:c>
      <x:c r="I20" s="44">
        <x:v>1</x:v>
      </x:c>
      <x:c r="J20" s="46" t="s">
        <x:v>610</x:v>
      </x:c>
      <x:c r="K20" s="46" t="s">
        <x:v>680</x:v>
      </x:c>
      <x:c r="L20" s="44" t="s">
        <x:v>177</x:v>
      </x:c>
      <x:c r="M20" s="44" t="s">
        <x:v>777</x:v>
      </x:c>
      <x:c r="N20" s="47">
        <x:f t="shared" si="0"/>
        <x:v>0.011689814814814814</x:v>
      </x:c>
      <x:c r="O20" s="48" t="s">
        <x:v>58</x:v>
      </x:c>
      <x:c r="P20" s="49">
        <x:f>P19+4</x:f>
        <x:v>75</x:v>
      </x:c>
      <x:c r="Q20" s="50">
        <x:v>4</x:v>
      </x:c>
      <x:c r="R20" s="51">
        <x:f>$Q$3*P20*P20+$R$3*P20</x:f>
        <x:v>180</x:v>
      </x:c>
      <x:c r="S20" s="68"/>
      <x:c r="T20" s="68"/>
      <x:c r="U20" s="68"/>
      <x:c r="V20" s="68"/>
      <x:c r="W20" s="68"/>
      <x:c r="X20" s="68"/>
      <x:c r="Y20" s="68"/>
      <x:c r="Z20" s="68"/>
      <x:c r="AA20" s="68"/>
      <x:c r="AB20" s="68"/>
      <x:c r="AC20" s="69"/>
      <x:c r="AD20" s="69"/>
      <x:c r="AE20" s="49"/>
      <x:c r="AF20" s="49"/>
      <x:c r="AG20" s="49"/>
      <x:c r="AH20" s="49"/>
      <x:c r="AI20" s="49"/>
      <x:c r="AJ20" s="52"/>
    </x:row>
    <x:row r="21" spans="1:36" ht="81.95000000000000284217" customHeight="1">
      <x:c r="A21" s="43" t="s">
        <x:v>41</x:v>
      </x:c>
      <x:c r="B21" s="44">
        <x:v>17</x:v>
      </x:c>
      <x:c r="C21" s="44">
        <x:v>5</x:v>
      </x:c>
      <x:c r="D21" s="44">
        <x:v>8</x:v>
      </x:c>
      <x:c r="E21" s="46" t="s">
        <x:v>441</x:v>
      </x:c>
      <x:c r="F21" s="46" t="s">
        <x:v>188</x:v>
      </x:c>
      <x:c r="G21" s="46" t="s">
        <x:v>227</x:v>
      </x:c>
      <x:c r="H21" s="44" t="s">
        <x:v>563</x:v>
      </x:c>
      <x:c r="I21" s="44">
        <x:v>1</x:v>
      </x:c>
      <x:c r="J21" s="46" t="s">
        <x:v>692</x:v>
      </x:c>
      <x:c r="K21" s="46" t="s">
        <x:v>798</x:v>
      </x:c>
      <x:c r="L21" s="44" t="s">
        <x:v>175</x:v>
      </x:c>
      <x:c r="M21" s="44" t="s">
        <x:v>773</x:v>
      </x:c>
      <x:c r="N21" s="47">
        <x:f t="shared" si="0"/>
        <x:v>0.013078703703703703</x:v>
      </x:c>
      <x:c r="O21" s="48" t="s">
        <x:v>446</x:v>
      </x:c>
      <x:c r="P21" s="49">
        <x:f>P20+9</x:f>
        <x:v>84</x:v>
      </x:c>
      <x:c r="Q21" s="50">
        <x:v>9</x:v>
      </x:c>
      <x:c r="R21" s="51">
        <x:f>$Q$3*P21*P21+$R$3*P21</x:f>
        <x:v>224.28</x:v>
      </x:c>
      <x:c r="S21" s="68"/>
      <x:c r="T21" s="68"/>
      <x:c r="U21" s="68"/>
      <x:c r="V21" s="68"/>
      <x:c r="W21" s="68"/>
      <x:c r="X21" s="68"/>
      <x:c r="Y21" s="68"/>
      <x:c r="Z21" s="68"/>
      <x:c r="AA21" s="68"/>
      <x:c r="AB21" s="68"/>
      <x:c r="AC21" s="69"/>
      <x:c r="AD21" s="69"/>
      <x:c r="AE21" s="49"/>
      <x:c r="AF21" s="49"/>
      <x:c r="AG21" s="49"/>
      <x:c r="AH21" s="49"/>
      <x:c r="AI21" s="49"/>
      <x:c r="AJ21" s="52"/>
    </x:row>
    <x:row r="22" spans="1:36" ht="81.95000000000000284217" customHeight="1">
      <x:c r="A22" s="43" t="s">
        <x:v>41</x:v>
      </x:c>
      <x:c r="B22" s="44">
        <x:v>18</x:v>
      </x:c>
      <x:c r="C22" s="44">
        <x:v>4</x:v>
      </x:c>
      <x:c r="D22" s="44">
        <x:v>7</x:v>
      </x:c>
      <x:c r="E22" s="46" t="s">
        <x:v>462</x:v>
      </x:c>
      <x:c r="F22" s="46" t="s">
        <x:v>196</x:v>
      </x:c>
      <x:c r="G22" s="46" t="s">
        <x:v>555</x:v>
      </x:c>
      <x:c r="H22" s="44" t="s">
        <x:v>659</x:v>
      </x:c>
      <x:c r="I22" s="44">
        <x:v>4</x:v>
      </x:c>
      <x:c r="J22" s="46" t="s">
        <x:v>801</x:v>
      </x:c>
      <x:c r="K22" s="46" t="s">
        <x:v>775</x:v>
      </x:c>
      <x:c r="L22" s="44" t="s">
        <x:v>360</x:v>
      </x:c>
      <x:c r="M22" s="44" t="s">
        <x:v>694</x:v>
      </x:c>
      <x:c r="N22" s="47">
        <x:f t="shared" si="0"/>
        <x:v>0.014236111111111111</x:v>
      </x:c>
      <x:c r="O22" s="48" t="s">
        <x:v>446</x:v>
      </x:c>
      <x:c r="P22" s="49">
        <x:f>P21+8</x:f>
        <x:v>92</x:v>
      </x:c>
      <x:c r="Q22" s="50">
        <x:v>8</x:v>
      </x:c>
      <x:c r="R22" s="51">
        <x:f>$Q$3*P22*P22+$R$3*P22</x:f>
        <x:v>267.71999999999997</x:v>
      </x:c>
      <x:c r="S22" s="68"/>
      <x:c r="T22" s="68"/>
      <x:c r="U22" s="68"/>
      <x:c r="V22" s="68"/>
      <x:c r="W22" s="77" t="s">
        <x:v>672</x:v>
      </x:c>
      <x:c r="X22" s="77">
        <x:f ca="1">ROUND($X22*1,0)</x:f>
        <x:v>40</x:v>
      </x:c>
      <x:c r="Y22" s="68">
        <x:f ca="1">X22*0.8</x:f>
        <x:v>32</x:v>
      </x:c>
      <x:c r="Z22" s="68">
        <x:f t="shared" aca="1" ref="Z22:Z27" si="1">X22*0.6</x:f>
        <x:v>24</x:v>
      </x:c>
      <x:c r="AA22" s="68">
        <x:f t="shared" aca="1" ref="AA22:AA27" si="2">X22*0.5</x:f>
        <x:v>20</x:v>
      </x:c>
      <x:c r="AB22" s="74">
        <x:v>0.0025462962962962965</x:v>
      </x:c>
      <x:c r="AC22" s="74">
        <x:f ca="1">$AD22*1.45</x:f>
        <x:v>0.0036921296296296298</x:v>
      </x:c>
      <x:c r="AD22" s="74">
        <x:f ca="1">$AD22</x:f>
        <x:v>0.0025462962962962965</x:v>
      </x:c>
      <x:c r="AE22" s="74">
        <x:f ca="1">$AD22*0.75</x:f>
        <x:v>0.0019097222222222224</x:v>
      </x:c>
      <x:c r="AF22" s="49"/>
      <x:c r="AG22" s="49"/>
      <x:c r="AH22" s="49"/>
      <x:c r="AI22" s="49"/>
      <x:c r="AJ22" s="52"/>
    </x:row>
    <x:row r="23" spans="1:36" ht="81.95000000000000284217" customHeight="1">
      <x:c r="A23" s="43" t="s">
        <x:v>41</x:v>
      </x:c>
      <x:c r="B23" s="44">
        <x:v>19</x:v>
      </x:c>
      <x:c r="C23" s="44">
        <x:v>2</x:v>
      </x:c>
      <x:c r="D23" s="44">
        <x:v>5</x:v>
      </x:c>
      <x:c r="E23" s="46" t="s">
        <x:v>56</x:v>
      </x:c>
      <x:c r="F23" s="46" t="s">
        <x:v>799</x:v>
      </x:c>
      <x:c r="G23" s="46" t="s">
        <x:v>579</x:v>
      </x:c>
      <x:c r="H23" s="44" t="s">
        <x:v>192</x:v>
      </x:c>
      <x:c r="I23" s="44">
        <x:v>3</x:v>
      </x:c>
      <x:c r="J23" s="46" t="s">
        <x:v>681</x:v>
      </x:c>
      <x:c r="K23" s="46" t="s">
        <x:v>675</x:v>
      </x:c>
      <x:c r="L23" s="44" t="s">
        <x:v>172</x:v>
      </x:c>
      <x:c r="M23" s="44" t="s">
        <x:v>411</x:v>
      </x:c>
      <x:c r="N23" s="47">
        <x:f t="shared" si="0"/>
        <x:v>0.014872685185185185</x:v>
      </x:c>
      <x:c r="O23" s="48" t="s">
        <x:v>446</x:v>
      </x:c>
      <x:c r="P23" s="49">
        <x:f>P22+5</x:f>
        <x:v>97</x:v>
      </x:c>
      <x:c r="Q23" s="50">
        <x:v>5</x:v>
      </x:c>
      <x:c r="R23" s="51">
        <x:f>$Q$3*P23*P23+$R$3*P23</x:f>
        <x:v>296.81999999999999</x:v>
      </x:c>
      <x:c r="S23" s="68"/>
      <x:c r="T23" s="68"/>
      <x:c r="U23" s="68"/>
      <x:c r="V23" s="68"/>
      <x:c r="W23" s="68"/>
      <x:c r="X23" s="68">
        <x:v>30</x:v>
      </x:c>
      <x:c r="Y23" s="68">
        <x:f>ROUND(X23*0.8,0)</x:f>
        <x:v>24</x:v>
      </x:c>
      <x:c r="Z23" s="68">
        <x:f t="shared" si="1"/>
        <x:v>18</x:v>
      </x:c>
      <x:c r="AA23" s="68">
        <x:f t="shared" si="2"/>
        <x:v>15</x:v>
      </x:c>
      <x:c r="AB23" s="68"/>
      <x:c r="AC23" s="69">
        <x:f>(IFERROR(VALUE(LEFT(AE23,FIND("분",AE23)-1))*60,0)+IFERROR(VALUE(MID(AE23,IFERROR(FIND("분",AE23),0)+1,FIND("초",AE23)-IFERROR(FIND("분",AE23),0)-1)),0))/86400*2</x:f>
        <x:v>0.0012731481481481483</x:v>
      </x:c>
      <x:c r="AD23" s="69">
        <x:f>(IFERROR(VALUE(LEFT(AE23,FIND("분",AE23)-1))*60,0)+IFERROR(VALUE(MID(AE23,IFERROR(FIND("분",AE23),0)+1,FIND("초",AE23)-IFERROR(FIND("분",AE23),0)-1)),0))/86400*1.4</x:f>
        <x:v>0.00089120370370370373</x:v>
      </x:c>
      <x:c r="AE23" s="49" t="str">
        <x:f>L23</x:f>
        <x:v>55초</x:v>
      </x:c>
      <x:c r="AF23" s="49"/>
      <x:c r="AG23" s="49"/>
      <x:c r="AH23" s="49"/>
      <x:c r="AI23" s="49"/>
      <x:c r="AJ23" s="52"/>
    </x:row>
    <x:row r="24" spans="1:36" ht="81.95000000000000284217" customHeight="1">
      <x:c r="A24" s="43" t="s">
        <x:v>41</x:v>
      </x:c>
      <x:c r="B24" s="44">
        <x:v>20</x:v>
      </x:c>
      <x:c r="C24" s="44">
        <x:v>1</x:v>
      </x:c>
      <x:c r="D24" s="44">
        <x:v>5</x:v>
      </x:c>
      <x:c r="E24" s="46" t="s">
        <x:v>44</x:v>
      </x:c>
      <x:c r="F24" s="46" t="s">
        <x:v>759</x:v>
      </x:c>
      <x:c r="G24" s="46" t="s">
        <x:v>197</x:v>
      </x:c>
      <x:c r="H24" s="44" t="s">
        <x:v>190</x:v>
      </x:c>
      <x:c r="I24" s="44">
        <x:v>1</x:v>
      </x:c>
      <x:c r="J24" s="46" t="s">
        <x:v>616</x:v>
      </x:c>
      <x:c r="K24" s="46" t="s">
        <x:v>160</x:v>
      </x:c>
      <x:c r="L24" s="44" t="s">
        <x:v>302</x:v>
      </x:c>
      <x:c r="M24" s="44" t="s">
        <x:v>780</x:v>
      </x:c>
      <x:c r="N24" s="47">
        <x:f t="shared" si="0"/>
        <x:v>0.015682870370370371</x:v>
      </x:c>
      <x:c r="O24" s="48" t="s">
        <x:v>446</x:v>
      </x:c>
      <x:c r="P24" s="49">
        <x:f>P23+5</x:f>
        <x:v>102</x:v>
      </x:c>
      <x:c r="Q24" s="50">
        <x:v>5</x:v>
      </x:c>
      <x:c r="R24" s="51">
        <x:f>$Q$3*P24*P24+$R$3*P24</x:f>
        <x:v>327.42000000000002</x:v>
      </x:c>
      <x:c r="S24" s="68"/>
      <x:c r="T24" s="68"/>
      <x:c r="U24" s="68"/>
      <x:c r="V24" s="68"/>
      <x:c r="W24" s="68"/>
      <x:c r="X24" s="68"/>
      <x:c r="Y24" s="68"/>
      <x:c r="Z24" s="68"/>
      <x:c r="AA24" s="68"/>
      <x:c r="AB24" s="68"/>
      <x:c r="AC24" s="69"/>
      <x:c r="AD24" s="69"/>
      <x:c r="AE24" s="49"/>
      <x:c r="AF24" s="49"/>
      <x:c r="AG24" s="49"/>
      <x:c r="AH24" s="49"/>
      <x:c r="AI24" s="49"/>
      <x:c r="AJ24" s="52"/>
    </x:row>
    <x:row r="25" spans="1:36" ht="81.95000000000000284217" customHeight="1">
      <x:c r="A25" s="43" t="s">
        <x:v>41</x:v>
      </x:c>
      <x:c r="B25" s="44">
        <x:v>21</x:v>
      </x:c>
      <x:c r="C25" s="44">
        <x:v>2</x:v>
      </x:c>
      <x:c r="D25" s="44">
        <x:v>5</x:v>
      </x:c>
      <x:c r="E25" s="46" t="s">
        <x:v>28</x:v>
      </x:c>
      <x:c r="F25" s="46" t="s">
        <x:v>212</x:v>
      </x:c>
      <x:c r="G25" s="46" t="s">
        <x:v>541</x:v>
      </x:c>
      <x:c r="H25" s="44" t="s">
        <x:v>262</x:v>
      </x:c>
      <x:c r="I25" s="44">
        <x:v>1</x:v>
      </x:c>
      <x:c r="J25" s="46" t="s">
        <x:v>788</x:v>
      </x:c>
      <x:c r="K25" s="46" t="s">
        <x:v>160</x:v>
      </x:c>
      <x:c r="L25" s="44" t="s">
        <x:v>305</x:v>
      </x:c>
      <x:c r="M25" s="44" t="s">
        <x:v>778</x:v>
      </x:c>
      <x:c r="N25" s="47">
        <x:f t="shared" si="0"/>
        <x:v>0.017418981481481483</x:v>
      </x:c>
      <x:c r="O25" s="48" t="s">
        <x:v>46</x:v>
      </x:c>
      <x:c r="P25" s="49">
        <x:f>P24+7</x:f>
        <x:v>109</x:v>
      </x:c>
      <x:c r="Q25" s="50">
        <x:v>7</x:v>
      </x:c>
      <x:c r="R25" s="51">
        <x:f>$Q$3*P25*P25+$R$3*P25</x:f>
        <x:v>372.78000000000003</x:v>
      </x:c>
      <x:c r="S25" s="68"/>
      <x:c r="T25" s="68"/>
      <x:c r="U25" s="68"/>
      <x:c r="V25" s="68"/>
      <x:c r="W25" s="68"/>
      <x:c r="X25" s="68"/>
      <x:c r="Y25" s="68"/>
      <x:c r="Z25" s="68"/>
      <x:c r="AA25" s="68"/>
      <x:c r="AB25" s="68"/>
      <x:c r="AC25" s="69"/>
      <x:c r="AD25" s="69"/>
      <x:c r="AE25" s="49"/>
      <x:c r="AF25" s="49"/>
      <x:c r="AG25" s="49"/>
      <x:c r="AH25" s="49"/>
      <x:c r="AI25" s="49"/>
      <x:c r="AJ25" s="52"/>
    </x:row>
    <x:row r="26" spans="1:36" ht="81.95000000000000284217" customHeight="1">
      <x:c r="A26" s="43" t="s">
        <x:v>41</x:v>
      </x:c>
      <x:c r="B26" s="44">
        <x:v>22</x:v>
      </x:c>
      <x:c r="C26" s="44">
        <x:v>2</x:v>
      </x:c>
      <x:c r="D26" s="44">
        <x:v>7</x:v>
      </x:c>
      <x:c r="E26" s="46" t="s">
        <x:v>465</x:v>
      </x:c>
      <x:c r="F26" s="46" t="s">
        <x:v>617</x:v>
      </x:c>
      <x:c r="G26" s="46" t="s">
        <x:v>532</x:v>
      </x:c>
      <x:c r="H26" s="44" t="s">
        <x:v>297</x:v>
      </x:c>
      <x:c r="I26" s="44">
        <x:v>3</x:v>
      </x:c>
      <x:c r="J26" s="46" t="s">
        <x:v>444</x:v>
      </x:c>
      <x:c r="K26" s="46" t="s">
        <x:v>160</x:v>
      </x:c>
      <x:c r="L26" s="44" t="s">
        <x:v>326</x:v>
      </x:c>
      <x:c r="M26" s="44" t="s">
        <x:v>802</x:v>
      </x:c>
      <x:c r="N26" s="47">
        <x:f t="shared" si="0"/>
        <x:v>0.01846064814814815</x:v>
      </x:c>
      <x:c r="O26" s="48" t="s">
        <x:v>46</x:v>
      </x:c>
      <x:c r="P26" s="49">
        <x:f>P25+7</x:f>
        <x:v>116</x:v>
      </x:c>
      <x:c r="Q26" s="50">
        <x:v>7</x:v>
      </x:c>
      <x:c r="R26" s="51">
        <x:f>$Q$3*P26*P26+$R$3*P26</x:f>
        <x:v>421.07999999999998</x:v>
      </x:c>
      <x:c r="S26" s="68"/>
      <x:c r="T26" s="68"/>
      <x:c r="U26" s="68"/>
      <x:c r="V26" s="68"/>
      <x:c r="W26" s="68"/>
      <x:c r="X26" s="68"/>
      <x:c r="Y26" s="68"/>
      <x:c r="Z26" s="68"/>
      <x:c r="AA26" s="68"/>
      <x:c r="AB26" s="68"/>
      <x:c r="AC26" s="69"/>
      <x:c r="AD26" s="69"/>
      <x:c r="AE26" s="49"/>
      <x:c r="AF26" s="49"/>
      <x:c r="AG26" s="49"/>
      <x:c r="AH26" s="49"/>
      <x:c r="AI26" s="49"/>
      <x:c r="AJ26" s="52"/>
    </x:row>
    <x:row r="27" spans="1:36" ht="81.95000000000000284217" customHeight="1">
      <x:c r="A27" s="43" t="s">
        <x:v>41</x:v>
      </x:c>
      <x:c r="B27" s="44">
        <x:v>23</x:v>
      </x:c>
      <x:c r="C27" s="44">
        <x:v>3</x:v>
      </x:c>
      <x:c r="D27" s="44">
        <x:v>8</x:v>
      </x:c>
      <x:c r="E27" s="46" t="s">
        <x:v>68</x:v>
      </x:c>
      <x:c r="F27" s="46" t="s">
        <x:v>299</x:v>
      </x:c>
      <x:c r="G27" s="46" t="s">
        <x:v>601</x:v>
      </x:c>
      <x:c r="H27" s="44" t="s">
        <x:v>569</x:v>
      </x:c>
      <x:c r="I27" s="44">
        <x:v>4</x:v>
      </x:c>
      <x:c r="J27" s="46" t="s">
        <x:v>454</x:v>
      </x:c>
      <x:c r="K27" s="46" t="s">
        <x:v>771</x:v>
      </x:c>
      <x:c r="L27" s="44" t="s">
        <x:v>175</x:v>
      </x:c>
      <x:c r="M27" s="44" t="s">
        <x:v>776</x:v>
      </x:c>
      <x:c r="N27" s="47">
        <x:f t="shared" si="0"/>
        <x:v>0.019849537037037038</x:v>
      </x:c>
      <x:c r="O27" s="48" t="s">
        <x:v>46</x:v>
      </x:c>
      <x:c r="P27" s="49">
        <x:f>P26+9</x:f>
        <x:v>125</x:v>
      </x:c>
      <x:c r="Q27" s="50">
        <x:v>9</x:v>
      </x:c>
      <x:c r="R27" s="51">
        <x:f>$Q$3*P27*P27+$R$3*P27</x:f>
        <x:v>487.5</x:v>
      </x:c>
      <x:c r="S27" s="68"/>
      <x:c r="T27" s="68"/>
      <x:c r="U27" s="68"/>
      <x:c r="V27" s="68"/>
      <x:c r="W27" s="77" t="s">
        <x:v>254</x:v>
      </x:c>
      <x:c r="X27" s="77">
        <x:f ca="1">ROUND($X27*1,0)</x:f>
        <x:v>20</x:v>
      </x:c>
      <x:c r="Y27" s="68">
        <x:f ca="1">ROUND(X27*0.8,0)</x:f>
        <x:v>16</x:v>
      </x:c>
      <x:c r="Z27" s="68">
        <x:f t="shared" si="1"/>
        <x:v>12</x:v>
      </x:c>
      <x:c r="AA27" s="68">
        <x:f t="shared" si="2"/>
        <x:v>10</x:v>
      </x:c>
      <x:c r="AB27" s="74">
        <x:v>0.0024305555555555556</x:v>
      </x:c>
      <x:c r="AC27" s="74">
        <x:f ca="1">$AD27*1.35</x:f>
        <x:v>0.0032812500000000006</x:v>
      </x:c>
      <x:c r="AD27" s="74">
        <x:f ca="1">$AD27</x:f>
        <x:v>0.0024305555555555556</x:v>
      </x:c>
      <x:c r="AE27" s="74">
        <x:f ca="1">$AD27*0.8</x:f>
        <x:v>0.0019444444444444446</x:v>
      </x:c>
      <x:c r="AF27" s="49"/>
      <x:c r="AG27" s="49"/>
      <x:c r="AH27" s="49"/>
      <x:c r="AI27" s="49"/>
      <x:c r="AJ27" s="52"/>
    </x:row>
    <x:row r="28" spans="1:36" ht="81.95000000000000284217" customHeight="1">
      <x:c r="A28" s="43" t="s">
        <x:v>41</x:v>
      </x:c>
      <x:c r="B28" s="44">
        <x:v>24</x:v>
      </x:c>
      <x:c r="C28" s="44">
        <x:v>1</x:v>
      </x:c>
      <x:c r="D28" s="44">
        <x:v>5</x:v>
      </x:c>
      <x:c r="E28" s="46" t="s">
        <x:v>49</x:v>
      </x:c>
      <x:c r="F28" s="46" t="s">
        <x:v>799</x:v>
      </x:c>
      <x:c r="G28" s="46" t="s">
        <x:v>579</x:v>
      </x:c>
      <x:c r="H28" s="44" t="s">
        <x:v>296</x:v>
      </x:c>
      <x:c r="I28" s="44">
        <x:v>3</x:v>
      </x:c>
      <x:c r="J28" s="46" t="s">
        <x:v>781</x:v>
      </x:c>
      <x:c r="K28" s="46" t="s">
        <x:v>675</x:v>
      </x:c>
      <x:c r="L28" s="44" t="s">
        <x:v>311</x:v>
      </x:c>
      <x:c r="M28" s="44" t="s">
        <x:v>411</x:v>
      </x:c>
      <x:c r="N28" s="47">
        <x:f t="shared" si="0"/>
        <x:v>0.02060185185185185</x:v>
      </x:c>
      <x:c r="O28" s="48" t="s">
        <x:v>46</x:v>
      </x:c>
      <x:c r="P28" s="49">
        <x:f>P27+5</x:f>
        <x:v>130</x:v>
      </x:c>
      <x:c r="Q28" s="50">
        <x:v>5</x:v>
      </x:c>
      <x:c r="R28" s="51">
        <x:f>$Q$3*P28*P28+$R$3*P28</x:f>
        <x:v>526.5</x:v>
      </x:c>
      <x:c r="S28" s="68"/>
      <x:c r="T28" s="68"/>
      <x:c r="U28" s="68"/>
      <x:c r="V28" s="68"/>
      <x:c r="W28" s="68"/>
      <x:c r="X28" s="68"/>
      <x:c r="Y28" s="68"/>
      <x:c r="Z28" s="68"/>
      <x:c r="AA28" s="68"/>
      <x:c r="AB28" s="68"/>
      <x:c r="AC28" s="69"/>
      <x:c r="AD28" s="69"/>
      <x:c r="AE28" s="49"/>
      <x:c r="AF28" s="49"/>
      <x:c r="AG28" s="49"/>
      <x:c r="AH28" s="49"/>
      <x:c r="AI28" s="49"/>
      <x:c r="AJ28" s="52"/>
    </x:row>
    <x:row r="29" spans="1:36" ht="81.95000000000000284217" customHeight="1">
      <x:c r="A29" s="43" t="s">
        <x:v>41</x:v>
      </x:c>
      <x:c r="B29" s="44">
        <x:v>25</x:v>
      </x:c>
      <x:c r="C29" s="44">
        <x:v>2</x:v>
      </x:c>
      <x:c r="D29" s="44">
        <x:v>5</x:v>
      </x:c>
      <x:c r="E29" s="46" t="s">
        <x:v>369</x:v>
      </x:c>
      <x:c r="F29" s="46" t="s">
        <x:v>212</x:v>
      </x:c>
      <x:c r="G29" s="46" t="s">
        <x:v>553</x:v>
      </x:c>
      <x:c r="H29" s="44" t="s">
        <x:v>262</x:v>
      </x:c>
      <x:c r="I29" s="44">
        <x:v>1</x:v>
      </x:c>
      <x:c r="J29" s="46" t="s">
        <x:v>800</x:v>
      </x:c>
      <x:c r="K29" s="46" t="s">
        <x:v>160</x:v>
      </x:c>
      <x:c r="L29" s="44" t="s">
        <x:v>354</x:v>
      </x:c>
      <x:c r="M29" s="44" t="s">
        <x:v>778</x:v>
      </x:c>
      <x:c r="N29" s="47">
        <x:f t="shared" si="0"/>
        <x:v>0.021875</x:v>
      </x:c>
      <x:c r="O29" s="48" t="s">
        <x:v>29</x:v>
      </x:c>
      <x:c r="P29" s="49">
        <x:f>P28+6</x:f>
        <x:v>136</x:v>
      </x:c>
      <x:c r="Q29" s="50">
        <x:v>6</x:v>
      </x:c>
      <x:c r="R29" s="51">
        <x:f>$Q$3*P29*P29+$R$3*P29</x:f>
        <x:v>575.27999999999997</x:v>
      </x:c>
      <x:c r="S29" s="68"/>
      <x:c r="T29" s="68"/>
      <x:c r="U29" s="68"/>
      <x:c r="V29" s="68"/>
      <x:c r="W29" s="68"/>
      <x:c r="X29" s="68"/>
      <x:c r="Y29" s="68"/>
      <x:c r="Z29" s="68"/>
      <x:c r="AA29" s="68"/>
      <x:c r="AB29" s="68"/>
      <x:c r="AC29" s="69"/>
      <x:c r="AD29" s="69"/>
      <x:c r="AE29" s="49"/>
      <x:c r="AF29" s="49"/>
      <x:c r="AG29" s="49"/>
      <x:c r="AH29" s="49"/>
      <x:c r="AI29" s="49"/>
      <x:c r="AJ29" s="52"/>
    </x:row>
    <x:row r="30" spans="1:36" ht="81.95000000000000284217" customHeight="1">
      <x:c r="A30" s="53" t="s">
        <x:v>66</x:v>
      </x:c>
      <x:c r="B30" s="44">
        <x:v>26</x:v>
      </x:c>
      <x:c r="C30" s="44">
        <x:v>1</x:v>
      </x:c>
      <x:c r="D30" s="44">
        <x:v>5</x:v>
      </x:c>
      <x:c r="E30" s="45" t="s">
        <x:v>447</x:v>
      </x:c>
      <x:c r="F30" s="46" t="s">
        <x:v>617</x:v>
      </x:c>
      <x:c r="G30" s="46" t="s">
        <x:v>632</x:v>
      </x:c>
      <x:c r="H30" s="44" t="s">
        <x:v>270</x:v>
      </x:c>
      <x:c r="I30" s="44">
        <x:v>4</x:v>
      </x:c>
      <x:c r="J30" s="46" t="s">
        <x:v>444</x:v>
      </x:c>
      <x:c r="K30" s="46" t="s">
        <x:v>160</x:v>
      </x:c>
      <x:c r="L30" s="44" t="s">
        <x:v>366</x:v>
      </x:c>
      <x:c r="M30" s="44" t="s">
        <x:v>802</x:v>
      </x:c>
      <x:c r="N30" s="47">
        <x:f t="shared" si="0"/>
        <x:v>0.022743055555555555</x:v>
      </x:c>
      <x:c r="O30" s="48" t="s">
        <x:v>438</x:v>
      </x:c>
      <x:c r="P30" s="49">
        <x:f>P29+5</x:f>
        <x:v>141</x:v>
      </x:c>
      <x:c r="Q30" s="50">
        <x:v>5</x:v>
      </x:c>
      <x:c r="R30" s="51">
        <x:f>$Q$3*P30*P30+$R$3*P30</x:f>
        <x:v>617.57999999999993</x:v>
      </x:c>
      <x:c r="S30" s="68"/>
      <x:c r="T30" s="68"/>
      <x:c r="U30" s="68"/>
      <x:c r="V30" s="68"/>
      <x:c r="W30" s="68"/>
      <x:c r="X30" s="68"/>
      <x:c r="Y30" s="68"/>
      <x:c r="Z30" s="68"/>
      <x:c r="AA30" s="68"/>
      <x:c r="AB30" s="68"/>
      <x:c r="AC30" s="69"/>
      <x:c r="AD30" s="69"/>
      <x:c r="AE30" s="49"/>
      <x:c r="AF30" s="49"/>
      <x:c r="AG30" s="49"/>
      <x:c r="AH30" s="49"/>
      <x:c r="AI30" s="49"/>
      <x:c r="AJ30" s="52"/>
    </x:row>
    <x:row r="31" spans="1:36" ht="81.95000000000000284217" customHeight="1">
      <x:c r="A31" s="53" t="s">
        <x:v>66</x:v>
      </x:c>
      <x:c r="B31" s="44">
        <x:v>27</x:v>
      </x:c>
      <x:c r="C31" s="44">
        <x:v>1</x:v>
      </x:c>
      <x:c r="D31" s="44">
        <x:v>6</x:v>
      </x:c>
      <x:c r="E31" s="46" t="s">
        <x:v>790</x:v>
      </x:c>
      <x:c r="F31" s="46" t="s">
        <x:v>248</x:v>
      </x:c>
      <x:c r="G31" s="46" t="s">
        <x:v>285</x:v>
      </x:c>
      <x:c r="H31" s="44" t="s">
        <x:v>611</x:v>
      </x:c>
      <x:c r="I31" s="44">
        <x:v>1</x:v>
      </x:c>
      <x:c r="J31" s="46" t="s">
        <x:v>61</x:v>
      </x:c>
      <x:c r="K31" s="46" t="s">
        <x:v>160</x:v>
      </x:c>
      <x:c r="L31" s="44" t="s">
        <x:v>157</x:v>
      </x:c>
      <x:c r="M31" s="44" t="s">
        <x:v>677</x:v>
      </x:c>
      <x:c r="N31" s="47">
        <x:f t="shared" si="0"/>
        <x:v>0.023148148148148147</x:v>
      </x:c>
      <x:c r="O31" s="48" t="s">
        <x:v>438</x:v>
      </x:c>
      <x:c r="P31" s="49">
        <x:f>P30+4</x:f>
        <x:v>145</x:v>
      </x:c>
      <x:c r="Q31" s="50">
        <x:v>4</x:v>
      </x:c>
      <x:c r="R31" s="51">
        <x:f>$Q$3*P31*P31+$R$3*P31</x:f>
        <x:v>652.5</x:v>
      </x:c>
      <x:c r="S31" s="68"/>
      <x:c r="T31" s="68"/>
      <x:c r="U31" s="68"/>
      <x:c r="V31" s="68"/>
      <x:c r="W31" s="68"/>
      <x:c r="X31" s="68"/>
      <x:c r="Y31" s="68"/>
      <x:c r="Z31" s="68"/>
      <x:c r="AA31" s="68"/>
      <x:c r="AB31" s="68"/>
      <x:c r="AC31" s="69"/>
      <x:c r="AD31" s="69"/>
      <x:c r="AE31" s="49"/>
      <x:c r="AF31" s="49"/>
      <x:c r="AG31" s="49"/>
      <x:c r="AH31" s="49"/>
      <x:c r="AI31" s="49"/>
      <x:c r="AJ31" s="52"/>
    </x:row>
    <x:row r="32" spans="1:36" ht="81.95000000000000284217" customHeight="1">
      <x:c r="A32" s="53" t="s">
        <x:v>66</x:v>
      </x:c>
      <x:c r="B32" s="44">
        <x:v>28</x:v>
      </x:c>
      <x:c r="C32" s="44">
        <x:v>1</x:v>
      </x:c>
      <x:c r="D32" s="44">
        <x:v>5</x:v>
      </x:c>
      <x:c r="E32" s="46" t="s">
        <x:v>488</x:v>
      </x:c>
      <x:c r="F32" s="46" t="s">
        <x:v>284</x:v>
      </x:c>
      <x:c r="G32" s="46" t="s">
        <x:v>633</x:v>
      </x:c>
      <x:c r="H32" s="44" t="s">
        <x:v>656</x:v>
      </x:c>
      <x:c r="I32" s="44">
        <x:v>1</x:v>
      </x:c>
      <x:c r="J32" s="46" t="s">
        <x:v>74</x:v>
      </x:c>
      <x:c r="K32" s="46" t="s">
        <x:v>160</x:v>
      </x:c>
      <x:c r="L32" s="44" t="s">
        <x:v>162</x:v>
      </x:c>
      <x:c r="M32" s="44" t="s">
        <x:v>795</x:v>
      </x:c>
      <x:c r="N32" s="47">
        <x:f t="shared" si="0"/>
        <x:v>0.023668981481481482</x:v>
      </x:c>
      <x:c r="O32" s="48" t="s">
        <x:v>438</x:v>
      </x:c>
      <x:c r="P32" s="49">
        <x:f>P31+4</x:f>
        <x:v>149</x:v>
      </x:c>
      <x:c r="Q32" s="50">
        <x:v>4</x:v>
      </x:c>
      <x:c r="R32" s="51">
        <x:f>$Q$3*P32*P32+$R$3*P32</x:f>
        <x:v>688.38</x:v>
      </x:c>
      <x:c r="S32" s="68"/>
      <x:c r="T32" s="68"/>
      <x:c r="U32" s="68"/>
      <x:c r="V32" s="68"/>
      <x:c r="W32" s="68"/>
      <x:c r="X32" s="68"/>
      <x:c r="Y32" s="68"/>
      <x:c r="Z32" s="68"/>
      <x:c r="AA32" s="68"/>
      <x:c r="AB32" s="68"/>
      <x:c r="AC32" s="69"/>
      <x:c r="AD32" s="69"/>
      <x:c r="AE32" s="49"/>
      <x:c r="AF32" s="49"/>
      <x:c r="AG32" s="49"/>
      <x:c r="AH32" s="49"/>
      <x:c r="AI32" s="49"/>
      <x:c r="AJ32" s="52"/>
    </x:row>
    <x:row r="33" spans="1:36" ht="81.95000000000000284217" customHeight="1">
      <x:c r="A33" s="53" t="s">
        <x:v>66</x:v>
      </x:c>
      <x:c r="B33" s="44">
        <x:v>29</x:v>
      </x:c>
      <x:c r="C33" s="44">
        <x:v>2</x:v>
      </x:c>
      <x:c r="D33" s="44">
        <x:v>5</x:v>
      </x:c>
      <x:c r="E33" s="46" t="s">
        <x:v>62</x:v>
      </x:c>
      <x:c r="F33" s="46" t="s">
        <x:v>231</x:v>
      </x:c>
      <x:c r="G33" s="46" t="s">
        <x:v>245</x:v>
      </x:c>
      <x:c r="H33" s="44" t="s">
        <x:v>301</x:v>
      </x:c>
      <x:c r="I33" s="44">
        <x:v>4</x:v>
      </x:c>
      <x:c r="J33" s="46" t="s">
        <x:v>786</x:v>
      </x:c>
      <x:c r="K33" s="46" t="s">
        <x:v>160</x:v>
      </x:c>
      <x:c r="L33" s="44" t="s">
        <x:v>357</x:v>
      </x:c>
      <x:c r="M33" s="44" t="s">
        <x:v>770</x:v>
      </x:c>
      <x:c r="N33" s="47">
        <x:f t="shared" si="0"/>
        <x:v>0.024652777777777777</x:v>
      </x:c>
      <x:c r="O33" s="48" t="s">
        <x:v>438</x:v>
      </x:c>
      <x:c r="P33" s="49">
        <x:f>P32+6</x:f>
        <x:v>155</x:v>
      </x:c>
      <x:c r="Q33" s="50">
        <x:v>6</x:v>
      </x:c>
      <x:c r="R33" s="51">
        <x:f>$Q$3*P33*P33+$R$3*P33</x:f>
        <x:v>743.99999999999989</x:v>
      </x:c>
      <x:c r="S33" s="68"/>
      <x:c r="T33" s="68"/>
      <x:c r="U33" s="68"/>
      <x:c r="V33" s="68"/>
      <x:c r="W33" s="68"/>
      <x:c r="X33" s="68"/>
      <x:c r="Y33" s="68"/>
      <x:c r="Z33" s="68"/>
      <x:c r="AA33" s="68"/>
      <x:c r="AB33" s="68"/>
      <x:c r="AC33" s="69"/>
      <x:c r="AD33" s="69"/>
      <x:c r="AE33" s="49"/>
      <x:c r="AF33" s="49"/>
      <x:c r="AG33" s="49"/>
      <x:c r="AH33" s="49"/>
      <x:c r="AI33" s="49"/>
      <x:c r="AJ33" s="52"/>
    </x:row>
    <x:row r="34" spans="1:36" ht="81.95000000000000284217" customHeight="1">
      <x:c r="A34" s="53" t="s">
        <x:v>66</x:v>
      </x:c>
      <x:c r="B34" s="44">
        <x:v>30</x:v>
      </x:c>
      <x:c r="C34" s="44">
        <x:v>1</x:v>
      </x:c>
      <x:c r="D34" s="44">
        <x:v>5</x:v>
      </x:c>
      <x:c r="E34" s="46" t="s">
        <x:v>73</x:v>
      </x:c>
      <x:c r="F34" s="46" t="s">
        <x:v>764</x:v>
      </x:c>
      <x:c r="G34" s="46" t="s">
        <x:v>269</x:v>
      </x:c>
      <x:c r="H34" s="44" t="s">
        <x:v>753</x:v>
      </x:c>
      <x:c r="I34" s="44">
        <x:v>3</x:v>
      </x:c>
      <x:c r="J34" s="46" t="s">
        <x:v>439</x:v>
      </x:c>
      <x:c r="K34" s="46" t="s">
        <x:v>160</x:v>
      </x:c>
      <x:c r="L34" s="44" t="s">
        <x:v>172</x:v>
      </x:c>
      <x:c r="M34" s="44" t="s">
        <x:v>779</x:v>
      </x:c>
      <x:c r="N34" s="47">
        <x:f t="shared" si="0"/>
        <x:v>0.025289351851851851</x:v>
      </x:c>
      <x:c r="O34" s="48" t="s">
        <x:v>438</x:v>
      </x:c>
      <x:c r="P34" s="49">
        <x:f>P33+4</x:f>
        <x:v>159</x:v>
      </x:c>
      <x:c r="Q34" s="50">
        <x:v>4</x:v>
      </x:c>
      <x:c r="R34" s="51">
        <x:f>$Q$3*P34*P34+$R$3*P34</x:f>
        <x:v>782.27999999999997</x:v>
      </x:c>
      <x:c r="S34" s="68"/>
      <x:c r="T34" s="68"/>
      <x:c r="U34" s="68"/>
      <x:c r="V34" s="68"/>
      <x:c r="W34" s="68"/>
      <x:c r="X34" s="68"/>
      <x:c r="Y34" s="68"/>
      <x:c r="Z34" s="68"/>
      <x:c r="AA34" s="68"/>
      <x:c r="AB34" s="68"/>
      <x:c r="AC34" s="69"/>
      <x:c r="AD34" s="69"/>
      <x:c r="AE34" s="49"/>
      <x:c r="AF34" s="49"/>
      <x:c r="AG34" s="49"/>
      <x:c r="AH34" s="49"/>
      <x:c r="AI34" s="49"/>
      <x:c r="AJ34" s="52"/>
    </x:row>
    <x:row r="35" spans="1:36" ht="81.95000000000000284217" customHeight="1">
      <x:c r="A35" s="53" t="s">
        <x:v>66</x:v>
      </x:c>
      <x:c r="B35" s="44">
        <x:v>31</x:v>
      </x:c>
      <x:c r="C35" s="44">
        <x:v>2</x:v>
      </x:c>
      <x:c r="D35" s="44">
        <x:v>6</x:v>
      </x:c>
      <x:c r="E35" s="46" t="s">
        <x:v>437</x:v>
      </x:c>
      <x:c r="F35" s="46" t="s">
        <x:v>271</x:v>
      </x:c>
      <x:c r="G35" s="46" t="s">
        <x:v>625</x:v>
      </x:c>
      <x:c r="H35" s="44" t="s">
        <x:v>639</x:v>
      </x:c>
      <x:c r="I35" s="44">
        <x:v>8</x:v>
      </x:c>
      <x:c r="J35" s="46" t="s">
        <x:v>400</x:v>
      </x:c>
      <x:c r="K35" s="46" t="s">
        <x:v>792</x:v>
      </x:c>
      <x:c r="L35" s="44" t="s">
        <x:v>179</x:v>
      </x:c>
      <x:c r="M35" s="44" t="s">
        <x:v>146</x:v>
      </x:c>
      <x:c r="N35" s="47">
        <x:f t="shared" si="0"/>
        <x:v>0.027372685185185184</x:v>
      </x:c>
      <x:c r="O35" s="48" t="s">
        <x:v>438</x:v>
      </x:c>
      <x:c r="P35" s="49">
        <x:f>P34+9</x:f>
        <x:v>168</x:v>
      </x:c>
      <x:c r="Q35" s="50">
        <x:v>9</x:v>
      </x:c>
      <x:c r="R35" s="51">
        <x:f>$Q$3*P35*P35+$R$3*P35</x:f>
        <x:v>871.92000000000007</x:v>
      </x:c>
      <x:c r="S35" s="68"/>
      <x:c r="T35" s="68"/>
      <x:c r="U35" s="68"/>
      <x:c r="V35" s="68"/>
      <x:c r="W35" s="68"/>
      <x:c r="X35" s="68"/>
      <x:c r="Y35" s="68"/>
      <x:c r="Z35" s="68"/>
      <x:c r="AA35" s="68"/>
      <x:c r="AB35" s="68"/>
      <x:c r="AC35" s="69"/>
      <x:c r="AD35" s="69"/>
      <x:c r="AE35" s="49"/>
      <x:c r="AF35" s="49"/>
      <x:c r="AG35" s="49"/>
      <x:c r="AH35" s="49"/>
      <x:c r="AI35" s="49"/>
      <x:c r="AJ35" s="52"/>
    </x:row>
    <x:row r="36" spans="1:36" ht="81.95000000000000284217" customHeight="1">
      <x:c r="A36" s="53" t="s">
        <x:v>66</x:v>
      </x:c>
      <x:c r="B36" s="44">
        <x:v>32</x:v>
      </x:c>
      <x:c r="C36" s="44">
        <x:v>2</x:v>
      </x:c>
      <x:c r="D36" s="44">
        <x:v>6</x:v>
      </x:c>
      <x:c r="E36" s="46" t="s">
        <x:v>466</x:v>
      </x:c>
      <x:c r="F36" s="46" t="s">
        <x:v>271</x:v>
      </x:c>
      <x:c r="G36" s="46" t="s">
        <x:v>628</x:v>
      </x:c>
      <x:c r="H36" s="44" t="s">
        <x:v>639</x:v>
      </x:c>
      <x:c r="I36" s="44">
        <x:v>7</x:v>
      </x:c>
      <x:c r="J36" s="46" t="s">
        <x:v>412</x:v>
      </x:c>
      <x:c r="K36" s="46" t="s">
        <x:v>792</x:v>
      </x:c>
      <x:c r="L36" s="44" t="s">
        <x:v>307</x:v>
      </x:c>
      <x:c r="M36" s="44" t="s">
        <x:v>146</x:v>
      </x:c>
      <x:c r="N36" s="47">
        <x:f t="shared" si="0"/>
        <x:v>0.029224537037037035</x:v>
      </x:c>
      <x:c r="O36" s="48" t="s">
        <x:v>438</x:v>
      </x:c>
      <x:c r="P36" s="49">
        <x:f>P35+9</x:f>
        <x:v>177</x:v>
      </x:c>
      <x:c r="Q36" s="50">
        <x:v>9</x:v>
      </x:c>
      <x:c r="R36" s="51">
        <x:f>$Q$3*P36*P36+$R$3*P36</x:f>
        <x:v>966.41999999999985</x:v>
      </x:c>
      <x:c r="S36" s="68"/>
      <x:c r="T36" s="68"/>
      <x:c r="U36" s="68"/>
      <x:c r="V36" s="68"/>
      <x:c r="W36" s="68"/>
      <x:c r="X36" s="68"/>
      <x:c r="Y36" s="68"/>
      <x:c r="Z36" s="68"/>
      <x:c r="AA36" s="68"/>
      <x:c r="AB36" s="68"/>
      <x:c r="AC36" s="69"/>
      <x:c r="AD36" s="69"/>
      <x:c r="AE36" s="49"/>
      <x:c r="AF36" s="49"/>
      <x:c r="AG36" s="49"/>
      <x:c r="AH36" s="49"/>
      <x:c r="AI36" s="49"/>
      <x:c r="AJ36" s="52"/>
    </x:row>
    <x:row r="37" spans="1:36" ht="81.95000000000000284217" customHeight="1">
      <x:c r="A37" s="53" t="s">
        <x:v>66</x:v>
      </x:c>
      <x:c r="B37" s="44">
        <x:v>33</x:v>
      </x:c>
      <x:c r="C37" s="44">
        <x:v>3</x:v>
      </x:c>
      <x:c r="D37" s="44">
        <x:v>6</x:v>
      </x:c>
      <x:c r="E37" s="46" t="s">
        <x:v>448</x:v>
      </x:c>
      <x:c r="F37" s="46" t="s">
        <x:v>271</x:v>
      </x:c>
      <x:c r="G37" s="46" t="s">
        <x:v>531</x:v>
      </x:c>
      <x:c r="H37" s="44" t="s">
        <x:v>653</x:v>
      </x:c>
      <x:c r="I37" s="44">
        <x:v>6</x:v>
      </x:c>
      <x:c r="J37" s="46" t="s">
        <x:v>689</x:v>
      </x:c>
      <x:c r="K37" s="46" t="s">
        <x:v>792</x:v>
      </x:c>
      <x:c r="L37" s="44" t="s">
        <x:v>305</x:v>
      </x:c>
      <x:c r="M37" s="44" t="s">
        <x:v>146</x:v>
      </x:c>
      <x:c r="N37" s="47">
        <x:f t="shared" si="0"/>
        <x:v>0.030960648148148147</x:v>
      </x:c>
      <x:c r="O37" s="48" t="s">
        <x:v>438</x:v>
      </x:c>
      <x:c r="P37" s="49">
        <x:f>P36+9</x:f>
        <x:v>186</x:v>
      </x:c>
      <x:c r="Q37" s="50">
        <x:v>9</x:v>
      </x:c>
      <x:c r="R37" s="51">
        <x:f>$Q$3*P37*P37+$R$3*P37</x:f>
        <x:v>1065.7800000000002</x:v>
      </x:c>
      <x:c r="S37" s="68"/>
      <x:c r="T37" s="68"/>
      <x:c r="U37" s="68"/>
      <x:c r="V37" s="68"/>
      <x:c r="W37" s="68"/>
      <x:c r="X37" s="68"/>
      <x:c r="Y37" s="68"/>
      <x:c r="Z37" s="68"/>
      <x:c r="AA37" s="68"/>
      <x:c r="AB37" s="68"/>
      <x:c r="AC37" s="69"/>
      <x:c r="AD37" s="69"/>
      <x:c r="AE37" s="49"/>
      <x:c r="AF37" s="49"/>
      <x:c r="AG37" s="49"/>
      <x:c r="AH37" s="49"/>
      <x:c r="AI37" s="49"/>
      <x:c r="AJ37" s="52"/>
    </x:row>
    <x:row r="38" spans="1:36" ht="81.95000000000000284217" customHeight="1">
      <x:c r="A38" s="53" t="s">
        <x:v>66</x:v>
      </x:c>
      <x:c r="B38" s="44">
        <x:v>34</x:v>
      </x:c>
      <x:c r="C38" s="44">
        <x:v>1</x:v>
      </x:c>
      <x:c r="D38" s="44">
        <x:v>5</x:v>
      </x:c>
      <x:c r="E38" s="46" t="s">
        <x:v>60</x:v>
      </x:c>
      <x:c r="F38" s="46" t="s">
        <x:v>759</x:v>
      </x:c>
      <x:c r="G38" s="46" t="s">
        <x:v>197</x:v>
      </x:c>
      <x:c r="H38" s="44" t="s">
        <x:v>190</x:v>
      </x:c>
      <x:c r="I38" s="44">
        <x:v>1</x:v>
      </x:c>
      <x:c r="J38" s="46" t="s">
        <x:v>258</x:v>
      </x:c>
      <x:c r="K38" s="46" t="s">
        <x:v>160</x:v>
      </x:c>
      <x:c r="L38" s="44" t="s">
        <x:v>326</x:v>
      </x:c>
      <x:c r="M38" s="44" t="s">
        <x:v>780</x:v>
      </x:c>
      <x:c r="N38" s="47">
        <x:f t="shared" ref="N38:N69" si="3">N37+(IFERROR(VALUE(LEFT(L38,FIND("분",L38)-1))*60,0)+IFERROR(VALUE(TRIM(MID(L38,IFERROR(FIND("분",L38),0)+1,FIND("초",L38)-IFERROR(FIND("분",L38),0)-1))),0))/86400</x:f>
        <x:v>0.032002314814814817</x:v>
      </x:c>
      <x:c r="O38" s="48" t="s">
        <x:v>438</x:v>
      </x:c>
      <x:c r="P38" s="49">
        <x:f>P37+5</x:f>
        <x:v>191</x:v>
      </x:c>
      <x:c r="Q38" s="50">
        <x:v>5</x:v>
      </x:c>
      <x:c r="R38" s="51">
        <x:f>$Q$3*P38*P38+$R$3*P38</x:f>
        <x:v>1123.0799999999999</x:v>
      </x:c>
      <x:c r="S38" s="68"/>
      <x:c r="T38" s="68"/>
      <x:c r="U38" s="68"/>
      <x:c r="V38" s="68"/>
      <x:c r="W38" s="68"/>
      <x:c r="X38" s="68"/>
      <x:c r="Y38" s="68"/>
      <x:c r="Z38" s="68"/>
      <x:c r="AA38" s="68"/>
      <x:c r="AB38" s="68"/>
      <x:c r="AC38" s="69"/>
      <x:c r="AD38" s="69"/>
      <x:c r="AE38" s="49"/>
      <x:c r="AF38" s="49"/>
      <x:c r="AG38" s="49"/>
      <x:c r="AH38" s="49"/>
      <x:c r="AI38" s="49"/>
      <x:c r="AJ38" s="52"/>
    </x:row>
    <x:row r="39" spans="1:36" ht="81.95000000000000284217" customHeight="1">
      <x:c r="A39" s="53" t="s">
        <x:v>66</x:v>
      </x:c>
      <x:c r="B39" s="44">
        <x:v>35</x:v>
      </x:c>
      <x:c r="C39" s="44">
        <x:v>2</x:v>
      </x:c>
      <x:c r="D39" s="44">
        <x:v>5</x:v>
      </x:c>
      <x:c r="E39" s="46" t="s">
        <x:v>424</x:v>
      </x:c>
      <x:c r="F39" s="46" t="s">
        <x:v>298</x:v>
      </x:c>
      <x:c r="G39" s="46" t="s">
        <x:v>642</x:v>
      </x:c>
      <x:c r="H39" s="44" t="s">
        <x:v>559</x:v>
      </x:c>
      <x:c r="I39" s="44">
        <x:v>4</x:v>
      </x:c>
      <x:c r="J39" s="46" t="s">
        <x:v>678</x:v>
      </x:c>
      <x:c r="K39" s="46" t="s">
        <x:v>160</x:v>
      </x:c>
      <x:c r="L39" s="44" t="s">
        <x:v>356</x:v>
      </x:c>
      <x:c r="M39" s="44" t="s">
        <x:v>796</x:v>
      </x:c>
      <x:c r="N39" s="47">
        <x:f t="shared" si="3"/>
        <x:v>0.033622685185185186</x:v>
      </x:c>
      <x:c r="O39" s="48" t="s">
        <x:v>438</x:v>
      </x:c>
      <x:c r="P39" s="49">
        <x:f>P38+8</x:f>
        <x:v>199</x:v>
      </x:c>
      <x:c r="Q39" s="50">
        <x:v>8</x:v>
      </x:c>
      <x:c r="R39" s="51">
        <x:f>$Q$3*P39*P39+$R$3*P39</x:f>
        <x:v>1217.8799999999999</x:v>
      </x:c>
      <x:c r="S39" s="68"/>
      <x:c r="T39" s="68"/>
      <x:c r="U39" s="68"/>
      <x:c r="V39" s="68"/>
      <x:c r="W39" s="68"/>
      <x:c r="X39" s="68"/>
      <x:c r="Y39" s="68"/>
      <x:c r="Z39" s="68"/>
      <x:c r="AA39" s="68"/>
      <x:c r="AB39" s="68"/>
      <x:c r="AC39" s="69"/>
      <x:c r="AD39" s="69"/>
      <x:c r="AE39" s="49"/>
      <x:c r="AF39" s="49"/>
      <x:c r="AG39" s="49"/>
      <x:c r="AH39" s="49"/>
      <x:c r="AI39" s="49"/>
      <x:c r="AJ39" s="52"/>
    </x:row>
    <x:row r="40" spans="1:36" ht="81.95000000000000284217" customHeight="1">
      <x:c r="A40" s="53" t="s">
        <x:v>66</x:v>
      </x:c>
      <x:c r="B40" s="44">
        <x:v>36</x:v>
      </x:c>
      <x:c r="C40" s="44">
        <x:v>2</x:v>
      </x:c>
      <x:c r="D40" s="44">
        <x:v>6</x:v>
      </x:c>
      <x:c r="E40" s="46" t="s">
        <x:v>449</x:v>
      </x:c>
      <x:c r="F40" s="46" t="s">
        <x:v>286</x:v>
      </x:c>
      <x:c r="G40" s="46" t="s">
        <x:v>577</x:v>
      </x:c>
      <x:c r="H40" s="44" t="s">
        <x:v>622</x:v>
      </x:c>
      <x:c r="I40" s="44">
        <x:v>3</x:v>
      </x:c>
      <x:c r="J40" s="46" t="s">
        <x:v>63</x:v>
      </x:c>
      <x:c r="K40" s="46" t="s">
        <x:v>679</x:v>
      </x:c>
      <x:c r="L40" s="44" t="s">
        <x:v>366</x:v>
      </x:c>
      <x:c r="M40" s="44" t="s">
        <x:v>789</x:v>
      </x:c>
      <x:c r="N40" s="47">
        <x:f t="shared" si="3"/>
        <x:v>0.034490740740740738</x:v>
      </x:c>
      <x:c r="O40" s="48" t="s">
        <x:v>438</x:v>
      </x:c>
      <x:c r="P40" s="49">
        <x:f>P39+6</x:f>
        <x:v>205</x:v>
      </x:c>
      <x:c r="Q40" s="50">
        <x:v>6</x:v>
      </x:c>
      <x:c r="R40" s="51">
        <x:f>$Q$3*P40*P40+$R$3*P40</x:f>
        <x:v>1291.5</x:v>
      </x:c>
      <x:c r="S40" s="68"/>
      <x:c r="T40" s="68"/>
      <x:c r="U40" s="68"/>
      <x:c r="V40" s="68"/>
      <x:c r="W40" s="68"/>
      <x:c r="X40" s="68"/>
      <x:c r="Y40" s="68"/>
      <x:c r="Z40" s="68"/>
      <x:c r="AA40" s="68"/>
      <x:c r="AB40" s="68"/>
      <x:c r="AC40" s="69"/>
      <x:c r="AD40" s="69"/>
      <x:c r="AE40" s="49"/>
      <x:c r="AF40" s="49"/>
      <x:c r="AG40" s="49"/>
      <x:c r="AH40" s="49"/>
      <x:c r="AI40" s="49"/>
      <x:c r="AJ40" s="52"/>
    </x:row>
    <x:row r="41" spans="1:36" ht="81.95000000000000284217" customHeight="1">
      <x:c r="A41" s="53" t="s">
        <x:v>66</x:v>
      </x:c>
      <x:c r="B41" s="44">
        <x:v>37</x:v>
      </x:c>
      <x:c r="C41" s="44">
        <x:v>3</x:v>
      </x:c>
      <x:c r="D41" s="44">
        <x:v>7</x:v>
      </x:c>
      <x:c r="E41" s="46" t="s">
        <x:v>71</x:v>
      </x:c>
      <x:c r="F41" s="46" t="s">
        <x:v>282</x:v>
      </x:c>
      <x:c r="G41" s="46" t="s">
        <x:v>662</x:v>
      </x:c>
      <x:c r="H41" s="44" t="s">
        <x:v>239</x:v>
      </x:c>
      <x:c r="I41" s="44">
        <x:v>5</x:v>
      </x:c>
      <x:c r="J41" s="46" t="s">
        <x:v>784</x:v>
      </x:c>
      <x:c r="K41" s="46" t="s">
        <x:v>160</x:v>
      </x:c>
      <x:c r="L41" s="44" t="s">
        <x:v>363</x:v>
      </x:c>
      <x:c r="M41" s="44" t="s">
        <x:v>761</x:v>
      </x:c>
      <x:c r="N41" s="47">
        <x:f t="shared" si="3"/>
        <x:v>0.036458333333333329</x:v>
      </x:c>
      <x:c r="O41" s="48" t="s">
        <x:v>438</x:v>
      </x:c>
      <x:c r="P41" s="49">
        <x:f>P40+10</x:f>
        <x:v>215</x:v>
      </x:c>
      <x:c r="Q41" s="50">
        <x:v>10</x:v>
      </x:c>
      <x:c r="R41" s="51">
        <x:f>$Q$3*P41*P41+$R$3*P41</x:f>
        <x:v>1419</x:v>
      </x:c>
      <x:c r="S41" s="68"/>
      <x:c r="T41" s="68"/>
      <x:c r="U41" s="68"/>
      <x:c r="V41" s="68"/>
      <x:c r="W41" s="68"/>
      <x:c r="X41" s="68"/>
      <x:c r="Y41" s="68"/>
      <x:c r="Z41" s="68"/>
      <x:c r="AA41" s="68"/>
      <x:c r="AB41" s="68"/>
      <x:c r="AC41" s="69"/>
      <x:c r="AD41" s="69"/>
      <x:c r="AE41" s="49"/>
      <x:c r="AF41" s="49"/>
      <x:c r="AG41" s="49"/>
      <x:c r="AH41" s="49"/>
      <x:c r="AI41" s="49"/>
      <x:c r="AJ41" s="52"/>
    </x:row>
    <x:row r="42" spans="1:36" ht="81.95000000000000284217" customHeight="1">
      <x:c r="A42" s="53" t="s">
        <x:v>66</x:v>
      </x:c>
      <x:c r="B42" s="44">
        <x:v>38</x:v>
      </x:c>
      <x:c r="C42" s="44">
        <x:v>1</x:v>
      </x:c>
      <x:c r="D42" s="44">
        <x:v>8</x:v>
      </x:c>
      <x:c r="E42" s="46" t="s">
        <x:v>452</x:v>
      </x:c>
      <x:c r="F42" s="46" t="s">
        <x:v>125</x:v>
      </x:c>
      <x:c r="G42" s="46" t="s">
        <x:v>762</x:v>
      </x:c>
      <x:c r="H42" s="44" t="s">
        <x:v>556</x:v>
      </x:c>
      <x:c r="I42" s="44">
        <x:v>2</x:v>
      </x:c>
      <x:c r="J42" s="46" t="s">
        <x:v>443</x:v>
      </x:c>
      <x:c r="K42" s="46" t="s">
        <x:v>793</x:v>
      </x:c>
      <x:c r="L42" s="44" t="s">
        <x:v>302</x:v>
      </x:c>
      <x:c r="M42" s="44" t="s">
        <x:v>797</x:v>
      </x:c>
      <x:c r="N42" s="47">
        <x:f t="shared" si="3"/>
        <x:v>0.037268518518518513</x:v>
      </x:c>
      <x:c r="O42" s="48" t="s">
        <x:v>438</x:v>
      </x:c>
      <x:c r="P42" s="49">
        <x:f>P41+6</x:f>
        <x:v>221</x:v>
      </x:c>
      <x:c r="Q42" s="50">
        <x:v>6</x:v>
      </x:c>
      <x:c r="R42" s="51">
        <x:f>$Q$3*P42*P42+$R$3*P42</x:f>
        <x:v>1498.3800000000001</x:v>
      </x:c>
      <x:c r="S42" s="68"/>
      <x:c r="T42" s="68"/>
      <x:c r="U42" s="68"/>
      <x:c r="V42" s="68"/>
      <x:c r="W42" s="68"/>
      <x:c r="X42" s="68"/>
      <x:c r="Y42" s="68"/>
      <x:c r="Z42" s="68"/>
      <x:c r="AA42" s="68"/>
      <x:c r="AB42" s="68"/>
      <x:c r="AC42" s="69"/>
      <x:c r="AD42" s="69"/>
      <x:c r="AE42" s="49"/>
      <x:c r="AF42" s="49"/>
      <x:c r="AG42" s="49"/>
      <x:c r="AH42" s="49"/>
      <x:c r="AI42" s="49"/>
      <x:c r="AJ42" s="52"/>
    </x:row>
    <x:row r="43" spans="1:36" ht="81.95000000000000284217" customHeight="1">
      <x:c r="A43" s="53" t="s">
        <x:v>66</x:v>
      </x:c>
      <x:c r="B43" s="44">
        <x:v>39</x:v>
      </x:c>
      <x:c r="C43" s="44">
        <x:v>1</x:v>
      </x:c>
      <x:c r="D43" s="44">
        <x:v>5</x:v>
      </x:c>
      <x:c r="E43" s="46" t="s">
        <x:v>57</x:v>
      </x:c>
      <x:c r="F43" s="46" t="s">
        <x:v>281</x:v>
      </x:c>
      <x:c r="G43" s="46" t="s">
        <x:v>594</x:v>
      </x:c>
      <x:c r="H43" s="44" t="s">
        <x:v>268</x:v>
      </x:c>
      <x:c r="I43" s="44">
        <x:v>4</x:v>
      </x:c>
      <x:c r="J43" s="46" t="s">
        <x:v>404</x:v>
      </x:c>
      <x:c r="K43" s="46" t="s">
        <x:v>691</x:v>
      </x:c>
      <x:c r="L43" s="44" t="s">
        <x:v>326</x:v>
      </x:c>
      <x:c r="M43" s="44" t="s">
        <x:v>785</x:v>
      </x:c>
      <x:c r="N43" s="47">
        <x:f t="shared" si="3"/>
        <x:v>0.038310185185185183</x:v>
      </x:c>
      <x:c r="O43" s="48" t="s">
        <x:v>438</x:v>
      </x:c>
      <x:c r="P43" s="49">
        <x:f>P42+6</x:f>
        <x:v>227</x:v>
      </x:c>
      <x:c r="Q43" s="50">
        <x:v>6</x:v>
      </x:c>
      <x:c r="R43" s="51">
        <x:f>$Q$3*P43*P43+$R$3*P43</x:f>
        <x:v>1579.9199999999998</x:v>
      </x:c>
      <x:c r="S43" s="68"/>
      <x:c r="T43" s="68"/>
      <x:c r="U43" s="68"/>
      <x:c r="V43" s="68"/>
      <x:c r="W43" s="68"/>
      <x:c r="X43" s="68"/>
      <x:c r="Y43" s="68"/>
      <x:c r="Z43" s="68"/>
      <x:c r="AA43" s="68"/>
      <x:c r="AB43" s="68"/>
      <x:c r="AC43" s="69"/>
      <x:c r="AD43" s="69"/>
      <x:c r="AE43" s="49"/>
      <x:c r="AF43" s="49"/>
      <x:c r="AG43" s="49"/>
      <x:c r="AH43" s="49"/>
      <x:c r="AI43" s="49"/>
      <x:c r="AJ43" s="52"/>
    </x:row>
    <x:row r="44" spans="1:36" ht="81.95000000000000284217" customHeight="1">
      <x:c r="A44" s="53" t="s">
        <x:v>66</x:v>
      </x:c>
      <x:c r="B44" s="44">
        <x:v>40</x:v>
      </x:c>
      <x:c r="C44" s="44">
        <x:v>2</x:v>
      </x:c>
      <x:c r="D44" s="44">
        <x:v>6</x:v>
      </x:c>
      <x:c r="E44" s="46" t="s">
        <x:v>485</x:v>
      </x:c>
      <x:c r="F44" s="46" t="s">
        <x:v>212</x:v>
      </x:c>
      <x:c r="G44" s="46" t="s">
        <x:v>646</x:v>
      </x:c>
      <x:c r="H44" s="44" t="s">
        <x:v>262</x:v>
      </x:c>
      <x:c r="I44" s="44">
        <x:v>1</x:v>
      </x:c>
      <x:c r="J44" s="46" t="s">
        <x:v>685</x:v>
      </x:c>
      <x:c r="K44" s="46" t="s">
        <x:v>160</x:v>
      </x:c>
      <x:c r="L44" s="44" t="s">
        <x:v>366</x:v>
      </x:c>
      <x:c r="M44" s="44" t="s">
        <x:v>778</x:v>
      </x:c>
      <x:c r="N44" s="47">
        <x:f t="shared" si="3"/>
        <x:v>0.039178240740740736</x:v>
      </x:c>
      <x:c r="O44" s="48" t="s">
        <x:v>69</x:v>
      </x:c>
      <x:c r="P44" s="49">
        <x:f>P43+6</x:f>
        <x:v>233</x:v>
      </x:c>
      <x:c r="Q44" s="50">
        <x:v>6</x:v>
      </x:c>
      <x:c r="R44" s="51">
        <x:f>$Q$3*P44*P44+$R$3*P44</x:f>
        <x:v>1663.6199999999999</x:v>
      </x:c>
      <x:c r="S44" s="68"/>
      <x:c r="T44" s="68"/>
      <x:c r="U44" s="68"/>
      <x:c r="V44" s="68"/>
      <x:c r="W44" s="68"/>
      <x:c r="X44" s="68"/>
      <x:c r="Y44" s="68"/>
      <x:c r="Z44" s="68"/>
      <x:c r="AA44" s="68"/>
      <x:c r="AB44" s="68"/>
      <x:c r="AC44" s="69"/>
      <x:c r="AD44" s="69"/>
      <x:c r="AE44" s="49"/>
      <x:c r="AF44" s="49"/>
      <x:c r="AG44" s="49"/>
      <x:c r="AH44" s="49"/>
      <x:c r="AI44" s="49"/>
      <x:c r="AJ44" s="52"/>
    </x:row>
    <x:row r="45" spans="1:36" ht="81.95000000000000284217" customHeight="1">
      <x:c r="A45" s="53" t="s">
        <x:v>66</x:v>
      </x:c>
      <x:c r="B45" s="44">
        <x:v>41</x:v>
      </x:c>
      <x:c r="C45" s="44">
        <x:v>2</x:v>
      </x:c>
      <x:c r="D45" s="44">
        <x:v>6</x:v>
      </x:c>
      <x:c r="E45" s="46" t="s">
        <x:v>45</x:v>
      </x:c>
      <x:c r="F45" s="46" t="s">
        <x:v>250</x:v>
      </x:c>
      <x:c r="G45" s="46" t="s">
        <x:v>570</x:v>
      </x:c>
      <x:c r="H45" s="44" t="s">
        <x:v>584</x:v>
      </x:c>
      <x:c r="I45" s="44">
        <x:v>8</x:v>
      </x:c>
      <x:c r="J45" s="46" t="s">
        <x:v>397</x:v>
      </x:c>
      <x:c r="K45" s="46" t="s">
        <x:v>787</x:v>
      </x:c>
      <x:c r="L45" s="44" t="s">
        <x:v>356</x:v>
      </x:c>
      <x:c r="M45" s="44" t="s">
        <x:v>376</x:v>
      </x:c>
      <x:c r="N45" s="47">
        <x:f t="shared" si="3"/>
        <x:v>0.040798611111111105</x:v>
      </x:c>
      <x:c r="O45" s="48" t="s">
        <x:v>69</x:v>
      </x:c>
      <x:c r="P45" s="49">
        <x:f>P44+8</x:f>
        <x:v>241</x:v>
      </x:c>
      <x:c r="Q45" s="50">
        <x:v>8</x:v>
      </x:c>
      <x:c r="R45" s="51">
        <x:f>$Q$3*P45*P45+$R$3*P45</x:f>
        <x:v>1778.5799999999999</x:v>
      </x:c>
      <x:c r="S45" s="68"/>
      <x:c r="T45" s="68"/>
      <x:c r="U45" s="68"/>
      <x:c r="V45" s="68"/>
      <x:c r="W45" s="68"/>
      <x:c r="X45" s="68"/>
      <x:c r="Y45" s="68"/>
      <x:c r="Z45" s="68"/>
      <x:c r="AA45" s="68"/>
      <x:c r="AB45" s="68"/>
      <x:c r="AC45" s="69"/>
      <x:c r="AD45" s="69"/>
      <x:c r="AE45" s="49"/>
      <x:c r="AF45" s="49"/>
      <x:c r="AG45" s="49"/>
      <x:c r="AH45" s="49"/>
      <x:c r="AI45" s="49"/>
      <x:c r="AJ45" s="52"/>
    </x:row>
    <x:row r="46" spans="1:36" ht="81.95000000000000284217" customHeight="1">
      <x:c r="A46" s="53" t="s">
        <x:v>66</x:v>
      </x:c>
      <x:c r="B46" s="44">
        <x:v>42</x:v>
      </x:c>
      <x:c r="C46" s="44">
        <x:v>3</x:v>
      </x:c>
      <x:c r="D46" s="44">
        <x:v>7</x:v>
      </x:c>
      <x:c r="E46" s="46" t="s">
        <x:v>47</x:v>
      </x:c>
      <x:c r="F46" s="46" t="s">
        <x:v>250</x:v>
      </x:c>
      <x:c r="G46" s="46" t="s">
        <x:v>588</x:v>
      </x:c>
      <x:c r="H46" s="44" t="s">
        <x:v>572</x:v>
      </x:c>
      <x:c r="I46" s="44">
        <x:v>10</x:v>
      </x:c>
      <x:c r="J46" s="46" t="s">
        <x:v>791</x:v>
      </x:c>
      <x:c r="K46" s="46" t="s">
        <x:v>787</x:v>
      </x:c>
      <x:c r="L46" s="44" t="s">
        <x:v>179</x:v>
      </x:c>
      <x:c r="M46" s="44" t="s">
        <x:v>376</x:v>
      </x:c>
      <x:c r="N46" s="47">
        <x:f t="shared" si="3"/>
        <x:v>0.042881944444444438</x:v>
      </x:c>
      <x:c r="O46" s="48" t="s">
        <x:v>69</x:v>
      </x:c>
      <x:c r="P46" s="49">
        <x:f>P45+10</x:f>
        <x:v>251</x:v>
      </x:c>
      <x:c r="Q46" s="50">
        <x:v>10</x:v>
      </x:c>
      <x:c r="R46" s="51">
        <x:f>$Q$3*P46*P46+$R$3*P46</x:f>
        <x:v>1927.6799999999998</x:v>
      </x:c>
      <x:c r="S46" s="68"/>
      <x:c r="T46" s="68"/>
      <x:c r="U46" s="68"/>
      <x:c r="V46" s="68"/>
      <x:c r="W46" s="68"/>
      <x:c r="X46" s="68"/>
      <x:c r="Y46" s="68"/>
      <x:c r="Z46" s="68"/>
      <x:c r="AA46" s="68"/>
      <x:c r="AB46" s="68"/>
      <x:c r="AC46" s="69"/>
      <x:c r="AD46" s="69"/>
      <x:c r="AE46" s="49"/>
      <x:c r="AF46" s="49"/>
      <x:c r="AG46" s="49"/>
      <x:c r="AH46" s="49"/>
      <x:c r="AI46" s="49"/>
      <x:c r="AJ46" s="52"/>
    </x:row>
    <x:row r="47" spans="1:36" ht="81.95000000000000284217" customHeight="1">
      <x:c r="A47" s="53" t="s">
        <x:v>66</x:v>
      </x:c>
      <x:c r="B47" s="44">
        <x:v>43</x:v>
      </x:c>
      <x:c r="C47" s="44">
        <x:v>3</x:v>
      </x:c>
      <x:c r="D47" s="44">
        <x:v>7</x:v>
      </x:c>
      <x:c r="E47" s="46" t="s">
        <x:v>425</x:v>
      </x:c>
      <x:c r="F47" s="46" t="s">
        <x:v>250</x:v>
      </x:c>
      <x:c r="G47" s="46" t="s">
        <x:v>623</x:v>
      </x:c>
      <x:c r="H47" s="44" t="s">
        <x:v>581</x:v>
      </x:c>
      <x:c r="I47" s="44">
        <x:v>6</x:v>
      </x:c>
      <x:c r="J47" s="46" t="s">
        <x:v>772</x:v>
      </x:c>
      <x:c r="K47" s="46" t="s">
        <x:v>787</x:v>
      </x:c>
      <x:c r="L47" s="44" t="s">
        <x:v>307</x:v>
      </x:c>
      <x:c r="M47" s="44" t="s">
        <x:v>376</x:v>
      </x:c>
      <x:c r="N47" s="47">
        <x:f t="shared" si="3"/>
        <x:v>0.044733796296296292</x:v>
      </x:c>
      <x:c r="O47" s="48" t="s">
        <x:v>69</x:v>
      </x:c>
      <x:c r="P47" s="49">
        <x:f>P46+10</x:f>
        <x:v>261</x:v>
      </x:c>
      <x:c r="Q47" s="50">
        <x:v>10</x:v>
      </x:c>
      <x:c r="R47" s="51">
        <x:f>$Q$3*P47*P47+$R$3*P47</x:f>
        <x:v>2082.7800000000002</x:v>
      </x:c>
      <x:c r="S47" s="68"/>
      <x:c r="T47" s="68"/>
      <x:c r="U47" s="68"/>
      <x:c r="V47" s="68"/>
      <x:c r="W47" s="75"/>
      <x:c r="X47" s="77"/>
      <x:c r="Y47" s="68"/>
      <x:c r="Z47" s="68"/>
      <x:c r="AA47" s="68"/>
      <x:c r="AB47" s="74"/>
      <x:c r="AC47" s="74"/>
      <x:c r="AD47" s="74"/>
      <x:c r="AE47" s="74"/>
      <x:c r="AF47" s="49"/>
      <x:c r="AG47" s="49"/>
      <x:c r="AH47" s="49"/>
      <x:c r="AI47" s="49"/>
      <x:c r="AJ47" s="52"/>
    </x:row>
    <x:row r="48" spans="1:36" ht="81.95000000000000284217" customHeight="1">
      <x:c r="A48" s="53" t="s">
        <x:v>66</x:v>
      </x:c>
      <x:c r="B48" s="44">
        <x:v>44</x:v>
      </x:c>
      <x:c r="C48" s="44">
        <x:v>2</x:v>
      </x:c>
      <x:c r="D48" s="44">
        <x:v>7</x:v>
      </x:c>
      <x:c r="E48" s="46" t="s">
        <x:v>83</x:v>
      </x:c>
      <x:c r="F48" s="46" t="s">
        <x:v>281</x:v>
      </x:c>
      <x:c r="G48" s="46" t="s">
        <x:v>557</x:v>
      </x:c>
      <x:c r="H48" s="44" t="s">
        <x:v>268</x:v>
      </x:c>
      <x:c r="I48" s="44">
        <x:v>3</x:v>
      </x:c>
      <x:c r="J48" s="46" t="s">
        <x:v>404</x:v>
      </x:c>
      <x:c r="K48" s="46" t="s">
        <x:v>691</x:v>
      </x:c>
      <x:c r="L48" s="44" t="s">
        <x:v>302</x:v>
      </x:c>
      <x:c r="M48" s="44" t="s">
        <x:v>785</x:v>
      </x:c>
      <x:c r="N48" s="47">
        <x:f t="shared" si="3"/>
        <x:v>0.045543981481481477</x:v>
      </x:c>
      <x:c r="O48" s="48" t="s">
        <x:v>69</x:v>
      </x:c>
      <x:c r="P48" s="49">
        <x:f>P47+6</x:f>
        <x:v>267</x:v>
      </x:c>
      <x:c r="Q48" s="50">
        <x:v>6</x:v>
      </x:c>
      <x:c r="R48" s="51">
        <x:f>$Q$3*P48*P48+$R$3*P48</x:f>
        <x:v>2178.7200000000003</x:v>
      </x:c>
      <x:c r="S48" s="68"/>
      <x:c r="T48" s="68"/>
      <x:c r="U48" s="68"/>
      <x:c r="V48" s="68"/>
      <x:c r="W48" s="68"/>
      <x:c r="X48" s="68"/>
      <x:c r="Y48" s="68"/>
      <x:c r="Z48" s="68"/>
      <x:c r="AA48" s="68"/>
      <x:c r="AB48" s="68"/>
      <x:c r="AC48" s="69"/>
      <x:c r="AD48" s="69"/>
      <x:c r="AE48" s="49"/>
      <x:c r="AF48" s="49"/>
      <x:c r="AG48" s="49"/>
      <x:c r="AH48" s="49"/>
      <x:c r="AI48" s="49"/>
      <x:c r="AJ48" s="52"/>
    </x:row>
    <x:row r="49" spans="1:36" ht="81.95000000000000284217" customHeight="1">
      <x:c r="A49" s="53" t="s">
        <x:v>66</x:v>
      </x:c>
      <x:c r="B49" s="44">
        <x:v>45</x:v>
      </x:c>
      <x:c r="C49" s="44">
        <x:v>1</x:v>
      </x:c>
      <x:c r="D49" s="44">
        <x:v>9</x:v>
      </x:c>
      <x:c r="E49" s="46" t="s">
        <x:v>67</x:v>
      </x:c>
      <x:c r="F49" s="46" t="s">
        <x:v>248</x:v>
      </x:c>
      <x:c r="G49" s="46" t="s">
        <x:v>596</x:v>
      </x:c>
      <x:c r="H49" s="44" t="s">
        <x:v>611</x:v>
      </x:c>
      <x:c r="I49" s="44">
        <x:v>1</x:v>
      </x:c>
      <x:c r="J49" s="46" t="s">
        <x:v>61</x:v>
      </x:c>
      <x:c r="K49" s="46" t="s">
        <x:v>160</x:v>
      </x:c>
      <x:c r="L49" s="44" t="s">
        <x:v>169</x:v>
      </x:c>
      <x:c r="M49" s="44" t="s">
        <x:v>677</x:v>
      </x:c>
      <x:c r="N49" s="47">
        <x:f t="shared" si="3"/>
        <x:v>0.046122685185185183</x:v>
      </x:c>
      <x:c r="O49" s="48" t="s">
        <x:v>70</x:v>
      </x:c>
      <x:c r="P49" s="49">
        <x:f>P48+6</x:f>
        <x:v>273</x:v>
      </x:c>
      <x:c r="Q49" s="50">
        <x:v>6</x:v>
      </x:c>
      <x:c r="R49" s="51">
        <x:f>$Q$3*P49*P49+$R$3*P49</x:f>
        <x:v>2276.8199999999997</x:v>
      </x:c>
      <x:c r="S49" s="68"/>
      <x:c r="T49" s="68"/>
      <x:c r="U49" s="68"/>
      <x:c r="V49" s="68"/>
      <x:c r="W49" s="68"/>
      <x:c r="X49" s="68"/>
      <x:c r="Y49" s="68"/>
      <x:c r="Z49" s="68"/>
      <x:c r="AA49" s="68"/>
      <x:c r="AB49" s="68"/>
      <x:c r="AC49" s="69"/>
      <x:c r="AD49" s="69"/>
      <x:c r="AE49" s="49"/>
      <x:c r="AF49" s="49"/>
      <x:c r="AG49" s="49"/>
      <x:c r="AH49" s="49"/>
      <x:c r="AI49" s="49"/>
      <x:c r="AJ49" s="52"/>
    </x:row>
    <x:row r="50" spans="1:36" ht="81.95000000000000284217" customHeight="1">
      <x:c r="A50" s="53" t="s">
        <x:v>66</x:v>
      </x:c>
      <x:c r="B50" s="44">
        <x:v>46</x:v>
      </x:c>
      <x:c r="C50" s="44">
        <x:v>2</x:v>
      </x:c>
      <x:c r="D50" s="44">
        <x:v>9</x:v>
      </x:c>
      <x:c r="E50" s="46" t="s">
        <x:v>346</x:v>
      </x:c>
      <x:c r="F50" s="46" t="s">
        <x:v>617</x:v>
      </x:c>
      <x:c r="G50" s="46" t="s">
        <x:v>603</x:v>
      </x:c>
      <x:c r="H50" s="44" t="s">
        <x:v>291</x:v>
      </x:c>
      <x:c r="I50" s="44">
        <x:v>3</x:v>
      </x:c>
      <x:c r="J50" s="46" t="s">
        <x:v>444</x:v>
      </x:c>
      <x:c r="K50" s="46" t="s">
        <x:v>160</x:v>
      </x:c>
      <x:c r="L50" s="44" t="s">
        <x:v>330</x:v>
      </x:c>
      <x:c r="M50" s="44" t="s">
        <x:v>802</x:v>
      </x:c>
      <x:c r="N50" s="47">
        <x:f t="shared" si="3"/>
        <x:v>0.047222222222222221</x:v>
      </x:c>
      <x:c r="O50" s="48" t="s">
        <x:v>70</x:v>
      </x:c>
      <x:c r="P50" s="49">
        <x:f>P49+8</x:f>
        <x:v>281</x:v>
      </x:c>
      <x:c r="Q50" s="50">
        <x:v>8</x:v>
      </x:c>
      <x:c r="R50" s="51">
        <x:f>$Q$3*P50*P50+$R$3*P50</x:f>
        <x:v>2410.98</x:v>
      </x:c>
      <x:c r="S50" s="68"/>
      <x:c r="T50" s="68"/>
      <x:c r="U50" s="68"/>
      <x:c r="V50" s="68"/>
      <x:c r="W50" s="68"/>
      <x:c r="X50" s="68"/>
      <x:c r="Y50" s="68"/>
      <x:c r="Z50" s="68"/>
      <x:c r="AA50" s="68"/>
      <x:c r="AB50" s="68"/>
      <x:c r="AC50" s="69"/>
      <x:c r="AD50" s="69"/>
      <x:c r="AE50" s="49"/>
      <x:c r="AF50" s="49"/>
      <x:c r="AG50" s="49"/>
      <x:c r="AH50" s="49"/>
      <x:c r="AI50" s="49"/>
      <x:c r="AJ50" s="52"/>
    </x:row>
    <x:row r="51" spans="1:36" ht="81.95000000000000284217" customHeight="1">
      <x:c r="A51" s="53" t="s">
        <x:v>66</x:v>
      </x:c>
      <x:c r="B51" s="44">
        <x:v>47</x:v>
      </x:c>
      <x:c r="C51" s="44">
        <x:v>2</x:v>
      </x:c>
      <x:c r="D51" s="44">
        <x:v>5</x:v>
      </x:c>
      <x:c r="E51" s="46" t="s">
        <x:v>75</x:v>
      </x:c>
      <x:c r="F51" s="46" t="s">
        <x:v>212</x:v>
      </x:c>
      <x:c r="G51" s="46" t="s">
        <x:v>249</x:v>
      </x:c>
      <x:c r="H51" s="44" t="s">
        <x:v>262</x:v>
      </x:c>
      <x:c r="I51" s="44">
        <x:v>1</x:v>
      </x:c>
      <x:c r="J51" s="46" t="s">
        <x:v>413</x:v>
      </x:c>
      <x:c r="K51" s="46" t="s">
        <x:v>160</x:v>
      </x:c>
      <x:c r="L51" s="44" t="s">
        <x:v>175</x:v>
      </x:c>
      <x:c r="M51" s="44" t="s">
        <x:v>778</x:v>
      </x:c>
      <x:c r="N51" s="47">
        <x:f t="shared" si="3"/>
        <x:v>0.048611111111111112</x:v>
      </x:c>
      <x:c r="O51" s="48" t="s">
        <x:v>65</x:v>
      </x:c>
      <x:c r="P51" s="49">
        <x:f>P50+7</x:f>
        <x:v>288</x:v>
      </x:c>
      <x:c r="Q51" s="50">
        <x:v>7</x:v>
      </x:c>
      <x:c r="R51" s="51">
        <x:f>$Q$3*P51*P51+$R$3*P51</x:f>
        <x:v>2531.52</x:v>
      </x:c>
      <x:c r="S51" s="68"/>
      <x:c r="T51" s="68"/>
      <x:c r="U51" s="68"/>
      <x:c r="V51" s="68"/>
      <x:c r="W51" s="68"/>
      <x:c r="X51" s="68"/>
      <x:c r="Y51" s="68"/>
      <x:c r="Z51" s="68"/>
      <x:c r="AA51" s="68"/>
      <x:c r="AB51" s="68"/>
      <x:c r="AC51" s="69"/>
      <x:c r="AD51" s="69"/>
      <x:c r="AE51" s="49"/>
      <x:c r="AF51" s="49"/>
      <x:c r="AG51" s="49"/>
      <x:c r="AH51" s="49"/>
      <x:c r="AI51" s="49"/>
      <x:c r="AJ51" s="52"/>
    </x:row>
    <x:row r="52" spans="1:36" ht="81.95000000000000284217" customHeight="1">
      <x:c r="A52" s="53" t="s">
        <x:v>66</x:v>
      </x:c>
      <x:c r="B52" s="44">
        <x:v>48</x:v>
      </x:c>
      <x:c r="C52" s="44">
        <x:v>1</x:v>
      </x:c>
      <x:c r="D52" s="44">
        <x:v>5</x:v>
      </x:c>
      <x:c r="E52" s="46" t="s">
        <x:v>159</x:v>
      </x:c>
      <x:c r="F52" s="46" t="s">
        <x:v>750</x:v>
      </x:c>
      <x:c r="G52" s="46" t="s">
        <x:v>687</x:v>
      </x:c>
      <x:c r="H52" s="44" t="s">
        <x:v>741</x:v>
      </x:c>
      <x:c r="I52" s="44">
        <x:v>1</x:v>
      </x:c>
      <x:c r="J52" s="46" t="s">
        <x:v>398</x:v>
      </x:c>
      <x:c r="K52" s="46" t="s">
        <x:v>160</x:v>
      </x:c>
      <x:c r="L52" s="44" t="s">
        <x:v>157</x:v>
      </x:c>
      <x:c r="M52" s="44" t="s">
        <x:v>421</x:v>
      </x:c>
      <x:c r="N52" s="47">
        <x:f t="shared" si="3"/>
        <x:v>0.049016203703703708</x:v>
      </x:c>
      <x:c r="O52" s="48" t="s">
        <x:v>65</x:v>
      </x:c>
      <x:c r="P52" s="49">
        <x:f>P51+4</x:f>
        <x:v>292</x:v>
      </x:c>
      <x:c r="Q52" s="50">
        <x:v>4</x:v>
      </x:c>
      <x:c r="R52" s="51">
        <x:f>$Q$3*P52*P52+$R$3*P52</x:f>
        <x:v>2601.7200000000003</x:v>
      </x:c>
      <x:c r="S52" s="68"/>
      <x:c r="T52" s="68"/>
      <x:c r="U52" s="68"/>
      <x:c r="V52" s="68"/>
      <x:c r="W52" s="68"/>
      <x:c r="X52" s="68"/>
      <x:c r="Y52" s="68"/>
      <x:c r="Z52" s="68"/>
      <x:c r="AA52" s="68"/>
      <x:c r="AB52" s="68"/>
      <x:c r="AC52" s="69"/>
      <x:c r="AD52" s="69"/>
      <x:c r="AE52" s="49"/>
      <x:c r="AF52" s="49"/>
      <x:c r="AG52" s="49"/>
      <x:c r="AH52" s="49"/>
      <x:c r="AI52" s="49"/>
      <x:c r="AJ52" s="52"/>
    </x:row>
    <x:row r="53" spans="1:36" ht="81.95000000000000284217" customHeight="1">
      <x:c r="A53" s="54" t="s">
        <x:v>59</x:v>
      </x:c>
      <x:c r="B53" s="44">
        <x:v>49</x:v>
      </x:c>
      <x:c r="C53" s="44">
        <x:v>1</x:v>
      </x:c>
      <x:c r="D53" s="44">
        <x:v>6</x:v>
      </x:c>
      <x:c r="E53" s="45" t="s">
        <x:v>442</x:v>
      </x:c>
      <x:c r="F53" s="46" t="s">
        <x:v>300</x:v>
      </x:c>
      <x:c r="G53" s="46" t="s">
        <x:v>618</x:v>
      </x:c>
      <x:c r="H53" s="44" t="s">
        <x:v>605</x:v>
      </x:c>
      <x:c r="I53" s="44">
        <x:v>2</x:v>
      </x:c>
      <x:c r="J53" s="46" t="s">
        <x:v>422</x:v>
      </x:c>
      <x:c r="K53" s="46" t="s">
        <x:v>160</x:v>
      </x:c>
      <x:c r="L53" s="44" t="s">
        <x:v>174</x:v>
      </x:c>
      <x:c r="M53" s="44" t="s">
        <x:v>805</x:v>
      </x:c>
      <x:c r="N53" s="47">
        <x:f t="shared" si="3"/>
        <x:v>0.049479166666666671</x:v>
      </x:c>
      <x:c r="O53" s="48" t="s">
        <x:v>467</x:v>
      </x:c>
      <x:c r="P53" s="49">
        <x:f>P52+4</x:f>
        <x:v>296</x:v>
      </x:c>
      <x:c r="Q53" s="50">
        <x:v>4</x:v>
      </x:c>
      <x:c r="R53" s="51">
        <x:f>$Q$3*P53*P53+$R$3*P53</x:f>
        <x:v>2672.8799999999997</x:v>
      </x:c>
      <x:c r="S53" s="68"/>
      <x:c r="T53" s="68"/>
      <x:c r="U53" s="68"/>
      <x:c r="V53" s="68"/>
      <x:c r="W53" s="68"/>
      <x:c r="X53" s="68"/>
      <x:c r="Y53" s="68"/>
      <x:c r="Z53" s="68"/>
      <x:c r="AA53" s="68"/>
      <x:c r="AB53" s="68"/>
      <x:c r="AC53" s="69"/>
      <x:c r="AD53" s="69"/>
      <x:c r="AE53" s="49"/>
      <x:c r="AF53" s="49"/>
      <x:c r="AG53" s="49"/>
      <x:c r="AH53" s="49"/>
      <x:c r="AI53" s="49"/>
      <x:c r="AJ53" s="52"/>
    </x:row>
    <x:row r="54" spans="1:36" ht="81.95000000000000284217" customHeight="1">
      <x:c r="A54" s="54" t="s">
        <x:v>59</x:v>
      </x:c>
      <x:c r="B54" s="44">
        <x:v>50</x:v>
      </x:c>
      <x:c r="C54" s="44">
        <x:v>2</x:v>
      </x:c>
      <x:c r="D54" s="44">
        <x:v>8</x:v>
      </x:c>
      <x:c r="E54" s="46" t="s">
        <x:v>367</x:v>
      </x:c>
      <x:c r="F54" s="46" t="s">
        <x:v>759</x:v>
      </x:c>
      <x:c r="G54" s="46" t="s">
        <x:v>197</x:v>
      </x:c>
      <x:c r="H54" s="44" t="s">
        <x:v>289</x:v>
      </x:c>
      <x:c r="I54" s="44">
        <x:v>3</x:v>
      </x:c>
      <x:c r="J54" s="46" t="s">
        <x:v>824</x:v>
      </x:c>
      <x:c r="K54" s="46" t="s">
        <x:v>160</x:v>
      </x:c>
      <x:c r="L54" s="44" t="s">
        <x:v>302</x:v>
      </x:c>
      <x:c r="M54" s="44" t="s">
        <x:v>780</x:v>
      </x:c>
      <x:c r="N54" s="47">
        <x:f t="shared" si="3"/>
        <x:v>0.050289351851851856</x:v>
      </x:c>
      <x:c r="O54" s="48" t="s">
        <x:v>467</x:v>
      </x:c>
      <x:c r="P54" s="49">
        <x:f>P53+7</x:f>
        <x:v>303</x:v>
      </x:c>
      <x:c r="Q54" s="50">
        <x:v>7</x:v>
      </x:c>
      <x:c r="R54" s="51">
        <x:f>$Q$3*P54*P54+$R$3*P54</x:f>
        <x:v>2799.7199999999998</x:v>
      </x:c>
      <x:c r="S54" s="68"/>
      <x:c r="T54" s="68"/>
      <x:c r="U54" s="68"/>
      <x:c r="V54" s="68"/>
      <x:c r="W54" s="68"/>
      <x:c r="X54" s="68"/>
      <x:c r="Y54" s="68"/>
      <x:c r="Z54" s="68"/>
      <x:c r="AA54" s="68"/>
      <x:c r="AB54" s="68"/>
      <x:c r="AC54" s="69"/>
      <x:c r="AD54" s="69"/>
      <x:c r="AE54" s="49"/>
      <x:c r="AF54" s="49"/>
      <x:c r="AG54" s="49"/>
      <x:c r="AH54" s="49"/>
      <x:c r="AI54" s="49"/>
      <x:c r="AJ54" s="52"/>
    </x:row>
    <x:row r="55" spans="1:36" ht="81.95000000000000284217" customHeight="1">
      <x:c r="A55" s="54" t="s">
        <x:v>59</x:v>
      </x:c>
      <x:c r="B55" s="44">
        <x:v>51</x:v>
      </x:c>
      <x:c r="C55" s="44">
        <x:v>3</x:v>
      </x:c>
      <x:c r="D55" s="44">
        <x:v>7</x:v>
      </x:c>
      <x:c r="E55" s="46" t="s">
        <x:v>84</x:v>
      </x:c>
      <x:c r="F55" s="46" t="s">
        <x:v>565</x:v>
      </x:c>
      <x:c r="G55" s="46" t="s">
        <x:v>546</x:v>
      </x:c>
      <x:c r="H55" s="44" t="s">
        <x:v>574</x:v>
      </x:c>
      <x:c r="I55" s="44">
        <x:v>5</x:v>
      </x:c>
      <x:c r="J55" s="46" t="s">
        <x:v>702</x:v>
      </x:c>
      <x:c r="K55" s="46" t="s">
        <x:v>831</x:v>
      </x:c>
      <x:c r="L55" s="44" t="s">
        <x:v>175</x:v>
      </x:c>
      <x:c r="M55" s="44" t="s">
        <x:v>409</x:v>
      </x:c>
      <x:c r="N55" s="47">
        <x:f t="shared" si="3"/>
        <x:v>0.051678240740740747</x:v>
      </x:c>
      <x:c r="O55" s="48" t="s">
        <x:v>467</x:v>
      </x:c>
      <x:c r="P55" s="49">
        <x:f>P54+8</x:f>
        <x:v>311</x:v>
      </x:c>
      <x:c r="Q55" s="50">
        <x:v>8</x:v>
      </x:c>
      <x:c r="R55" s="51">
        <x:f>$Q$3*P55*P55+$R$3*P55</x:f>
        <x:v>2948.2800000000002</x:v>
      </x:c>
      <x:c r="S55" s="68"/>
      <x:c r="T55" s="68"/>
      <x:c r="U55" s="68"/>
      <x:c r="V55" s="68"/>
      <x:c r="W55" s="68"/>
      <x:c r="X55" s="68"/>
      <x:c r="Y55" s="68"/>
      <x:c r="Z55" s="68"/>
      <x:c r="AA55" s="68"/>
      <x:c r="AB55" s="68"/>
      <x:c r="AC55" s="69"/>
      <x:c r="AD55" s="69"/>
      <x:c r="AE55" s="49"/>
      <x:c r="AF55" s="49"/>
      <x:c r="AG55" s="49"/>
      <x:c r="AH55" s="49"/>
      <x:c r="AI55" s="49"/>
      <x:c r="AJ55" s="52"/>
    </x:row>
    <x:row r="56" spans="1:36" ht="81.95000000000000284217" customHeight="1">
      <x:c r="A56" s="54" t="s">
        <x:v>59</x:v>
      </x:c>
      <x:c r="B56" s="44">
        <x:v>52</x:v>
      </x:c>
      <x:c r="C56" s="44">
        <x:v>4</x:v>
      </x:c>
      <x:c r="D56" s="44">
        <x:v>9</x:v>
      </x:c>
      <x:c r="E56" s="46" t="s">
        <x:v>78</x:v>
      </x:c>
      <x:c r="F56" s="46" t="s">
        <x:v>242</x:v>
      </x:c>
      <x:c r="G56" s="46" t="s">
        <x:v>290</x:v>
      </x:c>
      <x:c r="H56" s="44" t="s">
        <x:v>585</x:v>
      </x:c>
      <x:c r="I56" s="44">
        <x:v>3</x:v>
      </x:c>
      <x:c r="J56" s="46" t="s">
        <x:v>396</x:v>
      </x:c>
      <x:c r="K56" s="46" t="s">
        <x:v>740</x:v>
      </x:c>
      <x:c r="L56" s="44" t="s">
        <x:v>307</x:v>
      </x:c>
      <x:c r="M56" s="44" t="s">
        <x:v>819</x:v>
      </x:c>
      <x:c r="N56" s="47">
        <x:f t="shared" si="3"/>
        <x:v>0.053530092592592601</x:v>
      </x:c>
      <x:c r="O56" s="48" t="s">
        <x:v>467</x:v>
      </x:c>
      <x:c r="P56" s="49">
        <x:f>P55+10</x:f>
        <x:v>321</x:v>
      </x:c>
      <x:c r="Q56" s="50">
        <x:v>10</x:v>
      </x:c>
      <x:c r="R56" s="51">
        <x:f>$Q$3*P56*P56+$R$3*P56</x:f>
        <x:v>3139.3799999999997</x:v>
      </x:c>
      <x:c r="S56" s="68"/>
      <x:c r="T56" s="68"/>
      <x:c r="U56" s="68"/>
      <x:c r="V56" s="68"/>
      <x:c r="W56" s="68"/>
      <x:c r="X56" s="68"/>
      <x:c r="Y56" s="68"/>
      <x:c r="Z56" s="68"/>
      <x:c r="AA56" s="68"/>
      <x:c r="AB56" s="68"/>
      <x:c r="AC56" s="69"/>
      <x:c r="AD56" s="69"/>
      <x:c r="AE56" s="49"/>
      <x:c r="AF56" s="49"/>
      <x:c r="AG56" s="49"/>
      <x:c r="AH56" s="49"/>
      <x:c r="AI56" s="49"/>
      <x:c r="AJ56" s="52"/>
    </x:row>
    <x:row r="57" spans="1:36" ht="81.95000000000000284217" customHeight="1">
      <x:c r="A57" s="54" t="s">
        <x:v>59</x:v>
      </x:c>
      <x:c r="B57" s="44">
        <x:v>53</x:v>
      </x:c>
      <x:c r="C57" s="44">
        <x:v>4</x:v>
      </x:c>
      <x:c r="D57" s="44">
        <x:v>8</x:v>
      </x:c>
      <x:c r="E57" s="46" t="s">
        <x:v>455</x:v>
      </x:c>
      <x:c r="F57" s="46" t="s">
        <x:v>749</x:v>
      </x:c>
      <x:c r="G57" s="46" t="s">
        <x:v>734</x:v>
      </x:c>
      <x:c r="H57" s="44" t="s">
        <x:v>619</x:v>
      </x:c>
      <x:c r="I57" s="44">
        <x:v>1</x:v>
      </x:c>
      <x:c r="J57" s="46" t="s">
        <x:v>435</x:v>
      </x:c>
      <x:c r="K57" s="46" t="s">
        <x:v>826</x:v>
      </x:c>
      <x:c r="L57" s="44" t="s">
        <x:v>330</x:v>
      </x:c>
      <x:c r="M57" s="44" t="s">
        <x:v>383</x:v>
      </x:c>
      <x:c r="N57" s="47">
        <x:f t="shared" si="3"/>
        <x:v>0.054629629629629639</x:v>
      </x:c>
      <x:c r="O57" s="48" t="s">
        <x:v>89</x:v>
      </x:c>
      <x:c r="P57" s="49">
        <x:f>P56+8</x:f>
        <x:v>329</x:v>
      </x:c>
      <x:c r="Q57" s="50">
        <x:v>8</x:v>
      </x:c>
      <x:c r="R57" s="51">
        <x:f>$Q$3*P57*P57+$R$3*P57</x:f>
        <x:v>3296.5799999999995</x:v>
      </x:c>
      <x:c r="S57" s="68"/>
      <x:c r="T57" s="68"/>
      <x:c r="U57" s="68"/>
      <x:c r="V57" s="68"/>
      <x:c r="W57" s="68"/>
      <x:c r="X57" s="68"/>
      <x:c r="Y57" s="68"/>
      <x:c r="Z57" s="68"/>
      <x:c r="AA57" s="68"/>
      <x:c r="AB57" s="68"/>
      <x:c r="AC57" s="69"/>
      <x:c r="AD57" s="69"/>
      <x:c r="AE57" s="49"/>
      <x:c r="AF57" s="49"/>
      <x:c r="AG57" s="49"/>
      <x:c r="AH57" s="49"/>
      <x:c r="AI57" s="49"/>
      <x:c r="AJ57" s="52"/>
    </x:row>
    <x:row r="58" spans="1:36" ht="81.95000000000000284217" customHeight="1">
      <x:c r="A58" s="54" t="s">
        <x:v>59</x:v>
      </x:c>
      <x:c r="B58" s="44">
        <x:v>54</x:v>
      </x:c>
      <x:c r="C58" s="44">
        <x:v>5</x:v>
      </x:c>
      <x:c r="D58" s="44">
        <x:v>9</x:v>
      </x:c>
      <x:c r="E58" s="46" t="s">
        <x:v>90</x:v>
      </x:c>
      <x:c r="F58" s="46" t="s">
        <x:v>567</x:v>
      </x:c>
      <x:c r="G58" s="46" t="s">
        <x:v>560</x:v>
      </x:c>
      <x:c r="H58" s="44" t="s">
        <x:v>674</x:v>
      </x:c>
      <x:c r="I58" s="44">
        <x:v>3</x:v>
      </x:c>
      <x:c r="J58" s="46" t="s">
        <x:v>428</x:v>
      </x:c>
      <x:c r="K58" s="46" t="s">
        <x:v>828</x:v>
      </x:c>
      <x:c r="L58" s="44" t="s">
        <x:v>179</x:v>
      </x:c>
      <x:c r="M58" s="44" t="s">
        <x:v>405</x:v>
      </x:c>
      <x:c r="N58" s="47">
        <x:f t="shared" si="3"/>
        <x:v>0.056712962962962976</x:v>
      </x:c>
      <x:c r="O58" s="48" t="s">
        <x:v>89</x:v>
      </x:c>
      <x:c r="P58" s="49">
        <x:f>P57+11</x:f>
        <x:v>340</x:v>
      </x:c>
      <x:c r="Q58" s="50">
        <x:v>11</x:v>
      </x:c>
      <x:c r="R58" s="51">
        <x:f>$Q$3*P58*P58+$R$3*P58</x:f>
        <x:v>3518.9999999999995</x:v>
      </x:c>
      <x:c r="S58" s="68"/>
      <x:c r="T58" s="68"/>
      <x:c r="U58" s="68"/>
      <x:c r="V58" s="68"/>
      <x:c r="W58" s="68"/>
      <x:c r="X58" s="68"/>
      <x:c r="Y58" s="68"/>
      <x:c r="Z58" s="68"/>
      <x:c r="AA58" s="68"/>
      <x:c r="AB58" s="68"/>
      <x:c r="AC58" s="69"/>
      <x:c r="AD58" s="69"/>
      <x:c r="AE58" s="49"/>
      <x:c r="AF58" s="49"/>
      <x:c r="AG58" s="49"/>
      <x:c r="AH58" s="49"/>
      <x:c r="AI58" s="49"/>
      <x:c r="AJ58" s="52"/>
    </x:row>
    <x:row r="59" spans="1:36" ht="81.95000000000000284217" customHeight="1">
      <x:c r="A59" s="54" t="s">
        <x:v>59</x:v>
      </x:c>
      <x:c r="B59" s="44">
        <x:v>55</x:v>
      </x:c>
      <x:c r="C59" s="44">
        <x:v>5</x:v>
      </x:c>
      <x:c r="D59" s="44">
        <x:v>9</x:v>
      </x:c>
      <x:c r="E59" s="46" t="s">
        <x:v>433</x:v>
      </x:c>
      <x:c r="F59" s="46" t="s">
        <x:v>822</x:v>
      </x:c>
      <x:c r="G59" s="46" t="s">
        <x:v>251</x:v>
      </x:c>
      <x:c r="H59" s="44" t="s">
        <x:v>253</x:v>
      </x:c>
      <x:c r="I59" s="44">
        <x:v>1</x:v>
      </x:c>
      <x:c r="J59" s="46" t="s">
        <x:v>420</x:v>
      </x:c>
      <x:c r="K59" s="46" t="s">
        <x:v>683</x:v>
      </x:c>
      <x:c r="L59" s="44" t="s">
        <x:v>356</x:v>
      </x:c>
      <x:c r="M59" s="44" t="s">
        <x:v>379</x:v>
      </x:c>
      <x:c r="N59" s="47">
        <x:f t="shared" si="3"/>
        <x:v>0.058333333333333341</x:v>
      </x:c>
      <x:c r="O59" s="48" t="s">
        <x:v>89</x:v>
      </x:c>
      <x:c r="P59" s="49">
        <x:f>P58+10</x:f>
        <x:v>350</x:v>
      </x:c>
      <x:c r="Q59" s="50">
        <x:v>10</x:v>
      </x:c>
      <x:c r="R59" s="51">
        <x:f>$Q$3*P59*P59+$R$3*P59</x:f>
        <x:v>3727.5</x:v>
      </x:c>
      <x:c r="S59" s="68"/>
      <x:c r="T59" s="68"/>
      <x:c r="U59" s="68"/>
      <x:c r="V59" s="68"/>
      <x:c r="W59" s="77" t="s">
        <x:v>658</x:v>
      </x:c>
      <x:c r="X59" s="77">
        <x:f ca="1">ROUND($X59*1,0)</x:f>
        <x:v>60</x:v>
      </x:c>
      <x:c r="Y59" s="68">
        <x:f ca="1">ROUND(X59*0.8,0)</x:f>
        <x:v>48</x:v>
      </x:c>
      <x:c r="Z59" s="68">
        <x:f ca="1">X59*0.6</x:f>
        <x:v>36</x:v>
      </x:c>
      <x:c r="AA59" s="68">
        <x:f ca="1">X59*0.5</x:f>
        <x:v>30</x:v>
      </x:c>
      <x:c r="AB59" s="74">
        <x:v>0.0088541666666666664</x:v>
      </x:c>
      <x:c r="AC59" s="74">
        <x:f ca="1">$AD59*1.5</x:f>
        <x:v>0.01328125</x:v>
      </x:c>
      <x:c r="AD59" s="74">
        <x:f ca="1">$AD59</x:f>
        <x:v>0.0088541666666666664</x:v>
      </x:c>
      <x:c r="AE59" s="74">
        <x:f ca="1">$AD59*0.75</x:f>
        <x:v>0.006640625</x:v>
      </x:c>
      <x:c r="AF59" s="49"/>
      <x:c r="AG59" s="49"/>
      <x:c r="AH59" s="49"/>
      <x:c r="AI59" s="49"/>
      <x:c r="AJ59" s="52"/>
    </x:row>
    <x:row r="60" spans="1:36" ht="81.95000000000000284217" customHeight="1">
      <x:c r="A60" s="54" t="s">
        <x:v>59</x:v>
      </x:c>
      <x:c r="B60" s="44">
        <x:v>56</x:v>
      </x:c>
      <x:c r="C60" s="44">
        <x:v>4</x:v>
      </x:c>
      <x:c r="D60" s="44">
        <x:v>8</x:v>
      </x:c>
      <x:c r="E60" s="46" t="s">
        <x:v>459</x:v>
      </x:c>
      <x:c r="F60" s="46" t="s">
        <x:v>212</x:v>
      </x:c>
      <x:c r="G60" s="46" t="s">
        <x:v>539</x:v>
      </x:c>
      <x:c r="H60" s="44" t="s">
        <x:v>240</x:v>
      </x:c>
      <x:c r="I60" s="44">
        <x:v>1</x:v>
      </x:c>
      <x:c r="J60" s="46" t="s">
        <x:v>813</x:v>
      </x:c>
      <x:c r="K60" s="46" t="s">
        <x:v>160</x:v>
      </x:c>
      <x:c r="L60" s="44" t="s">
        <x:v>305</x:v>
      </x:c>
      <x:c r="M60" s="44" t="s">
        <x:v>778</x:v>
      </x:c>
      <x:c r="N60" s="47">
        <x:f t="shared" si="3"/>
        <x:v>0.060069444444444453</x:v>
      </x:c>
      <x:c r="O60" s="48" t="s">
        <x:v>89</x:v>
      </x:c>
      <x:c r="P60" s="49">
        <x:f>P59+9</x:f>
        <x:v>359</x:v>
      </x:c>
      <x:c r="Q60" s="50">
        <x:v>9</x:v>
      </x:c>
      <x:c r="R60" s="51">
        <x:f>$Q$3*P60*P60+$R$3*P60</x:f>
        <x:v>3920.2799999999997</x:v>
      </x:c>
      <x:c r="S60" s="68"/>
      <x:c r="T60" s="68"/>
      <x:c r="U60" s="68"/>
      <x:c r="V60" s="68"/>
      <x:c r="W60" s="68"/>
      <x:c r="X60" s="68"/>
      <x:c r="Y60" s="68"/>
      <x:c r="Z60" s="68"/>
      <x:c r="AA60" s="68"/>
      <x:c r="AB60" s="68"/>
      <x:c r="AC60" s="69"/>
      <x:c r="AD60" s="69"/>
      <x:c r="AE60" s="49"/>
      <x:c r="AF60" s="49"/>
      <x:c r="AG60" s="49"/>
      <x:c r="AH60" s="49"/>
      <x:c r="AI60" s="49"/>
      <x:c r="AJ60" s="52"/>
    </x:row>
    <x:row r="61" spans="1:36" ht="81.95000000000000284217" customHeight="1">
      <x:c r="A61" s="54" t="s">
        <x:v>59</x:v>
      </x:c>
      <x:c r="B61" s="44">
        <x:v>57</x:v>
      </x:c>
      <x:c r="C61" s="44">
        <x:v>6</x:v>
      </x:c>
      <x:c r="D61" s="44">
        <x:v>9</x:v>
      </x:c>
      <x:c r="E61" s="46" t="s">
        <x:v>430</x:v>
      </x:c>
      <x:c r="F61" s="46" t="s">
        <x:v>620</x:v>
      </x:c>
      <x:c r="G61" s="46" t="s">
        <x:v>558</x:v>
      </x:c>
      <x:c r="H61" s="44" t="s">
        <x:v>638</x:v>
      </x:c>
      <x:c r="I61" s="44">
        <x:v>4</x:v>
      </x:c>
      <x:c r="J61" s="46" t="s">
        <x:v>456</x:v>
      </x:c>
      <x:c r="K61" s="46" t="s">
        <x:v>746</x:v>
      </x:c>
      <x:c r="L61" s="44" t="s">
        <x:v>305</x:v>
      </x:c>
      <x:c r="M61" s="44" t="s">
        <x:v>693</x:v>
      </x:c>
      <x:c r="N61" s="47">
        <x:f t="shared" si="3"/>
        <x:v>0.061805555555555565</x:v>
      </x:c>
      <x:c r="O61" s="48" t="s">
        <x:v>89</x:v>
      </x:c>
      <x:c r="P61" s="49">
        <x:f>P60+11</x:f>
        <x:v>370</x:v>
      </x:c>
      <x:c r="Q61" s="50">
        <x:v>11</x:v>
      </x:c>
      <x:c r="R61" s="51">
        <x:f>$Q$3*P61*P61+$R$3*P61</x:f>
        <x:v>4162.5</x:v>
      </x:c>
      <x:c r="S61" s="68">
        <x:f>R61/V61</x:f>
        <x:v>4162.5</x:v>
      </x:c>
      <x:c r="T61" s="68">
        <x:v>1</x:v>
      </x:c>
      <x:c r="U61" s="68">
        <x:f>T61*V61</x:f>
        <x:v>1</x:v>
      </x:c>
      <x:c r="V61" s="68">
        <x:v>1</x:v>
      </x:c>
      <x:c r="W61" s="77" t="s">
        <x:v>184</x:v>
      </x:c>
      <x:c r="X61" s="77">
        <x:f ca="1">ROUND($X61*1,0)</x:f>
        <x:v>40</x:v>
      </x:c>
      <x:c r="Y61" s="68">
        <x:f ca="1">X61*0.8</x:f>
        <x:v>32</x:v>
      </x:c>
      <x:c r="Z61" s="68">
        <x:f ca="1">X61*0.6</x:f>
        <x:v>24</x:v>
      </x:c>
      <x:c r="AA61" s="68">
        <x:f ca="1">X61*0.5</x:f>
        <x:v>20</x:v>
      </x:c>
      <x:c r="AB61" s="74">
        <x:v>0.001736111111111111</x:v>
      </x:c>
      <x:c r="AC61" s="74">
        <x:f ca="1">$AD61*1.5</x:f>
        <x:v>0.0026041666666666665</x:v>
      </x:c>
      <x:c r="AD61" s="74">
        <x:f ca="1">$AD61</x:f>
        <x:v>0.001736111111111111</x:v>
      </x:c>
      <x:c r="AE61" s="74">
        <x:f ca="1">$AD61*0.75</x:f>
        <x:v>0.0013020833333333333</x:v>
      </x:c>
      <x:c r="AF61" s="49"/>
      <x:c r="AG61" s="49"/>
      <x:c r="AH61" s="49"/>
      <x:c r="AI61" s="49"/>
      <x:c r="AJ61" s="52"/>
    </x:row>
    <x:row r="62" spans="1:36" ht="81.95000000000000284217" customHeight="1">
      <x:c r="A62" s="54" t="s">
        <x:v>59</x:v>
      </x:c>
      <x:c r="B62" s="44">
        <x:v>58</x:v>
      </x:c>
      <x:c r="C62" s="44">
        <x:v>2</x:v>
      </x:c>
      <x:c r="D62" s="44">
        <x:v>8</x:v>
      </x:c>
      <x:c r="E62" s="46" t="s">
        <x:v>81</x:v>
      </x:c>
      <x:c r="F62" s="46" t="s">
        <x:v>759</x:v>
      </x:c>
      <x:c r="G62" s="46" t="s">
        <x:v>197</x:v>
      </x:c>
      <x:c r="H62" s="44" t="s">
        <x:v>289</x:v>
      </x:c>
      <x:c r="I62" s="44">
        <x:v>2</x:v>
      </x:c>
      <x:c r="J62" s="46" t="s">
        <x:v>238</x:v>
      </x:c>
      <x:c r="K62" s="46" t="s">
        <x:v>160</x:v>
      </x:c>
      <x:c r="L62" s="44" t="s">
        <x:v>317</x:v>
      </x:c>
      <x:c r="M62" s="44" t="s">
        <x:v>780</x:v>
      </x:c>
      <x:c r="N62" s="47">
        <x:f t="shared" si="3"/>
        <x:v>0.062731481481481485</x:v>
      </x:c>
      <x:c r="O62" s="48" t="s">
        <x:v>89</x:v>
      </x:c>
      <x:c r="P62" s="49">
        <x:f>P61+7</x:f>
        <x:v>377</x:v>
      </x:c>
      <x:c r="Q62" s="50">
        <x:v>7</x:v>
      </x:c>
      <x:c r="R62" s="51">
        <x:f>$Q$3*P62*P62+$R$3*P62</x:f>
        <x:v>4320.4200000000001</x:v>
      </x:c>
      <x:c r="S62" s="68"/>
      <x:c r="T62" s="68"/>
      <x:c r="U62" s="68"/>
      <x:c r="V62" s="68"/>
      <x:c r="W62" s="68"/>
      <x:c r="X62" s="68"/>
      <x:c r="Y62" s="68"/>
      <x:c r="Z62" s="68"/>
      <x:c r="AA62" s="68"/>
      <x:c r="AB62" s="68"/>
      <x:c r="AC62" s="69"/>
      <x:c r="AD62" s="69"/>
      <x:c r="AE62" s="49"/>
      <x:c r="AF62" s="49"/>
      <x:c r="AG62" s="49"/>
      <x:c r="AH62" s="49"/>
      <x:c r="AI62" s="49"/>
      <x:c r="AJ62" s="52"/>
    </x:row>
    <x:row r="63" spans="1:36" ht="81.95000000000000284217" customHeight="1">
      <x:c r="A63" s="54" t="s">
        <x:v>59</x:v>
      </x:c>
      <x:c r="B63" s="44">
        <x:v>59</x:v>
      </x:c>
      <x:c r="C63" s="44">
        <x:v>3</x:v>
      </x:c>
      <x:c r="D63" s="44">
        <x:v>8</x:v>
      </x:c>
      <x:c r="E63" s="46" t="s">
        <x:v>82</x:v>
      </x:c>
      <x:c r="F63" s="46" t="s">
        <x:v>212</x:v>
      </x:c>
      <x:c r="G63" s="46" t="s">
        <x:v>252</x:v>
      </x:c>
      <x:c r="H63" s="44" t="s">
        <x:v>257</x:v>
      </x:c>
      <x:c r="I63" s="44">
        <x:v>1</x:v>
      </x:c>
      <x:c r="J63" s="46" t="s">
        <x:v>384</x:v>
      </x:c>
      <x:c r="K63" s="46" t="s">
        <x:v>160</x:v>
      </x:c>
      <x:c r="L63" s="44" t="s">
        <x:v>175</x:v>
      </x:c>
      <x:c r="M63" s="44" t="s">
        <x:v>778</x:v>
      </x:c>
      <x:c r="N63" s="47">
        <x:f t="shared" si="3"/>
        <x:v>0.064120370370370369</x:v>
      </x:c>
      <x:c r="O63" s="48" t="s">
        <x:v>464</x:v>
      </x:c>
      <x:c r="P63" s="49">
        <x:f>P62+8</x:f>
        <x:v>385</x:v>
      </x:c>
      <x:c r="Q63" s="50">
        <x:v>8</x:v>
      </x:c>
      <x:c r="R63" s="51">
        <x:f>$Q$3*P63*P63+$R$3*P63</x:f>
        <x:v>4504.5</x:v>
      </x:c>
      <x:c r="S63" s="68"/>
      <x:c r="T63" s="68"/>
      <x:c r="U63" s="68"/>
      <x:c r="V63" s="68"/>
      <x:c r="W63" s="68"/>
      <x:c r="X63" s="68"/>
      <x:c r="Y63" s="68"/>
      <x:c r="Z63" s="68"/>
      <x:c r="AA63" s="68"/>
      <x:c r="AB63" s="68"/>
      <x:c r="AC63" s="69"/>
      <x:c r="AD63" s="69"/>
      <x:c r="AE63" s="49"/>
      <x:c r="AF63" s="49"/>
      <x:c r="AG63" s="49"/>
      <x:c r="AH63" s="49"/>
      <x:c r="AI63" s="49"/>
      <x:c r="AJ63" s="52"/>
    </x:row>
    <x:row r="64" spans="1:36" ht="81.95000000000000284217" customHeight="1">
      <x:c r="A64" s="54" t="s">
        <x:v>59</x:v>
      </x:c>
      <x:c r="B64" s="44">
        <x:v>60</x:v>
      </x:c>
      <x:c r="C64" s="44">
        <x:v>1</x:v>
      </x:c>
      <x:c r="D64" s="44">
        <x:v>8</x:v>
      </x:c>
      <x:c r="E64" s="46" t="s">
        <x:v>76</x:v>
      </x:c>
      <x:c r="F64" s="46" t="s">
        <x:v>759</x:v>
      </x:c>
      <x:c r="G64" s="46" t="s">
        <x:v>197</x:v>
      </x:c>
      <x:c r="H64" s="44" t="s">
        <x:v>190</x:v>
      </x:c>
      <x:c r="I64" s="44">
        <x:v>2</x:v>
      </x:c>
      <x:c r="J64" s="46" t="s">
        <x:v>614</x:v>
      </x:c>
      <x:c r="K64" s="46" t="s">
        <x:v>160</x:v>
      </x:c>
      <x:c r="L64" s="44" t="s">
        <x:v>354</x:v>
      </x:c>
      <x:c r="M64" s="44" t="s">
        <x:v>780</x:v>
      </x:c>
      <x:c r="N64" s="47">
        <x:f t="shared" si="3"/>
        <x:v>0.065393518518518517</x:v>
      </x:c>
      <x:c r="O64" s="48" t="s">
        <x:v>464</x:v>
      </x:c>
      <x:c r="P64" s="49">
        <x:f>P63+7</x:f>
        <x:v>392</x:v>
      </x:c>
      <x:c r="Q64" s="50">
        <x:v>7</x:v>
      </x:c>
      <x:c r="R64" s="51">
        <x:f>$Q$3*P64*P64+$R$3*P64</x:f>
        <x:v>4668.7200000000003</x:v>
      </x:c>
      <x:c r="S64" s="68"/>
      <x:c r="T64" s="68"/>
      <x:c r="U64" s="68"/>
      <x:c r="V64" s="68"/>
      <x:c r="W64" s="68"/>
      <x:c r="X64" s="68"/>
      <x:c r="Y64" s="68"/>
      <x:c r="Z64" s="68"/>
      <x:c r="AA64" s="68"/>
      <x:c r="AB64" s="68"/>
      <x:c r="AC64" s="69"/>
      <x:c r="AD64" s="69"/>
      <x:c r="AE64" s="49"/>
      <x:c r="AF64" s="49"/>
      <x:c r="AG64" s="49"/>
      <x:c r="AH64" s="49"/>
      <x:c r="AI64" s="49"/>
      <x:c r="AJ64" s="52"/>
    </x:row>
    <x:row r="65" spans="1:36" ht="81.95000000000000284217" customHeight="1">
      <x:c r="A65" s="54" t="s">
        <x:v>59</x:v>
      </x:c>
      <x:c r="B65" s="44">
        <x:v>61</x:v>
      </x:c>
      <x:c r="C65" s="44">
        <x:v>2</x:v>
      </x:c>
      <x:c r="D65" s="44">
        <x:v>8</x:v>
      </x:c>
      <x:c r="E65" s="46" t="s">
        <x:v>64</x:v>
      </x:c>
      <x:c r="F65" s="46" t="s">
        <x:v>221</x:v>
      </x:c>
      <x:c r="G65" s="46" t="s">
        <x:v>218</x:v>
      </x:c>
      <x:c r="H65" s="44" t="s">
        <x:v>551</x:v>
      </x:c>
      <x:c r="I65" s="44">
        <x:v>3</x:v>
      </x:c>
      <x:c r="J65" s="46" t="s">
        <x:v>72</x:v>
      </x:c>
      <x:c r="K65" s="46" t="s">
        <x:v>696</x:v>
      </x:c>
      <x:c r="L65" s="44" t="s">
        <x:v>360</x:v>
      </x:c>
      <x:c r="M65" s="44" t="s">
        <x:v>406</x:v>
      </x:c>
      <x:c r="N65" s="47">
        <x:f t="shared" si="3"/>
        <x:v>0.06655092592592593</x:v>
      </x:c>
      <x:c r="O65" s="48" t="s">
        <x:v>464</x:v>
      </x:c>
      <x:c r="P65" s="49">
        <x:f>P64+7</x:f>
        <x:v>399</x:v>
      </x:c>
      <x:c r="Q65" s="50">
        <x:v>7</x:v>
      </x:c>
      <x:c r="R65" s="51">
        <x:f>$Q$3*P65*P65+$R$3*P65</x:f>
        <x:v>4835.8800000000001</x:v>
      </x:c>
      <x:c r="S65" s="68"/>
      <x:c r="T65" s="68"/>
      <x:c r="U65" s="68"/>
      <x:c r="V65" s="68"/>
      <x:c r="W65" s="68"/>
      <x:c r="X65" s="68"/>
      <x:c r="Y65" s="68"/>
      <x:c r="Z65" s="68"/>
      <x:c r="AA65" s="68"/>
      <x:c r="AB65" s="68"/>
      <x:c r="AC65" s="69"/>
      <x:c r="AD65" s="69"/>
      <x:c r="AE65" s="49"/>
      <x:c r="AF65" s="49"/>
      <x:c r="AG65" s="49"/>
      <x:c r="AH65" s="49"/>
      <x:c r="AI65" s="49"/>
      <x:c r="AJ65" s="52"/>
    </x:row>
    <x:row r="66" spans="1:36" ht="81.95000000000000284217" customHeight="1">
      <x:c r="A66" s="54" t="s">
        <x:v>59</x:v>
      </x:c>
      <x:c r="B66" s="44">
        <x:v>62</x:v>
      </x:c>
      <x:c r="C66" s="44">
        <x:v>2</x:v>
      </x:c>
      <x:c r="D66" s="44">
        <x:v>9</x:v>
      </x:c>
      <x:c r="E66" s="46" t="s">
        <x:v>427</x:v>
      </x:c>
      <x:c r="F66" s="46" t="s">
        <x:v>221</x:v>
      </x:c>
      <x:c r="G66" s="46" t="s">
        <x:v>536</x:v>
      </x:c>
      <x:c r="H66" s="44" t="s">
        <x:v>533</x:v>
      </x:c>
      <x:c r="I66" s="44">
        <x:v>4</x:v>
      </x:c>
      <x:c r="J66" s="46" t="s">
        <x:v>72</x:v>
      </x:c>
      <x:c r="K66" s="46" t="s">
        <x:v>696</x:v>
      </x:c>
      <x:c r="L66" s="44" t="s">
        <x:v>355</x:v>
      </x:c>
      <x:c r="M66" s="44" t="s">
        <x:v>406</x:v>
      </x:c>
      <x:c r="N66" s="47">
        <x:f t="shared" si="3"/>
        <x:v>0.068055555555555564</x:v>
      </x:c>
      <x:c r="O66" s="48" t="s">
        <x:v>464</x:v>
      </x:c>
      <x:c r="P66" s="49">
        <x:f>P65+9</x:f>
        <x:v>408</x:v>
      </x:c>
      <x:c r="Q66" s="50">
        <x:v>9</x:v>
      </x:c>
      <x:c r="R66" s="51">
        <x:f>$Q$3*P66*P66+$R$3*P66</x:f>
        <x:v>5055.1199999999999</x:v>
      </x:c>
      <x:c r="S66" s="68"/>
      <x:c r="T66" s="68"/>
      <x:c r="U66" s="68"/>
      <x:c r="V66" s="68"/>
      <x:c r="W66" s="68"/>
      <x:c r="X66" s="68"/>
      <x:c r="Y66" s="68"/>
      <x:c r="Z66" s="68"/>
      <x:c r="AA66" s="68"/>
      <x:c r="AB66" s="68"/>
      <x:c r="AC66" s="69"/>
      <x:c r="AD66" s="69"/>
      <x:c r="AE66" s="49"/>
      <x:c r="AF66" s="49"/>
      <x:c r="AG66" s="49"/>
      <x:c r="AH66" s="49"/>
      <x:c r="AI66" s="49"/>
      <x:c r="AJ66" s="52"/>
    </x:row>
    <x:row r="67" spans="1:36" ht="81.95000000000000284217" customHeight="1">
      <x:c r="A67" s="54" t="s">
        <x:v>59</x:v>
      </x:c>
      <x:c r="B67" s="44">
        <x:v>63</x:v>
      </x:c>
      <x:c r="C67" s="44">
        <x:v>1</x:v>
      </x:c>
      <x:c r="D67" s="44">
        <x:v>9</x:v>
      </x:c>
      <x:c r="E67" s="46" t="s">
        <x:v>86</x:v>
      </x:c>
      <x:c r="F67" s="46" t="s">
        <x:v>222</x:v>
      </x:c>
      <x:c r="G67" s="46" t="s">
        <x:v>600</x:v>
      </x:c>
      <x:c r="H67" s="44" t="s">
        <x:v>153</x:v>
      </x:c>
      <x:c r="I67" s="44">
        <x:v>3</x:v>
      </x:c>
      <x:c r="J67" s="46" t="s">
        <x:v>389</x:v>
      </x:c>
      <x:c r="K67" s="46" t="s">
        <x:v>160</x:v>
      </x:c>
      <x:c r="L67" s="44" t="s">
        <x:v>175</x:v>
      </x:c>
      <x:c r="M67" s="44" t="s">
        <x:v>414</x:v>
      </x:c>
      <x:c r="N67" s="47">
        <x:f t="shared" si="3"/>
        <x:v>0.069444444444444448</x:v>
      </x:c>
      <x:c r="O67" s="48" t="s">
        <x:v>464</x:v>
      </x:c>
      <x:c r="P67" s="49">
        <x:f>P66+8</x:f>
        <x:v>416</x:v>
      </x:c>
      <x:c r="Q67" s="50">
        <x:v>8</x:v>
      </x:c>
      <x:c r="R67" s="51">
        <x:f>$Q$3*P67*P67+$R$3*P67</x:f>
        <x:v>5254.0799999999999</x:v>
      </x:c>
      <x:c r="S67" s="68"/>
      <x:c r="T67" s="68"/>
      <x:c r="U67" s="68"/>
      <x:c r="V67" s="68"/>
      <x:c r="W67" s="68"/>
      <x:c r="X67" s="68"/>
      <x:c r="Y67" s="68"/>
      <x:c r="Z67" s="68"/>
      <x:c r="AA67" s="68"/>
      <x:c r="AB67" s="68"/>
      <x:c r="AC67" s="69"/>
      <x:c r="AD67" s="69"/>
      <x:c r="AE67" s="49"/>
      <x:c r="AF67" s="49"/>
      <x:c r="AG67" s="49"/>
      <x:c r="AH67" s="49"/>
      <x:c r="AI67" s="49"/>
      <x:c r="AJ67" s="52"/>
    </x:row>
    <x:row r="68" spans="1:36" ht="81.95000000000000284217" customHeight="1">
      <x:c r="A68" s="54" t="s">
        <x:v>59</x:v>
      </x:c>
      <x:c r="B68" s="44">
        <x:v>64</x:v>
      </x:c>
      <x:c r="C68" s="44">
        <x:v>1</x:v>
      </x:c>
      <x:c r="D68" s="44">
        <x:v>8</x:v>
      </x:c>
      <x:c r="E68" s="46" t="s">
        <x:v>394</x:v>
      </x:c>
      <x:c r="F68" s="46" t="s">
        <x:v>260</x:v>
      </x:c>
      <x:c r="G68" s="46" t="s">
        <x:v>544</x:v>
      </x:c>
      <x:c r="H68" s="44" t="s">
        <x:v>223</x:v>
      </x:c>
      <x:c r="I68" s="44">
        <x:v>2</x:v>
      </x:c>
      <x:c r="J68" s="46" t="s">
        <x:v>87</x:v>
      </x:c>
      <x:c r="K68" s="46" t="s">
        <x:v>160</x:v>
      </x:c>
      <x:c r="L68" s="44" t="s">
        <x:v>360</x:v>
      </x:c>
      <x:c r="M68" s="44" t="s">
        <x:v>388</x:v>
      </x:c>
      <x:c r="N68" s="47">
        <x:f t="shared" si="3"/>
        <x:v>0.07060185185185186</x:v>
      </x:c>
      <x:c r="O68" s="48" t="s">
        <x:v>464</x:v>
      </x:c>
      <x:c r="P68" s="49">
        <x:f>P67+7</x:f>
        <x:v>423</x:v>
      </x:c>
      <x:c r="Q68" s="50">
        <x:v>7</x:v>
      </x:c>
      <x:c r="R68" s="51">
        <x:f>$Q$3*P68*P68+$R$3*P68</x:f>
        <x:v>5431.3199999999997</x:v>
      </x:c>
      <x:c r="S68" s="68"/>
      <x:c r="T68" s="68"/>
      <x:c r="U68" s="68"/>
      <x:c r="V68" s="68"/>
      <x:c r="W68" s="68"/>
      <x:c r="X68" s="68"/>
      <x:c r="Y68" s="68"/>
      <x:c r="Z68" s="68"/>
      <x:c r="AA68" s="68"/>
      <x:c r="AB68" s="68"/>
      <x:c r="AC68" s="69"/>
      <x:c r="AD68" s="69"/>
      <x:c r="AE68" s="49"/>
      <x:c r="AF68" s="49"/>
      <x:c r="AG68" s="49"/>
      <x:c r="AH68" s="49"/>
      <x:c r="AI68" s="49"/>
      <x:c r="AJ68" s="52"/>
    </x:row>
    <x:row r="69" spans="1:36" ht="81.95000000000000284217" customHeight="1">
      <x:c r="A69" s="54" t="s">
        <x:v>59</x:v>
      </x:c>
      <x:c r="B69" s="44">
        <x:v>65</x:v>
      </x:c>
      <x:c r="C69" s="44">
        <x:v>1</x:v>
      </x:c>
      <x:c r="D69" s="44">
        <x:v>8</x:v>
      </x:c>
      <x:c r="E69" s="46" t="s">
        <x:v>429</x:v>
      </x:c>
      <x:c r="F69" s="46" t="s">
        <x:v>182</x:v>
      </x:c>
      <x:c r="G69" s="46" t="s">
        <x:v>547</x:v>
      </x:c>
      <x:c r="H69" s="44" t="s">
        <x:v>149</x:v>
      </x:c>
      <x:c r="I69" s="44">
        <x:v>2</x:v>
      </x:c>
      <x:c r="J69" s="46" t="s">
        <x:v>85</x:v>
      </x:c>
      <x:c r="K69" s="46" t="s">
        <x:v>160</x:v>
      </x:c>
      <x:c r="L69" s="44" t="s">
        <x:v>317</x:v>
      </x:c>
      <x:c r="M69" s="44" t="s">
        <x:v>415</x:v>
      </x:c>
      <x:c r="N69" s="47">
        <x:f t="shared" si="3"/>
        <x:v>0.071527777777777787</x:v>
      </x:c>
      <x:c r="O69" s="48" t="s">
        <x:v>432</x:v>
      </x:c>
      <x:c r="P69" s="49">
        <x:f>P68+6</x:f>
        <x:v>429</x:v>
      </x:c>
      <x:c r="Q69" s="50">
        <x:v>6</x:v>
      </x:c>
      <x:c r="R69" s="51">
        <x:f>$Q$3*P69*P69+$R$3*P69</x:f>
        <x:v>5585.5799999999999</x:v>
      </x:c>
      <x:c r="S69" s="68"/>
      <x:c r="T69" s="68"/>
      <x:c r="U69" s="68"/>
      <x:c r="V69" s="68"/>
      <x:c r="W69" s="68"/>
      <x:c r="X69" s="68"/>
      <x:c r="Y69" s="68"/>
      <x:c r="Z69" s="68"/>
      <x:c r="AA69" s="68"/>
      <x:c r="AB69" s="68"/>
      <x:c r="AC69" s="69"/>
      <x:c r="AD69" s="69"/>
      <x:c r="AE69" s="49"/>
      <x:c r="AF69" s="49"/>
      <x:c r="AG69" s="49"/>
      <x:c r="AH69" s="49"/>
      <x:c r="AI69" s="49"/>
      <x:c r="AJ69" s="52"/>
    </x:row>
    <x:row r="70" spans="1:36" ht="81.95000000000000284217" customHeight="1">
      <x:c r="A70" s="54" t="s">
        <x:v>59</x:v>
      </x:c>
      <x:c r="B70" s="44">
        <x:v>66</x:v>
      </x:c>
      <x:c r="C70" s="44">
        <x:v>4</x:v>
      </x:c>
      <x:c r="D70" s="44">
        <x:v>7</x:v>
      </x:c>
      <x:c r="E70" s="46" t="s">
        <x:v>461</x:v>
      </x:c>
      <x:c r="F70" s="46" t="s">
        <x:v>212</x:v>
      </x:c>
      <x:c r="G70" s="46" t="s">
        <x:v>652</x:v>
      </x:c>
      <x:c r="H70" s="44" t="s">
        <x:v>240</x:v>
      </x:c>
      <x:c r="I70" s="44">
        <x:v>1</x:v>
      </x:c>
      <x:c r="J70" s="46" t="s">
        <x:v>688</x:v>
      </x:c>
      <x:c r="K70" s="46" t="s">
        <x:v>160</x:v>
      </x:c>
      <x:c r="L70" s="44" t="s">
        <x:v>356</x:v>
      </x:c>
      <x:c r="M70" s="44" t="s">
        <x:v>778</x:v>
      </x:c>
      <x:c r="N70" s="47">
        <x:f t="shared" ref="N70:N101" si="4">N69+(IFERROR(VALUE(LEFT(L70,FIND("분",L70)-1))*60,0)+IFERROR(VALUE(TRIM(MID(L70,IFERROR(FIND("분",L70),0)+1,FIND("초",L70)-IFERROR(FIND("분",L70),0)-1))),0))/86400</x:f>
        <x:v>0.073148148148148157</x:v>
      </x:c>
      <x:c r="O70" s="48" t="s">
        <x:v>432</x:v>
      </x:c>
      <x:c r="P70" s="49">
        <x:f>P69+9</x:f>
        <x:v>438</x:v>
      </x:c>
      <x:c r="Q70" s="50">
        <x:v>9</x:v>
      </x:c>
      <x:c r="R70" s="51">
        <x:f>$Q$3*P70*P70+$R$3*P70</x:f>
        <x:v>5821.0199999999995</x:v>
      </x:c>
      <x:c r="S70" s="68"/>
      <x:c r="T70" s="68"/>
      <x:c r="U70" s="68"/>
      <x:c r="V70" s="68"/>
      <x:c r="W70" s="68"/>
      <x:c r="X70" s="68"/>
      <x:c r="Y70" s="68"/>
      <x:c r="Z70" s="68"/>
      <x:c r="AA70" s="68"/>
      <x:c r="AB70" s="68"/>
      <x:c r="AC70" s="69"/>
      <x:c r="AD70" s="69"/>
      <x:c r="AE70" s="49"/>
      <x:c r="AF70" s="49"/>
      <x:c r="AG70" s="49"/>
      <x:c r="AH70" s="49"/>
      <x:c r="AI70" s="49"/>
      <x:c r="AJ70" s="52"/>
    </x:row>
    <x:row r="71" spans="1:36" ht="81.95000000000000284217" customHeight="1">
      <x:c r="A71" s="54" t="s">
        <x:v>59</x:v>
      </x:c>
      <x:c r="B71" s="44">
        <x:v>67</x:v>
      </x:c>
      <x:c r="C71" s="44">
        <x:v>4</x:v>
      </x:c>
      <x:c r="D71" s="44">
        <x:v>7</x:v>
      </x:c>
      <x:c r="E71" s="46" t="s">
        <x:v>79</x:v>
      </x:c>
      <x:c r="F71" s="46" t="s">
        <x:v>147</x:v>
      </x:c>
      <x:c r="G71" s="46" t="s">
        <x:v>140</x:v>
      </x:c>
      <x:c r="H71" s="44" t="s">
        <x:v>148</x:v>
      </x:c>
      <x:c r="I71" s="44">
        <x:v>4</x:v>
      </x:c>
      <x:c r="J71" s="46" t="s">
        <x:v>426</x:v>
      </x:c>
      <x:c r="K71" s="46" t="s">
        <x:v>742</x:v>
      </x:c>
      <x:c r="L71" s="44" t="s">
        <x:v>179</x:v>
      </x:c>
      <x:c r="M71" s="44" t="s">
        <x:v>698</x:v>
      </x:c>
      <x:c r="N71" s="47">
        <x:f t="shared" si="4"/>
        <x:v>0.075231481481481496</x:v>
      </x:c>
      <x:c r="O71" s="48" t="s">
        <x:v>432</x:v>
      </x:c>
      <x:c r="P71" s="49">
        <x:f>P70+10</x:f>
        <x:v>448</x:v>
      </x:c>
      <x:c r="Q71" s="50">
        <x:v>10</x:v>
      </x:c>
      <x:c r="R71" s="51">
        <x:f>$Q$3*P71*P71+$R$3*P71</x:f>
        <x:v>6088.3199999999997</x:v>
      </x:c>
      <x:c r="S71" s="68"/>
      <x:c r="T71" s="68"/>
      <x:c r="U71" s="68"/>
      <x:c r="V71" s="68"/>
      <x:c r="W71" s="68"/>
      <x:c r="X71" s="68"/>
      <x:c r="Y71" s="68"/>
      <x:c r="Z71" s="68"/>
      <x:c r="AA71" s="68"/>
      <x:c r="AB71" s="68"/>
      <x:c r="AC71" s="69"/>
      <x:c r="AD71" s="69"/>
      <x:c r="AE71" s="49"/>
      <x:c r="AF71" s="49"/>
      <x:c r="AG71" s="49"/>
      <x:c r="AH71" s="49"/>
      <x:c r="AI71" s="49"/>
      <x:c r="AJ71" s="52"/>
    </x:row>
    <x:row r="72" spans="1:36" ht="81.95000000000000284217" customHeight="1">
      <x:c r="A72" s="54" t="s">
        <x:v>59</x:v>
      </x:c>
      <x:c r="B72" s="44">
        <x:v>68</x:v>
      </x:c>
      <x:c r="C72" s="44">
        <x:v>5</x:v>
      </x:c>
      <x:c r="D72" s="44">
        <x:v>7</x:v>
      </x:c>
      <x:c r="E72" s="46" t="s">
        <x:v>306</x:v>
      </x:c>
      <x:c r="F72" s="46" t="s">
        <x:v>836</x:v>
      </x:c>
      <x:c r="G72" s="46" t="s">
        <x:v>636</x:v>
      </x:c>
      <x:c r="H72" s="44" t="s">
        <x:v>259</x:v>
      </x:c>
      <x:c r="I72" s="44">
        <x:v>6</x:v>
      </x:c>
      <x:c r="J72" s="46" t="s">
        <x:v>431</x:v>
      </x:c>
      <x:c r="K72" s="46" t="s">
        <x:v>739</x:v>
      </x:c>
      <x:c r="L72" s="44" t="s">
        <x:v>351</x:v>
      </x:c>
      <x:c r="M72" s="44" t="s">
        <x:v>817</x:v>
      </x:c>
      <x:c r="N72" s="47">
        <x:f t="shared" si="4"/>
        <x:v>0.077546296296296308</x:v>
      </x:c>
      <x:c r="O72" s="48" t="s">
        <x:v>432</x:v>
      </x:c>
      <x:c r="P72" s="49">
        <x:f>P71+11</x:f>
        <x:v>459</x:v>
      </x:c>
      <x:c r="Q72" s="50">
        <x:v>11</x:v>
      </x:c>
      <x:c r="R72" s="51">
        <x:f>$Q$3*P72*P72+$R$3*P72</x:f>
        <x:v>6389.2799999999997</x:v>
      </x:c>
      <x:c r="S72" s="68"/>
      <x:c r="T72" s="68"/>
      <x:c r="U72" s="68"/>
      <x:c r="V72" s="68"/>
      <x:c r="W72" s="68"/>
      <x:c r="X72" s="68"/>
      <x:c r="Y72" s="68"/>
      <x:c r="Z72" s="68"/>
      <x:c r="AA72" s="68"/>
      <x:c r="AB72" s="68"/>
      <x:c r="AC72" s="69"/>
      <x:c r="AD72" s="69"/>
      <x:c r="AE72" s="49"/>
      <x:c r="AF72" s="49"/>
      <x:c r="AG72" s="49"/>
      <x:c r="AH72" s="49"/>
      <x:c r="AI72" s="49"/>
      <x:c r="AJ72" s="52"/>
    </x:row>
    <x:row r="73" spans="1:36" ht="81.95000000000000284217" customHeight="1">
      <x:c r="A73" s="54" t="s">
        <x:v>59</x:v>
      </x:c>
      <x:c r="B73" s="44">
        <x:v>69</x:v>
      </x:c>
      <x:c r="C73" s="44">
        <x:v>6</x:v>
      </x:c>
      <x:c r="D73" s="44">
        <x:v>7</x:v>
      </x:c>
      <x:c r="E73" s="46" t="s">
        <x:v>80</x:v>
      </x:c>
      <x:c r="F73" s="46" t="s">
        <x:v>130</x:v>
      </x:c>
      <x:c r="G73" s="46" t="s">
        <x:v>141</x:v>
      </x:c>
      <x:c r="H73" s="44" t="s">
        <x:v>548</x:v>
      </x:c>
      <x:c r="I73" s="44">
        <x:v>5</x:v>
      </x:c>
      <x:c r="J73" s="46" t="s">
        <x:v>676</x:v>
      </x:c>
      <x:c r="K73" s="46" t="s">
        <x:v>834</x:v>
      </x:c>
      <x:c r="L73" s="44" t="s">
        <x:v>304</x:v>
      </x:c>
      <x:c r="M73" s="44" t="s">
        <x:v>374</x:v>
      </x:c>
      <x:c r="N73" s="47">
        <x:f t="shared" si="4"/>
        <x:v>0.079745370370370383</x:v>
      </x:c>
      <x:c r="O73" s="48" t="s">
        <x:v>432</x:v>
      </x:c>
      <x:c r="P73" s="49">
        <x:f>P72+11</x:f>
        <x:v>470</x:v>
      </x:c>
      <x:c r="Q73" s="50">
        <x:v>11</x:v>
      </x:c>
      <x:c r="R73" s="51">
        <x:f>$Q$3*P73*P73+$R$3*P73</x:f>
        <x:v>6697.5</x:v>
      </x:c>
      <x:c r="S73" s="68"/>
      <x:c r="T73" s="68"/>
      <x:c r="U73" s="68"/>
      <x:c r="V73" s="68"/>
      <x:c r="W73" s="68"/>
      <x:c r="X73" s="68"/>
      <x:c r="Y73" s="68"/>
      <x:c r="Z73" s="68"/>
      <x:c r="AA73" s="68"/>
      <x:c r="AB73" s="68"/>
      <x:c r="AC73" s="69"/>
      <x:c r="AD73" s="69"/>
      <x:c r="AE73" s="49"/>
      <x:c r="AF73" s="49"/>
      <x:c r="AG73" s="49"/>
      <x:c r="AH73" s="49"/>
      <x:c r="AI73" s="49"/>
      <x:c r="AJ73" s="52"/>
    </x:row>
    <x:row r="74" spans="1:36" ht="81.95000000000000284217" customHeight="1">
      <x:c r="A74" s="54" t="s">
        <x:v>59</x:v>
      </x:c>
      <x:c r="B74" s="44">
        <x:v>70</x:v>
      </x:c>
      <x:c r="C74" s="44">
        <x:v>7</x:v>
      </x:c>
      <x:c r="D74" s="44">
        <x:v>9</x:v>
      </x:c>
      <x:c r="E74" s="46" t="s">
        <x:v>440</x:v>
      </x:c>
      <x:c r="F74" s="46" t="s">
        <x:v>743</x:v>
      </x:c>
      <x:c r="G74" s="46" t="s">
        <x:v>233</x:v>
      </x:c>
      <x:c r="H74" s="44" t="s">
        <x:v>234</x:v>
      </x:c>
      <x:c r="I74" s="44">
        <x:v>5</x:v>
      </x:c>
      <x:c r="J74" s="46" t="s">
        <x:v>372</x:v>
      </x:c>
      <x:c r="K74" s="46" t="s">
        <x:v>690</x:v>
      </x:c>
      <x:c r="L74" s="44" t="s">
        <x:v>344</x:v>
      </x:c>
      <x:c r="M74" s="44" t="s">
        <x:v>821</x:v>
      </x:c>
      <x:c r="N74" s="47">
        <x:f t="shared" si="4"/>
        <x:v>0.08229166666666668</x:v>
      </x:c>
      <x:c r="O74" s="48" t="s">
        <x:v>432</x:v>
      </x:c>
      <x:c r="P74" s="49">
        <x:f>P73+13</x:f>
        <x:v>483</x:v>
      </x:c>
      <x:c r="Q74" s="50">
        <x:v>13</x:v>
      </x:c>
      <x:c r="R74" s="51">
        <x:f>$Q$3*P74*P74+$R$3*P74</x:f>
        <x:v>7071.1199999999999</x:v>
      </x:c>
      <x:c r="S74" s="68" t="e">
        <x:f t="shared" ref="S74:S112" si="5">R74/V74</x:f>
        <x:v>#DIV/0!</x:v>
      </x:c>
      <x:c r="T74" s="68">
        <x:v>5</x:v>
      </x:c>
      <x:c r="U74" s="68">
        <x:f t="shared" ref="U74:U112" si="6">T74*V74</x:f>
        <x:v>0</x:v>
      </x:c>
      <x:c r="V74" s="68"/>
      <x:c r="W74" s="77" t="s">
        <x:v>535</x:v>
      </x:c>
      <x:c r="X74" s="77">
        <x:f ca="1">ROUND($X74*1,0)</x:f>
        <x:v>100</x:v>
      </x:c>
      <x:c r="Y74" s="68">
        <x:f ca="1">ROUND(X74*0.8,0)</x:f>
        <x:v>80</x:v>
      </x:c>
      <x:c r="Z74" s="68">
        <x:f ca="1">X74*0.6</x:f>
        <x:v>60</x:v>
      </x:c>
      <x:c r="AA74" s="68">
        <x:f ca="1">X74*0.5</x:f>
        <x:v>50</x:v>
      </x:c>
      <x:c r="AB74" s="74">
        <x:v>0.0091435185185185178</x:v>
      </x:c>
      <x:c r="AC74" s="74">
        <x:f ca="1">$AD74*1.5</x:f>
        <x:v>0.013715277777777778</x:v>
      </x:c>
      <x:c r="AD74" s="74">
        <x:f ca="1">$AD74</x:f>
        <x:v>0.0091435185185185178</x:v>
      </x:c>
      <x:c r="AE74" s="74">
        <x:f ca="1">$AD74*0.75</x:f>
        <x:v>0.0068576388888888888</x:v>
      </x:c>
      <x:c r="AF74" s="49"/>
      <x:c r="AG74" s="49"/>
      <x:c r="AH74" s="49"/>
      <x:c r="AI74" s="49"/>
      <x:c r="AJ74" s="52"/>
    </x:row>
    <x:row r="75" spans="1:36" ht="81.95000000000000284217" customHeight="1">
      <x:c r="A75" s="54" t="s">
        <x:v>59</x:v>
      </x:c>
      <x:c r="B75" s="44">
        <x:v>71</x:v>
      </x:c>
      <x:c r="C75" s="44">
        <x:v>1</x:v>
      </x:c>
      <x:c r="D75" s="44">
        <x:v>7</x:v>
      </x:c>
      <x:c r="E75" s="46" t="s">
        <x:v>434</x:v>
      </x:c>
      <x:c r="F75" s="46" t="s">
        <x:v>243</x:v>
      </x:c>
      <x:c r="G75" s="46" t="s">
        <x:v>573</x:v>
      </x:c>
      <x:c r="H75" s="44" t="s">
        <x:v>121</x:v>
      </x:c>
      <x:c r="I75" s="44">
        <x:v>2</x:v>
      </x:c>
      <x:c r="J75" s="46" t="s">
        <x:v>445</x:v>
      </x:c>
      <x:c r="K75" s="46" t="s">
        <x:v>375</x:v>
      </x:c>
      <x:c r="L75" s="44" t="s">
        <x:v>317</x:v>
      </x:c>
      <x:c r="M75" s="44" t="s">
        <x:v>395</x:v>
      </x:c>
      <x:c r="N75" s="47">
        <x:f t="shared" si="4"/>
        <x:v>0.083217592592592607</x:v>
      </x:c>
      <x:c r="O75" s="48" t="s">
        <x:v>432</x:v>
      </x:c>
      <x:c r="P75" s="49">
        <x:f>P74+6</x:f>
        <x:v>489</x:v>
      </x:c>
      <x:c r="Q75" s="50">
        <x:v>6</x:v>
      </x:c>
      <x:c r="R75" s="51">
        <x:f>$Q$3*P75*P75+$R$3*P75</x:f>
        <x:v>7246.9800000000005</x:v>
      </x:c>
      <x:c r="S75" s="68"/>
      <x:c r="T75" s="68"/>
      <x:c r="U75" s="68"/>
      <x:c r="V75" s="68"/>
      <x:c r="W75" s="68"/>
      <x:c r="X75" s="68"/>
      <x:c r="Y75" s="68"/>
      <x:c r="Z75" s="68"/>
      <x:c r="AA75" s="68"/>
      <x:c r="AB75" s="74"/>
      <x:c r="AC75" s="69"/>
      <x:c r="AD75" s="69"/>
      <x:c r="AE75" s="49"/>
      <x:c r="AF75" s="49"/>
      <x:c r="AG75" s="49"/>
      <x:c r="AH75" s="49"/>
      <x:c r="AI75" s="49"/>
      <x:c r="AJ75" s="52"/>
    </x:row>
    <x:row r="76" spans="1:36" ht="81.95000000000000284217" customHeight="1">
      <x:c r="A76" s="54" t="s">
        <x:v>59</x:v>
      </x:c>
      <x:c r="B76" s="44">
        <x:v>72</x:v>
      </x:c>
      <x:c r="C76" s="44">
        <x:v>4</x:v>
      </x:c>
      <x:c r="D76" s="44">
        <x:v>6</x:v>
      </x:c>
      <x:c r="E76" s="46" t="s">
        <x:v>423</x:v>
      </x:c>
      <x:c r="F76" s="46" t="s">
        <x:v>737</x:v>
      </x:c>
      <x:c r="G76" s="46" t="s">
        <x:v>590</x:v>
      </x:c>
      <x:c r="H76" s="44" t="s">
        <x:v>215</x:v>
      </x:c>
      <x:c r="I76" s="44">
        <x:v>7</x:v>
      </x:c>
      <x:c r="J76" s="46" t="s">
        <x:v>104</x:v>
      </x:c>
      <x:c r="K76" s="46" t="s">
        <x:v>729</x:v>
      </x:c>
      <x:c r="L76" s="44" t="s">
        <x:v>167</x:v>
      </x:c>
      <x:c r="M76" s="44" t="s">
        <x:v>806</x:v>
      </x:c>
      <x:c r="N76" s="47">
        <x:f t="shared" si="4"/>
        <x:v>0.085995370370370389</x:v>
      </x:c>
      <x:c r="O76" s="48" t="s">
        <x:v>432</x:v>
      </x:c>
      <x:c r="P76" s="49">
        <x:f>P75+12</x:f>
        <x:v>501</x:v>
      </x:c>
      <x:c r="Q76" s="50">
        <x:v>12</x:v>
      </x:c>
      <x:c r="R76" s="51">
        <x:f>$Q$3*P76*P76+$R$3*P76</x:f>
        <x:v>7605.1799999999994</x:v>
      </x:c>
      <x:c r="S76" s="68"/>
      <x:c r="T76" s="68"/>
      <x:c r="U76" s="68"/>
      <x:c r="V76" s="68"/>
      <x:c r="W76" s="68"/>
      <x:c r="X76" s="68"/>
      <x:c r="Y76" s="68"/>
      <x:c r="Z76" s="68"/>
      <x:c r="AA76" s="68"/>
      <x:c r="AB76" s="68"/>
      <x:c r="AC76" s="69"/>
      <x:c r="AD76" s="69"/>
      <x:c r="AE76" s="49"/>
      <x:c r="AF76" s="49"/>
      <x:c r="AG76" s="49"/>
      <x:c r="AH76" s="49"/>
      <x:c r="AI76" s="49"/>
      <x:c r="AJ76" s="52"/>
    </x:row>
    <x:row r="77" spans="1:36" ht="81.95000000000000284217" customHeight="1">
      <x:c r="A77" s="54" t="s">
        <x:v>59</x:v>
      </x:c>
      <x:c r="B77" s="44">
        <x:v>73</x:v>
      </x:c>
      <x:c r="C77" s="44">
        <x:v>1</x:v>
      </x:c>
      <x:c r="D77" s="44">
        <x:v>7</x:v>
      </x:c>
      <x:c r="E77" s="46" t="s">
        <x:v>460</x:v>
      </x:c>
      <x:c r="F77" s="46" t="s">
        <x:v>143</x:v>
      </x:c>
      <x:c r="G77" s="46" t="s">
        <x:v>220</x:v>
      </x:c>
      <x:c r="H77" s="44" t="s">
        <x:v>219</x:v>
      </x:c>
      <x:c r="I77" s="44">
        <x:v>3</x:v>
      </x:c>
      <x:c r="J77" s="46" t="s">
        <x:v>450</x:v>
      </x:c>
      <x:c r="K77" s="46" t="s">
        <x:v>160</x:v>
      </x:c>
      <x:c r="L77" s="44" t="s">
        <x:v>317</x:v>
      </x:c>
      <x:c r="M77" s="44" t="s">
        <x:v>803</x:v>
      </x:c>
      <x:c r="N77" s="47">
        <x:f t="shared" si="4"/>
        <x:v>0.086921296296296316</x:v>
      </x:c>
      <x:c r="O77" s="48" t="s">
        <x:v>432</x:v>
      </x:c>
      <x:c r="P77" s="49">
        <x:f>P76+6</x:f>
        <x:v>507</x:v>
      </x:c>
      <x:c r="Q77" s="50">
        <x:v>6</x:v>
      </x:c>
      <x:c r="R77" s="51">
        <x:f>$Q$3*P77*P77+$R$3*P77</x:f>
        <x:v>7787.5199999999995</x:v>
      </x:c>
      <x:c r="S77" s="68"/>
      <x:c r="T77" s="68"/>
      <x:c r="U77" s="68"/>
      <x:c r="V77" s="68"/>
      <x:c r="W77" s="68"/>
      <x:c r="X77" s="68"/>
      <x:c r="Y77" s="68"/>
      <x:c r="Z77" s="68"/>
      <x:c r="AA77" s="68"/>
      <x:c r="AB77" s="68"/>
      <x:c r="AC77" s="69"/>
      <x:c r="AD77" s="69"/>
      <x:c r="AE77" s="49"/>
      <x:c r="AF77" s="49"/>
      <x:c r="AG77" s="49"/>
      <x:c r="AH77" s="49"/>
      <x:c r="AI77" s="49"/>
      <x:c r="AJ77" s="52"/>
    </x:row>
    <x:row r="78" spans="1:36" ht="81.95000000000000284217" customHeight="1">
      <x:c r="A78" s="54" t="s">
        <x:v>59</x:v>
      </x:c>
      <x:c r="B78" s="44">
        <x:v>74</x:v>
      </x:c>
      <x:c r="C78" s="44">
        <x:v>3</x:v>
      </x:c>
      <x:c r="D78" s="44">
        <x:v>5</x:v>
      </x:c>
      <x:c r="E78" s="46" t="s">
        <x:v>106</x:v>
      </x:c>
      <x:c r="F78" s="46" t="s">
        <x:v>538</x:v>
      </x:c>
      <x:c r="G78" s="46" t="s">
        <x:v>673</x:v>
      </x:c>
      <x:c r="H78" s="44" t="s">
        <x:v>200</x:v>
      </x:c>
      <x:c r="I78" s="44">
        <x:v>5</x:v>
      </x:c>
      <x:c r="J78" s="46" t="s">
        <x:v>370</x:v>
      </x:c>
      <x:c r="K78" s="46" t="s">
        <x:v>373</x:v>
      </x:c>
      <x:c r="L78" s="44" t="s">
        <x:v>175</x:v>
      </x:c>
      <x:c r="M78" s="44" t="s">
        <x:v>393</x:v>
      </x:c>
      <x:c r="N78" s="47">
        <x:f t="shared" si="4"/>
        <x:v>0.0883101851851852</x:v>
      </x:c>
      <x:c r="O78" s="48" t="s">
        <x:v>432</x:v>
      </x:c>
      <x:c r="P78" s="49">
        <x:f>P77+7</x:f>
        <x:v>514</x:v>
      </x:c>
      <x:c r="Q78" s="50">
        <x:v>7</x:v>
      </x:c>
      <x:c r="R78" s="51">
        <x:f>$Q$3*P78*P78+$R$3*P78</x:f>
        <x:v>8002.9800000000005</x:v>
      </x:c>
      <x:c r="S78" s="68"/>
      <x:c r="T78" s="68"/>
      <x:c r="U78" s="68"/>
      <x:c r="V78" s="68"/>
      <x:c r="W78" s="68"/>
      <x:c r="X78" s="68"/>
      <x:c r="Y78" s="68"/>
      <x:c r="Z78" s="68"/>
      <x:c r="AA78" s="68"/>
      <x:c r="AB78" s="68"/>
      <x:c r="AC78" s="69"/>
      <x:c r="AD78" s="69"/>
      <x:c r="AE78" s="49"/>
      <x:c r="AF78" s="49"/>
      <x:c r="AG78" s="49"/>
      <x:c r="AH78" s="49"/>
      <x:c r="AI78" s="49"/>
      <x:c r="AJ78" s="52"/>
    </x:row>
    <x:row r="79" spans="1:36" ht="81.95000000000000284217" customHeight="1">
      <x:c r="A79" s="55" t="s">
        <x:v>98</x:v>
      </x:c>
      <x:c r="B79" s="44">
        <x:v>75</x:v>
      </x:c>
      <x:c r="C79" s="44">
        <x:v>1</x:v>
      </x:c>
      <x:c r="D79" s="44">
        <x:v>7</x:v>
      </x:c>
      <x:c r="E79" s="45" t="s">
        <x:v>91</x:v>
      </x:c>
      <x:c r="F79" s="46" t="s">
        <x:v>744</x:v>
      </x:c>
      <x:c r="G79" s="46" t="s">
        <x:v>545</x:v>
      </x:c>
      <x:c r="H79" s="44" t="s">
        <x:v>119</x:v>
      </x:c>
      <x:c r="I79" s="44">
        <x:v>2</x:v>
      </x:c>
      <x:c r="J79" s="46" t="s">
        <x:v>94</x:v>
      </x:c>
      <x:c r="K79" s="46" t="s">
        <x:v>160</x:v>
      </x:c>
      <x:c r="L79" s="44" t="s">
        <x:v>360</x:v>
      </x:c>
      <x:c r="M79" s="44" t="s">
        <x:v>751</x:v>
      </x:c>
      <x:c r="N79" s="47">
        <x:f t="shared" si="4"/>
        <x:v>0.089467592592592612</x:v>
      </x:c>
      <x:c r="O79" s="48" t="s">
        <x:v>105</x:v>
      </x:c>
      <x:c r="P79" s="49">
        <x:f>P78+7</x:f>
        <x:v>521</x:v>
      </x:c>
      <x:c r="Q79" s="50">
        <x:v>7</x:v>
      </x:c>
      <x:c r="R79" s="51">
        <x:f>$Q$3*P79*P79+$R$3*P79</x:f>
        <x:v>8221.3799999999992</x:v>
      </x:c>
      <x:c r="S79" s="68"/>
      <x:c r="T79" s="68"/>
      <x:c r="U79" s="68"/>
      <x:c r="V79" s="68"/>
      <x:c r="W79" s="68"/>
      <x:c r="X79" s="68"/>
      <x:c r="Y79" s="68"/>
      <x:c r="Z79" s="68"/>
      <x:c r="AA79" s="68"/>
      <x:c r="AB79" s="68"/>
      <x:c r="AC79" s="69"/>
      <x:c r="AD79" s="69"/>
      <x:c r="AE79" s="49"/>
      <x:c r="AF79" s="49"/>
      <x:c r="AG79" s="49"/>
      <x:c r="AH79" s="49"/>
      <x:c r="AI79" s="49"/>
      <x:c r="AJ79" s="52"/>
    </x:row>
    <x:row r="80" spans="1:36" ht="81.95000000000000284217" customHeight="1">
      <x:c r="A80" s="55" t="s">
        <x:v>98</x:v>
      </x:c>
      <x:c r="B80" s="44">
        <x:v>76</x:v>
      </x:c>
      <x:c r="C80" s="44">
        <x:v>2</x:v>
      </x:c>
      <x:c r="D80" s="44">
        <x:v>5</x:v>
      </x:c>
      <x:c r="E80" s="46" t="s">
        <x:v>99</x:v>
      </x:c>
      <x:c r="F80" s="46" t="s">
        <x:v>156</x:v>
      </x:c>
      <x:c r="G80" s="46" t="s">
        <x:v>564</x:v>
      </x:c>
      <x:c r="H80" s="44" t="s">
        <x:v>244</x:v>
      </x:c>
      <x:c r="I80" s="44">
        <x:v>5</x:v>
      </x:c>
      <x:c r="J80" s="46" t="s">
        <x:v>703</x:v>
      </x:c>
      <x:c r="K80" s="46" t="s">
        <x:v>381</x:v>
      </x:c>
      <x:c r="L80" s="44" t="s">
        <x:v>360</x:v>
      </x:c>
      <x:c r="M80" s="44" t="s">
        <x:v>508</x:v>
      </x:c>
      <x:c r="N80" s="47">
        <x:f t="shared" si="4"/>
        <x:v>0.090625000000000022</x:v>
      </x:c>
      <x:c r="O80" s="48" t="s">
        <x:v>105</x:v>
      </x:c>
      <x:c r="P80" s="49">
        <x:f>P79+6</x:f>
        <x:v>527</x:v>
      </x:c>
      <x:c r="Q80" s="50">
        <x:v>6</x:v>
      </x:c>
      <x:c r="R80" s="51">
        <x:f>$Q$3*P80*P80+$R$3*P80</x:f>
        <x:v>8410.9199999999983</x:v>
      </x:c>
      <x:c r="S80" s="68"/>
      <x:c r="T80" s="68"/>
      <x:c r="U80" s="68"/>
      <x:c r="V80" s="68"/>
      <x:c r="W80" s="68"/>
      <x:c r="X80" s="68"/>
      <x:c r="Y80" s="68"/>
      <x:c r="Z80" s="68"/>
      <x:c r="AA80" s="68"/>
      <x:c r="AB80" s="68"/>
      <x:c r="AC80" s="69"/>
      <x:c r="AD80" s="69"/>
      <x:c r="AE80" s="49"/>
      <x:c r="AF80" s="49"/>
      <x:c r="AG80" s="49"/>
      <x:c r="AH80" s="49"/>
      <x:c r="AI80" s="49"/>
      <x:c r="AJ80" s="52"/>
    </x:row>
    <x:row r="81" spans="1:36" ht="81.95000000000000284217" customHeight="1">
      <x:c r="A81" s="55" t="s">
        <x:v>98</x:v>
      </x:c>
      <x:c r="B81" s="44">
        <x:v>77</x:v>
      </x:c>
      <x:c r="C81" s="44">
        <x:v>2</x:v>
      </x:c>
      <x:c r="D81" s="44">
        <x:v>5</x:v>
      </x:c>
      <x:c r="E81" s="46" t="s">
        <x:v>496</x:v>
      </x:c>
      <x:c r="F81" s="46" t="s">
        <x:v>123</x:v>
      </x:c>
      <x:c r="G81" s="46" t="s">
        <x:v>217</x:v>
      </x:c>
      <x:c r="H81" s="44" t="s">
        <x:v>213</x:v>
      </x:c>
      <x:c r="I81" s="44">
        <x:v>4</x:v>
      </x:c>
      <x:c r="J81" s="46" t="s">
        <x:v>380</x:v>
      </x:c>
      <x:c r="K81" s="46" t="s">
        <x:v>160</x:v>
      </x:c>
      <x:c r="L81" s="44" t="s">
        <x:v>175</x:v>
      </x:c>
      <x:c r="M81" s="44" t="s">
        <x:v>385</x:v>
      </x:c>
      <x:c r="N81" s="47">
        <x:f t="shared" si="4"/>
        <x:v>0.092013888888888909</x:v>
      </x:c>
      <x:c r="O81" s="48" t="s">
        <x:v>105</x:v>
      </x:c>
      <x:c r="P81" s="49">
        <x:f>P80+7</x:f>
        <x:v>534</x:v>
      </x:c>
      <x:c r="Q81" s="50">
        <x:v>7</x:v>
      </x:c>
      <x:c r="R81" s="51">
        <x:f>$Q$3*P81*P81+$R$3*P81</x:f>
        <x:v>8634.7800000000007</x:v>
      </x:c>
      <x:c r="S81" s="68"/>
      <x:c r="T81" s="68"/>
      <x:c r="U81" s="68"/>
      <x:c r="V81" s="68"/>
      <x:c r="W81" s="68"/>
      <x:c r="X81" s="68"/>
      <x:c r="Y81" s="68"/>
      <x:c r="Z81" s="68"/>
      <x:c r="AA81" s="68"/>
      <x:c r="AB81" s="68"/>
      <x:c r="AC81" s="69"/>
      <x:c r="AD81" s="69"/>
      <x:c r="AE81" s="49"/>
      <x:c r="AF81" s="49"/>
      <x:c r="AG81" s="49"/>
      <x:c r="AH81" s="49"/>
      <x:c r="AI81" s="49"/>
      <x:c r="AJ81" s="52"/>
    </x:row>
    <x:row r="82" spans="1:36" ht="81.95000000000000284217" customHeight="1">
      <x:c r="A82" s="55" t="s">
        <x:v>98</x:v>
      </x:c>
      <x:c r="B82" s="44">
        <x:v>78</x:v>
      </x:c>
      <x:c r="C82" s="44">
        <x:v>3</x:v>
      </x:c>
      <x:c r="D82" s="44">
        <x:v>6</x:v>
      </x:c>
      <x:c r="E82" s="46" t="s">
        <x:v>93</x:v>
      </x:c>
      <x:c r="F82" s="46" t="s">
        <x:v>127</x:v>
      </x:c>
      <x:c r="G82" s="46" t="s">
        <x:v>139</x:v>
      </x:c>
      <x:c r="H82" s="44" t="s">
        <x:v>228</x:v>
      </x:c>
      <x:c r="I82" s="44">
        <x:v>1</x:v>
      </x:c>
      <x:c r="J82" s="46" t="s">
        <x:v>358</x:v>
      </x:c>
      <x:c r="K82" s="46" t="s">
        <x:v>825</x:v>
      </x:c>
      <x:c r="L82" s="44" t="s">
        <x:v>355</x:v>
      </x:c>
      <x:c r="M82" s="44" t="s">
        <x:v>387</x:v>
      </x:c>
      <x:c r="N82" s="47">
        <x:f t="shared" si="4"/>
        <x:v>0.093518518518518542</x:v>
      </x:c>
      <x:c r="O82" s="48" t="s">
        <x:v>100</x:v>
      </x:c>
      <x:c r="P82" s="49">
        <x:f>P81+8</x:f>
        <x:v>542</x:v>
      </x:c>
      <x:c r="Q82" s="50">
        <x:v>8</x:v>
      </x:c>
      <x:c r="R82" s="51">
        <x:f>$Q$3*P82*P82+$R$3*P82</x:f>
        <x:v>8894.2199999999975</x:v>
      </x:c>
      <x:c r="S82" s="68"/>
      <x:c r="T82" s="68"/>
      <x:c r="U82" s="68"/>
      <x:c r="V82" s="68"/>
      <x:c r="W82" s="68"/>
      <x:c r="X82" s="68"/>
      <x:c r="Y82" s="68"/>
      <x:c r="Z82" s="68"/>
      <x:c r="AA82" s="68"/>
      <x:c r="AB82" s="68"/>
      <x:c r="AC82" s="69"/>
      <x:c r="AD82" s="69"/>
      <x:c r="AE82" s="49"/>
      <x:c r="AF82" s="49"/>
      <x:c r="AG82" s="49"/>
      <x:c r="AH82" s="49"/>
      <x:c r="AI82" s="49"/>
      <x:c r="AJ82" s="52"/>
    </x:row>
    <x:row r="83" spans="1:36" ht="81.95000000000000284217" customHeight="1">
      <x:c r="A83" s="55" t="s">
        <x:v>98</x:v>
      </x:c>
      <x:c r="B83" s="44">
        <x:v>79</x:v>
      </x:c>
      <x:c r="C83" s="44">
        <x:v>3</x:v>
      </x:c>
      <x:c r="D83" s="44">
        <x:v>6</x:v>
      </x:c>
      <x:c r="E83" s="46" t="s">
        <x:v>77</x:v>
      </x:c>
      <x:c r="F83" s="46" t="s">
        <x:v>748</x:v>
      </x:c>
      <x:c r="G83" s="46" t="s">
        <x:v>236</x:v>
      </x:c>
      <x:c r="H83" s="44" t="s">
        <x:v>229</x:v>
      </x:c>
      <x:c r="I83" s="44">
        <x:v>4</x:v>
      </x:c>
      <x:c r="J83" s="46" t="s">
        <x:v>103</x:v>
      </x:c>
      <x:c r="K83" s="46" t="s">
        <x:v>377</x:v>
      </x:c>
      <x:c r="L83" s="44" t="s">
        <x:v>305</x:v>
      </x:c>
      <x:c r="M83" s="44" t="s">
        <x:v>514</x:v>
      </x:c>
      <x:c r="N83" s="47">
        <x:f t="shared" si="4"/>
        <x:v>0.095254629629629647</x:v>
      </x:c>
      <x:c r="O83" s="48" t="s">
        <x:v>100</x:v>
      </x:c>
      <x:c r="P83" s="49">
        <x:f>P82+9</x:f>
        <x:v>551</x:v>
      </x:c>
      <x:c r="Q83" s="50">
        <x:v>9</x:v>
      </x:c>
      <x:c r="R83" s="51">
        <x:f>$Q$3*P83*P83+$R$3*P83</x:f>
        <x:v>9190.6800000000003</x:v>
      </x:c>
      <x:c r="S83" s="68"/>
      <x:c r="T83" s="68"/>
      <x:c r="U83" s="68"/>
      <x:c r="V83" s="68"/>
      <x:c r="W83" s="68"/>
      <x:c r="X83" s="77"/>
      <x:c r="Y83" s="68"/>
      <x:c r="Z83" s="68"/>
      <x:c r="AA83" s="68"/>
      <x:c r="AB83" s="74"/>
      <x:c r="AC83" s="74"/>
      <x:c r="AD83" s="74"/>
      <x:c r="AE83" s="74"/>
      <x:c r="AF83" s="49"/>
      <x:c r="AG83" s="49"/>
      <x:c r="AH83" s="49"/>
      <x:c r="AI83" s="49"/>
      <x:c r="AJ83" s="52"/>
    </x:row>
    <x:row r="84" spans="1:36" ht="81.95000000000000284217" customHeight="1">
      <x:c r="A84" s="55" t="s">
        <x:v>98</x:v>
      </x:c>
      <x:c r="B84" s="44">
        <x:v>80</x:v>
      </x:c>
      <x:c r="C84" s="44">
        <x:v>4</x:v>
      </x:c>
      <x:c r="D84" s="44">
        <x:v>7</x:v>
      </x:c>
      <x:c r="E84" s="46" t="s">
        <x:v>101</x:v>
      </x:c>
      <x:c r="F84" s="46" t="s">
        <x:v>150</x:v>
      </x:c>
      <x:c r="G84" s="46" t="s">
        <x:v>225</x:v>
      </x:c>
      <x:c r="H84" s="44" t="s">
        <x:v>152</x:v>
      </x:c>
      <x:c r="I84" s="44">
        <x:v>6</x:v>
      </x:c>
      <x:c r="J84" s="46" t="s">
        <x:v>710</x:v>
      </x:c>
      <x:c r="K84" s="46" t="s">
        <x:v>160</x:v>
      </x:c>
      <x:c r="L84" s="44" t="s">
        <x:v>359</x:v>
      </x:c>
      <x:c r="M84" s="44" t="s">
        <x:v>726</x:v>
      </x:c>
      <x:c r="N84" s="47">
        <x:f t="shared" si="4"/>
        <x:v>0.097685185185185208</x:v>
      </x:c>
      <x:c r="O84" s="48" t="s">
        <x:v>482</x:v>
      </x:c>
      <x:c r="P84" s="49">
        <x:f>P83+11</x:f>
        <x:v>562</x:v>
      </x:c>
      <x:c r="Q84" s="50">
        <x:v>11</x:v>
      </x:c>
      <x:c r="R84" s="51">
        <x:f>$Q$3*P84*P84+$R$3*P84</x:f>
        <x:v>9559.619999999999</x:v>
      </x:c>
      <x:c r="S84" s="68"/>
      <x:c r="T84" s="68"/>
      <x:c r="U84" s="68"/>
      <x:c r="V84" s="68"/>
      <x:c r="W84" s="68"/>
      <x:c r="X84" s="68"/>
      <x:c r="Y84" s="68"/>
      <x:c r="Z84" s="68"/>
      <x:c r="AA84" s="68"/>
      <x:c r="AB84" s="68"/>
      <x:c r="AC84" s="69"/>
      <x:c r="AD84" s="69"/>
      <x:c r="AE84" s="49"/>
      <x:c r="AF84" s="49"/>
      <x:c r="AG84" s="49"/>
      <x:c r="AH84" s="49"/>
      <x:c r="AI84" s="49"/>
      <x:c r="AJ84" s="52"/>
    </x:row>
    <x:row r="85" spans="1:36" ht="81.95000000000000284217" customHeight="1">
      <x:c r="A85" s="55" t="s">
        <x:v>98</x:v>
      </x:c>
      <x:c r="B85" s="44">
        <x:v>81</x:v>
      </x:c>
      <x:c r="C85" s="44">
        <x:v>6</x:v>
      </x:c>
      <x:c r="D85" s="44">
        <x:v>9</x:v>
      </x:c>
      <x:c r="E85" s="46" t="s">
        <x:v>88</x:v>
      </x:c>
      <x:c r="F85" s="46" t="s">
        <x:v>189</x:v>
      </x:c>
      <x:c r="G85" s="46" t="s">
        <x:v>644</x:v>
      </x:c>
      <x:c r="H85" s="44" t="s">
        <x:v>214</x:v>
      </x:c>
      <x:c r="I85" s="44">
        <x:v>5</x:v>
      </x:c>
      <x:c r="J85" s="46" t="s">
        <x:v>827</x:v>
      </x:c>
      <x:c r="K85" s="46" t="s">
        <x:v>745</x:v>
      </x:c>
      <x:c r="L85" s="44" t="s">
        <x:v>179</x:v>
      </x:c>
      <x:c r="M85" s="44" t="s">
        <x:v>472</x:v>
      </x:c>
      <x:c r="N85" s="47">
        <x:f t="shared" si="4"/>
        <x:v>0.099768518518518548</x:v>
      </x:c>
      <x:c r="O85" s="48" t="s">
        <x:v>482</x:v>
      </x:c>
      <x:c r="P85" s="49">
        <x:f>P84+12</x:f>
        <x:v>574</x:v>
      </x:c>
      <x:c r="Q85" s="50">
        <x:v>12</x:v>
      </x:c>
      <x:c r="R85" s="51">
        <x:f>$Q$3*P85*P85+$R$3*P85</x:f>
        <x:v>9970.3799999999992</x:v>
      </x:c>
      <x:c r="S85" s="68"/>
      <x:c r="T85" s="68"/>
      <x:c r="U85" s="68"/>
      <x:c r="V85" s="68"/>
      <x:c r="W85" s="68"/>
      <x:c r="X85" s="68"/>
      <x:c r="Y85" s="68"/>
      <x:c r="Z85" s="68"/>
      <x:c r="AA85" s="68"/>
      <x:c r="AB85" s="68"/>
      <x:c r="AC85" s="69"/>
      <x:c r="AD85" s="69"/>
      <x:c r="AE85" s="49"/>
      <x:c r="AF85" s="49"/>
      <x:c r="AG85" s="49"/>
      <x:c r="AH85" s="49"/>
      <x:c r="AI85" s="49"/>
      <x:c r="AJ85" s="52"/>
    </x:row>
    <x:row r="86" spans="1:36" ht="81.95000000000000284217" customHeight="1">
      <x:c r="A86" s="55" t="s">
        <x:v>98</x:v>
      </x:c>
      <x:c r="B86" s="44">
        <x:v>82</x:v>
      </x:c>
      <x:c r="C86" s="44">
        <x:v>3</x:v>
      </x:c>
      <x:c r="D86" s="44">
        <x:v>8</x:v>
      </x:c>
      <x:c r="E86" s="46" t="s">
        <x:v>479</x:v>
      </x:c>
      <x:c r="F86" s="46" t="s">
        <x:v>232</x:v>
      </x:c>
      <x:c r="G86" s="46" t="s">
        <x:v>542</x:v>
      </x:c>
      <x:c r="H86" s="44" t="s">
        <x:v>209</x:v>
      </x:c>
      <x:c r="I86" s="44">
        <x:v>5</x:v>
      </x:c>
      <x:c r="J86" s="46" t="s">
        <x:v>478</x:v>
      </x:c>
      <x:c r="K86" s="46" t="s">
        <x:v>715</x:v>
      </x:c>
      <x:c r="L86" s="44" t="s">
        <x:v>351</x:v>
      </x:c>
      <x:c r="M86" s="44" t="s">
        <x:v>378</x:v>
      </x:c>
      <x:c r="N86" s="47">
        <x:f t="shared" si="4"/>
        <x:v>0.10208333333333336</x:v>
      </x:c>
      <x:c r="O86" s="48" t="s">
        <x:v>482</x:v>
      </x:c>
      <x:c r="P86" s="49">
        <x:f>P85+11</x:f>
        <x:v>585</x:v>
      </x:c>
      <x:c r="Q86" s="50">
        <x:v>11</x:v>
      </x:c>
      <x:c r="R86" s="51">
        <x:f>$Q$3*P86*P86+$R$3*P86</x:f>
        <x:v>10354.5</x:v>
      </x:c>
      <x:c r="S86" s="68"/>
      <x:c r="T86" s="68"/>
      <x:c r="U86" s="68"/>
      <x:c r="V86" s="68"/>
      <x:c r="W86" s="68"/>
      <x:c r="X86" s="68"/>
      <x:c r="Y86" s="68"/>
      <x:c r="Z86" s="68"/>
      <x:c r="AA86" s="68"/>
      <x:c r="AB86" s="68"/>
      <x:c r="AC86" s="69"/>
      <x:c r="AD86" s="69"/>
      <x:c r="AE86" s="49"/>
      <x:c r="AF86" s="49"/>
      <x:c r="AG86" s="49"/>
      <x:c r="AH86" s="49"/>
      <x:c r="AI86" s="49"/>
      <x:c r="AJ86" s="52"/>
    </x:row>
    <x:row r="87" spans="1:36" ht="81.95000000000000284217" customHeight="1">
      <x:c r="A87" s="55" t="s">
        <x:v>98</x:v>
      </x:c>
      <x:c r="B87" s="44">
        <x:v>83</x:v>
      </x:c>
      <x:c r="C87" s="44">
        <x:v>5</x:v>
      </x:c>
      <x:c r="D87" s="44">
        <x:v>7</x:v>
      </x:c>
      <x:c r="E87" s="46" t="s">
        <x:v>480</x:v>
      </x:c>
      <x:c r="F87" s="46" t="s">
        <x:v>738</x:v>
      </x:c>
      <x:c r="G87" s="46" t="s">
        <x:v>631</x:v>
      </x:c>
      <x:c r="H87" s="44" t="s">
        <x:v>661</x:v>
      </x:c>
      <x:c r="I87" s="44">
        <x:v>4</x:v>
      </x:c>
      <x:c r="J87" s="46" t="s">
        <x:v>102</x:v>
      </x:c>
      <x:c r="K87" s="46" t="s">
        <x:v>730</x:v>
      </x:c>
      <x:c r="L87" s="44" t="s">
        <x:v>351</x:v>
      </x:c>
      <x:c r="M87" s="44" t="s">
        <x:v>709</x:v>
      </x:c>
      <x:c r="N87" s="47">
        <x:f t="shared" si="4"/>
        <x:v>0.10439814814814817</x:v>
      </x:c>
      <x:c r="O87" s="48" t="s">
        <x:v>482</x:v>
      </x:c>
      <x:c r="P87" s="49">
        <x:f>P86+11</x:f>
        <x:v>596</x:v>
      </x:c>
      <x:c r="Q87" s="50">
        <x:v>11</x:v>
      </x:c>
      <x:c r="R87" s="51">
        <x:f>$Q$3*P87*P87+$R$3*P87</x:f>
        <x:v>10745.879999999999</x:v>
      </x:c>
      <x:c r="S87" s="68"/>
      <x:c r="T87" s="68"/>
      <x:c r="U87" s="68"/>
      <x:c r="V87" s="68"/>
      <x:c r="W87" s="68"/>
      <x:c r="X87" s="77"/>
      <x:c r="Y87" s="68"/>
      <x:c r="Z87" s="68"/>
      <x:c r="AA87" s="68"/>
      <x:c r="AB87" s="74"/>
      <x:c r="AC87" s="74"/>
      <x:c r="AD87" s="74"/>
      <x:c r="AE87" s="74"/>
      <x:c r="AF87" s="49"/>
      <x:c r="AG87" s="49"/>
      <x:c r="AH87" s="49"/>
      <x:c r="AI87" s="49"/>
      <x:c r="AJ87" s="52"/>
    </x:row>
    <x:row r="88" spans="1:36" ht="81.95000000000000284217" customHeight="1">
      <x:c r="A88" s="55" t="s">
        <x:v>98</x:v>
      </x:c>
      <x:c r="B88" s="44">
        <x:v>84</x:v>
      </x:c>
      <x:c r="C88" s="44">
        <x:v>4</x:v>
      </x:c>
      <x:c r="D88" s="44">
        <x:v>7</x:v>
      </x:c>
      <x:c r="E88" s="46" t="s">
        <x:v>481</x:v>
      </x:c>
      <x:c r="F88" s="46" t="s">
        <x:v>749</x:v>
      </x:c>
      <x:c r="G88" s="46" t="s">
        <x:v>736</x:v>
      </x:c>
      <x:c r="H88" s="44" t="s">
        <x:v>619</x:v>
      </x:c>
      <x:c r="I88" s="44">
        <x:v>1</x:v>
      </x:c>
      <x:c r="J88" s="46" t="s">
        <x:v>435</x:v>
      </x:c>
      <x:c r="K88" s="46" t="s">
        <x:v>826</x:v>
      </x:c>
      <x:c r="L88" s="44" t="s">
        <x:v>360</x:v>
      </x:c>
      <x:c r="M88" s="44" t="s">
        <x:v>383</x:v>
      </x:c>
      <x:c r="N88" s="47">
        <x:f t="shared" si="4"/>
        <x:v>0.10555555555555558</x:v>
      </x:c>
      <x:c r="O88" s="48" t="s">
        <x:v>492</x:v>
      </x:c>
      <x:c r="P88" s="49">
        <x:f>P87+7</x:f>
        <x:v>603</x:v>
      </x:c>
      <x:c r="Q88" s="50">
        <x:v>7</x:v>
      </x:c>
      <x:c r="R88" s="51">
        <x:f>$Q$3*P88*P88+$R$3*P88</x:f>
        <x:v>10998.720000000001</x:v>
      </x:c>
      <x:c r="S88" s="68"/>
      <x:c r="T88" s="68"/>
      <x:c r="U88" s="68"/>
      <x:c r="V88" s="68"/>
      <x:c r="W88" s="68"/>
      <x:c r="X88" s="68"/>
      <x:c r="Y88" s="68"/>
      <x:c r="Z88" s="68"/>
      <x:c r="AA88" s="68"/>
      <x:c r="AB88" s="68"/>
      <x:c r="AC88" s="69"/>
      <x:c r="AD88" s="69"/>
      <x:c r="AE88" s="49"/>
      <x:c r="AF88" s="49"/>
      <x:c r="AG88" s="49"/>
      <x:c r="AH88" s="49"/>
      <x:c r="AI88" s="49"/>
      <x:c r="AJ88" s="52"/>
    </x:row>
    <x:row r="89" spans="1:36" ht="81.95000000000000284217" customHeight="1">
      <x:c r="A89" s="55" t="s">
        <x:v>98</x:v>
      </x:c>
      <x:c r="B89" s="44">
        <x:v>85</x:v>
      </x:c>
      <x:c r="C89" s="44">
        <x:v>3</x:v>
      </x:c>
      <x:c r="D89" s="44">
        <x:v>8</x:v>
      </x:c>
      <x:c r="E89" s="46" t="s">
        <x:v>490</x:v>
      </x:c>
      <x:c r="F89" s="46" t="s">
        <x:v>617</x:v>
      </x:c>
      <x:c r="G89" s="46" t="s">
        <x:v>626</x:v>
      </x:c>
      <x:c r="H89" s="44" t="s">
        <x:v>210</x:v>
      </x:c>
      <x:c r="I89" s="44">
        <x:v>6</x:v>
      </x:c>
      <x:c r="J89" s="46" t="s">
        <x:v>444</x:v>
      </x:c>
      <x:c r="K89" s="46" t="s">
        <x:v>160</x:v>
      </x:c>
      <x:c r="L89" s="44" t="s">
        <x:v>304</x:v>
      </x:c>
      <x:c r="M89" s="44" t="s">
        <x:v>802</x:v>
      </x:c>
      <x:c r="N89" s="47">
        <x:f t="shared" si="4"/>
        <x:v>0.10775462962962966</x:v>
      </x:c>
      <x:c r="O89" s="48" t="s">
        <x:v>492</x:v>
      </x:c>
      <x:c r="P89" s="49">
        <x:f>P88+11</x:f>
        <x:v>614</x:v>
      </x:c>
      <x:c r="Q89" s="50">
        <x:v>11</x:v>
      </x:c>
      <x:c r="R89" s="51">
        <x:f>$Q$3*P89*P89+$R$3*P89</x:f>
        <x:v>11401.98</x:v>
      </x:c>
      <x:c r="S89" s="68"/>
      <x:c r="T89" s="68"/>
      <x:c r="U89" s="68"/>
      <x:c r="V89" s="68"/>
      <x:c r="W89" s="68"/>
      <x:c r="X89" s="68"/>
      <x:c r="Y89" s="68"/>
      <x:c r="Z89" s="68"/>
      <x:c r="AA89" s="68"/>
      <x:c r="AB89" s="68"/>
      <x:c r="AC89" s="69"/>
      <x:c r="AD89" s="69"/>
      <x:c r="AE89" s="49"/>
      <x:c r="AF89" s="49"/>
      <x:c r="AG89" s="49"/>
      <x:c r="AH89" s="49"/>
      <x:c r="AI89" s="49"/>
      <x:c r="AJ89" s="52"/>
    </x:row>
    <x:row r="90" spans="1:36" ht="81.95000000000000284217" customHeight="1">
      <x:c r="A90" s="55" t="s">
        <x:v>98</x:v>
      </x:c>
      <x:c r="B90" s="44">
        <x:v>86</x:v>
      </x:c>
      <x:c r="C90" s="44">
        <x:v>6</x:v>
      </x:c>
      <x:c r="D90" s="44">
        <x:v>7</x:v>
      </x:c>
      <x:c r="E90" s="46" t="s">
        <x:v>484</x:v>
      </x:c>
      <x:c r="F90" s="46" t="s">
        <x:v>738</x:v>
      </x:c>
      <x:c r="G90" s="46" t="s">
        <x:v>587</x:v>
      </x:c>
      <x:c r="H90" s="44" t="s">
        <x:v>561</x:v>
      </x:c>
      <x:c r="I90" s="44">
        <x:v>5</x:v>
      </x:c>
      <x:c r="J90" s="46" t="s">
        <x:v>102</x:v>
      </x:c>
      <x:c r="K90" s="46" t="s">
        <x:v>730</x:v>
      </x:c>
      <x:c r="L90" s="44" t="s">
        <x:v>167</x:v>
      </x:c>
      <x:c r="M90" s="44" t="s">
        <x:v>709</x:v>
      </x:c>
      <x:c r="N90" s="47">
        <x:f t="shared" si="4"/>
        <x:v>0.11053240740740744</x:v>
      </x:c>
      <x:c r="O90" s="48" t="s">
        <x:v>492</x:v>
      </x:c>
      <x:c r="P90" s="49">
        <x:f>P89+13</x:f>
        <x:v>627</x:v>
      </x:c>
      <x:c r="Q90" s="50">
        <x:v>13</x:v>
      </x:c>
      <x:c r="R90" s="51">
        <x:f>$Q$3*P90*P90+$R$3*P90</x:f>
        <x:v>11887.919999999998</x:v>
      </x:c>
      <x:c r="S90" s="68"/>
      <x:c r="T90" s="68"/>
      <x:c r="U90" s="68"/>
      <x:c r="V90" s="68"/>
      <x:c r="W90" s="68"/>
      <x:c r="X90" s="68"/>
      <x:c r="Y90" s="68"/>
      <x:c r="Z90" s="68"/>
      <x:c r="AA90" s="68"/>
      <x:c r="AB90" s="68"/>
      <x:c r="AC90" s="69"/>
      <x:c r="AD90" s="69"/>
      <x:c r="AE90" s="49"/>
      <x:c r="AF90" s="49"/>
      <x:c r="AG90" s="49"/>
      <x:c r="AH90" s="49"/>
      <x:c r="AI90" s="49"/>
      <x:c r="AJ90" s="52"/>
    </x:row>
    <x:row r="91" spans="1:36" ht="81.95000000000000284217" customHeight="1">
      <x:c r="A91" s="55" t="s">
        <x:v>98</x:v>
      </x:c>
      <x:c r="B91" s="44">
        <x:v>87</x:v>
      </x:c>
      <x:c r="C91" s="44">
        <x:v>4</x:v>
      </x:c>
      <x:c r="D91" s="44">
        <x:v>7</x:v>
      </x:c>
      <x:c r="E91" s="46" t="s">
        <x:v>110</x:v>
      </x:c>
      <x:c r="F91" s="46" t="s">
        <x:v>211</x:v>
      </x:c>
      <x:c r="G91" s="46" t="s">
        <x:v>256</x:v>
      </x:c>
      <x:c r="H91" s="44" t="s">
        <x:v>199</x:v>
      </x:c>
      <x:c r="I91" s="44">
        <x:v>5</x:v>
      </x:c>
      <x:c r="J91" s="46" t="s">
        <x:v>97</x:v>
      </x:c>
      <x:c r="K91" s="46" t="s">
        <x:v>717</x:v>
      </x:c>
      <x:c r="L91" s="44" t="s">
        <x:v>359</x:v>
      </x:c>
      <x:c r="M91" s="44" t="s">
        <x:v>728</x:v>
      </x:c>
      <x:c r="N91" s="47">
        <x:f t="shared" si="4"/>
        <x:v>0.112962962962963</x:v>
      </x:c>
      <x:c r="O91" s="48" t="s">
        <x:v>492</x:v>
      </x:c>
      <x:c r="P91" s="49">
        <x:f>P90+11</x:f>
        <x:v>638</x:v>
      </x:c>
      <x:c r="Q91" s="50">
        <x:v>11</x:v>
      </x:c>
      <x:c r="R91" s="51">
        <x:f>$Q$3*P91*P91+$R$3*P91</x:f>
        <x:v>12307.02</x:v>
      </x:c>
      <x:c r="S91" s="68">
        <x:f t="shared" si="5"/>
        <x:v>4102.3400000000001</x:v>
      </x:c>
      <x:c r="T91" s="68">
        <x:v>5</x:v>
      </x:c>
      <x:c r="U91" s="68">
        <x:f t="shared" si="6"/>
        <x:v>15</x:v>
      </x:c>
      <x:c r="V91" s="68">
        <x:v>3</x:v>
      </x:c>
      <x:c r="W91" s="77" t="s">
        <x:v>237</x:v>
      </x:c>
      <x:c r="X91" s="77">
        <x:f ca="1">ROUND($X91*1,0)</x:f>
        <x:v>60</x:v>
      </x:c>
      <x:c r="Y91" s="68">
        <x:f ca="1">X91*0.8</x:f>
        <x:v>48</x:v>
      </x:c>
      <x:c r="Z91" s="68">
        <x:f ca="1">X91*0.6</x:f>
        <x:v>36</x:v>
      </x:c>
      <x:c r="AA91" s="68">
        <x:f ca="1">X91*0.5</x:f>
        <x:v>30</x:v>
      </x:c>
      <x:c r="AB91" s="74">
        <x:v>0.005208333333333333</x:v>
      </x:c>
      <x:c r="AC91" s="74">
        <x:f ca="1">$AD91*1.5</x:f>
        <x:v>0.0078125</x:v>
      </x:c>
      <x:c r="AD91" s="74">
        <x:f ca="1">$AD91</x:f>
        <x:v>0.005208333333333333</x:v>
      </x:c>
      <x:c r="AE91" s="74">
        <x:f ca="1">$AD91*0.75</x:f>
        <x:v>0.00390625</x:v>
      </x:c>
      <x:c r="AF91" s="49"/>
      <x:c r="AG91" s="49"/>
      <x:c r="AH91" s="49"/>
      <x:c r="AI91" s="49"/>
      <x:c r="AJ91" s="52"/>
    </x:row>
    <x:row r="92" spans="1:36" ht="81.95000000000000284217" customHeight="1">
      <x:c r="A92" s="55" t="s">
        <x:v>98</x:v>
      </x:c>
      <x:c r="B92" s="44">
        <x:v>88</x:v>
      </x:c>
      <x:c r="C92" s="44">
        <x:v>4</x:v>
      </x:c>
      <x:c r="D92" s="44">
        <x:v>7</x:v>
      </x:c>
      <x:c r="E92" s="46" t="s">
        <x:v>486</x:v>
      </x:c>
      <x:c r="F92" s="46" t="s">
        <x:v>749</x:v>
      </x:c>
      <x:c r="G92" s="46" t="s">
        <x:v>131</x:v>
      </x:c>
      <x:c r="H92" s="44" t="s">
        <x:v>151</x:v>
      </x:c>
      <x:c r="I92" s="44">
        <x:v>1</x:v>
      </x:c>
      <x:c r="J92" s="46" t="s">
        <x:v>435</x:v>
      </x:c>
      <x:c r="K92" s="46" t="s">
        <x:v>826</x:v>
      </x:c>
      <x:c r="L92" s="44" t="s">
        <x:v>354</x:v>
      </x:c>
      <x:c r="M92" s="44" t="s">
        <x:v>383</x:v>
      </x:c>
      <x:c r="N92" s="47">
        <x:f t="shared" si="4"/>
        <x:v>0.11423611111111115</x:v>
      </x:c>
      <x:c r="O92" s="48" t="s">
        <x:v>471</x:v>
      </x:c>
      <x:c r="P92" s="49">
        <x:f>P91+8</x:f>
        <x:v>646</x:v>
      </x:c>
      <x:c r="Q92" s="50">
        <x:v>8</x:v>
      </x:c>
      <x:c r="R92" s="51">
        <x:f>$Q$3*P92*P92+$R$3*P92</x:f>
        <x:v>12616.379999999999</x:v>
      </x:c>
      <x:c r="S92" s="68"/>
      <x:c r="T92" s="68"/>
      <x:c r="U92" s="68"/>
      <x:c r="V92" s="68"/>
      <x:c r="W92" s="68"/>
      <x:c r="X92" s="68"/>
      <x:c r="Y92" s="68"/>
      <x:c r="Z92" s="68"/>
      <x:c r="AA92" s="68"/>
      <x:c r="AB92" s="68"/>
      <x:c r="AC92" s="69"/>
      <x:c r="AD92" s="69"/>
      <x:c r="AE92" s="49"/>
      <x:c r="AF92" s="49"/>
      <x:c r="AG92" s="49"/>
      <x:c r="AH92" s="49"/>
      <x:c r="AI92" s="49"/>
      <x:c r="AJ92" s="52"/>
    </x:row>
    <x:row r="93" spans="1:36" ht="81.95000000000000284217" customHeight="1">
      <x:c r="A93" s="55" t="s">
        <x:v>98</x:v>
      </x:c>
      <x:c r="B93" s="44">
        <x:v>89</x:v>
      </x:c>
      <x:c r="C93" s="44">
        <x:v>5</x:v>
      </x:c>
      <x:c r="D93" s="44">
        <x:v>7</x:v>
      </x:c>
      <x:c r="E93" s="46" t="s">
        <x:v>474</x:v>
      </x:c>
      <x:c r="F93" s="46" t="s">
        <x:v>154</x:v>
      </x:c>
      <x:c r="G93" s="46" t="s">
        <x:v>549</x:v>
      </x:c>
      <x:c r="H93" s="44" t="s">
        <x:v>580</x:v>
      </x:c>
      <x:c r="I93" s="44">
        <x:v>4</x:v>
      </x:c>
      <x:c r="J93" s="46" t="s">
        <x:v>491</x:v>
      </x:c>
      <x:c r="K93" s="46" t="s">
        <x:v>816</x:v>
      </x:c>
      <x:c r="L93" s="44" t="s">
        <x:v>304</x:v>
      </x:c>
      <x:c r="M93" s="44" t="s">
        <x:v>720</x:v>
      </x:c>
      <x:c r="N93" s="47">
        <x:f t="shared" si="4"/>
        <x:v>0.11643518518518522</x:v>
      </x:c>
      <x:c r="O93" s="48" t="s">
        <x:v>471</x:v>
      </x:c>
      <x:c r="P93" s="49">
        <x:f>P92+11</x:f>
        <x:v>657</x:v>
      </x:c>
      <x:c r="Q93" s="50">
        <x:v>11</x:v>
      </x:c>
      <x:c r="R93" s="51">
        <x:f>$Q$3*P93*P93+$R$3*P93</x:f>
        <x:v>13048.02</x:v>
      </x:c>
      <x:c r="S93" s="68"/>
      <x:c r="T93" s="68"/>
      <x:c r="U93" s="68"/>
      <x:c r="V93" s="68"/>
      <x:c r="W93" s="68"/>
      <x:c r="X93" s="68"/>
      <x:c r="Y93" s="68"/>
      <x:c r="Z93" s="68"/>
      <x:c r="AA93" s="68"/>
      <x:c r="AB93" s="68"/>
      <x:c r="AC93" s="69"/>
      <x:c r="AD93" s="69"/>
      <x:c r="AE93" s="49"/>
      <x:c r="AF93" s="49"/>
      <x:c r="AG93" s="49"/>
      <x:c r="AH93" s="49"/>
      <x:c r="AI93" s="49"/>
      <x:c r="AJ93" s="52"/>
    </x:row>
    <x:row r="94" spans="1:36" ht="81.95000000000000284217" customHeight="1">
      <x:c r="A94" s="55" t="s">
        <x:v>98</x:v>
      </x:c>
      <x:c r="B94" s="44">
        <x:v>90</x:v>
      </x:c>
      <x:c r="C94" s="44">
        <x:v>4</x:v>
      </x:c>
      <x:c r="D94" s="44">
        <x:v>7</x:v>
      </x:c>
      <x:c r="E94" s="46" t="s">
        <x:v>95</x:v>
      </x:c>
      <x:c r="F94" s="46" t="s">
        <x:v>231</x:v>
      </x:c>
      <x:c r="G94" s="46" t="s">
        <x:v>571</x:v>
      </x:c>
      <x:c r="H94" s="44" t="s">
        <x:v>226</x:v>
      </x:c>
      <x:c r="I94" s="44">
        <x:v>6</x:v>
      </x:c>
      <x:c r="J94" s="46" t="s">
        <x:v>757</x:v>
      </x:c>
      <x:c r="K94" s="46" t="s">
        <x:v>160</x:v>
      </x:c>
      <x:c r="L94" s="44" t="s">
        <x:v>359</x:v>
      </x:c>
      <x:c r="M94" s="44" t="s">
        <x:v>770</x:v>
      </x:c>
      <x:c r="N94" s="47">
        <x:f t="shared" si="4"/>
        <x:v>0.11886574074074079</x:v>
      </x:c>
      <x:c r="O94" s="48" t="s">
        <x:v>471</x:v>
      </x:c>
      <x:c r="P94" s="49">
        <x:f>P93+11</x:f>
        <x:v>668</x:v>
      </x:c>
      <x:c r="Q94" s="50">
        <x:v>11</x:v>
      </x:c>
      <x:c r="R94" s="51">
        <x:f>$Q$3*P94*P94+$R$3*P94</x:f>
        <x:v>13486.92</x:v>
      </x:c>
      <x:c r="S94" s="68">
        <x:f t="shared" si="5"/>
        <x:v>2697.384</x:v>
      </x:c>
      <x:c r="T94" s="68">
        <x:v>5</x:v>
      </x:c>
      <x:c r="U94" s="68">
        <x:f t="shared" si="6"/>
        <x:v>25</x:v>
      </x:c>
      <x:c r="V94" s="68">
        <x:v>5</x:v>
      </x:c>
      <x:c r="W94" s="77" t="s">
        <x:v>550</x:v>
      </x:c>
      <x:c r="X94" s="77">
        <x:v>40</x:v>
      </x:c>
      <x:c r="Y94" s="68">
        <x:f>X94*0.8</x:f>
        <x:v>32</x:v>
      </x:c>
      <x:c r="Z94" s="68">
        <x:f>X94*0.6</x:f>
        <x:v>24</x:v>
      </x:c>
      <x:c r="AA94" s="68">
        <x:f>X94*0.5</x:f>
        <x:v>20</x:v>
      </x:c>
      <x:c r="AB94" s="74">
        <x:v>0.0046296296296296294</x:v>
      </x:c>
      <x:c r="AC94" s="74">
        <x:f ca="1">$AD94*1.35</x:f>
        <x:v>0.00625</x:v>
      </x:c>
      <x:c r="AD94" s="74">
        <x:f ca="1">$AD94</x:f>
        <x:v>0.0046296296296296294</x:v>
      </x:c>
      <x:c r="AE94" s="74">
        <x:f ca="1">$AD94*0.8</x:f>
        <x:v>0.0037037037037037038</x:v>
      </x:c>
      <x:c r="AF94" s="49"/>
      <x:c r="AG94" s="49"/>
      <x:c r="AH94" s="49"/>
      <x:c r="AI94" s="49"/>
      <x:c r="AJ94" s="52"/>
    </x:row>
    <x:row r="95" spans="1:36" ht="81.95000000000000284217" customHeight="1">
      <x:c r="A95" s="55" t="s">
        <x:v>98</x:v>
      </x:c>
      <x:c r="B95" s="44">
        <x:v>91</x:v>
      </x:c>
      <x:c r="C95" s="44">
        <x:v>2</x:v>
      </x:c>
      <x:c r="D95" s="44">
        <x:v>8</x:v>
      </x:c>
      <x:c r="E95" s="46" t="s">
        <x:v>107</x:v>
      </x:c>
      <x:c r="F95" s="46" t="s">
        <x:v>748</x:v>
      </x:c>
      <x:c r="G95" s="46" t="s">
        <x:v>261</x:v>
      </x:c>
      <x:c r="H95" s="44" t="s">
        <x:v>216</x:v>
      </x:c>
      <x:c r="I95" s="44">
        <x:v>2</x:v>
      </x:c>
      <x:c r="J95" s="46" t="s">
        <x:v>103</x:v>
      </x:c>
      <x:c r="K95" s="46" t="s">
        <x:v>377</x:v>
      </x:c>
      <x:c r="L95" s="44" t="s">
        <x:v>317</x:v>
      </x:c>
      <x:c r="M95" s="44" t="s">
        <x:v>514</x:v>
      </x:c>
      <x:c r="N95" s="47">
        <x:f t="shared" si="4"/>
        <x:v>0.11979166666666671</x:v>
      </x:c>
      <x:c r="O95" s="48" t="s">
        <x:v>471</x:v>
      </x:c>
      <x:c r="P95" s="49">
        <x:f>P94+7</x:f>
        <x:v>675</x:v>
      </x:c>
      <x:c r="Q95" s="50">
        <x:v>7</x:v>
      </x:c>
      <x:c r="R95" s="51">
        <x:f>$Q$3*P95*P95+$R$3*P95</x:f>
        <x:v>13770</x:v>
      </x:c>
      <x:c r="S95" s="68"/>
      <x:c r="T95" s="68"/>
      <x:c r="U95" s="68"/>
      <x:c r="V95" s="68"/>
      <x:c r="W95" s="68"/>
      <x:c r="X95" s="68"/>
      <x:c r="Y95" s="68"/>
      <x:c r="Z95" s="68"/>
      <x:c r="AA95" s="68"/>
      <x:c r="AB95" s="68"/>
      <x:c r="AC95" s="69"/>
      <x:c r="AD95" s="69"/>
      <x:c r="AE95" s="49"/>
      <x:c r="AF95" s="49"/>
      <x:c r="AG95" s="49"/>
      <x:c r="AH95" s="49"/>
      <x:c r="AI95" s="49"/>
      <x:c r="AJ95" s="52"/>
    </x:row>
    <x:row r="96" spans="1:36" ht="81.95000000000000284217" customHeight="1">
      <x:c r="A96" s="55" t="s">
        <x:v>98</x:v>
      </x:c>
      <x:c r="B96" s="44">
        <x:v>92</x:v>
      </x:c>
      <x:c r="C96" s="44">
        <x:v>8</x:v>
      </x:c>
      <x:c r="D96" s="44">
        <x:v>10</x:v>
      </x:c>
      <x:c r="E96" s="46" t="s">
        <x:v>402</x:v>
      </x:c>
      <x:c r="F96" s="46" t="s">
        <x:v>155</x:v>
      </x:c>
      <x:c r="G96" s="46" t="s">
        <x:v>589</x:v>
      </x:c>
      <x:c r="H96" s="44" t="s">
        <x:v>654</x:v>
      </x:c>
      <x:c r="I96" s="44">
        <x:v>8</x:v>
      </x:c>
      <x:c r="J96" s="46" t="s">
        <x:v>498</x:v>
      </x:c>
      <x:c r="K96" s="46" t="s">
        <x:v>810</x:v>
      </x:c>
      <x:c r="L96" s="44" t="s">
        <x:v>176</x:v>
      </x:c>
      <x:c r="M96" s="44" t="s">
        <x:v>419</x:v>
      </x:c>
      <x:c r="N96" s="47">
        <x:f t="shared" si="4"/>
        <x:v>0.12326388888888894</x:v>
      </x:c>
      <x:c r="O96" s="48" t="s">
        <x:v>489</x:v>
      </x:c>
      <x:c r="P96" s="49">
        <x:f>P95+17</x:f>
        <x:v>692</x:v>
      </x:c>
      <x:c r="Q96" s="50">
        <x:v>17</x:v>
      </x:c>
      <x:c r="R96" s="51">
        <x:f>$Q$3*P96*P96+$R$3*P96</x:f>
        <x:v>14469.719999999998</x:v>
      </x:c>
      <x:c r="S96" s="68">
        <x:f t="shared" si="5"/>
        <x:v>14469.719999999998</x:v>
      </x:c>
      <x:c r="T96" s="68">
        <x:v>300</x:v>
      </x:c>
      <x:c r="U96" s="68">
        <x:f t="shared" si="6"/>
        <x:v>300</x:v>
      </x:c>
      <x:c r="V96" s="68">
        <x:v>1</x:v>
      </x:c>
      <x:c r="W96" s="68"/>
      <x:c r="X96" s="68"/>
      <x:c r="Y96" s="68"/>
      <x:c r="Z96" s="68"/>
      <x:c r="AA96" s="68"/>
      <x:c r="AB96" s="68"/>
      <x:c r="AC96" s="69"/>
      <x:c r="AD96" s="69"/>
      <x:c r="AE96" s="49"/>
      <x:c r="AF96" s="49"/>
      <x:c r="AG96" s="49"/>
      <x:c r="AH96" s="49"/>
      <x:c r="AI96" s="49"/>
      <x:c r="AJ96" s="52"/>
    </x:row>
    <x:row r="97" spans="1:36" ht="81.95000000000000284217" customHeight="1">
      <x:c r="A97" s="55" t="s">
        <x:v>98</x:v>
      </x:c>
      <x:c r="B97" s="44">
        <x:v>93</x:v>
      </x:c>
      <x:c r="C97" s="44">
        <x:v>8</x:v>
      </x:c>
      <x:c r="D97" s="44">
        <x:v>10</x:v>
      </x:c>
      <x:c r="E97" s="46" t="s">
        <x:v>499</x:v>
      </x:c>
      <x:c r="F97" s="46" t="s">
        <x:v>274</x:v>
      </x:c>
      <x:c r="G97" s="46" t="s">
        <x:v>634</x:v>
      </x:c>
      <x:c r="H97" s="44" t="s">
        <x:v>280</x:v>
      </x:c>
      <x:c r="I97" s="44">
        <x:v>6</x:v>
      </x:c>
      <x:c r="J97" s="46" t="s">
        <x:v>483</x:v>
      </x:c>
      <x:c r="K97" s="46" t="s">
        <x:v>830</x:v>
      </x:c>
      <x:c r="L97" s="44" t="s">
        <x:v>348</x:v>
      </x:c>
      <x:c r="M97" s="44" t="s">
        <x:v>723</x:v>
      </x:c>
      <x:c r="N97" s="47">
        <x:f t="shared" si="4"/>
        <x:v>0.12627314814814819</x:v>
      </x:c>
      <x:c r="O97" s="48" t="s">
        <x:v>489</x:v>
      </x:c>
      <x:c r="P97" s="49">
        <x:f>P96+15</x:f>
        <x:v>707</x:v>
      </x:c>
      <x:c r="Q97" s="50">
        <x:v>15</x:v>
      </x:c>
      <x:c r="R97" s="51">
        <x:f>$Q$3*P97*P97+$R$3*P97</x:f>
        <x:v>15101.52</x:v>
      </x:c>
      <x:c r="S97" s="68">
        <x:f t="shared" si="5"/>
        <x:v>5033.8400000000001</x:v>
      </x:c>
      <x:c r="T97" s="68">
        <x:v>10</x:v>
      </x:c>
      <x:c r="U97" s="68">
        <x:f t="shared" si="6"/>
        <x:v>30</x:v>
      </x:c>
      <x:c r="V97" s="68">
        <x:v>3</x:v>
      </x:c>
      <x:c r="W97" s="68"/>
      <x:c r="X97" s="68"/>
      <x:c r="Y97" s="68"/>
      <x:c r="Z97" s="68"/>
      <x:c r="AA97" s="68"/>
      <x:c r="AB97" s="68"/>
      <x:c r="AC97" s="69"/>
      <x:c r="AD97" s="69"/>
      <x:c r="AE97" s="49"/>
      <x:c r="AF97" s="49"/>
      <x:c r="AG97" s="49"/>
      <x:c r="AH97" s="49"/>
      <x:c r="AI97" s="49"/>
      <x:c r="AJ97" s="52"/>
    </x:row>
    <x:row r="98" spans="1:36" ht="81.95000000000000284217" customHeight="1">
      <x:c r="A98" s="55" t="s">
        <x:v>98</x:v>
      </x:c>
      <x:c r="B98" s="44">
        <x:v>94</x:v>
      </x:c>
      <x:c r="C98" s="44">
        <x:v>9</x:v>
      </x:c>
      <x:c r="D98" s="44">
        <x:v>10</x:v>
      </x:c>
      <x:c r="E98" s="46" t="s">
        <x:v>390</x:v>
      </x:c>
      <x:c r="F98" s="46" t="s">
        <x:v>295</x:v>
      </x:c>
      <x:c r="G98" s="46" t="s">
        <x:v>624</x:v>
      </x:c>
      <x:c r="H98" s="44" t="s">
        <x:v>602</x:v>
      </x:c>
      <x:c r="I98" s="44">
        <x:v>9</x:v>
      </x:c>
      <x:c r="J98" s="46" t="s">
        <x:v>713</x:v>
      </x:c>
      <x:c r="K98" s="46" t="s">
        <x:v>732</x:v>
      </x:c>
      <x:c r="L98" s="44" t="s">
        <x:v>303</x:v>
      </x:c>
      <x:c r="M98" s="44" t="s">
        <x:v>707</x:v>
      </x:c>
      <x:c r="N98" s="47">
        <x:f t="shared" si="4"/>
        <x:v>0.13020833333333337</x:v>
      </x:c>
      <x:c r="O98" s="48" t="s">
        <x:v>489</x:v>
      </x:c>
      <x:c r="P98" s="49">
        <x:f>P97+18</x:f>
        <x:v>725</x:v>
      </x:c>
      <x:c r="Q98" s="50">
        <x:v>18</x:v>
      </x:c>
      <x:c r="R98" s="51">
        <x:f>$Q$3*P98*P98+$R$3*P98</x:f>
        <x:v>15877.5</x:v>
      </x:c>
      <x:c r="S98" s="68">
        <x:f t="shared" si="5"/>
        <x:v>15877.5</x:v>
      </x:c>
      <x:c r="T98" s="68">
        <x:v>320</x:v>
      </x:c>
      <x:c r="U98" s="68">
        <x:f t="shared" si="6"/>
        <x:v>320</x:v>
      </x:c>
      <x:c r="V98" s="68">
        <x:v>1</x:v>
      </x:c>
      <x:c r="W98" s="68"/>
      <x:c r="X98" s="68"/>
      <x:c r="Y98" s="68"/>
      <x:c r="Z98" s="68"/>
      <x:c r="AA98" s="68"/>
      <x:c r="AB98" s="68"/>
      <x:c r="AC98" s="69"/>
      <x:c r="AD98" s="69"/>
      <x:c r="AE98" s="49"/>
      <x:c r="AF98" s="49"/>
      <x:c r="AG98" s="49"/>
      <x:c r="AH98" s="49"/>
      <x:c r="AI98" s="49"/>
      <x:c r="AJ98" s="52"/>
    </x:row>
    <x:row r="99" spans="1:36" ht="81.95000000000000284217" customHeight="1">
      <x:c r="A99" s="55" t="s">
        <x:v>98</x:v>
      </x:c>
      <x:c r="B99" s="44">
        <x:v>95</x:v>
      </x:c>
      <x:c r="C99" s="44">
        <x:v>10</x:v>
      </x:c>
      <x:c r="D99" s="44">
        <x:v>10</x:v>
      </x:c>
      <x:c r="E99" s="46" t="s">
        <x:v>473</x:v>
      </x:c>
      <x:c r="F99" s="46" t="s">
        <x:v>265</x:v>
      </x:c>
      <x:c r="G99" s="46" t="s">
        <x:v>599</x:v>
      </x:c>
      <x:c r="H99" s="44" t="s">
        <x:v>578</x:v>
      </x:c>
      <x:c r="I99" s="44">
        <x:v>6</x:v>
      </x:c>
      <x:c r="J99" s="46" t="s">
        <x:v>768</x:v>
      </x:c>
      <x:c r="K99" s="46" t="s">
        <x:v>718</x:v>
      </x:c>
      <x:c r="L99" s="44" t="s">
        <x:v>319</x:v>
      </x:c>
      <x:c r="M99" s="44" t="s">
        <x:v>829</x:v>
      </x:c>
      <x:c r="N99" s="47">
        <x:f t="shared" si="4"/>
        <x:v>0.13287037037037042</x:v>
      </x:c>
      <x:c r="O99" s="48" t="s">
        <x:v>489</x:v>
      </x:c>
      <x:c r="P99" s="49">
        <x:f>P98+15</x:f>
        <x:v>740</x:v>
      </x:c>
      <x:c r="Q99" s="50">
        <x:v>15</x:v>
      </x:c>
      <x:c r="R99" s="51">
        <x:f>$Q$3*P99*P99+$R$3*P99</x:f>
        <x:v>16539</x:v>
      </x:c>
      <x:c r="S99" s="68">
        <x:f t="shared" si="5"/>
        <x:v>5513</x:v>
      </x:c>
      <x:c r="T99" s="68">
        <x:v>15</x:v>
      </x:c>
      <x:c r="U99" s="68">
        <x:f t="shared" si="6"/>
        <x:v>45</x:v>
      </x:c>
      <x:c r="V99" s="68">
        <x:v>3</x:v>
      </x:c>
      <x:c r="W99" s="68"/>
      <x:c r="X99" s="77"/>
      <x:c r="Y99" s="68"/>
      <x:c r="Z99" s="68"/>
      <x:c r="AA99" s="68"/>
      <x:c r="AB99" s="74"/>
      <x:c r="AC99" s="74"/>
      <x:c r="AD99" s="74"/>
      <x:c r="AE99" s="74"/>
      <x:c r="AF99" s="49"/>
      <x:c r="AG99" s="49"/>
      <x:c r="AH99" s="49"/>
      <x:c r="AI99" s="49"/>
      <x:c r="AJ99" s="52"/>
    </x:row>
    <x:row r="100" spans="1:36" ht="81.95000000000000284217" customHeight="1">
      <x:c r="A100" s="55" t="s">
        <x:v>98</x:v>
      </x:c>
      <x:c r="B100" s="44">
        <x:v>96</x:v>
      </x:c>
      <x:c r="C100" s="44">
        <x:v>7</x:v>
      </x:c>
      <x:c r="D100" s="44">
        <x:v>10</x:v>
      </x:c>
      <x:c r="E100" s="46" t="s">
        <x:v>92</x:v>
      </x:c>
      <x:c r="F100" s="46" t="s">
        <x:v>769</x:v>
      </x:c>
      <x:c r="G100" s="46" t="s">
        <x:v>267</x:v>
      </x:c>
      <x:c r="H100" s="44" t="s">
        <x:v>576</x:v>
      </x:c>
      <x:c r="I100" s="44">
        <x:v>5</x:v>
      </x:c>
      <x:c r="J100" s="46" t="s">
        <x:v>495</x:v>
      </x:c>
      <x:c r="K100" s="46" t="s">
        <x:v>725</x:v>
      </x:c>
      <x:c r="L100" s="44" t="s">
        <x:v>356</x:v>
      </x:c>
      <x:c r="M100" s="44" t="s">
        <x:v>382</x:v>
      </x:c>
      <x:c r="N100" s="47">
        <x:f t="shared" si="4"/>
        <x:v>0.1344907407407408</x:v>
      </x:c>
      <x:c r="O100" s="48" t="s">
        <x:v>489</x:v>
      </x:c>
      <x:c r="P100" s="49">
        <x:f>P99+11</x:f>
        <x:v>751</x:v>
      </x:c>
      <x:c r="Q100" s="50">
        <x:v>11</x:v>
      </x:c>
      <x:c r="R100" s="51">
        <x:f>$Q$3*P100*P100+$R$3*P100</x:f>
        <x:v>17032.68</x:v>
      </x:c>
      <x:c r="S100" s="68"/>
      <x:c r="T100" s="68"/>
      <x:c r="U100" s="68"/>
      <x:c r="V100" s="68"/>
      <x:c r="W100" s="68"/>
      <x:c r="X100" s="68"/>
      <x:c r="Y100" s="68"/>
      <x:c r="Z100" s="68"/>
      <x:c r="AA100" s="68"/>
      <x:c r="AB100" s="68"/>
      <x:c r="AC100" s="69"/>
      <x:c r="AD100" s="69"/>
      <x:c r="AE100" s="49"/>
      <x:c r="AF100" s="49"/>
      <x:c r="AG100" s="49"/>
      <x:c r="AH100" s="49"/>
      <x:c r="AI100" s="49"/>
      <x:c r="AJ100" s="52"/>
    </x:row>
    <x:row r="101" spans="1:36" ht="81.95000000000000284217" customHeight="1">
      <x:c r="A101" s="55" t="s">
        <x:v>98</x:v>
      </x:c>
      <x:c r="B101" s="44">
        <x:v>97</x:v>
      </x:c>
      <x:c r="C101" s="44">
        <x:v>1</x:v>
      </x:c>
      <x:c r="D101" s="44">
        <x:v>10</x:v>
      </x:c>
      <x:c r="E101" s="46" t="s">
        <x:v>112</x:v>
      </x:c>
      <x:c r="F101" s="46" t="s">
        <x:v>118</x:v>
      </x:c>
      <x:c r="G101" s="46" t="s">
        <x:v>641</x:v>
      </x:c>
      <x:c r="H101" s="44" t="s">
        <x:v>294</x:v>
      </x:c>
      <x:c r="I101" s="44">
        <x:v>1</x:v>
      </x:c>
      <x:c r="J101" s="46" t="s">
        <x:v>111</x:v>
      </x:c>
      <x:c r="K101" s="46" t="s">
        <x:v>721</x:v>
      </x:c>
      <x:c r="L101" s="44" t="s">
        <x:v>326</x:v>
      </x:c>
      <x:c r="M101" s="44" t="s">
        <x:v>755</x:v>
      </x:c>
      <x:c r="N101" s="47">
        <x:f t="shared" si="4"/>
        <x:v>0.13553240740740746</x:v>
      </x:c>
      <x:c r="O101" s="48" t="s">
        <x:v>489</x:v>
      </x:c>
      <x:c r="P101" s="49">
        <x:f>P100+7</x:f>
        <x:v>758</x:v>
      </x:c>
      <x:c r="Q101" s="50">
        <x:v>7</x:v>
      </x:c>
      <x:c r="R101" s="51">
        <x:f>$Q$3*P101*P101+$R$3*P101</x:f>
        <x:v>17350.619999999999</x:v>
      </x:c>
      <x:c r="S101" s="68"/>
      <x:c r="T101" s="68"/>
      <x:c r="U101" s="68"/>
      <x:c r="V101" s="68"/>
      <x:c r="W101" s="68"/>
      <x:c r="X101" s="68"/>
      <x:c r="Y101" s="68"/>
      <x:c r="Z101" s="68"/>
      <x:c r="AA101" s="68"/>
      <x:c r="AB101" s="68"/>
      <x:c r="AC101" s="69"/>
      <x:c r="AD101" s="69"/>
      <x:c r="AE101" s="49"/>
      <x:c r="AF101" s="49"/>
      <x:c r="AG101" s="49"/>
      <x:c r="AH101" s="49"/>
      <x:c r="AI101" s="49"/>
      <x:c r="AJ101" s="52"/>
    </x:row>
    <x:row r="102" spans="1:36" ht="81.95000000000000284217" customHeight="1">
      <x:c r="A102" s="55" t="s">
        <x:v>98</x:v>
      </x:c>
      <x:c r="B102" s="44">
        <x:v>98</x:v>
      </x:c>
      <x:c r="C102" s="44">
        <x:v>2</x:v>
      </x:c>
      <x:c r="D102" s="44">
        <x:v>10</x:v>
      </x:c>
      <x:c r="E102" s="46" t="s">
        <x:v>468</x:v>
      </x:c>
      <x:c r="F102" s="46" t="s">
        <x:v>275</x:v>
      </x:c>
      <x:c r="G102" s="46" t="s">
        <x:v>583</x:v>
      </x:c>
      <x:c r="H102" s="44" t="s">
        <x:v>582</x:v>
      </x:c>
      <x:c r="I102" s="44">
        <x:v>3</x:v>
      </x:c>
      <x:c r="J102" s="46" t="s">
        <x:v>476</x:v>
      </x:c>
      <x:c r="K102" s="46" t="s">
        <x:v>708</x:v>
      </x:c>
      <x:c r="L102" s="44" t="s">
        <x:v>356</x:v>
      </x:c>
      <x:c r="M102" s="44" t="s">
        <x:v>833</x:v>
      </x:c>
      <x:c r="N102" s="47">
        <x:f t="shared" ref="N102:N123" si="7">N101+(IFERROR(VALUE(LEFT(L102,FIND("분",L102)-1))*60,0)+IFERROR(VALUE(TRIM(MID(L102,IFERROR(FIND("분",L102),0)+1,FIND("초",L102)-IFERROR(FIND("분",L102),0)-1))),0))/86400</x:f>
        <x:v>0.13715277777777785</x:v>
      </x:c>
      <x:c r="O102" s="48" t="s">
        <x:v>489</x:v>
      </x:c>
      <x:c r="P102" s="49">
        <x:f>P101+9</x:f>
        <x:v>767</x:v>
      </x:c>
      <x:c r="Q102" s="50">
        <x:v>9</x:v>
      </x:c>
      <x:c r="R102" s="51">
        <x:f>$Q$3*P102*P102+$R$3*P102</x:f>
        <x:v>17763.719999999998</x:v>
      </x:c>
      <x:c r="S102" s="68"/>
      <x:c r="T102" s="68"/>
      <x:c r="U102" s="68"/>
      <x:c r="V102" s="68"/>
      <x:c r="W102" s="68"/>
      <x:c r="X102" s="68"/>
      <x:c r="Y102" s="68"/>
      <x:c r="Z102" s="68"/>
      <x:c r="AA102" s="68"/>
      <x:c r="AB102" s="68"/>
      <x:c r="AC102" s="69"/>
      <x:c r="AD102" s="69"/>
      <x:c r="AE102" s="49"/>
      <x:c r="AF102" s="49"/>
      <x:c r="AG102" s="49"/>
      <x:c r="AH102" s="49"/>
      <x:c r="AI102" s="49"/>
      <x:c r="AJ102" s="52"/>
    </x:row>
    <x:row r="103" spans="1:36" ht="81.95000000000000284217" customHeight="1">
      <x:c r="A103" s="55" t="s">
        <x:v>98</x:v>
      </x:c>
      <x:c r="B103" s="44">
        <x:v>99</x:v>
      </x:c>
      <x:c r="C103" s="44">
        <x:v>6</x:v>
      </x:c>
      <x:c r="D103" s="44">
        <x:v>9</x:v>
      </x:c>
      <x:c r="E103" s="46" t="s">
        <x:v>96</x:v>
      </x:c>
      <x:c r="F103" s="46" t="s">
        <x:v>128</x:v>
      </x:c>
      <x:c r="G103" s="46" t="s">
        <x:v>138</x:v>
      </x:c>
      <x:c r="H103" s="44" t="s">
        <x:v>637</x:v>
      </x:c>
      <x:c r="I103" s="44">
        <x:v>1</x:v>
      </x:c>
      <x:c r="J103" s="46" t="s">
        <x:v>392</x:v>
      </x:c>
      <x:c r="K103" s="46" t="s">
        <x:v>724</x:v>
      </x:c>
      <x:c r="L103" s="44" t="s">
        <x:v>179</x:v>
      </x:c>
      <x:c r="M103" s="44" t="s">
        <x:v>731</x:v>
      </x:c>
      <x:c r="N103" s="47">
        <x:f t="shared" si="7"/>
        <x:v>0.13923611111111117</x:v>
      </x:c>
      <x:c r="O103" s="48" t="s">
        <x:v>469</x:v>
      </x:c>
      <x:c r="P103" s="49">
        <x:f>P102+11</x:f>
        <x:v>778</x:v>
      </x:c>
      <x:c r="Q103" s="50">
        <x:v>11</x:v>
      </x:c>
      <x:c r="R103" s="51">
        <x:f>$Q$3*P103*P103+$R$3*P103</x:f>
        <x:v>18275.220000000001</x:v>
      </x:c>
      <x:c r="S103" s="68"/>
      <x:c r="T103" s="68"/>
      <x:c r="U103" s="68"/>
      <x:c r="V103" s="68"/>
      <x:c r="W103" s="77" t="s">
        <x:v>195</x:v>
      </x:c>
      <x:c r="X103" s="77">
        <x:v>40</x:v>
      </x:c>
      <x:c r="Y103" s="68">
        <x:f>X103*0.8</x:f>
        <x:v>32</x:v>
      </x:c>
      <x:c r="Z103" s="68">
        <x:f>X103*0.6</x:f>
        <x:v>24</x:v>
      </x:c>
      <x:c r="AA103" s="68">
        <x:f>X103*0.5</x:f>
        <x:v>20</x:v>
      </x:c>
      <x:c r="AB103" s="74">
        <x:v>0.0020833333333333333</x:v>
      </x:c>
      <x:c r="AC103" s="74">
        <x:f ca="1">$AD103*1.45</x:f>
        <x:v>0.0030208333333333333</x:v>
      </x:c>
      <x:c r="AD103" s="74">
        <x:f ca="1">$AD103</x:f>
        <x:v>0.0020833333333333333</x:v>
      </x:c>
      <x:c r="AE103" s="74">
        <x:f ca="1">$AD103*0.75</x:f>
        <x:v>0.0015625</x:v>
      </x:c>
      <x:c r="AF103" s="49"/>
      <x:c r="AG103" s="49"/>
      <x:c r="AH103" s="49"/>
      <x:c r="AI103" s="49"/>
      <x:c r="AJ103" s="52"/>
    </x:row>
    <x:row r="104" spans="1:36" ht="81.95000000000000284217" customHeight="1">
      <x:c r="A104" s="55" t="s">
        <x:v>98</x:v>
      </x:c>
      <x:c r="B104" s="44">
        <x:v>100</x:v>
      </x:c>
      <x:c r="C104" s="44">
        <x:v>1</x:v>
      </x:c>
      <x:c r="D104" s="44">
        <x:v>8</x:v>
      </x:c>
      <x:c r="E104" s="46" t="s">
        <x:v>528</x:v>
      </x:c>
      <x:c r="F104" s="46" t="s">
        <x:v>243</x:v>
      </x:c>
      <x:c r="G104" s="46" t="s">
        <x:v>554</x:v>
      </x:c>
      <x:c r="H104" s="44" t="s">
        <x:v>132</x:v>
      </x:c>
      <x:c r="I104" s="44">
        <x:v>3</x:v>
      </x:c>
      <x:c r="J104" s="46" t="s">
        <x:v>445</x:v>
      </x:c>
      <x:c r="K104" s="46" t="s">
        <x:v>375</x:v>
      </x:c>
      <x:c r="L104" s="44" t="s">
        <x:v>354</x:v>
      </x:c>
      <x:c r="M104" s="44" t="s">
        <x:v>395</x:v>
      </x:c>
      <x:c r="N104" s="47">
        <x:f t="shared" si="7"/>
        <x:v>0.14050925925925933</x:v>
      </x:c>
      <x:c r="O104" s="48" t="s">
        <x:v>469</x:v>
      </x:c>
      <x:c r="P104" s="49">
        <x:f>P103+7</x:f>
        <x:v>785</x:v>
      </x:c>
      <x:c r="Q104" s="50">
        <x:v>7</x:v>
      </x:c>
      <x:c r="R104" s="51">
        <x:f>$Q$3*P104*P104+$R$3*P104</x:f>
        <x:v>18604.5</x:v>
      </x:c>
      <x:c r="S104" s="68"/>
      <x:c r="T104" s="68"/>
      <x:c r="U104" s="68"/>
      <x:c r="V104" s="68"/>
      <x:c r="W104" s="68"/>
      <x:c r="X104" s="68"/>
      <x:c r="Y104" s="68"/>
      <x:c r="Z104" s="68"/>
      <x:c r="AA104" s="68"/>
      <x:c r="AB104" s="68"/>
      <x:c r="AC104" s="69"/>
      <x:c r="AD104" s="69"/>
      <x:c r="AE104" s="49"/>
      <x:c r="AF104" s="49"/>
      <x:c r="AG104" s="49"/>
      <x:c r="AH104" s="49"/>
      <x:c r="AI104" s="49"/>
      <x:c r="AJ104" s="52"/>
    </x:row>
    <x:row r="105" spans="1:36" ht="81.95000000000000284217" customHeight="1">
      <x:c r="A105" s="56" t="s">
        <x:v>113</x:v>
      </x:c>
      <x:c r="B105" s="44">
        <x:v>101</x:v>
      </x:c>
      <x:c r="C105" s="44">
        <x:v>1</x:v>
      </x:c>
      <x:c r="D105" s="44">
        <x:v>8</x:v>
      </x:c>
      <x:c r="E105" s="46" t="s">
        <x:v>310</x:v>
      </x:c>
      <x:c r="F105" s="46" t="s">
        <x:v>645</x:v>
      </x:c>
      <x:c r="G105" s="46" t="s">
        <x:v>664</x:v>
      </x:c>
      <x:c r="H105" s="44" t="s">
        <x:v>126</x:v>
      </x:c>
      <x:c r="I105" s="44">
        <x:v>2</x:v>
      </x:c>
      <x:c r="J105" s="46" t="s">
        <x:v>109</x:v>
      </x:c>
      <x:c r="K105" s="46" t="s">
        <x:v>160</x:v>
      </x:c>
      <x:c r="L105" s="44" t="s">
        <x:v>360</x:v>
      </x:c>
      <x:c r="M105" s="44" t="s">
        <x:v>820</x:v>
      </x:c>
      <x:c r="N105" s="47">
        <x:f t="shared" si="7"/>
        <x:v>0.14166666666666675</x:v>
      </x:c>
      <x:c r="O105" s="48" t="s">
        <x:v>487</x:v>
      </x:c>
      <x:c r="P105" s="49">
        <x:f>P104+7</x:f>
        <x:v>792</x:v>
      </x:c>
      <x:c r="Q105" s="50">
        <x:v>7</x:v>
      </x:c>
      <x:c r="R105" s="51">
        <x:f>$Q$3*P105*P105+$R$3*P105</x:f>
        <x:v>18936.719999999998</x:v>
      </x:c>
      <x:c r="S105" s="68"/>
      <x:c r="T105" s="68"/>
      <x:c r="U105" s="68"/>
      <x:c r="V105" s="68"/>
      <x:c r="W105" s="68"/>
      <x:c r="X105" s="68"/>
      <x:c r="Y105" s="68"/>
      <x:c r="Z105" s="68"/>
      <x:c r="AA105" s="68"/>
      <x:c r="AB105" s="68"/>
      <x:c r="AC105" s="69"/>
      <x:c r="AD105" s="69"/>
      <x:c r="AE105" s="49"/>
      <x:c r="AF105" s="49"/>
      <x:c r="AG105" s="49"/>
      <x:c r="AH105" s="49"/>
      <x:c r="AI105" s="49"/>
      <x:c r="AJ105" s="52"/>
    </x:row>
    <x:row r="106" spans="1:36" ht="81.95000000000000284217" customHeight="1">
      <x:c r="A106" s="56" t="s">
        <x:v>113</x:v>
      </x:c>
      <x:c r="B106" s="44">
        <x:v>102</x:v>
      </x:c>
      <x:c r="C106" s="44">
        <x:v>1</x:v>
      </x:c>
      <x:c r="D106" s="44">
        <x:v>9</x:v>
      </x:c>
      <x:c r="E106" s="46" t="s">
        <x:v>477</x:v>
      </x:c>
      <x:c r="F106" s="46" t="s">
        <x:v>292</x:v>
      </x:c>
      <x:c r="G106" s="46" t="s">
        <x:v>593</x:v>
      </x:c>
      <x:c r="H106" s="44" t="s">
        <x:v>651</x:v>
      </x:c>
      <x:c r="I106" s="44">
        <x:v>4</x:v>
      </x:c>
      <x:c r="J106" s="46" t="s">
        <x:v>114</x:v>
      </x:c>
      <x:c r="K106" s="46" t="s">
        <x:v>160</x:v>
      </x:c>
      <x:c r="L106" s="44" t="s">
        <x:v>356</x:v>
      </x:c>
      <x:c r="M106" s="44" t="s">
        <x:v>706</x:v>
      </x:c>
      <x:c r="N106" s="47">
        <x:f t="shared" si="7"/>
        <x:v>0.14328703703703713</x:v>
      </x:c>
      <x:c r="O106" s="48" t="s">
        <x:v>487</x:v>
      </x:c>
      <x:c r="P106" s="49">
        <x:f>P105+9</x:f>
        <x:v>801</x:v>
      </x:c>
      <x:c r="Q106" s="50">
        <x:v>9</x:v>
      </x:c>
      <x:c r="R106" s="51">
        <x:f>$Q$3*P106*P106+$R$3*P106</x:f>
        <x:v>19368.18</x:v>
      </x:c>
      <x:c r="S106" s="68"/>
      <x:c r="T106" s="68"/>
      <x:c r="U106" s="68"/>
      <x:c r="V106" s="68"/>
      <x:c r="W106" s="68"/>
      <x:c r="X106" s="68"/>
      <x:c r="Y106" s="68"/>
      <x:c r="Z106" s="68"/>
      <x:c r="AA106" s="68"/>
      <x:c r="AB106" s="68"/>
      <x:c r="AC106" s="69"/>
      <x:c r="AD106" s="69"/>
      <x:c r="AE106" s="49"/>
      <x:c r="AF106" s="49"/>
      <x:c r="AG106" s="49"/>
      <x:c r="AH106" s="49"/>
      <x:c r="AI106" s="49"/>
      <x:c r="AJ106" s="52"/>
    </x:row>
    <x:row r="107" spans="1:36" ht="81.95000000000000284217" customHeight="1">
      <x:c r="A107" s="56" t="s">
        <x:v>113</x:v>
      </x:c>
      <x:c r="B107" s="44">
        <x:v>103</x:v>
      </x:c>
      <x:c r="C107" s="44">
        <x:v>5</x:v>
      </x:c>
      <x:c r="D107" s="44">
        <x:v>9</x:v>
      </x:c>
      <x:c r="E107" s="46" t="s">
        <x:v>506</x:v>
      </x:c>
      <x:c r="F107" s="46" t="s">
        <x:v>212</x:v>
      </x:c>
      <x:c r="G107" s="46" t="s">
        <x:v>648</x:v>
      </x:c>
      <x:c r="H107" s="44" t="s">
        <x:v>283</x:v>
      </x:c>
      <x:c r="I107" s="44">
        <x:v>1</x:v>
      </x:c>
      <x:c r="J107" s="46" t="s">
        <x:v>815</x:v>
      </x:c>
      <x:c r="K107" s="46" t="s">
        <x:v>160</x:v>
      </x:c>
      <x:c r="L107" s="44" t="s">
        <x:v>179</x:v>
      </x:c>
      <x:c r="M107" s="44" t="s">
        <x:v>778</x:v>
      </x:c>
      <x:c r="N107" s="47">
        <x:f t="shared" si="7"/>
        <x:v>0.14537037037037046</x:v>
      </x:c>
      <x:c r="O107" s="48" t="s">
        <x:v>487</x:v>
      </x:c>
      <x:c r="P107" s="49">
        <x:f>P106+11</x:f>
        <x:v>812</x:v>
      </x:c>
      <x:c r="Q107" s="50">
        <x:v>11</x:v>
      </x:c>
      <x:c r="R107" s="51">
        <x:f>$Q$3*P107*P107+$R$3*P107</x:f>
        <x:v>19902.119999999999</x:v>
      </x:c>
      <x:c r="S107" s="68"/>
      <x:c r="T107" s="68"/>
      <x:c r="U107" s="68"/>
      <x:c r="V107" s="68"/>
      <x:c r="W107" s="68"/>
      <x:c r="X107" s="68"/>
      <x:c r="Y107" s="68"/>
      <x:c r="Z107" s="68"/>
      <x:c r="AA107" s="68"/>
      <x:c r="AB107" s="68"/>
      <x:c r="AC107" s="69"/>
      <x:c r="AD107" s="69"/>
      <x:c r="AE107" s="49"/>
      <x:c r="AF107" s="49"/>
      <x:c r="AG107" s="49"/>
      <x:c r="AH107" s="49"/>
      <x:c r="AI107" s="49"/>
      <x:c r="AJ107" s="52"/>
    </x:row>
    <x:row r="108" spans="1:36" ht="81.95000000000000284217" customHeight="1">
      <x:c r="A108" s="56" t="s">
        <x:v>113</x:v>
      </x:c>
      <x:c r="B108" s="44">
        <x:v>104</x:v>
      </x:c>
      <x:c r="C108" s="44">
        <x:v>6</x:v>
      </x:c>
      <x:c r="D108" s="44">
        <x:v>10</x:v>
      </x:c>
      <x:c r="E108" s="46" t="s">
        <x:v>30</x:v>
      </x:c>
      <x:c r="F108" s="46" t="s">
        <x:v>763</x:v>
      </x:c>
      <x:c r="G108" s="46" t="s">
        <x:v>668</x:v>
      </x:c>
      <x:c r="H108" s="44" t="s">
        <x:v>278</x:v>
      </x:c>
      <x:c r="I108" s="44">
        <x:v>3</x:v>
      </x:c>
      <x:c r="J108" s="46" t="s">
        <x:v>493</x:v>
      </x:c>
      <x:c r="K108" s="46" t="s">
        <x:v>733</x:v>
      </x:c>
      <x:c r="L108" s="44" t="s">
        <x:v>355</x:v>
      </x:c>
      <x:c r="M108" s="44" t="s">
        <x:v>418</x:v>
      </x:c>
      <x:c r="N108" s="47">
        <x:f t="shared" si="7"/>
        <x:v>0.14687500000000009</x:v>
      </x:c>
      <x:c r="O108" s="48" t="s">
        <x:v>40</x:v>
      </x:c>
      <x:c r="P108" s="49">
        <x:f>P107+10</x:f>
        <x:v>822</x:v>
      </x:c>
      <x:c r="Q108" s="50">
        <x:v>10</x:v>
      </x:c>
      <x:c r="R108" s="51">
        <x:f>$Q$3*P108*P108+$R$3*P108</x:f>
        <x:v>20393.82</x:v>
      </x:c>
      <x:c r="S108" s="68"/>
      <x:c r="T108" s="68"/>
      <x:c r="U108" s="68"/>
      <x:c r="V108" s="68"/>
      <x:c r="W108" s="68"/>
      <x:c r="X108" s="68"/>
      <x:c r="Y108" s="68"/>
      <x:c r="Z108" s="68"/>
      <x:c r="AA108" s="68"/>
      <x:c r="AB108" s="68"/>
      <x:c r="AC108" s="69"/>
      <x:c r="AD108" s="69"/>
      <x:c r="AE108" s="49"/>
      <x:c r="AF108" s="49"/>
      <x:c r="AG108" s="49"/>
      <x:c r="AH108" s="49"/>
      <x:c r="AI108" s="49"/>
      <x:c r="AJ108" s="52"/>
    </x:row>
    <x:row r="109" spans="1:36" ht="81.95000000000000284217" customHeight="1">
      <x:c r="A109" s="56" t="s">
        <x:v>113</x:v>
      </x:c>
      <x:c r="B109" s="44">
        <x:v>105</x:v>
      </x:c>
      <x:c r="C109" s="44">
        <x:v>5</x:v>
      </x:c>
      <x:c r="D109" s="44">
        <x:v>9</x:v>
      </x:c>
      <x:c r="E109" s="46" t="s">
        <x:v>38</x:v>
      </x:c>
      <x:c r="F109" s="46" t="s">
        <x:v>116</x:v>
      </x:c>
      <x:c r="G109" s="46" t="s">
        <x:v>649</x:v>
      </x:c>
      <x:c r="H109" s="44" t="s">
        <x:v>562</x:v>
      </x:c>
      <x:c r="I109" s="44">
        <x:v>8</x:v>
      </x:c>
      <x:c r="J109" s="46" t="s">
        <x:v>32</x:v>
      </x:c>
      <x:c r="K109" s="46" t="s">
        <x:v>808</x:v>
      </x:c>
      <x:c r="L109" s="44" t="s">
        <x:v>344</x:v>
      </x:c>
      <x:c r="M109" s="44" t="s">
        <x:v>712</x:v>
      </x:c>
      <x:c r="N109" s="47">
        <x:f t="shared" si="7"/>
        <x:v>0.14942129629629639</x:v>
      </x:c>
      <x:c r="O109" s="48" t="s">
        <x:v>40</x:v>
      </x:c>
      <x:c r="P109" s="49">
        <x:f>P108+13</x:f>
        <x:v>835</x:v>
      </x:c>
      <x:c r="Q109" s="50">
        <x:v>13</x:v>
      </x:c>
      <x:c r="R109" s="51">
        <x:f>$Q$3*P109*P109+$R$3*P109</x:f>
        <x:v>21042</x:v>
      </x:c>
      <x:c r="S109" s="68"/>
      <x:c r="T109" s="68"/>
      <x:c r="U109" s="68"/>
      <x:c r="V109" s="68"/>
      <x:c r="W109" s="68"/>
      <x:c r="X109" s="68"/>
      <x:c r="Y109" s="68"/>
      <x:c r="Z109" s="68"/>
      <x:c r="AA109" s="68"/>
      <x:c r="AB109" s="68"/>
      <x:c r="AC109" s="69"/>
      <x:c r="AD109" s="69"/>
      <x:c r="AE109" s="49"/>
      <x:c r="AF109" s="49"/>
      <x:c r="AG109" s="49"/>
      <x:c r="AH109" s="49"/>
      <x:c r="AI109" s="49"/>
      <x:c r="AJ109" s="52"/>
    </x:row>
    <x:row r="110" spans="1:36" ht="81.95000000000000284217" customHeight="1">
      <x:c r="A110" s="56" t="s">
        <x:v>113</x:v>
      </x:c>
      <x:c r="B110" s="44">
        <x:v>106</x:v>
      </x:c>
      <x:c r="C110" s="44">
        <x:v>2</x:v>
      </x:c>
      <x:c r="D110" s="44">
        <x:v>10</x:v>
      </x:c>
      <x:c r="E110" s="46" t="s">
        <x:v>31</x:v>
      </x:c>
      <x:c r="F110" s="46" t="s">
        <x:v>137</x:v>
      </x:c>
      <x:c r="G110" s="46" t="s">
        <x:v>670</x:v>
      </x:c>
      <x:c r="H110" s="44" t="s">
        <x:v>273</x:v>
      </x:c>
      <x:c r="I110" s="44">
        <x:v>5</x:v>
      </x:c>
      <x:c r="J110" s="46" t="s">
        <x:v>470</x:v>
      </x:c>
      <x:c r="K110" s="46" t="s">
        <x:v>160</x:v>
      </x:c>
      <x:c r="L110" s="44" t="s">
        <x:v>359</x:v>
      </x:c>
      <x:c r="M110" s="44" t="s">
        <x:v>807</x:v>
      </x:c>
      <x:c r="N110" s="47">
        <x:f t="shared" si="7"/>
        <x:v>0.15185185185185193</x:v>
      </x:c>
      <x:c r="O110" s="48" t="s">
        <x:v>40</x:v>
      </x:c>
      <x:c r="P110" s="49">
        <x:f>P109+12</x:f>
        <x:v>847</x:v>
      </x:c>
      <x:c r="Q110" s="50">
        <x:v>12</x:v>
      </x:c>
      <x:c r="R110" s="51">
        <x:f>$Q$3*P110*P110+$R$3*P110</x:f>
        <x:v>21649.32</x:v>
      </x:c>
      <x:c r="S110" s="68"/>
      <x:c r="T110" s="68"/>
      <x:c r="U110" s="68"/>
      <x:c r="V110" s="68"/>
      <x:c r="W110" s="68"/>
      <x:c r="X110" s="68"/>
      <x:c r="Y110" s="68"/>
      <x:c r="Z110" s="68"/>
      <x:c r="AA110" s="68"/>
      <x:c r="AB110" s="68"/>
      <x:c r="AC110" s="69"/>
      <x:c r="AD110" s="69"/>
      <x:c r="AE110" s="49"/>
      <x:c r="AF110" s="49"/>
      <x:c r="AG110" s="49"/>
      <x:c r="AH110" s="49"/>
      <x:c r="AI110" s="49"/>
      <x:c r="AJ110" s="52"/>
    </x:row>
    <x:row r="111" spans="1:36" ht="81.95000000000000284217" customHeight="1">
      <x:c r="A111" s="56" t="s">
        <x:v>113</x:v>
      </x:c>
      <x:c r="B111" s="44">
        <x:v>107</x:v>
      </x:c>
      <x:c r="C111" s="44">
        <x:v>7</x:v>
      </x:c>
      <x:c r="D111" s="44">
        <x:v>10</x:v>
      </x:c>
      <x:c r="E111" s="46" t="s">
        <x:v>503</x:v>
      </x:c>
      <x:c r="F111" s="46" t="s">
        <x:v>272</x:v>
      </x:c>
      <x:c r="G111" s="46" t="s">
        <x:v>629</x:v>
      </x:c>
      <x:c r="H111" s="44" t="s">
        <x:v>671</x:v>
      </x:c>
      <x:c r="I111" s="44">
        <x:v>6</x:v>
      </x:c>
      <x:c r="J111" s="46" t="s">
        <x:v>513</x:v>
      </x:c>
      <x:c r="K111" s="46" t="s">
        <x:v>832</x:v>
      </x:c>
      <x:c r="L111" s="44" t="s">
        <x:v>348</x:v>
      </x:c>
      <x:c r="M111" s="44" t="s">
        <x:v>386</x:v>
      </x:c>
      <x:c r="N111" s="47">
        <x:f t="shared" si="7"/>
        <x:v>0.1548611111111112</x:v>
      </x:c>
      <x:c r="O111" s="48" t="s">
        <x:v>40</x:v>
      </x:c>
      <x:c r="P111" s="49">
        <x:f>P110+15</x:f>
        <x:v>862</x:v>
      </x:c>
      <x:c r="Q111" s="50">
        <x:v>15</x:v>
      </x:c>
      <x:c r="R111" s="51">
        <x:f>$Q$3*P111*P111+$R$3*P111</x:f>
        <x:v>22420.619999999999</x:v>
      </x:c>
      <x:c r="S111" s="68">
        <x:f t="shared" si="5"/>
        <x:v>7473.54</x:v>
      </x:c>
      <x:c r="T111" s="68">
        <x:v>20</x:v>
      </x:c>
      <x:c r="U111" s="68">
        <x:f t="shared" si="6"/>
        <x:v>60</x:v>
      </x:c>
      <x:c r="V111" s="68">
        <x:v>3</x:v>
      </x:c>
      <x:c r="W111" s="77"/>
      <x:c r="X111" s="77"/>
      <x:c r="Y111" s="68"/>
      <x:c r="Z111" s="68"/>
      <x:c r="AA111" s="68"/>
      <x:c r="AB111" s="74"/>
      <x:c r="AC111" s="74"/>
      <x:c r="AD111" s="74"/>
      <x:c r="AE111" s="74"/>
      <x:c r="AF111" s="49"/>
      <x:c r="AG111" s="49"/>
      <x:c r="AH111" s="49"/>
      <x:c r="AI111" s="49"/>
      <x:c r="AJ111" s="52"/>
    </x:row>
    <x:row r="112" spans="1:36" ht="81.95000000000000284217" customHeight="1">
      <x:c r="A112" s="56" t="s">
        <x:v>113</x:v>
      </x:c>
      <x:c r="B112" s="44">
        <x:v>108</x:v>
      </x:c>
      <x:c r="C112" s="44">
        <x:v>9</x:v>
      </x:c>
      <x:c r="D112" s="44">
        <x:v>10</x:v>
      </x:c>
      <x:c r="E112" s="46" t="s">
        <x:v>524</x:v>
      </x:c>
      <x:c r="F112" s="46" t="s">
        <x:v>767</x:v>
      </x:c>
      <x:c r="G112" s="46" t="s">
        <x:v>660</x:v>
      </x:c>
      <x:c r="H112" s="44" t="s">
        <x:v>598</x:v>
      </x:c>
      <x:c r="I112" s="44">
        <x:v>10</x:v>
      </x:c>
      <x:c r="J112" s="46" t="s">
        <x:v>416</x:v>
      </x:c>
      <x:c r="K112" s="46" t="s">
        <x:v>811</x:v>
      </x:c>
      <x:c r="L112" s="44" t="s">
        <x:v>170</x:v>
      </x:c>
      <x:c r="M112" s="44" t="s">
        <x:v>809</x:v>
      </x:c>
      <x:c r="N112" s="47">
        <x:f t="shared" si="7"/>
        <x:v>0.15902777777777788</x:v>
      </x:c>
      <x:c r="O112" s="48" t="s">
        <x:v>40</x:v>
      </x:c>
      <x:c r="P112" s="49">
        <x:f>P111+19</x:f>
        <x:v>881</x:v>
      </x:c>
      <x:c r="Q112" s="50">
        <x:v>19</x:v>
      </x:c>
      <x:c r="R112" s="51">
        <x:f>$Q$3*P112*P112+$R$3*P112</x:f>
        <x:v>23416.98</x:v>
      </x:c>
      <x:c r="S112" s="68">
        <x:f t="shared" si="5"/>
        <x:v>2341.6979999999999</x:v>
      </x:c>
      <x:c r="T112" s="68">
        <x:v>10</x:v>
      </x:c>
      <x:c r="U112" s="68">
        <x:f t="shared" si="6"/>
        <x:v>100</x:v>
      </x:c>
      <x:c r="V112" s="68">
        <x:v>10</x:v>
      </x:c>
      <x:c r="W112" s="77" t="s">
        <x:v>630</x:v>
      </x:c>
      <x:c r="X112" s="77">
        <x:f ca="1">ROUND($X112*1,0)</x:f>
        <x:v>80</x:v>
      </x:c>
      <x:c r="Y112" s="68">
        <x:f ca="1">X112*0.8</x:f>
        <x:v>64</x:v>
      </x:c>
      <x:c r="Z112" s="68">
        <x:f ca="1">X112*0.6</x:f>
        <x:v>48</x:v>
      </x:c>
      <x:c r="AA112" s="68">
        <x:f ca="1">X112*0.5</x:f>
        <x:v>40</x:v>
      </x:c>
      <x:c r="AB112" s="74">
        <x:v>0.0041666666666666666</x:v>
      </x:c>
      <x:c r="AC112" s="74">
        <x:f ca="1">$AD112*1.55</x:f>
        <x:v>0.0064583333333333333</x:v>
      </x:c>
      <x:c r="AD112" s="74">
        <x:f ca="1">$AD112</x:f>
        <x:v>0.0041666666666666666</x:v>
      </x:c>
      <x:c r="AE112" s="74">
        <x:f ca="1">$AD112*0.7</x:f>
        <x:v>0.0029166666666666664</x:v>
      </x:c>
      <x:c r="AF112" s="49"/>
      <x:c r="AG112" s="49"/>
      <x:c r="AH112" s="49"/>
      <x:c r="AI112" s="49"/>
      <x:c r="AJ112" s="52"/>
    </x:row>
    <x:row r="113" spans="1:36" ht="81.95000000000000284217" customHeight="1">
      <x:c r="A113" s="56" t="s">
        <x:v>113</x:v>
      </x:c>
      <x:c r="B113" s="44">
        <x:v>109</x:v>
      </x:c>
      <x:c r="C113" s="44">
        <x:v>6</x:v>
      </x:c>
      <x:c r="D113" s="44">
        <x:v>10</x:v>
      </x:c>
      <x:c r="E113" s="46" t="s">
        <x:v>509</x:v>
      </x:c>
      <x:c r="F113" s="46" t="s">
        <x:v>255</x:v>
      </x:c>
      <x:c r="G113" s="46" t="s">
        <x:v>669</x:v>
      </x:c>
      <x:c r="H113" s="44" t="s">
        <x:v>667</x:v>
      </x:c>
      <x:c r="I113" s="44">
        <x:v>1</x:v>
      </x:c>
      <x:c r="J113" s="46" t="s">
        <x:v>322</x:v>
      </x:c>
      <x:c r="K113" s="46" t="s">
        <x:v>818</x:v>
      </x:c>
      <x:c r="L113" s="44" t="s">
        <x:v>305</x:v>
      </x:c>
      <x:c r="M113" s="44" t="s">
        <x:v>391</x:v>
      </x:c>
      <x:c r="N113" s="47">
        <x:f t="shared" si="7"/>
        <x:v>0.16076388888888898</x:v>
      </x:c>
      <x:c r="O113" s="48" t="s">
        <x:v>502</x:v>
      </x:c>
      <x:c r="P113" s="49">
        <x:f>P112+11</x:f>
        <x:v>892</x:v>
      </x:c>
      <x:c r="Q113" s="50">
        <x:v>11</x:v>
      </x:c>
      <x:c r="R113" s="51">
        <x:f>$Q$3*P113*P113+$R$3*P113</x:f>
        <x:v>24003.719999999998</x:v>
      </x:c>
      <x:c r="S113" s="68"/>
      <x:c r="T113" s="68"/>
      <x:c r="U113" s="68"/>
      <x:c r="V113" s="68"/>
      <x:c r="W113" s="68"/>
      <x:c r="X113" s="68"/>
      <x:c r="Y113" s="68"/>
      <x:c r="Z113" s="68"/>
      <x:c r="AA113" s="68"/>
      <x:c r="AB113" s="68"/>
      <x:c r="AC113" s="69"/>
      <x:c r="AD113" s="69"/>
      <x:c r="AE113" s="49"/>
      <x:c r="AF113" s="49"/>
      <x:c r="AG113" s="49"/>
      <x:c r="AH113" s="49"/>
      <x:c r="AI113" s="49"/>
      <x:c r="AJ113" s="52"/>
    </x:row>
    <x:row r="114" spans="1:36" ht="81.95000000000000284217" customHeight="1">
      <x:c r="A114" s="56" t="s">
        <x:v>113</x:v>
      </x:c>
      <x:c r="B114" s="44">
        <x:v>110</x:v>
      </x:c>
      <x:c r="C114" s="44">
        <x:v>1</x:v>
      </x:c>
      <x:c r="D114" s="44">
        <x:v>10</x:v>
      </x:c>
      <x:c r="E114" s="46" t="s">
        <x:v>39</x:v>
      </x:c>
      <x:c r="F114" s="46" t="s">
        <x:v>142</x:v>
      </x:c>
      <x:c r="G114" s="46" t="s">
        <x:v>591</x:v>
      </x:c>
      <x:c r="H114" s="44" t="s">
        <x:v>241</x:v>
      </x:c>
      <x:c r="I114" s="44">
        <x:v>4</x:v>
      </x:c>
      <x:c r="J114" s="46" t="s">
        <x:v>521</x:v>
      </x:c>
      <x:c r="K114" s="46" t="s">
        <x:v>160</x:v>
      </x:c>
      <x:c r="L114" s="44" t="s">
        <x:v>304</x:v>
      </x:c>
      <x:c r="M114" s="44" t="s">
        <x:v>814</x:v>
      </x:c>
      <x:c r="N114" s="47">
        <x:f t="shared" si="7"/>
        <x:v>0.16296296296296306</x:v>
      </x:c>
      <x:c r="O114" s="48" t="s">
        <x:v>502</x:v>
      </x:c>
      <x:c r="P114" s="49">
        <x:f>P113+11</x:f>
        <x:v>903</x:v>
      </x:c>
      <x:c r="Q114" s="50">
        <x:v>11</x:v>
      </x:c>
      <x:c r="R114" s="51">
        <x:f>$Q$3*P114*P114+$R$3*P114</x:f>
        <x:v>24597.720000000001</x:v>
      </x:c>
      <x:c r="S114" s="68"/>
      <x:c r="T114" s="68"/>
      <x:c r="U114" s="68"/>
      <x:c r="V114" s="68"/>
      <x:c r="W114" s="68"/>
      <x:c r="X114" s="68"/>
      <x:c r="Y114" s="68"/>
      <x:c r="Z114" s="68"/>
      <x:c r="AA114" s="68"/>
      <x:c r="AB114" s="68"/>
      <x:c r="AC114" s="69"/>
      <x:c r="AD114" s="69"/>
      <x:c r="AE114" s="49"/>
      <x:c r="AF114" s="49"/>
      <x:c r="AG114" s="49"/>
      <x:c r="AH114" s="49"/>
      <x:c r="AI114" s="49"/>
      <x:c r="AJ114" s="52"/>
    </x:row>
    <x:row r="115" spans="1:36" ht="81.95000000000000284217" customHeight="1">
      <x:c r="A115" s="56" t="s">
        <x:v>113</x:v>
      </x:c>
      <x:c r="B115" s="44">
        <x:v>111</x:v>
      </x:c>
      <x:c r="C115" s="44">
        <x:v>1</x:v>
      </x:c>
      <x:c r="D115" s="44">
        <x:v>10</x:v>
      </x:c>
      <x:c r="E115" s="46" t="s">
        <x:v>516</x:v>
      </x:c>
      <x:c r="F115" s="46" t="s">
        <x:v>133</x:v>
      </x:c>
      <x:c r="G115" s="46" t="s">
        <x:v>635</x:v>
      </x:c>
      <x:c r="H115" s="44" t="s">
        <x:v>124</x:v>
      </x:c>
      <x:c r="I115" s="44">
        <x:v>3</x:v>
      </x:c>
      <x:c r="J115" s="46" t="s">
        <x:v>340</x:v>
      </x:c>
      <x:c r="K115" s="46" t="s">
        <x:v>160</x:v>
      </x:c>
      <x:c r="L115" s="44" t="s">
        <x:v>307</x:v>
      </x:c>
      <x:c r="M115" s="44" t="s">
        <x:v>403</x:v>
      </x:c>
      <x:c r="N115" s="47">
        <x:f t="shared" si="7"/>
        <x:v>0.16481481481481491</x:v>
      </x:c>
      <x:c r="O115" s="48" t="s">
        <x:v>502</x:v>
      </x:c>
      <x:c r="P115" s="49">
        <x:f>P114+10</x:f>
        <x:v>913</x:v>
      </x:c>
      <x:c r="Q115" s="50">
        <x:v>10</x:v>
      </x:c>
      <x:c r="R115" s="51">
        <x:f>$Q$3*P115*P115+$R$3*P115</x:f>
        <x:v>25144.02</x:v>
      </x:c>
      <x:c r="S115" s="68"/>
      <x:c r="T115" s="68"/>
      <x:c r="U115" s="68"/>
      <x:c r="V115" s="68"/>
      <x:c r="W115" s="68"/>
      <x:c r="X115" s="68"/>
      <x:c r="Y115" s="68"/>
      <x:c r="Z115" s="68"/>
      <x:c r="AA115" s="68"/>
      <x:c r="AB115" s="68"/>
      <x:c r="AC115" s="69"/>
      <x:c r="AD115" s="69"/>
      <x:c r="AE115" s="49"/>
      <x:c r="AF115" s="49"/>
      <x:c r="AG115" s="49"/>
      <x:c r="AH115" s="49"/>
      <x:c r="AI115" s="49"/>
      <x:c r="AJ115" s="52"/>
    </x:row>
    <x:row r="116" spans="1:36" ht="81.95000000000000284217" customHeight="1">
      <x:c r="A116" s="56" t="s">
        <x:v>113</x:v>
      </x:c>
      <x:c r="B116" s="44">
        <x:v>112</x:v>
      </x:c>
      <x:c r="C116" s="44">
        <x:v>1</x:v>
      </x:c>
      <x:c r="D116" s="44">
        <x:v>10</x:v>
      </x:c>
      <x:c r="E116" s="46" t="s">
        <x:v>4</x:v>
      </x:c>
      <x:c r="F116" s="46" t="s">
        <x:v>247</x:v>
      </x:c>
      <x:c r="G116" s="46" t="s">
        <x:v>540</x:v>
      </x:c>
      <x:c r="H116" s="44" t="s">
        <x:v>293</x:v>
      </x:c>
      <x:c r="I116" s="44">
        <x:v>3</x:v>
      </x:c>
      <x:c r="J116" s="46" t="s">
        <x:v>6</x:v>
      </x:c>
      <x:c r="K116" s="46" t="s">
        <x:v>160</x:v>
      </x:c>
      <x:c r="L116" s="44" t="s">
        <x:v>305</x:v>
      </x:c>
      <x:c r="M116" s="44" t="s">
        <x:v>719</x:v>
      </x:c>
      <x:c r="N116" s="47">
        <x:f t="shared" si="7"/>
        <x:v>0.16655092592592602</x:v>
      </x:c>
      <x:c r="O116" s="48" t="s">
        <x:v>502</x:v>
      </x:c>
      <x:c r="P116" s="49">
        <x:f>P115+9</x:f>
        <x:v>922</x:v>
      </x:c>
      <x:c r="Q116" s="50">
        <x:v>9</x:v>
      </x:c>
      <x:c r="R116" s="51">
        <x:f>$Q$3*P116*P116+$R$3*P116</x:f>
        <x:v>25640.82</x:v>
      </x:c>
      <x:c r="S116" s="68"/>
      <x:c r="T116" s="68"/>
      <x:c r="U116" s="68"/>
      <x:c r="V116" s="68"/>
      <x:c r="W116" s="68"/>
      <x:c r="X116" s="68"/>
      <x:c r="Y116" s="68"/>
      <x:c r="Z116" s="68"/>
      <x:c r="AA116" s="68"/>
      <x:c r="AB116" s="68"/>
      <x:c r="AC116" s="69"/>
      <x:c r="AD116" s="69"/>
      <x:c r="AE116" s="49"/>
      <x:c r="AF116" s="49"/>
      <x:c r="AG116" s="49"/>
      <x:c r="AH116" s="49"/>
      <x:c r="AI116" s="49"/>
      <x:c r="AJ116" s="52"/>
    </x:row>
    <x:row r="117" spans="1:36" ht="81.95000000000000284217" customHeight="1">
      <x:c r="A117" s="56" t="s">
        <x:v>113</x:v>
      </x:c>
      <x:c r="B117" s="44">
        <x:v>113</x:v>
      </x:c>
      <x:c r="C117" s="44">
        <x:v>4</x:v>
      </x:c>
      <x:c r="D117" s="44">
        <x:v>10</x:v>
      </x:c>
      <x:c r="E117" s="46" t="s">
        <x:v>9</x:v>
      </x:c>
      <x:c r="F117" s="46" t="s">
        <x:v>136</x:v>
      </x:c>
      <x:c r="G117" s="46" t="s">
        <x:v>655</x:v>
      </x:c>
      <x:c r="H117" s="44" t="s">
        <x:v>534</x:v>
      </x:c>
      <x:c r="I117" s="44">
        <x:v>5</x:v>
      </x:c>
      <x:c r="J117" s="46" t="s">
        <x:v>8</x:v>
      </x:c>
      <x:c r="K117" s="46" t="s">
        <x:v>804</x:v>
      </x:c>
      <x:c r="L117" s="44" t="s">
        <x:v>351</x:v>
      </x:c>
      <x:c r="M117" s="44" t="s">
        <x:v>823</x:v>
      </x:c>
      <x:c r="N117" s="47">
        <x:f t="shared" si="7"/>
        <x:v>0.16886574074074084</x:v>
      </x:c>
      <x:c r="O117" s="48" t="s">
        <x:v>502</x:v>
      </x:c>
      <x:c r="P117" s="49">
        <x:f>P116+12</x:f>
        <x:v>934</x:v>
      </x:c>
      <x:c r="Q117" s="50">
        <x:v>12</x:v>
      </x:c>
      <x:c r="R117" s="51">
        <x:f>$Q$3*P117*P117+$R$3*P117</x:f>
        <x:v>26310.779999999999</x:v>
      </x:c>
      <x:c r="S117" s="68"/>
      <x:c r="T117" s="68"/>
      <x:c r="U117" s="68"/>
      <x:c r="V117" s="68"/>
      <x:c r="W117" s="68"/>
      <x:c r="X117" s="68"/>
      <x:c r="Y117" s="68"/>
      <x:c r="Z117" s="68"/>
      <x:c r="AA117" s="68"/>
      <x:c r="AB117" s="68"/>
      <x:c r="AC117" s="69"/>
      <x:c r="AD117" s="69"/>
      <x:c r="AE117" s="49"/>
      <x:c r="AF117" s="49"/>
      <x:c r="AG117" s="49"/>
      <x:c r="AH117" s="49"/>
      <x:c r="AI117" s="49"/>
      <x:c r="AJ117" s="52"/>
    </x:row>
    <x:row r="118" spans="1:36" ht="81.95000000000000284217" customHeight="1">
      <x:c r="A118" s="56" t="s">
        <x:v>113</x:v>
      </x:c>
      <x:c r="B118" s="44">
        <x:v>114</x:v>
      </x:c>
      <x:c r="C118" s="44">
        <x:v>7</x:v>
      </x:c>
      <x:c r="D118" s="44">
        <x:v>10</x:v>
      </x:c>
      <x:c r="E118" s="46" t="s">
        <x:v>5</x:v>
      </x:c>
      <x:c r="F118" s="46" t="s">
        <x:v>122</x:v>
      </x:c>
      <x:c r="G118" s="46" t="s">
        <x:v>530</x:v>
      </x:c>
      <x:c r="H118" s="44" t="s">
        <x:v>666</x:v>
      </x:c>
      <x:c r="I118" s="44">
        <x:v>4</x:v>
      </x:c>
      <x:c r="J118" s="46" t="s">
        <x:v>512</x:v>
      </x:c>
      <x:c r="K118" s="46" t="s">
        <x:v>714</x:v>
      </x:c>
      <x:c r="L118" s="44" t="s">
        <x:v>179</x:v>
      </x:c>
      <x:c r="M118" s="44" t="s">
        <x:v>410</x:v>
      </x:c>
      <x:c r="N118" s="47">
        <x:f t="shared" si="7"/>
        <x:v>0.17094907407407417</x:v>
      </x:c>
      <x:c r="O118" s="48" t="s">
        <x:v>502</x:v>
      </x:c>
      <x:c r="P118" s="49">
        <x:f>P117+12</x:f>
        <x:v>946</x:v>
      </x:c>
      <x:c r="Q118" s="50">
        <x:v>12</x:v>
      </x:c>
      <x:c r="R118" s="51">
        <x:f>$Q$3*P118*P118+$R$3*P118</x:f>
        <x:v>26989.380000000001</x:v>
      </x:c>
      <x:c r="S118" s="68"/>
      <x:c r="T118" s="68"/>
      <x:c r="U118" s="68"/>
      <x:c r="V118" s="68"/>
      <x:c r="W118" s="68" t="s">
        <x:v>650</x:v>
      </x:c>
      <x:c r="X118" s="77">
        <x:f ca="1">ROUND($X118*1,0)</x:f>
        <x:v>60</x:v>
      </x:c>
      <x:c r="Y118" s="68">
        <x:f ca="1">X118*0.8</x:f>
        <x:v>48</x:v>
      </x:c>
      <x:c r="Z118" s="68">
        <x:f ca="1">X118*0.6</x:f>
        <x:v>36</x:v>
      </x:c>
      <x:c r="AA118" s="68">
        <x:f ca="1">X118*0.5</x:f>
        <x:v>30</x:v>
      </x:c>
      <x:c r="AB118" s="74">
        <x:v>0.0061342592592592594</x:v>
      </x:c>
      <x:c r="AC118" s="74">
        <x:f ca="1">$AD118*1.5</x:f>
        <x:v>0.0092013888888888892</x:v>
      </x:c>
      <x:c r="AD118" s="74">
        <x:f ca="1">$AD118</x:f>
        <x:v>0.0061342592592592594</x:v>
      </x:c>
      <x:c r="AE118" s="74">
        <x:f ca="1">$AD118*0.75</x:f>
        <x:v>0.0046006944444444446</x:v>
      </x:c>
      <x:c r="AF118" s="49"/>
      <x:c r="AG118" s="49"/>
      <x:c r="AH118" s="49"/>
      <x:c r="AI118" s="49"/>
      <x:c r="AJ118" s="52"/>
    </x:row>
    <x:row r="119" spans="1:36" ht="81.95000000000000284217" customHeight="1">
      <x:c r="A119" s="56" t="s">
        <x:v>113</x:v>
      </x:c>
      <x:c r="B119" s="44">
        <x:v>115</x:v>
      </x:c>
      <x:c r="C119" s="44">
        <x:v>6</x:v>
      </x:c>
      <x:c r="D119" s="44">
        <x:v>10</x:v>
      </x:c>
      <x:c r="E119" s="46" t="s">
        <x:v>7</x:v>
      </x:c>
      <x:c r="F119" s="46" t="s">
        <x:v>117</x:v>
      </x:c>
      <x:c r="G119" s="46" t="s">
        <x:v>627</x:v>
      </x:c>
      <x:c r="H119" s="44" t="s">
        <x:v>543</x:v>
      </x:c>
      <x:c r="I119" s="44">
        <x:v>6</x:v>
      </x:c>
      <x:c r="J119" s="46" t="s">
        <x:v>518</x:v>
      </x:c>
      <x:c r="K119" s="46" t="s">
        <x:v>704</x:v>
      </x:c>
      <x:c r="L119" s="44" t="s">
        <x:v>344</x:v>
      </x:c>
      <x:c r="M119" s="44" t="s">
        <x:v>837</x:v>
      </x:c>
      <x:c r="N119" s="47">
        <x:f t="shared" si="7"/>
        <x:v>0.17349537037037047</x:v>
      </x:c>
      <x:c r="O119" s="48" t="s">
        <x:v>502</x:v>
      </x:c>
      <x:c r="P119" s="49">
        <x:f>P118+14</x:f>
        <x:v>960</x:v>
      </x:c>
      <x:c r="Q119" s="50">
        <x:v>14</x:v>
      </x:c>
      <x:c r="R119" s="51">
        <x:f>$Q$3*P119*P119+$R$3*P119</x:f>
        <x:v>27791.999999999996</x:v>
      </x:c>
      <x:c r="S119" s="68"/>
      <x:c r="T119" s="68"/>
      <x:c r="U119" s="68"/>
      <x:c r="V119" s="68"/>
      <x:c r="W119" s="68"/>
      <x:c r="X119" s="68"/>
      <x:c r="Y119" s="68"/>
      <x:c r="Z119" s="68"/>
      <x:c r="AA119" s="68"/>
      <x:c r="AB119" s="68"/>
      <x:c r="AC119" s="69"/>
      <x:c r="AD119" s="69"/>
      <x:c r="AE119" s="49"/>
      <x:c r="AF119" s="49"/>
      <x:c r="AG119" s="49"/>
      <x:c r="AH119" s="49"/>
      <x:c r="AI119" s="49"/>
      <x:c r="AJ119" s="52"/>
    </x:row>
    <x:row r="120" spans="1:36" ht="81.95000000000000284217" customHeight="1">
      <x:c r="A120" s="56" t="s">
        <x:v>113</x:v>
      </x:c>
      <x:c r="B120" s="44">
        <x:v>116</x:v>
      </x:c>
      <x:c r="C120" s="44">
        <x:v>1</x:v>
      </x:c>
      <x:c r="D120" s="44">
        <x:v>10</x:v>
      </x:c>
      <x:c r="E120" s="46" t="s">
        <x:v>10</x:v>
      </x:c>
      <x:c r="F120" s="46" t="s">
        <x:v>263</x:v>
      </x:c>
      <x:c r="G120" s="46" t="s">
        <x:v>647</x:v>
      </x:c>
      <x:c r="H120" s="44" t="s">
        <x:v>129</x:v>
      </x:c>
      <x:c r="I120" s="44">
        <x:v>1</x:v>
      </x:c>
      <x:c r="J120" s="46" t="s">
        <x:v>504</x:v>
      </x:c>
      <x:c r="K120" s="46" t="s">
        <x:v>160</x:v>
      </x:c>
      <x:c r="L120" s="44" t="s">
        <x:v>175</x:v>
      </x:c>
      <x:c r="M120" s="44" t="s">
        <x:v>500</x:v>
      </x:c>
      <x:c r="N120" s="47">
        <x:f t="shared" si="7"/>
        <x:v>0.17488425925925935</x:v>
      </x:c>
      <x:c r="O120" s="48" t="s">
        <x:v>520</x:v>
      </x:c>
      <x:c r="P120" s="49">
        <x:f>P119+8</x:f>
        <x:v>968</x:v>
      </x:c>
      <x:c r="Q120" s="50">
        <x:v>8</x:v>
      </x:c>
      <x:c r="R120" s="51">
        <x:f>$Q$3*P120*P120+$R$3*P120</x:f>
        <x:v>28255.919999999998</x:v>
      </x:c>
      <x:c r="S120" s="68"/>
      <x:c r="T120" s="68"/>
      <x:c r="U120" s="68"/>
      <x:c r="V120" s="68"/>
      <x:c r="W120" s="68"/>
      <x:c r="X120" s="68"/>
      <x:c r="Y120" s="68"/>
      <x:c r="Z120" s="68"/>
      <x:c r="AA120" s="68"/>
      <x:c r="AB120" s="68"/>
      <x:c r="AC120" s="69"/>
      <x:c r="AD120" s="69"/>
      <x:c r="AE120" s="49"/>
      <x:c r="AF120" s="49"/>
      <x:c r="AG120" s="49"/>
      <x:c r="AH120" s="49"/>
      <x:c r="AI120" s="49"/>
      <x:c r="AJ120" s="52"/>
    </x:row>
    <x:row r="121" spans="1:36" ht="81.95000000000000284217" customHeight="1">
      <x:c r="A121" s="56" t="s">
        <x:v>113</x:v>
      </x:c>
      <x:c r="B121" s="44">
        <x:v>117</x:v>
      </x:c>
      <x:c r="C121" s="44">
        <x:v>1</x:v>
      </x:c>
      <x:c r="D121" s="44">
        <x:v>10</x:v>
      </x:c>
      <x:c r="E121" s="46" t="s">
        <x:v>501</x:v>
      </x:c>
      <x:c r="F121" s="46" t="s">
        <x:v>135</x:v>
      </x:c>
      <x:c r="G121" s="46" t="s">
        <x:v>657</x:v>
      </x:c>
      <x:c r="H121" s="44" t="s">
        <x:v>640</x:v>
      </x:c>
      <x:c r="I121" s="44">
        <x:v>4</x:v>
      </x:c>
      <x:c r="J121" s="46" t="s">
        <x:v>515</x:v>
      </x:c>
      <x:c r="K121" s="46" t="s">
        <x:v>160</x:v>
      </x:c>
      <x:c r="L121" s="44" t="s">
        <x:v>305</x:v>
      </x:c>
      <x:c r="M121" s="44" t="s">
        <x:v>711</x:v>
      </x:c>
      <x:c r="N121" s="47">
        <x:f t="shared" si="7"/>
        <x:v>0.17662037037037046</x:v>
      </x:c>
      <x:c r="O121" s="48" t="s">
        <x:v>520</x:v>
      </x:c>
      <x:c r="P121" s="49">
        <x:f>P120+10</x:f>
        <x:v>978</x:v>
      </x:c>
      <x:c r="Q121" s="50">
        <x:v>10</x:v>
      </x:c>
      <x:c r="R121" s="51">
        <x:f>$Q$3*P121*P121+$R$3*P121</x:f>
        <x:v>28841.220000000001</x:v>
      </x:c>
      <x:c r="S121" s="68"/>
      <x:c r="T121" s="68"/>
      <x:c r="U121" s="68"/>
      <x:c r="V121" s="68"/>
      <x:c r="W121" s="68"/>
      <x:c r="X121" s="68"/>
      <x:c r="Y121" s="68"/>
      <x:c r="Z121" s="68"/>
      <x:c r="AA121" s="68"/>
      <x:c r="AB121" s="68"/>
      <x:c r="AC121" s="69"/>
      <x:c r="AD121" s="69"/>
      <x:c r="AE121" s="49"/>
      <x:c r="AF121" s="49"/>
      <x:c r="AG121" s="49"/>
      <x:c r="AH121" s="49"/>
      <x:c r="AI121" s="49"/>
      <x:c r="AJ121" s="52"/>
    </x:row>
    <x:row r="122" spans="1:36" ht="81.95000000000000284217" customHeight="1">
      <x:c r="A122" s="56" t="s">
        <x:v>113</x:v>
      </x:c>
      <x:c r="B122" s="44">
        <x:v>118</x:v>
      </x:c>
      <x:c r="C122" s="44">
        <x:v>1</x:v>
      </x:c>
      <x:c r="D122" s="44">
        <x:v>9</x:v>
      </x:c>
      <x:c r="E122" s="46" t="s">
        <x:v>523</x:v>
      </x:c>
      <x:c r="F122" s="46" t="s">
        <x:v>135</x:v>
      </x:c>
      <x:c r="G122" s="46" t="s">
        <x:v>537</x:v>
      </x:c>
      <x:c r="H122" s="44" t="s">
        <x:v>663</x:v>
      </x:c>
      <x:c r="I122" s="44">
        <x:v>5</x:v>
      </x:c>
      <x:c r="J122" s="46" t="s">
        <x:v>515</x:v>
      </x:c>
      <x:c r="K122" s="46" t="s">
        <x:v>160</x:v>
      </x:c>
      <x:c r="L122" s="44" t="s">
        <x:v>167</x:v>
      </x:c>
      <x:c r="M122" s="44" t="s">
        <x:v>711</x:v>
      </x:c>
      <x:c r="N122" s="47">
        <x:f t="shared" si="7"/>
        <x:v>0.17939814814814822</x:v>
      </x:c>
      <x:c r="O122" s="48" t="s">
        <x:v>520</x:v>
      </x:c>
      <x:c r="P122" s="49">
        <x:f>P121+12</x:f>
        <x:v>990</x:v>
      </x:c>
      <x:c r="Q122" s="50">
        <x:v>12</x:v>
      </x:c>
      <x:c r="R122" s="51">
        <x:f>$Q$3*P122*P122+$R$3*P122</x:f>
        <x:v>29551.5</x:v>
      </x:c>
      <x:c r="S122" s="68"/>
      <x:c r="T122" s="68"/>
      <x:c r="U122" s="68"/>
      <x:c r="V122" s="68"/>
      <x:c r="W122" s="68"/>
      <x:c r="X122" s="68"/>
      <x:c r="Y122" s="68"/>
      <x:c r="Z122" s="68"/>
      <x:c r="AA122" s="68"/>
      <x:c r="AB122" s="68"/>
      <x:c r="AC122" s="69"/>
      <x:c r="AD122" s="69"/>
      <x:c r="AE122" s="49"/>
      <x:c r="AF122" s="49"/>
      <x:c r="AG122" s="49"/>
      <x:c r="AH122" s="49"/>
      <x:c r="AI122" s="49"/>
      <x:c r="AJ122" s="52"/>
    </x:row>
    <x:row r="123" spans="1:36" ht="81.95000000000000284217" customHeight="1">
      <x:c r="A123" s="57" t="s">
        <x:v>113</x:v>
      </x:c>
      <x:c r="B123" s="58">
        <x:v>119</x:v>
      </x:c>
      <x:c r="C123" s="58">
        <x:v>1</x:v>
      </x:c>
      <x:c r="D123" s="58">
        <x:v>9</x:v>
      </x:c>
      <x:c r="E123" s="59" t="s">
        <x:v>1</x:v>
      </x:c>
      <x:c r="F123" s="59" t="s">
        <x:v>754</x:v>
      </x:c>
      <x:c r="G123" s="59" t="s">
        <x:v>266</x:v>
      </x:c>
      <x:c r="H123" s="58" t="s">
        <x:v>277</x:v>
      </x:c>
      <x:c r="I123" s="58">
        <x:v>1</x:v>
      </x:c>
      <x:c r="J123" s="59" t="s">
        <x:v>327</x:v>
      </x:c>
      <x:c r="K123" s="59" t="s">
        <x:v>160</x:v>
      </x:c>
      <x:c r="L123" s="58" t="s">
        <x:v>179</x:v>
      </x:c>
      <x:c r="M123" s="58" t="s">
        <x:v>399</x:v>
      </x:c>
      <x:c r="N123" s="60">
        <x:f t="shared" si="7"/>
        <x:v>0.18148148148148155</x:v>
      </x:c>
      <x:c r="O123" s="61" t="s">
        <x:v>520</x:v>
      </x:c>
      <x:c r="P123" s="62">
        <x:f>P122+10</x:f>
        <x:v>1000</x:v>
      </x:c>
      <x:c r="Q123" s="50">
        <x:v>10</x:v>
      </x:c>
      <x:c r="R123" s="63">
        <x:f>$Q$3*P123*P123+$R$3*P123</x:f>
        <x:v>30150</x:v>
      </x:c>
      <x:c r="S123" s="70"/>
      <x:c r="T123" s="70"/>
      <x:c r="U123" s="71"/>
      <x:c r="V123" s="70"/>
      <x:c r="W123" s="70"/>
      <x:c r="X123" s="70"/>
      <x:c r="Y123" s="70"/>
      <x:c r="Z123" s="70"/>
      <x:c r="AA123" s="70"/>
      <x:c r="AB123" s="70"/>
      <x:c r="AC123" s="70"/>
      <x:c r="AD123" s="72"/>
      <x:c r="AE123" s="64"/>
      <x:c r="AF123" s="64"/>
      <x:c r="AG123" s="64"/>
      <x:c r="AH123" s="64"/>
      <x:c r="AI123" s="64"/>
      <x:c r="AJ123" s="65"/>
    </x:row>
    <x:row r="124" spans="1:13">
      <x:c r="A124" s="66"/>
      <x:c r="B124" s="66"/>
      <x:c r="C124" s="66"/>
      <x:c r="D124" s="66"/>
      <x:c r="E124" s="66"/>
      <x:c r="F124" s="66"/>
      <x:c r="G124" s="66"/>
      <x:c r="H124" s="66"/>
      <x:c r="I124" s="66"/>
      <x:c r="J124" s="66"/>
      <x:c r="K124" s="66"/>
      <x:c r="L124" s="66"/>
      <x:c r="M124" s="66"/>
    </x:row>
    <x:row r="125" spans="1:13">
      <x:c r="A125" s="66"/>
      <x:c r="B125" s="66"/>
      <x:c r="C125" s="66"/>
      <x:c r="D125" s="66"/>
      <x:c r="E125" s="66"/>
      <x:c r="F125" s="66"/>
      <x:c r="G125" s="66"/>
      <x:c r="H125" s="66"/>
      <x:c r="I125" s="66"/>
      <x:c r="J125" s="66"/>
      <x:c r="K125" s="66"/>
      <x:c r="L125" s="66"/>
      <x:c r="M125" s="66"/>
    </x:row>
    <x:row r="126" spans="9:10">
      <x:c r="I126" s="67"/>
      <x:c r="J126" s="34"/>
    </x:row>
    <x:row r="127" spans="9:9">
      <x:c r="I127" s="67"/>
    </x:row>
  </x:sheetData>
  <x:mergeCells count="1">
    <x:mergeCell ref="AB3:AE3"/>
  </x:mergeCells>
  <x:conditionalFormatting sqref="A4:A123">
    <x:cfRule type="colorScale" priority="113">
      <x:colorScale>
        <x:cfvo type="min"/>
        <x:cfvo type="percentile" val="50"/>
        <x:cfvo type="max"/>
        <x:color rgb="ff63be7b"/>
        <x:color rgb="ffffeb84"/>
        <x:color rgb="fff8696b"/>
      </x:colorScale>
    </x:cfRule>
    <x:cfRule type="colorScale" priority="112">
      <x:colorScale>
        <x:cfvo type="min"/>
        <x:cfvo type="max"/>
        <x:color rgb="ff63be7b"/>
        <x:color rgb="fffcfcff"/>
      </x:colorScale>
    </x:cfRule>
    <x:cfRule type="colorScale" priority="111">
      <x:colorScale>
        <x:cfvo type="min"/>
        <x:cfvo type="max"/>
        <x:color rgb="ff9bcfd9"/>
        <x:color rgb="ffc6a5cb"/>
      </x:colorScale>
    </x:cfRule>
  </x:conditionalFormatting>
  <x:conditionalFormatting sqref="B124:B1048575">
    <x:cfRule type="colorScale" priority="110">
      <x:colorScale>
        <x:cfvo type="min"/>
        <x:cfvo type="percentile" val="50"/>
        <x:cfvo type="max"/>
        <x:color rgb="ff63be7b"/>
        <x:color rgb="ffffeb84"/>
        <x:color rgb="fff8696b"/>
      </x:colorScale>
    </x:cfRule>
    <x:cfRule type="colorScale" priority="109">
      <x:colorScale>
        <x:cfvo type="min"/>
        <x:cfvo type="max"/>
        <x:color rgb="ff63be7b"/>
        <x:color rgb="fffcfcff"/>
      </x:colorScale>
    </x:cfRule>
    <x:cfRule type="colorScale" priority="108">
      <x:colorScale>
        <x:cfvo type="min"/>
        <x:cfvo type="max"/>
        <x:color rgb="ff9bcfd9"/>
        <x:color rgb="ffc6a5cb"/>
      </x:colorScale>
    </x:cfRule>
  </x:conditionalFormatting>
  <x:conditionalFormatting sqref="I5:I123">
    <x:cfRule type="dataBar" priority="10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{E25A4EDB-5382-442C-9FAF-2D10AB718179}</x14:id>
        </x:ext>
      </x:extLst>
    </x:cfRule>
  </x:conditionalFormatting>
  <x:conditionalFormatting sqref="D1:D1048575">
    <x:cfRule type="iconSet" priority="105">
      <x:iconSet iconSet="3Signs">
        <x:cfvo type="percent" val="0"/>
        <x:cfvo type="percent" val="33"/>
        <x:cfvo type="percent" val="67"/>
      </x:iconSet>
    </x:cfRule>
    <x:cfRule type="iconSet" priority="100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C1:C1048575">
    <x:cfRule type="iconSet" priority="102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  <x:legacyDrawing r:id="rId2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5A4EDB-5382-442C-9FAF-2D10AB718179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iconSet" priority="107" id="{50BB4A60-7948-41C4-AC21-03A54EC8429A}">
            <x14:iconSet iconSet="3Triangle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C5:C123</xm:sqref>
        </x14:conditionalFormatting>
        <x14:conditionalFormatting xmlns:xm="http://schemas.microsoft.com/office/excel/2006/main">
          <x14:cfRule type="iconSet" priority="98" id="{7BFCBE01-5A33-42AB-8805-ADE3D30DBC08}">
            <x14:iconSet iconSet="3Star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tars" iconId="0"/>
              <x14:cfIcon iconSet="3Stars" iconId="1"/>
              <x14:cfIcon iconSet="3Stars" iconId="2"/>
            </x14:iconSet>
          </x14:cfRule>
          <xm:sqref>Q7:Q123</xm:sqref>
        </x14:conditionalFormatting>
        <x14:conditionalFormatting xmlns:xm="http://schemas.microsoft.com/office/excel/2006/main">
          <x14:cfRule type="iconSet" priority="97" id="{9A5F4DD3-EE25-4DDD-B693-EF5C4CF6F9E7}">
            <x14:iconSet iconSet="3Star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tars" iconId="0"/>
              <x14:cfIcon iconSet="3Stars" iconId="1"/>
              <x14:cfIcon iconSet="3Stars" iconId="2"/>
            </x14:iconSet>
          </x14:cfRule>
          <xm:sqref>Q5:Q6</xm:sqref>
        </x14:conditionalFormatting>
      </x14:conditionalFormattings>
    </x:ext>
  </x:extLst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Z72"/>
  <x:sheetViews>
    <x:sheetView topLeftCell="A1" zoomScale="55" zoomScaleNormal="55" zoomScaleSheetLayoutView="55" workbookViewId="0">
      <x:selection activeCell="AO32" activeCellId="0" sqref="AO32:AO32"/>
    </x:sheetView>
  </x:sheetViews>
  <x:sheetFormatPr defaultColWidth="9" defaultRowHeight="13.55000000000000071054"/>
  <x:cols>
    <x:col min="1" max="52" width="4.25" style="30" customWidth="1"/>
    <x:col min="53" max="16384" width="9" style="30"/>
  </x:cols>
  <x:sheetData>
    <x:row r="1" spans="1:1" ht="18" customHeight="1">
      <x:c r="A1" s="29"/>
    </x:row>
    <x:row r="2" spans="1:22" ht="18" customHeight="1">
      <x:c r="A2" s="31"/>
      <x:c r="B2" s="80" t="s">
        <x:v>347</x:v>
      </x:c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</x:row>
    <x:row r="3" spans="2:22" ht="18" customHeight="1"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</x:row>
    <x:row r="4" spans="2:22" ht="18" customHeight="1">
      <x:c r="B4" s="82" t="s">
        <x:v>552</x:v>
      </x:c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</x:row>
    <x:row r="5" spans="2:22" ht="18" customHeight="1"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</x:row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spans="1:1" ht="18" customHeight="1">
      <x:c r="A56" s="32"/>
    </x:row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spans="2:26" ht="18" customHeight="1">
      <x:c r="B70" s="83" t="s">
        <x:v>529</x:v>
      </x:c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 spans="2:26" ht="18" customHeight="1"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 spans="2:26" ht="18" customHeight="1"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 count="3">
    <x:mergeCell ref="B2:V3"/>
    <x:mergeCell ref="B4:V5"/>
    <x:mergeCell ref="B70:Z72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18"/>
  <x:sheetViews>
    <x:sheetView topLeftCell="A1" zoomScaleNormal="100" zoomScaleSheetLayoutView="100" workbookViewId="0">
      <x:selection activeCell="A1" activeCellId="0" sqref="A1:A1"/>
    </x:sheetView>
  </x:sheetViews>
  <x:sheetFormatPr defaultColWidth="8.875" defaultRowHeight="13.55000000000000071054"/>
  <x:cols>
    <x:col min="1" max="1" width="20" customWidth="1"/>
    <x:col min="2" max="2" width="42" customWidth="1"/>
    <x:col min="3" max="3" width="22" customWidth="1"/>
    <x:col min="4" max="4" width="50" customWidth="1"/>
  </x:cols>
  <x:sheetData>
    <x:row r="1" spans="1:4" ht="19.55000000000000071054">
      <x:c r="A1" s="84" t="s">
        <x:v>526</x:v>
      </x:c>
      <x:c r="B1" s="84"/>
      <x:c r="C1" s="84"/>
      <x:c r="D1" s="84"/>
    </x:row>
    <x:row r="3" spans="1:4">
      <x:c r="A3" s="1" t="s">
        <x:v>165</x:v>
      </x:c>
      <x:c r="B3" s="2" t="s">
        <x:v>368</x:v>
      </x:c>
      <x:c r="C3" s="2" t="s">
        <x:v>308</x:v>
      </x:c>
      <x:c r="D3" s="3" t="s">
        <x:v>0</x:v>
      </x:c>
    </x:row>
    <x:row r="4" spans="1:4" ht="57.95000000000000284217" customHeight="1">
      <x:c r="A4" s="5" t="s">
        <x:v>309</x:v>
      </x:c>
      <x:c r="B4" s="6" t="s">
        <x:v>134</x:v>
      </x:c>
      <x:c r="C4" s="6" t="s">
        <x:v>314</x:v>
      </x:c>
      <x:c r="D4" s="7" t="s">
        <x:v>115</x:v>
      </x:c>
    </x:row>
    <x:row r="5" spans="1:4" ht="57.95000000000000284217" customHeight="1">
      <x:c r="A5" s="8" t="s">
        <x:v>171</x:v>
      </x:c>
      <x:c r="B5" s="4" t="s">
        <x:v>643</x:v>
      </x:c>
      <x:c r="C5" s="4" t="s">
        <x:v>314</x:v>
      </x:c>
      <x:c r="D5" s="9" t="s">
        <x:v>144</x:v>
      </x:c>
    </x:row>
    <x:row r="6" spans="1:4" ht="57.95000000000000284217" customHeight="1">
      <x:c r="A6" s="8" t="s">
        <x:v>17</x:v>
      </x:c>
      <x:c r="B6" s="4" t="s">
        <x:v>287</x:v>
      </x:c>
      <x:c r="C6" s="4" t="s">
        <x:v>19</x:v>
      </x:c>
      <x:c r="D6" s="9" t="s">
        <x:v>665</x:v>
      </x:c>
    </x:row>
    <x:row r="7" spans="1:4" ht="57.95000000000000284217" customHeight="1">
      <x:c r="A7" s="8" t="s">
        <x:v>163</x:v>
      </x:c>
      <x:c r="B7" s="4" t="s">
        <x:v>607</x:v>
      </x:c>
      <x:c r="C7" s="4" t="s">
        <x:v>337</x:v>
      </x:c>
      <x:c r="D7" s="9" t="s">
        <x:v>145</x:v>
      </x:c>
    </x:row>
    <x:row r="8" spans="1:4" ht="57.95000000000000284217" customHeight="1">
      <x:c r="A8" s="8" t="s">
        <x:v>339</x:v>
      </x:c>
      <x:c r="B8" s="4" t="s">
        <x:v>264</x:v>
      </x:c>
      <x:c r="C8" s="4" t="s">
        <x:v>341</x:v>
      </x:c>
      <x:c r="D8" s="9" t="s">
        <x:v>276</x:v>
      </x:c>
    </x:row>
    <x:row r="9" spans="1:4" ht="57.95000000000000284217" customHeight="1">
      <x:c r="A9" s="8" t="s">
        <x:v>323</x:v>
      </x:c>
      <x:c r="B9" s="4" t="s">
        <x:v>279</x:v>
      </x:c>
      <x:c r="C9" s="4" t="s">
        <x:v>2</x:v>
      </x:c>
      <x:c r="D9" s="9" t="s">
        <x:v>727</x:v>
      </x:c>
    </x:row>
    <x:row r="10" spans="1:4" ht="57.95000000000000284217" customHeight="1">
      <x:c r="A10" s="8" t="s">
        <x:v>3</x:v>
      </x:c>
      <x:c r="B10" s="4" t="s">
        <x:v>615</x:v>
      </x:c>
      <x:c r="C10" s="4" t="s">
        <x:v>505</x:v>
      </x:c>
      <x:c r="D10" s="9" t="s">
        <x:v>735</x:v>
      </x:c>
    </x:row>
    <x:row r="11" spans="1:4" ht="57.95000000000000284217" customHeight="1">
      <x:c r="A11" s="8" t="s">
        <x:v>334</x:v>
      </x:c>
      <x:c r="B11" s="4" t="s">
        <x:v>621</x:v>
      </x:c>
      <x:c r="C11" s="4" t="s">
        <x:v>173</x:v>
      </x:c>
      <x:c r="D11" s="9" t="s">
        <x:v>592</x:v>
      </x:c>
    </x:row>
    <x:row r="12" spans="1:4" ht="57.95000000000000284217" customHeight="1">
      <x:c r="A12" s="8" t="s">
        <x:v>336</x:v>
      </x:c>
      <x:c r="B12" s="4" t="s">
        <x:v>835</x:v>
      </x:c>
      <x:c r="C12" s="4" t="s">
        <x:v>20</x:v>
      </x:c>
      <x:c r="D12" s="9" t="s">
        <x:v>812</x:v>
      </x:c>
    </x:row>
    <x:row r="13" spans="1:4" ht="57.95000000000000284217" customHeight="1">
      <x:c r="A13" s="8" t="s">
        <x:v>342</x:v>
      </x:c>
      <x:c r="B13" s="4" t="s">
        <x:v>756</x:v>
      </x:c>
      <x:c r="C13" s="4" t="s">
        <x:v>408</x:v>
      </x:c>
      <x:c r="D13" s="9" t="s">
        <x:v>612</x:v>
      </x:c>
    </x:row>
    <x:row r="14" spans="1:4" ht="57.95000000000000284217" customHeight="1">
      <x:c r="A14" s="8" t="s">
        <x:v>14</x:v>
      </x:c>
      <x:c r="B14" s="4" t="s">
        <x:v>288</x:v>
      </x:c>
      <x:c r="C14" s="4" t="s">
        <x:v>161</x:v>
      </x:c>
      <x:c r="D14" s="9" t="s">
        <x:v>747</x:v>
      </x:c>
    </x:row>
    <x:row r="15" spans="1:4" ht="57.95000000000000284217" customHeight="1">
      <x:c r="A15" s="8" t="s">
        <x:v>23</x:v>
      </x:c>
      <x:c r="B15" s="4" t="s">
        <x:v>613</x:v>
      </x:c>
      <x:c r="C15" s="4" t="s">
        <x:v>25</x:v>
      </x:c>
      <x:c r="D15" s="9" t="s">
        <x:v>609</x:v>
      </x:c>
    </x:row>
    <x:row r="16" spans="1:4" ht="57.95000000000000284217" customHeight="1">
      <x:c r="A16" s="8" t="s">
        <x:v>324</x:v>
      </x:c>
      <x:c r="B16" s="4" t="s">
        <x:v>766</x:v>
      </x:c>
      <x:c r="C16" s="4" t="s">
        <x:v>333</x:v>
      </x:c>
      <x:c r="D16" s="9" t="s">
        <x:v>246</x:v>
      </x:c>
    </x:row>
    <x:row r="17" spans="1:4" ht="57.95000000000000284217" customHeight="1">
      <x:c r="A17" s="8" t="s">
        <x:v>312</x:v>
      </x:c>
      <x:c r="B17" s="4" t="s">
        <x:v>760</x:v>
      </x:c>
      <x:c r="C17" s="4" t="s">
        <x:v>333</x:v>
      </x:c>
      <x:c r="D17" s="9" t="s">
        <x:v>758</x:v>
      </x:c>
    </x:row>
    <x:row r="18" spans="1:4" ht="57.95000000000000284217" customHeight="1">
      <x:c r="A18" s="10" t="s">
        <x:v>338</x:v>
      </x:c>
      <x:c r="B18" s="11" t="s">
        <x:v>705</x:v>
      </x:c>
      <x:c r="C18" s="11" t="s">
        <x:v>18</x:v>
      </x:c>
      <x:c r="D18" s="12" t="s">
        <x:v>722</x:v>
      </x:c>
    </x:row>
  </x:sheetData>
  <x:mergeCells count="1">
    <x:mergeCell ref="A1:D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J133"/>
  <x:sheetViews>
    <x:sheetView topLeftCell="A1" zoomScaleNormal="100" zoomScaleSheetLayoutView="100" workbookViewId="0">
      <x:selection activeCell="A1" activeCellId="0" sqref="A1:J1"/>
    </x:sheetView>
  </x:sheetViews>
  <x:sheetFormatPr defaultColWidth="8.875" defaultRowHeight="13.55000000000000071054"/>
  <x:cols>
    <x:col min="1" max="1" width="25" customWidth="1"/>
    <x:col min="2" max="2" width="14" customWidth="1"/>
    <x:col min="3" max="3" width="18" customWidth="1"/>
    <x:col min="4" max="4" width="14" customWidth="1"/>
    <x:col min="5" max="5" width="20" customWidth="1"/>
    <x:col min="6" max="10" width="12" customWidth="1"/>
  </x:cols>
  <x:sheetData>
    <x:row r="1" spans="1:10" ht="19.55000000000000071054">
      <x:c r="A1" s="84" t="s">
        <x:v>527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3" spans="1:10" ht="32.10000000000000142109" customHeight="1">
      <x:c r="A3" s="13" t="s">
        <x:v>316</x:v>
      </x:c>
      <x:c r="B3" s="14">
        <x:v>119</x:v>
      </x:c>
      <x:c r="C3" s="14" t="s">
        <x:v>13</x:v>
      </x:c>
      <x:c r="D3" s="16">
        <x:f>AVERAGE('밸런스 문서'!C5:C123)</x:f>
        <x:v>2.9075630252100839</x:v>
      </x:c>
      <x:c r="E3" s="16" t="s">
        <x:v>331</x:v>
      </x:c>
      <x:c r="F3" s="16">
        <x:f>AVERAGE('밸런스 문서'!D5:D123)</x:f>
        <x:v>7.2857142857142856</x:v>
      </x:c>
      <x:c r="G3" s="14" t="s">
        <x:v>24</x:v>
      </x:c>
      <x:c r="H3" s="14">
        <x:f>MAX('밸런스 문서'!C5:C123)</x:f>
        <x:v>10</x:v>
      </x:c>
      <x:c r="I3" s="14" t="s">
        <x:v>332</x:v>
      </x:c>
      <x:c r="J3" s="15">
        <x:f>MAX('밸런스 문서'!D5:D123)</x:f>
        <x:v>10</x:v>
      </x:c>
    </x:row>
    <x:row r="5" spans="1:5">
      <x:c r="A5" s="1" t="s">
        <x:v>180</x:v>
      </x:c>
      <x:c r="B5" s="2" t="s">
        <x:v>343</x:v>
      </x:c>
      <x:c r="C5" s="2" t="s">
        <x:v>13</x:v>
      </x:c>
      <x:c r="D5" s="2" t="s">
        <x:v>331</x:v>
      </x:c>
      <x:c r="E5" s="3" t="s">
        <x:v>26</x:v>
      </x:c>
    </x:row>
    <x:row r="6" spans="1:5" ht="24.94999999999999928946" customHeight="1">
      <x:c r="A6" s="17" t="s">
        <x:v>15</x:v>
      </x:c>
      <x:c r="B6" s="18">
        <x:v>25</x:v>
      </x:c>
      <x:c r="C6" s="26">
        <x:f>AVERAGE('밸런스 문서'!C5:C29)</x:f>
        <x:v>1.76</x:v>
      </x:c>
      <x:c r="D6" s="26">
        <x:f>AVERAGE('밸런스 문서'!D5:D29)</x:f>
        <x:v>5.4800000000000004</x:v>
      </x:c>
      <x:c r="E6" s="19">
        <x:v>6</x:v>
      </x:c>
    </x:row>
    <x:row r="7" spans="1:5" ht="24.94999999999999928946" customHeight="1">
      <x:c r="A7" s="20" t="s">
        <x:v>11</x:v>
      </x:c>
      <x:c r="B7" s="21">
        <x:v>23</x:v>
      </x:c>
      <x:c r="C7" s="27">
        <x:f>AVERAGE('밸런스 문서'!C30:C52)</x:f>
        <x:v>1.7826086956521738</x:v>
      </x:c>
      <x:c r="D7" s="27">
        <x:f>AVERAGE('밸런스 문서'!D30:D52)</x:f>
        <x:v>6.1304347826086953</x:v>
      </x:c>
      <x:c r="E7" s="22">
        <x:v>7</x:v>
      </x:c>
    </x:row>
    <x:row r="8" spans="1:5" ht="24.94999999999999928946" customHeight="1">
      <x:c r="A8" s="20" t="s">
        <x:v>517</x:v>
      </x:c>
      <x:c r="B8" s="21">
        <x:v>26</x:v>
      </x:c>
      <x:c r="C8" s="27">
        <x:f>AVERAGE('밸런스 문서'!C53:C78)</x:f>
        <x:v>3.1538461538461537</x:v>
      </x:c>
      <x:c r="D8" s="27">
        <x:f>AVERAGE('밸런스 문서'!D53:D78)</x:f>
        <x:v>7.7307692307692308</x:v>
      </x:c>
      <x:c r="E8" s="22">
        <x:v>7</x:v>
      </x:c>
    </x:row>
    <x:row r="9" spans="1:5" ht="24.94999999999999928946" customHeight="1">
      <x:c r="A9" s="20" t="s">
        <x:v>16</x:v>
      </x:c>
      <x:c r="B9" s="21">
        <x:v>26</x:v>
      </x:c>
      <x:c r="C9" s="27">
        <x:f>AVERAGE('밸런스 문서'!C79:C104)</x:f>
        <x:v>4.3461538461538458</x:v>
      </x:c>
      <x:c r="D9" s="27">
        <x:f>AVERAGE('밸런스 문서'!D79:D104)</x:f>
        <x:v>7.884615384615385</x:v>
      </x:c>
      <x:c r="E9" s="22">
        <x:v>10</x:v>
      </x:c>
    </x:row>
    <x:row r="10" spans="1:5" ht="24.94999999999999928946" customHeight="1">
      <x:c r="A10" s="23" t="s">
        <x:v>522</x:v>
      </x:c>
      <x:c r="B10" s="24">
        <x:v>19</x:v>
      </x:c>
      <x:c r="C10" s="28">
        <x:f>AVERAGE('밸런스 문서'!C105:C123)</x:f>
        <x:v>3.4736842105263159</x:v>
      </x:c>
      <x:c r="D10" s="28">
        <x:f>AVERAGE('밸런스 문서'!D105:D123)</x:f>
        <x:v>9.6315789473684212</x:v>
      </x:c>
      <x:c r="E10" s="25">
        <x:v>10</x:v>
      </x:c>
    </x:row>
    <x:row r="14" spans="1:3">
      <x:c r="A14" s="1" t="s">
        <x:v>17</x:v>
      </x:c>
      <x:c r="B14" s="2" t="s">
        <x:v>309</x:v>
      </x:c>
      <x:c r="C14" s="3" t="s">
        <x:v>171</x:v>
      </x:c>
    </x:row>
    <x:row r="15" spans="1:3">
      <x:c r="A15">
        <x:v>1</x:v>
      </x:c>
      <x:c r="B15">
        <x:v>1</x:v>
      </x:c>
      <x:c r="C15">
        <x:v>7</x:v>
      </x:c>
    </x:row>
    <x:row r="16" spans="1:3">
      <x:c r="A16">
        <x:v>2</x:v>
      </x:c>
      <x:c r="B16">
        <x:v>1</x:v>
      </x:c>
      <x:c r="C16">
        <x:v>4</x:v>
      </x:c>
    </x:row>
    <x:row r="17" spans="1:3">
      <x:c r="A17">
        <x:v>3</x:v>
      </x:c>
      <x:c r="B17">
        <x:v>1</x:v>
      </x:c>
      <x:c r="C17">
        <x:v>5</x:v>
      </x:c>
    </x:row>
    <x:row r="18" spans="1:3">
      <x:c r="A18">
        <x:v>4</x:v>
      </x:c>
      <x:c r="B18">
        <x:v>1</x:v>
      </x:c>
      <x:c r="C18">
        <x:v>4</x:v>
      </x:c>
    </x:row>
    <x:row r="19" spans="1:3">
      <x:c r="A19">
        <x:v>5</x:v>
      </x:c>
      <x:c r="B19">
        <x:v>1</x:v>
      </x:c>
      <x:c r="C19">
        <x:v>4</x:v>
      </x:c>
    </x:row>
    <x:row r="20" spans="1:3">
      <x:c r="A20">
        <x:v>6</x:v>
      </x:c>
      <x:c r="B20">
        <x:v>1</x:v>
      </x:c>
      <x:c r="C20">
        <x:v>5</x:v>
      </x:c>
    </x:row>
    <x:row r="21" spans="1:3">
      <x:c r="A21">
        <x:v>7</x:v>
      </x:c>
      <x:c r="B21">
        <x:v>2</x:v>
      </x:c>
      <x:c r="C21">
        <x:v>5</x:v>
      </x:c>
    </x:row>
    <x:row r="22" spans="1:3">
      <x:c r="A22">
        <x:v>8</x:v>
      </x:c>
      <x:c r="B22">
        <x:v>2</x:v>
      </x:c>
      <x:c r="C22">
        <x:v>6</x:v>
      </x:c>
    </x:row>
    <x:row r="23" spans="1:3">
      <x:c r="A23">
        <x:v>9</x:v>
      </x:c>
      <x:c r="B23">
        <x:v>1</x:v>
      </x:c>
      <x:c r="C23">
        <x:v>5</x:v>
      </x:c>
    </x:row>
    <x:row r="24" spans="1:3">
      <x:c r="A24">
        <x:v>10</x:v>
      </x:c>
      <x:c r="B24">
        <x:v>1</x:v>
      </x:c>
      <x:c r="C24">
        <x:v>6</x:v>
      </x:c>
    </x:row>
    <x:row r="25" spans="1:3">
      <x:c r="A25">
        <x:v>11</x:v>
      </x:c>
      <x:c r="B25">
        <x:v>2</x:v>
      </x:c>
      <x:c r="C25">
        <x:v>5</x:v>
      </x:c>
    </x:row>
    <x:row r="26" spans="1:3">
      <x:c r="A26">
        <x:v>12</x:v>
      </x:c>
      <x:c r="B26">
        <x:v>2</x:v>
      </x:c>
      <x:c r="C26">
        <x:v>6</x:v>
      </x:c>
    </x:row>
    <x:row r="27" spans="1:3">
      <x:c r="A27">
        <x:v>13</x:v>
      </x:c>
      <x:c r="B27">
        <x:v>1</x:v>
      </x:c>
      <x:c r="C27">
        <x:v>5</x:v>
      </x:c>
    </x:row>
    <x:row r="28" spans="1:3">
      <x:c r="A28">
        <x:v>14</x:v>
      </x:c>
      <x:c r="B28">
        <x:v>2</x:v>
      </x:c>
      <x:c r="C28">
        <x:v>5</x:v>
      </x:c>
    </x:row>
    <x:row r="29" spans="1:3">
      <x:c r="A29">
        <x:v>15</x:v>
      </x:c>
      <x:c r="B29">
        <x:v>2</x:v>
      </x:c>
      <x:c r="C29">
        <x:v>6</x:v>
      </x:c>
    </x:row>
    <x:row r="30" spans="1:3">
      <x:c r="A30">
        <x:v>16</x:v>
      </x:c>
      <x:c r="B30">
        <x:v>1</x:v>
      </x:c>
      <x:c r="C30">
        <x:v>7</x:v>
      </x:c>
    </x:row>
    <x:row r="31" spans="1:3">
      <x:c r="A31">
        <x:v>17</x:v>
      </x:c>
      <x:c r="B31">
        <x:v>5</x:v>
      </x:c>
      <x:c r="C31">
        <x:v>8</x:v>
      </x:c>
    </x:row>
    <x:row r="32" spans="1:3">
      <x:c r="A32">
        <x:v>18</x:v>
      </x:c>
      <x:c r="B32">
        <x:v>4</x:v>
      </x:c>
      <x:c r="C32">
        <x:v>8</x:v>
      </x:c>
    </x:row>
    <x:row r="33" spans="1:3">
      <x:c r="A33">
        <x:v>19</x:v>
      </x:c>
      <x:c r="B33">
        <x:v>2</x:v>
      </x:c>
      <x:c r="C33">
        <x:v>8</x:v>
      </x:c>
    </x:row>
    <x:row r="34" spans="1:3">
      <x:c r="A34">
        <x:v>20</x:v>
      </x:c>
      <x:c r="B34">
        <x:v>1</x:v>
      </x:c>
      <x:c r="C34">
        <x:v>6</x:v>
      </x:c>
    </x:row>
    <x:row r="35" spans="1:3">
      <x:c r="A35">
        <x:v>21</x:v>
      </x:c>
      <x:c r="B35">
        <x:v>2</x:v>
      </x:c>
      <x:c r="C35">
        <x:v>5</x:v>
      </x:c>
    </x:row>
    <x:row r="36" spans="1:3">
      <x:c r="A36">
        <x:v>22</x:v>
      </x:c>
      <x:c r="B36">
        <x:v>2</x:v>
      </x:c>
      <x:c r="C36">
        <x:v>7</x:v>
      </x:c>
    </x:row>
    <x:row r="37" spans="1:3">
      <x:c r="A37">
        <x:v>23</x:v>
      </x:c>
      <x:c r="B37">
        <x:v>3</x:v>
      </x:c>
      <x:c r="C37">
        <x:v>8</x:v>
      </x:c>
    </x:row>
    <x:row r="38" spans="1:3">
      <x:c r="A38">
        <x:v>24</x:v>
      </x:c>
      <x:c r="B38">
        <x:v>1</x:v>
      </x:c>
      <x:c r="C38">
        <x:v>6</x:v>
      </x:c>
    </x:row>
    <x:row r="39" spans="1:3">
      <x:c r="A39">
        <x:v>25</x:v>
      </x:c>
      <x:c r="B39">
        <x:v>2</x:v>
      </x:c>
      <x:c r="C39">
        <x:v>6</x:v>
      </x:c>
    </x:row>
    <x:row r="40" spans="1:3">
      <x:c r="A40">
        <x:v>26</x:v>
      </x:c>
      <x:c r="B40">
        <x:v>1</x:v>
      </x:c>
      <x:c r="C40">
        <x:v>7</x:v>
      </x:c>
    </x:row>
    <x:row r="41" spans="1:3">
      <x:c r="A41">
        <x:v>27</x:v>
      </x:c>
      <x:c r="B41">
        <x:v>1</x:v>
      </x:c>
      <x:c r="C41">
        <x:v>8</x:v>
      </x:c>
    </x:row>
    <x:row r="42" spans="1:3">
      <x:c r="A42">
        <x:v>28</x:v>
      </x:c>
      <x:c r="B42">
        <x:v>1</x:v>
      </x:c>
      <x:c r="C42">
        <x:v>8</x:v>
      </x:c>
    </x:row>
    <x:row r="43" spans="1:3">
      <x:c r="A43">
        <x:v>29</x:v>
      </x:c>
      <x:c r="B43">
        <x:v>2</x:v>
      </x:c>
      <x:c r="C43">
        <x:v>6</x:v>
      </x:c>
    </x:row>
    <x:row r="44" spans="1:3">
      <x:c r="A44">
        <x:v>30</x:v>
      </x:c>
      <x:c r="B44">
        <x:v>1</x:v>
      </x:c>
      <x:c r="C44">
        <x:v>6</x:v>
      </x:c>
    </x:row>
    <x:row r="45" spans="1:3">
      <x:c r="A45">
        <x:v>31</x:v>
      </x:c>
      <x:c r="B45">
        <x:v>2</x:v>
      </x:c>
      <x:c r="C45">
        <x:v>7</x:v>
      </x:c>
    </x:row>
    <x:row r="46" spans="1:3">
      <x:c r="A46">
        <x:v>32</x:v>
      </x:c>
      <x:c r="B46">
        <x:v>2</x:v>
      </x:c>
      <x:c r="C46">
        <x:v>7</x:v>
      </x:c>
    </x:row>
    <x:row r="47" spans="1:3">
      <x:c r="A47">
        <x:v>33</x:v>
      </x:c>
      <x:c r="B47">
        <x:v>3</x:v>
      </x:c>
      <x:c r="C47">
        <x:v>7</x:v>
      </x:c>
    </x:row>
    <x:row r="48" spans="1:3">
      <x:c r="A48">
        <x:v>34</x:v>
      </x:c>
      <x:c r="B48">
        <x:v>1</x:v>
      </x:c>
      <x:c r="C48">
        <x:v>8</x:v>
      </x:c>
    </x:row>
    <x:row r="49" spans="1:3">
      <x:c r="A49">
        <x:v>35</x:v>
      </x:c>
      <x:c r="B49">
        <x:v>2</x:v>
      </x:c>
      <x:c r="C49">
        <x:v>8</x:v>
      </x:c>
    </x:row>
    <x:row r="50" spans="1:3">
      <x:c r="A50">
        <x:v>36</x:v>
      </x:c>
      <x:c r="B50">
        <x:v>2</x:v>
      </x:c>
      <x:c r="C50">
        <x:v>7</x:v>
      </x:c>
    </x:row>
    <x:row r="51" spans="1:3">
      <x:c r="A51">
        <x:v>37</x:v>
      </x:c>
      <x:c r="B51">
        <x:v>3</x:v>
      </x:c>
      <x:c r="C51">
        <x:v>8</x:v>
      </x:c>
    </x:row>
    <x:row r="52" spans="1:3">
      <x:c r="A52">
        <x:v>38</x:v>
      </x:c>
      <x:c r="B52">
        <x:v>1</x:v>
      </x:c>
      <x:c r="C52">
        <x:v>8</x:v>
      </x:c>
    </x:row>
    <x:row r="53" spans="1:3">
      <x:c r="A53">
        <x:v>39</x:v>
      </x:c>
      <x:c r="B53">
        <x:v>2</x:v>
      </x:c>
      <x:c r="C53">
        <x:v>6</x:v>
      </x:c>
    </x:row>
    <x:row r="54" spans="1:3">
      <x:c r="A54">
        <x:v>40</x:v>
      </x:c>
      <x:c r="B54">
        <x:v>2</x:v>
      </x:c>
      <x:c r="C54">
        <x:v>6</x:v>
      </x:c>
    </x:row>
    <x:row r="55" spans="1:3">
      <x:c r="A55">
        <x:v>41</x:v>
      </x:c>
      <x:c r="B55">
        <x:v>2</x:v>
      </x:c>
      <x:c r="C55">
        <x:v>7</x:v>
      </x:c>
    </x:row>
    <x:row r="56" spans="1:3">
      <x:c r="A56">
        <x:v>42</x:v>
      </x:c>
      <x:c r="B56">
        <x:v>3</x:v>
      </x:c>
      <x:c r="C56">
        <x:v>8</x:v>
      </x:c>
    </x:row>
    <x:row r="57" spans="1:3">
      <x:c r="A57">
        <x:v>43</x:v>
      </x:c>
      <x:c r="B57">
        <x:v>3</x:v>
      </x:c>
      <x:c r="C57">
        <x:v>8</x:v>
      </x:c>
    </x:row>
    <x:row r="58" spans="1:3">
      <x:c r="A58">
        <x:v>44</x:v>
      </x:c>
      <x:c r="B58">
        <x:v>2</x:v>
      </x:c>
      <x:c r="C58">
        <x:v>8</x:v>
      </x:c>
    </x:row>
    <x:row r="59" spans="1:3">
      <x:c r="A59">
        <x:v>45</x:v>
      </x:c>
      <x:c r="B59">
        <x:v>1</x:v>
      </x:c>
      <x:c r="C59">
        <x:v>9</x:v>
      </x:c>
    </x:row>
    <x:row r="60" spans="1:3">
      <x:c r="A60">
        <x:v>46</x:v>
      </x:c>
      <x:c r="B60">
        <x:v>2</x:v>
      </x:c>
      <x:c r="C60">
        <x:v>9</x:v>
      </x:c>
    </x:row>
    <x:row r="61" spans="1:3">
      <x:c r="A61">
        <x:v>47</x:v>
      </x:c>
      <x:c r="B61">
        <x:v>2</x:v>
      </x:c>
      <x:c r="C61">
        <x:v>6</x:v>
      </x:c>
    </x:row>
    <x:row r="62" spans="1:3">
      <x:c r="A62">
        <x:v>48</x:v>
      </x:c>
      <x:c r="B62">
        <x:v>1</x:v>
      </x:c>
      <x:c r="C62">
        <x:v>6</x:v>
      </x:c>
    </x:row>
    <x:row r="63" spans="1:3">
      <x:c r="A63">
        <x:v>49</x:v>
      </x:c>
      <x:c r="B63">
        <x:v>1</x:v>
      </x:c>
      <x:c r="C63">
        <x:v>8</x:v>
      </x:c>
    </x:row>
    <x:row r="64" spans="1:3">
      <x:c r="A64">
        <x:v>50</x:v>
      </x:c>
      <x:c r="B64">
        <x:v>2</x:v>
      </x:c>
      <x:c r="C64">
        <x:v>7</x:v>
      </x:c>
    </x:row>
    <x:row r="65" spans="1:3">
      <x:c r="A65">
        <x:v>51</x:v>
      </x:c>
      <x:c r="B65">
        <x:v>3</x:v>
      </x:c>
      <x:c r="C65">
        <x:v>7</x:v>
      </x:c>
    </x:row>
    <x:row r="66" spans="1:3">
      <x:c r="A66">
        <x:v>52</x:v>
      </x:c>
      <x:c r="B66">
        <x:v>4</x:v>
      </x:c>
      <x:c r="C66">
        <x:v>9</x:v>
      </x:c>
    </x:row>
    <x:row r="67" spans="1:3">
      <x:c r="A67">
        <x:v>53</x:v>
      </x:c>
      <x:c r="B67">
        <x:v>4</x:v>
      </x:c>
      <x:c r="C67">
        <x:v>8</x:v>
      </x:c>
    </x:row>
    <x:row r="68" spans="1:3">
      <x:c r="A68">
        <x:v>54</x:v>
      </x:c>
      <x:c r="B68">
        <x:v>5</x:v>
      </x:c>
      <x:c r="C68">
        <x:v>9</x:v>
      </x:c>
    </x:row>
    <x:row r="69" spans="1:3">
      <x:c r="A69">
        <x:v>55</x:v>
      </x:c>
      <x:c r="B69">
        <x:v>5</x:v>
      </x:c>
      <x:c r="C69">
        <x:v>9</x:v>
      </x:c>
    </x:row>
    <x:row r="70" spans="1:3">
      <x:c r="A70">
        <x:v>56</x:v>
      </x:c>
      <x:c r="B70">
        <x:v>4</x:v>
      </x:c>
      <x:c r="C70">
        <x:v>8</x:v>
      </x:c>
    </x:row>
    <x:row r="71" spans="1:3">
      <x:c r="A71">
        <x:v>57</x:v>
      </x:c>
      <x:c r="B71">
        <x:v>6</x:v>
      </x:c>
      <x:c r="C71">
        <x:v>9</x:v>
      </x:c>
    </x:row>
    <x:row r="72" spans="1:3">
      <x:c r="A72">
        <x:v>58</x:v>
      </x:c>
      <x:c r="B72">
        <x:v>2</x:v>
      </x:c>
      <x:c r="C72">
        <x:v>8</x:v>
      </x:c>
    </x:row>
    <x:row r="73" spans="1:3">
      <x:c r="A73">
        <x:v>59</x:v>
      </x:c>
      <x:c r="B73">
        <x:v>3</x:v>
      </x:c>
      <x:c r="C73">
        <x:v>8</x:v>
      </x:c>
    </x:row>
    <x:row r="74" spans="1:3">
      <x:c r="A74">
        <x:v>60</x:v>
      </x:c>
      <x:c r="B74">
        <x:v>1</x:v>
      </x:c>
      <x:c r="C74">
        <x:v>7</x:v>
      </x:c>
    </x:row>
    <x:row r="75" spans="1:3">
      <x:c r="A75">
        <x:v>61</x:v>
      </x:c>
      <x:c r="B75">
        <x:v>2</x:v>
      </x:c>
      <x:c r="C75">
        <x:v>8</x:v>
      </x:c>
    </x:row>
    <x:row r="76" spans="1:3">
      <x:c r="A76">
        <x:v>62</x:v>
      </x:c>
      <x:c r="B76">
        <x:v>2</x:v>
      </x:c>
      <x:c r="C76">
        <x:v>9</x:v>
      </x:c>
    </x:row>
    <x:row r="77" spans="1:3">
      <x:c r="A77">
        <x:v>63</x:v>
      </x:c>
      <x:c r="B77">
        <x:v>1</x:v>
      </x:c>
      <x:c r="C77">
        <x:v>9</x:v>
      </x:c>
    </x:row>
    <x:row r="78" spans="1:3">
      <x:c r="A78">
        <x:v>64</x:v>
      </x:c>
      <x:c r="B78">
        <x:v>1</x:v>
      </x:c>
      <x:c r="C78">
        <x:v>8</x:v>
      </x:c>
    </x:row>
    <x:row r="79" spans="1:3">
      <x:c r="A79">
        <x:v>65</x:v>
      </x:c>
      <x:c r="B79">
        <x:v>1</x:v>
      </x:c>
      <x:c r="C79">
        <x:v>8</x:v>
      </x:c>
    </x:row>
    <x:row r="80" spans="1:3">
      <x:c r="A80">
        <x:v>66</x:v>
      </x:c>
      <x:c r="B80">
        <x:v>4</x:v>
      </x:c>
      <x:c r="C80">
        <x:v>8</x:v>
      </x:c>
    </x:row>
    <x:row r="81" spans="1:3">
      <x:c r="A81">
        <x:v>67</x:v>
      </x:c>
      <x:c r="B81">
        <x:v>4</x:v>
      </x:c>
      <x:c r="C81">
        <x:v>8</x:v>
      </x:c>
    </x:row>
    <x:row r="82" spans="1:3">
      <x:c r="A82">
        <x:v>68</x:v>
      </x:c>
      <x:c r="B82">
        <x:v>6</x:v>
      </x:c>
      <x:c r="C82">
        <x:v>8</x:v>
      </x:c>
    </x:row>
    <x:row r="83" spans="1:3">
      <x:c r="A83">
        <x:v>69</x:v>
      </x:c>
      <x:c r="B83">
        <x:v>5</x:v>
      </x:c>
      <x:c r="C83">
        <x:v>9</x:v>
      </x:c>
    </x:row>
    <x:row r="84" spans="1:3">
      <x:c r="A84">
        <x:v>70</x:v>
      </x:c>
      <x:c r="B84">
        <x:v>6</x:v>
      </x:c>
      <x:c r="C84">
        <x:v>9</x:v>
      </x:c>
    </x:row>
    <x:row r="85" spans="1:3">
      <x:c r="A85">
        <x:v>71</x:v>
      </x:c>
      <x:c r="B85">
        <x:v>1</x:v>
      </x:c>
      <x:c r="C85">
        <x:v>7</x:v>
      </x:c>
    </x:row>
    <x:row r="86" spans="1:3">
      <x:c r="A86">
        <x:v>72</x:v>
      </x:c>
      <x:c r="B86">
        <x:v>4</x:v>
      </x:c>
      <x:c r="C86">
        <x:v>7</x:v>
      </x:c>
    </x:row>
    <x:row r="87" spans="1:3">
      <x:c r="A87">
        <x:v>73</x:v>
      </x:c>
      <x:c r="B87">
        <x:v>1</x:v>
      </x:c>
      <x:c r="C87">
        <x:v>8</x:v>
      </x:c>
    </x:row>
    <x:row r="88" spans="1:3">
      <x:c r="A88">
        <x:v>74</x:v>
      </x:c>
      <x:c r="B88">
        <x:v>3</x:v>
      </x:c>
      <x:c r="C88">
        <x:v>8</x:v>
      </x:c>
    </x:row>
    <x:row r="89" spans="1:3">
      <x:c r="A89">
        <x:v>75</x:v>
      </x:c>
      <x:c r="B89">
        <x:v>1</x:v>
      </x:c>
      <x:c r="C89">
        <x:v>8</x:v>
      </x:c>
    </x:row>
    <x:row r="90" spans="1:3">
      <x:c r="A90">
        <x:v>76</x:v>
      </x:c>
      <x:c r="B90">
        <x:v>2</x:v>
      </x:c>
      <x:c r="C90">
        <x:v>7</x:v>
      </x:c>
    </x:row>
    <x:row r="91" spans="1:3">
      <x:c r="A91">
        <x:v>77</x:v>
      </x:c>
      <x:c r="B91">
        <x:v>2</x:v>
      </x:c>
      <x:c r="C91">
        <x:v>8</x:v>
      </x:c>
    </x:row>
    <x:row r="92" spans="1:3">
      <x:c r="A92">
        <x:v>78</x:v>
      </x:c>
      <x:c r="B92">
        <x:v>3</x:v>
      </x:c>
      <x:c r="C92">
        <x:v>8</x:v>
      </x:c>
    </x:row>
    <x:row r="93" spans="1:3">
      <x:c r="A93">
        <x:v>79</x:v>
      </x:c>
      <x:c r="B93">
        <x:v>4</x:v>
      </x:c>
      <x:c r="C93">
        <x:v>8</x:v>
      </x:c>
    </x:row>
    <x:row r="94" spans="1:3">
      <x:c r="A94">
        <x:v>80</x:v>
      </x:c>
      <x:c r="B94">
        <x:v>4</x:v>
      </x:c>
      <x:c r="C94">
        <x:v>8</x:v>
      </x:c>
    </x:row>
    <x:row r="95" spans="1:3">
      <x:c r="A95">
        <x:v>81</x:v>
      </x:c>
      <x:c r="B95">
        <x:v>6</x:v>
      </x:c>
      <x:c r="C95">
        <x:v>9</x:v>
      </x:c>
    </x:row>
    <x:row r="96" spans="1:3">
      <x:c r="A96">
        <x:v>82</x:v>
      </x:c>
      <x:c r="B96">
        <x:v>3</x:v>
      </x:c>
      <x:c r="C96">
        <x:v>9</x:v>
      </x:c>
    </x:row>
    <x:row r="97" spans="1:3">
      <x:c r="A97">
        <x:v>83</x:v>
      </x:c>
      <x:c r="B97">
        <x:v>5</x:v>
      </x:c>
      <x:c r="C97">
        <x:v>8</x:v>
      </x:c>
    </x:row>
    <x:row r="98" spans="1:3">
      <x:c r="A98">
        <x:v>84</x:v>
      </x:c>
      <x:c r="B98">
        <x:v>4</x:v>
      </x:c>
      <x:c r="C98">
        <x:v>8</x:v>
      </x:c>
    </x:row>
    <x:row r="99" spans="1:3">
      <x:c r="A99">
        <x:v>85</x:v>
      </x:c>
      <x:c r="B99">
        <x:v>3</x:v>
      </x:c>
      <x:c r="C99">
        <x:v>9</x:v>
      </x:c>
    </x:row>
    <x:row r="100" spans="1:3">
      <x:c r="A100">
        <x:v>86</x:v>
      </x:c>
      <x:c r="B100">
        <x:v>6</x:v>
      </x:c>
      <x:c r="C100">
        <x:v>9</x:v>
      </x:c>
    </x:row>
    <x:row r="101" spans="1:3">
      <x:c r="A101">
        <x:v>87</x:v>
      </x:c>
      <x:c r="B101">
        <x:v>5</x:v>
      </x:c>
      <x:c r="C101">
        <x:v>9</x:v>
      </x:c>
    </x:row>
    <x:row r="102" spans="1:3">
      <x:c r="A102">
        <x:v>88</x:v>
      </x:c>
      <x:c r="B102">
        <x:v>5</x:v>
      </x:c>
      <x:c r="C102">
        <x:v>9</x:v>
      </x:c>
    </x:row>
    <x:row r="103" spans="1:3">
      <x:c r="A103">
        <x:v>89</x:v>
      </x:c>
      <x:c r="B103">
        <x:v>5</x:v>
      </x:c>
      <x:c r="C103">
        <x:v>9</x:v>
      </x:c>
    </x:row>
    <x:row r="104" spans="1:3">
      <x:c r="A104">
        <x:v>90</x:v>
      </x:c>
      <x:c r="B104">
        <x:v>5</x:v>
      </x:c>
      <x:c r="C104">
        <x:v>9</x:v>
      </x:c>
    </x:row>
    <x:row r="105" spans="1:3">
      <x:c r="A105">
        <x:v>91</x:v>
      </x:c>
      <x:c r="B105">
        <x:v>3</x:v>
      </x:c>
      <x:c r="C105">
        <x:v>9</x:v>
      </x:c>
    </x:row>
    <x:row r="106" spans="1:3">
      <x:c r="A106">
        <x:v>92</x:v>
      </x:c>
      <x:c r="B106">
        <x:v>8</x:v>
      </x:c>
      <x:c r="C106">
        <x:v>10</x:v>
      </x:c>
    </x:row>
    <x:row r="107" spans="1:3">
      <x:c r="A107">
        <x:v>93</x:v>
      </x:c>
      <x:c r="B107">
        <x:v>8</x:v>
      </x:c>
      <x:c r="C107">
        <x:v>10</x:v>
      </x:c>
    </x:row>
    <x:row r="108" spans="1:3">
      <x:c r="A108">
        <x:v>94</x:v>
      </x:c>
      <x:c r="B108">
        <x:v>9</x:v>
      </x:c>
      <x:c r="C108">
        <x:v>10</x:v>
      </x:c>
    </x:row>
    <x:row r="109" spans="1:3">
      <x:c r="A109">
        <x:v>95</x:v>
      </x:c>
      <x:c r="B109">
        <x:v>8</x:v>
      </x:c>
      <x:c r="C109">
        <x:v>10</x:v>
      </x:c>
    </x:row>
    <x:row r="110" spans="1:3">
      <x:c r="A110">
        <x:v>96</x:v>
      </x:c>
      <x:c r="B110">
        <x:v>7</x:v>
      </x:c>
      <x:c r="C110">
        <x:v>10</x:v>
      </x:c>
    </x:row>
    <x:row r="111" spans="1:3">
      <x:c r="A111">
        <x:v>97</x:v>
      </x:c>
      <x:c r="B111">
        <x:v>1</x:v>
      </x:c>
      <x:c r="C111">
        <x:v>10</x:v>
      </x:c>
    </x:row>
    <x:row r="112" spans="1:3">
      <x:c r="A112">
        <x:v>98</x:v>
      </x:c>
      <x:c r="B112">
        <x:v>2</x:v>
      </x:c>
      <x:c r="C112">
        <x:v>10</x:v>
      </x:c>
    </x:row>
    <x:row r="113" spans="1:3">
      <x:c r="A113">
        <x:v>99</x:v>
      </x:c>
      <x:c r="B113">
        <x:v>6</x:v>
      </x:c>
      <x:c r="C113">
        <x:v>9</x:v>
      </x:c>
    </x:row>
    <x:row r="114" spans="1:3">
      <x:c r="A114">
        <x:v>100</x:v>
      </x:c>
      <x:c r="B114">
        <x:v>1</x:v>
      </x:c>
      <x:c r="C114">
        <x:v>8</x:v>
      </x:c>
    </x:row>
    <x:row r="115" spans="1:3">
      <x:c r="A115">
        <x:v>101</x:v>
      </x:c>
      <x:c r="B115">
        <x:v>1</x:v>
      </x:c>
      <x:c r="C115">
        <x:v>8</x:v>
      </x:c>
    </x:row>
    <x:row r="116" spans="1:3">
      <x:c r="A116">
        <x:v>102</x:v>
      </x:c>
      <x:c r="B116">
        <x:v>1</x:v>
      </x:c>
      <x:c r="C116">
        <x:v>9</x:v>
      </x:c>
    </x:row>
    <x:row r="117" spans="1:3">
      <x:c r="A117">
        <x:v>103</x:v>
      </x:c>
      <x:c r="B117">
        <x:v>5</x:v>
      </x:c>
      <x:c r="C117">
        <x:v>9</x:v>
      </x:c>
    </x:row>
    <x:row r="118" spans="1:3">
      <x:c r="A118">
        <x:v>104</x:v>
      </x:c>
      <x:c r="B118">
        <x:v>6</x:v>
      </x:c>
      <x:c r="C118">
        <x:v>10</x:v>
      </x:c>
    </x:row>
    <x:row r="119" spans="1:3">
      <x:c r="A119">
        <x:v>105</x:v>
      </x:c>
      <x:c r="B119">
        <x:v>5</x:v>
      </x:c>
      <x:c r="C119">
        <x:v>9</x:v>
      </x:c>
    </x:row>
    <x:row r="120" spans="1:3">
      <x:c r="A120">
        <x:v>106</x:v>
      </x:c>
      <x:c r="B120">
        <x:v>2</x:v>
      </x:c>
      <x:c r="C120">
        <x:v>10</x:v>
      </x:c>
    </x:row>
    <x:row r="121" spans="1:3">
      <x:c r="A121">
        <x:v>107</x:v>
      </x:c>
      <x:c r="B121">
        <x:v>7</x:v>
      </x:c>
      <x:c r="C121">
        <x:v>10</x:v>
      </x:c>
    </x:row>
    <x:row r="122" spans="1:3">
      <x:c r="A122">
        <x:v>108</x:v>
      </x:c>
      <x:c r="B122">
        <x:v>9</x:v>
      </x:c>
      <x:c r="C122">
        <x:v>10</x:v>
      </x:c>
    </x:row>
    <x:row r="123" spans="1:3">
      <x:c r="A123">
        <x:v>109</x:v>
      </x:c>
      <x:c r="B123">
        <x:v>6</x:v>
      </x:c>
      <x:c r="C123">
        <x:v>10</x:v>
      </x:c>
    </x:row>
    <x:row r="124" spans="1:3">
      <x:c r="A124">
        <x:v>110</x:v>
      </x:c>
      <x:c r="B124">
        <x:v>1</x:v>
      </x:c>
      <x:c r="C124">
        <x:v>10</x:v>
      </x:c>
    </x:row>
    <x:row r="125" spans="1:3">
      <x:c r="A125">
        <x:v>111</x:v>
      </x:c>
      <x:c r="B125">
        <x:v>1</x:v>
      </x:c>
      <x:c r="C125">
        <x:v>10</x:v>
      </x:c>
    </x:row>
    <x:row r="126" spans="1:3">
      <x:c r="A126">
        <x:v>112</x:v>
      </x:c>
      <x:c r="B126">
        <x:v>1</x:v>
      </x:c>
      <x:c r="C126">
        <x:v>10</x:v>
      </x:c>
    </x:row>
    <x:row r="127" spans="1:3">
      <x:c r="A127">
        <x:v>113</x:v>
      </x:c>
      <x:c r="B127">
        <x:v>4</x:v>
      </x:c>
      <x:c r="C127">
        <x:v>10</x:v>
      </x:c>
    </x:row>
    <x:row r="128" spans="1:3">
      <x:c r="A128">
        <x:v>114</x:v>
      </x:c>
      <x:c r="B128">
        <x:v>7</x:v>
      </x:c>
      <x:c r="C128">
        <x:v>10</x:v>
      </x:c>
    </x:row>
    <x:row r="129" spans="1:3">
      <x:c r="A129">
        <x:v>115</x:v>
      </x:c>
      <x:c r="B129">
        <x:v>6</x:v>
      </x:c>
      <x:c r="C129">
        <x:v>10</x:v>
      </x:c>
    </x:row>
    <x:row r="130" spans="1:3">
      <x:c r="A130">
        <x:v>116</x:v>
      </x:c>
      <x:c r="B130">
        <x:v>1</x:v>
      </x:c>
      <x:c r="C130">
        <x:v>10</x:v>
      </x:c>
    </x:row>
    <x:row r="131" spans="1:3">
      <x:c r="A131">
        <x:v>117</x:v>
      </x:c>
      <x:c r="B131">
        <x:v>1</x:v>
      </x:c>
      <x:c r="C131">
        <x:v>10</x:v>
      </x:c>
    </x:row>
    <x:row r="132" spans="1:3">
      <x:c r="A132">
        <x:v>118</x:v>
      </x:c>
      <x:c r="B132">
        <x:v>1</x:v>
      </x:c>
      <x:c r="C132">
        <x:v>9</x:v>
      </x:c>
    </x:row>
    <x:row r="133" spans="1:3">
      <x:c r="A133">
        <x:v>119</x:v>
      </x:c>
      <x:c r="B133">
        <x:v>1</x:v>
      </x:c>
      <x:c r="C133">
        <x:v>9</x:v>
      </x:c>
    </x:row>
  </x:sheetData>
  <x:mergeCells count="1">
    <x:mergeCell ref="A1:J1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밸런스 문서</vt:lpstr>
      <vt:lpstr>밸런스 팩터</vt:lpstr>
      <vt:lpstr>작성 기준</vt:lpstr>
      <vt:lpstr>밸런스 곡선</vt:lpstr>
    </vt:vector>
  </ep:TitlesOfParts>
  <ep:TotalTime>116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82103</cp:lastModifiedBy>
  <cp:revision>13</cp:revision>
  <dcterms:created xsi:type="dcterms:W3CDTF">2026-07-23T02:09:26.000</dcterms:created>
  <dcterms:modified xsi:type="dcterms:W3CDTF">2026-07-27T01:32:28.279</dcterms:modified>
  <cp:version>1200.0100.01</cp:version>
</cp:coreProperties>
</file>
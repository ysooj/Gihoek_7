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Gihoek_7\"/>
    </mc:Choice>
  </mc:AlternateContent>
  <bookViews>
    <workbookView xWindow="0" yWindow="0" windowWidth="28800" windowHeight="11625"/>
  </bookViews>
  <sheets>
    <sheet name="밸런스 문서" sheetId="1" r:id="rId1"/>
    <sheet name="밸런스 팩터" sheetId="2" r:id="rId2"/>
    <sheet name="작성 기준" sheetId="3" r:id="rId3"/>
    <sheet name="밸런스 곡선" sheetId="4" r:id="rId4"/>
    <sheet name="보스 설계 요약" sheetId="5" r:id="rId5"/>
  </sheets>
  <calcPr calcId="162913"/>
</workbook>
</file>

<file path=xl/calcChain.xml><?xml version="1.0" encoding="utf-8"?>
<calcChain xmlns="http://schemas.openxmlformats.org/spreadsheetml/2006/main">
  <c r="O9" i="5" l="1"/>
  <c r="K9" i="5"/>
  <c r="R9" i="5" s="1"/>
  <c r="I9" i="5"/>
  <c r="O8" i="5"/>
  <c r="K8" i="5"/>
  <c r="R8" i="5" s="1"/>
  <c r="I8" i="5"/>
  <c r="O7" i="5"/>
  <c r="K7" i="5"/>
  <c r="R7" i="5" s="1"/>
  <c r="I7" i="5"/>
  <c r="O6" i="5"/>
  <c r="K6" i="5"/>
  <c r="R6" i="5" s="1"/>
  <c r="I6" i="5"/>
  <c r="O5" i="5"/>
  <c r="K5" i="5"/>
  <c r="R5" i="5" s="1"/>
  <c r="I5" i="5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7" i="4"/>
  <c r="A156" i="4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F3" i="4"/>
  <c r="D3" i="4"/>
  <c r="B3" i="4"/>
  <c r="D18" i="3"/>
  <c r="AB142" i="1"/>
  <c r="Z142" i="1"/>
  <c r="AB140" i="1"/>
  <c r="Z140" i="1"/>
  <c r="AB127" i="1"/>
  <c r="Z127" i="1"/>
  <c r="AB124" i="1"/>
  <c r="Z124" i="1"/>
  <c r="AB115" i="1"/>
  <c r="Z115" i="1"/>
  <c r="AB97" i="1"/>
  <c r="Z97" i="1"/>
  <c r="U97" i="1"/>
  <c r="S97" i="1"/>
  <c r="U95" i="1"/>
  <c r="S95" i="1"/>
  <c r="AB94" i="1"/>
  <c r="Z94" i="1"/>
  <c r="H3" i="4" s="1"/>
  <c r="U94" i="1"/>
  <c r="S94" i="1"/>
  <c r="P5" i="1"/>
  <c r="B5" i="4" s="1"/>
  <c r="N5" i="1"/>
  <c r="R3" i="1"/>
  <c r="Q3" i="1"/>
  <c r="R5" i="1" l="1"/>
  <c r="C5" i="4" s="1"/>
  <c r="P6" i="1"/>
  <c r="D5" i="4"/>
  <c r="N6" i="1"/>
  <c r="D6" i="4" l="1"/>
  <c r="N7" i="1"/>
  <c r="B6" i="4"/>
  <c r="P7" i="1"/>
  <c r="R6" i="1"/>
  <c r="C6" i="4" s="1"/>
  <c r="B7" i="4" l="1"/>
  <c r="P8" i="1"/>
  <c r="R7" i="1"/>
  <c r="C7" i="4" s="1"/>
  <c r="D7" i="4"/>
  <c r="N8" i="1"/>
  <c r="B8" i="4" l="1"/>
  <c r="P9" i="1"/>
  <c r="R8" i="1"/>
  <c r="C8" i="4" s="1"/>
  <c r="D8" i="4"/>
  <c r="N9" i="1"/>
  <c r="B9" i="4" l="1"/>
  <c r="P10" i="1"/>
  <c r="R9" i="1"/>
  <c r="C9" i="4" s="1"/>
  <c r="D9" i="4"/>
  <c r="N10" i="1"/>
  <c r="B10" i="4" l="1"/>
  <c r="P11" i="1"/>
  <c r="R10" i="1"/>
  <c r="C10" i="4" s="1"/>
  <c r="D10" i="4"/>
  <c r="N11" i="1"/>
  <c r="B11" i="4" l="1"/>
  <c r="R11" i="1"/>
  <c r="C11" i="4" s="1"/>
  <c r="P12" i="1"/>
  <c r="D11" i="4"/>
  <c r="N12" i="1"/>
  <c r="B12" i="4" l="1"/>
  <c r="P13" i="1"/>
  <c r="R12" i="1"/>
  <c r="C12" i="4" s="1"/>
  <c r="D12" i="4"/>
  <c r="N13" i="1"/>
  <c r="B13" i="4" l="1"/>
  <c r="R13" i="1"/>
  <c r="C13" i="4" s="1"/>
  <c r="P14" i="1"/>
  <c r="D13" i="4"/>
  <c r="N14" i="1"/>
  <c r="B14" i="4" l="1"/>
  <c r="P15" i="1"/>
  <c r="R14" i="1"/>
  <c r="C14" i="4" s="1"/>
  <c r="D14" i="4"/>
  <c r="N15" i="1"/>
  <c r="B15" i="4" l="1"/>
  <c r="R15" i="1"/>
  <c r="C15" i="4" s="1"/>
  <c r="P16" i="1"/>
  <c r="D15" i="4"/>
  <c r="N16" i="1"/>
  <c r="B16" i="4" l="1"/>
  <c r="P17" i="1"/>
  <c r="R16" i="1"/>
  <c r="C16" i="4" s="1"/>
  <c r="D16" i="4"/>
  <c r="N17" i="1"/>
  <c r="B17" i="4" l="1"/>
  <c r="P18" i="1"/>
  <c r="R17" i="1"/>
  <c r="C17" i="4" s="1"/>
  <c r="D17" i="4"/>
  <c r="N18" i="1"/>
  <c r="B18" i="4" l="1"/>
  <c r="P19" i="1"/>
  <c r="R18" i="1"/>
  <c r="C18" i="4" s="1"/>
  <c r="D18" i="4"/>
  <c r="N19" i="1"/>
  <c r="B19" i="4" l="1"/>
  <c r="P20" i="1"/>
  <c r="R19" i="1"/>
  <c r="C19" i="4" s="1"/>
  <c r="D19" i="4"/>
  <c r="N20" i="1"/>
  <c r="B20" i="4" l="1"/>
  <c r="P21" i="1"/>
  <c r="R20" i="1"/>
  <c r="C20" i="4" s="1"/>
  <c r="D20" i="4"/>
  <c r="N21" i="1"/>
  <c r="B21" i="4" l="1"/>
  <c r="R21" i="1"/>
  <c r="C21" i="4" s="1"/>
  <c r="P22" i="1"/>
  <c r="D21" i="4"/>
  <c r="N22" i="1"/>
  <c r="B22" i="4" l="1"/>
  <c r="P23" i="1"/>
  <c r="R22" i="1"/>
  <c r="C22" i="4" s="1"/>
  <c r="D22" i="4"/>
  <c r="N23" i="1"/>
  <c r="B23" i="4" l="1"/>
  <c r="P24" i="1"/>
  <c r="R23" i="1"/>
  <c r="C23" i="4" s="1"/>
  <c r="D23" i="4"/>
  <c r="N24" i="1"/>
  <c r="B24" i="4" l="1"/>
  <c r="P25" i="1"/>
  <c r="R24" i="1"/>
  <c r="C24" i="4" s="1"/>
  <c r="D24" i="4"/>
  <c r="N25" i="1"/>
  <c r="B25" i="4" l="1"/>
  <c r="P26" i="1"/>
  <c r="R25" i="1"/>
  <c r="C25" i="4" s="1"/>
  <c r="D25" i="4"/>
  <c r="N26" i="1"/>
  <c r="B26" i="4" l="1"/>
  <c r="P27" i="1"/>
  <c r="R26" i="1"/>
  <c r="C26" i="4" s="1"/>
  <c r="D26" i="4"/>
  <c r="N27" i="1"/>
  <c r="B27" i="4" l="1"/>
  <c r="P28" i="1"/>
  <c r="R27" i="1"/>
  <c r="C27" i="4" s="1"/>
  <c r="D27" i="4"/>
  <c r="N28" i="1"/>
  <c r="B28" i="4" l="1"/>
  <c r="P29" i="1"/>
  <c r="R28" i="1"/>
  <c r="C28" i="4" s="1"/>
  <c r="D28" i="4"/>
  <c r="N29" i="1"/>
  <c r="B29" i="4" l="1"/>
  <c r="R29" i="1"/>
  <c r="C29" i="4" s="1"/>
  <c r="P30" i="1"/>
  <c r="D29" i="4"/>
  <c r="N30" i="1"/>
  <c r="B30" i="4" l="1"/>
  <c r="P31" i="1"/>
  <c r="R30" i="1"/>
  <c r="C30" i="4" s="1"/>
  <c r="D30" i="4"/>
  <c r="N31" i="1"/>
  <c r="B31" i="4" l="1"/>
  <c r="P32" i="1"/>
  <c r="R31" i="1"/>
  <c r="C31" i="4" s="1"/>
  <c r="D31" i="4"/>
  <c r="N32" i="1"/>
  <c r="B32" i="4" l="1"/>
  <c r="P33" i="1"/>
  <c r="R32" i="1"/>
  <c r="C32" i="4" s="1"/>
  <c r="D32" i="4"/>
  <c r="N33" i="1"/>
  <c r="B33" i="4" l="1"/>
  <c r="P34" i="1"/>
  <c r="R33" i="1"/>
  <c r="C33" i="4" s="1"/>
  <c r="D33" i="4"/>
  <c r="N34" i="1"/>
  <c r="B34" i="4" l="1"/>
  <c r="P35" i="1"/>
  <c r="R34" i="1"/>
  <c r="C34" i="4" s="1"/>
  <c r="D34" i="4"/>
  <c r="N35" i="1"/>
  <c r="B35" i="4" l="1"/>
  <c r="P36" i="1"/>
  <c r="R35" i="1"/>
  <c r="C35" i="4" s="1"/>
  <c r="D35" i="4"/>
  <c r="N36" i="1"/>
  <c r="B36" i="4" l="1"/>
  <c r="P37" i="1"/>
  <c r="R36" i="1"/>
  <c r="C36" i="4" s="1"/>
  <c r="D36" i="4"/>
  <c r="N37" i="1"/>
  <c r="B37" i="4" l="1"/>
  <c r="R37" i="1"/>
  <c r="C37" i="4" s="1"/>
  <c r="P38" i="1"/>
  <c r="D37" i="4"/>
  <c r="N38" i="1"/>
  <c r="B38" i="4" l="1"/>
  <c r="P39" i="1"/>
  <c r="R38" i="1"/>
  <c r="C38" i="4" s="1"/>
  <c r="D38" i="4"/>
  <c r="N39" i="1"/>
  <c r="B39" i="4" l="1"/>
  <c r="P40" i="1"/>
  <c r="R39" i="1"/>
  <c r="C39" i="4" s="1"/>
  <c r="D39" i="4"/>
  <c r="N40" i="1"/>
  <c r="B40" i="4" l="1"/>
  <c r="P41" i="1"/>
  <c r="R40" i="1"/>
  <c r="C40" i="4" s="1"/>
  <c r="D40" i="4"/>
  <c r="N41" i="1"/>
  <c r="B41" i="4" l="1"/>
  <c r="P42" i="1"/>
  <c r="R41" i="1"/>
  <c r="C41" i="4" s="1"/>
  <c r="D41" i="4"/>
  <c r="N42" i="1"/>
  <c r="B42" i="4" l="1"/>
  <c r="P43" i="1"/>
  <c r="R42" i="1"/>
  <c r="C42" i="4" s="1"/>
  <c r="D42" i="4"/>
  <c r="N43" i="1"/>
  <c r="B43" i="4" l="1"/>
  <c r="P44" i="1"/>
  <c r="R43" i="1"/>
  <c r="C43" i="4" s="1"/>
  <c r="D43" i="4"/>
  <c r="N44" i="1"/>
  <c r="B44" i="4" l="1"/>
  <c r="P45" i="1"/>
  <c r="R44" i="1"/>
  <c r="C44" i="4" s="1"/>
  <c r="D44" i="4"/>
  <c r="N45" i="1"/>
  <c r="B45" i="4" l="1"/>
  <c r="R45" i="1"/>
  <c r="C45" i="4" s="1"/>
  <c r="P46" i="1"/>
  <c r="D45" i="4"/>
  <c r="N46" i="1"/>
  <c r="B46" i="4" l="1"/>
  <c r="P47" i="1"/>
  <c r="R46" i="1"/>
  <c r="C46" i="4" s="1"/>
  <c r="D46" i="4"/>
  <c r="N47" i="1"/>
  <c r="B47" i="4" l="1"/>
  <c r="P48" i="1"/>
  <c r="R47" i="1"/>
  <c r="C47" i="4" s="1"/>
  <c r="D47" i="4"/>
  <c r="N48" i="1"/>
  <c r="B48" i="4" l="1"/>
  <c r="P49" i="1"/>
  <c r="R48" i="1"/>
  <c r="C48" i="4" s="1"/>
  <c r="D48" i="4"/>
  <c r="N49" i="1"/>
  <c r="B49" i="4" l="1"/>
  <c r="P50" i="1"/>
  <c r="R49" i="1"/>
  <c r="C49" i="4" s="1"/>
  <c r="D49" i="4"/>
  <c r="N50" i="1"/>
  <c r="B50" i="4" l="1"/>
  <c r="P51" i="1"/>
  <c r="R50" i="1"/>
  <c r="C50" i="4" s="1"/>
  <c r="D50" i="4"/>
  <c r="N51" i="1"/>
  <c r="B51" i="4" l="1"/>
  <c r="P52" i="1"/>
  <c r="R51" i="1"/>
  <c r="C51" i="4" s="1"/>
  <c r="D51" i="4"/>
  <c r="N52" i="1"/>
  <c r="B52" i="4" l="1"/>
  <c r="P53" i="1"/>
  <c r="R52" i="1"/>
  <c r="C52" i="4" s="1"/>
  <c r="D52" i="4"/>
  <c r="N53" i="1"/>
  <c r="B53" i="4" l="1"/>
  <c r="R53" i="1"/>
  <c r="C53" i="4" s="1"/>
  <c r="P54" i="1"/>
  <c r="D53" i="4"/>
  <c r="N54" i="1"/>
  <c r="B54" i="4" l="1"/>
  <c r="P55" i="1"/>
  <c r="R54" i="1"/>
  <c r="C54" i="4" s="1"/>
  <c r="D54" i="4"/>
  <c r="N55" i="1"/>
  <c r="B55" i="4" l="1"/>
  <c r="P56" i="1"/>
  <c r="R55" i="1"/>
  <c r="C55" i="4" s="1"/>
  <c r="D55" i="4"/>
  <c r="N56" i="1"/>
  <c r="B56" i="4" l="1"/>
  <c r="P57" i="1"/>
  <c r="R56" i="1"/>
  <c r="C56" i="4" s="1"/>
  <c r="D56" i="4"/>
  <c r="N57" i="1"/>
  <c r="B57" i="4" l="1"/>
  <c r="P58" i="1"/>
  <c r="R57" i="1"/>
  <c r="C57" i="4" s="1"/>
  <c r="D57" i="4"/>
  <c r="N58" i="1"/>
  <c r="B58" i="4" l="1"/>
  <c r="P59" i="1"/>
  <c r="R58" i="1"/>
  <c r="C58" i="4" s="1"/>
  <c r="D58" i="4"/>
  <c r="N59" i="1"/>
  <c r="B59" i="4" l="1"/>
  <c r="P60" i="1"/>
  <c r="R59" i="1"/>
  <c r="C59" i="4" s="1"/>
  <c r="D59" i="4"/>
  <c r="N60" i="1"/>
  <c r="B60" i="4" l="1"/>
  <c r="P61" i="1"/>
  <c r="R60" i="1"/>
  <c r="C60" i="4" s="1"/>
  <c r="D60" i="4"/>
  <c r="N61" i="1"/>
  <c r="B61" i="4" l="1"/>
  <c r="R61" i="1"/>
  <c r="C61" i="4" s="1"/>
  <c r="P62" i="1"/>
  <c r="D61" i="4"/>
  <c r="N62" i="1"/>
  <c r="B62" i="4" l="1"/>
  <c r="P63" i="1"/>
  <c r="R62" i="1"/>
  <c r="C62" i="4" s="1"/>
  <c r="D62" i="4"/>
  <c r="N63" i="1"/>
  <c r="B63" i="4" l="1"/>
  <c r="P64" i="1"/>
  <c r="R63" i="1"/>
  <c r="C63" i="4" s="1"/>
  <c r="D63" i="4"/>
  <c r="N64" i="1"/>
  <c r="B64" i="4" l="1"/>
  <c r="P65" i="1"/>
  <c r="R64" i="1"/>
  <c r="C64" i="4" s="1"/>
  <c r="D64" i="4"/>
  <c r="N65" i="1"/>
  <c r="B65" i="4" l="1"/>
  <c r="P66" i="1"/>
  <c r="R65" i="1"/>
  <c r="C65" i="4" s="1"/>
  <c r="D65" i="4"/>
  <c r="N66" i="1"/>
  <c r="B66" i="4" l="1"/>
  <c r="P67" i="1"/>
  <c r="R66" i="1"/>
  <c r="C66" i="4" s="1"/>
  <c r="D66" i="4"/>
  <c r="N67" i="1"/>
  <c r="B67" i="4" l="1"/>
  <c r="P68" i="1"/>
  <c r="R67" i="1"/>
  <c r="C67" i="4" s="1"/>
  <c r="D67" i="4"/>
  <c r="N68" i="1"/>
  <c r="B68" i="4" l="1"/>
  <c r="P69" i="1"/>
  <c r="R68" i="1"/>
  <c r="C68" i="4" s="1"/>
  <c r="D68" i="4"/>
  <c r="N69" i="1"/>
  <c r="B69" i="4" l="1"/>
  <c r="P70" i="1"/>
  <c r="R69" i="1"/>
  <c r="C69" i="4" s="1"/>
  <c r="D69" i="4"/>
  <c r="N70" i="1"/>
  <c r="B70" i="4" l="1"/>
  <c r="P71" i="1"/>
  <c r="R70" i="1"/>
  <c r="C70" i="4" s="1"/>
  <c r="D70" i="4"/>
  <c r="N71" i="1"/>
  <c r="B71" i="4" l="1"/>
  <c r="P72" i="1"/>
  <c r="R71" i="1"/>
  <c r="C71" i="4" s="1"/>
  <c r="D71" i="4"/>
  <c r="N72" i="1"/>
  <c r="B72" i="4" l="1"/>
  <c r="P73" i="1"/>
  <c r="R72" i="1"/>
  <c r="C72" i="4" s="1"/>
  <c r="D72" i="4"/>
  <c r="N73" i="1"/>
  <c r="B73" i="4" l="1"/>
  <c r="P74" i="1"/>
  <c r="R73" i="1"/>
  <c r="C73" i="4" s="1"/>
  <c r="D73" i="4"/>
  <c r="N74" i="1"/>
  <c r="B74" i="4" l="1"/>
  <c r="P75" i="1"/>
  <c r="R74" i="1"/>
  <c r="C74" i="4" s="1"/>
  <c r="D74" i="4"/>
  <c r="N75" i="1"/>
  <c r="B75" i="4" l="1"/>
  <c r="P76" i="1"/>
  <c r="R75" i="1"/>
  <c r="C75" i="4" s="1"/>
  <c r="D75" i="4"/>
  <c r="N76" i="1"/>
  <c r="B76" i="4" l="1"/>
  <c r="P77" i="1"/>
  <c r="R76" i="1"/>
  <c r="C76" i="4" s="1"/>
  <c r="D76" i="4"/>
  <c r="N77" i="1"/>
  <c r="B77" i="4" l="1"/>
  <c r="P78" i="1"/>
  <c r="R77" i="1"/>
  <c r="C77" i="4" s="1"/>
  <c r="D77" i="4"/>
  <c r="N78" i="1"/>
  <c r="B78" i="4" l="1"/>
  <c r="P79" i="1"/>
  <c r="R78" i="1"/>
  <c r="C78" i="4" s="1"/>
  <c r="D78" i="4"/>
  <c r="N79" i="1"/>
  <c r="B79" i="4" l="1"/>
  <c r="P80" i="1"/>
  <c r="R79" i="1"/>
  <c r="C79" i="4" s="1"/>
  <c r="D79" i="4"/>
  <c r="N80" i="1"/>
  <c r="B80" i="4" l="1"/>
  <c r="P81" i="1"/>
  <c r="R80" i="1"/>
  <c r="C80" i="4" s="1"/>
  <c r="D80" i="4"/>
  <c r="N81" i="1"/>
  <c r="B81" i="4" l="1"/>
  <c r="P82" i="1"/>
  <c r="R81" i="1"/>
  <c r="C81" i="4" s="1"/>
  <c r="D81" i="4"/>
  <c r="N82" i="1"/>
  <c r="B82" i="4" l="1"/>
  <c r="P83" i="1"/>
  <c r="R82" i="1"/>
  <c r="C82" i="4" s="1"/>
  <c r="D82" i="4"/>
  <c r="N83" i="1"/>
  <c r="B83" i="4" l="1"/>
  <c r="P84" i="1"/>
  <c r="R83" i="1"/>
  <c r="C83" i="4" s="1"/>
  <c r="D83" i="4"/>
  <c r="N84" i="1"/>
  <c r="B84" i="4" l="1"/>
  <c r="P85" i="1"/>
  <c r="R84" i="1"/>
  <c r="C84" i="4" s="1"/>
  <c r="D84" i="4"/>
  <c r="N85" i="1"/>
  <c r="B85" i="4" l="1"/>
  <c r="P86" i="1"/>
  <c r="R85" i="1"/>
  <c r="C85" i="4" s="1"/>
  <c r="D85" i="4"/>
  <c r="N86" i="1"/>
  <c r="B86" i="4" l="1"/>
  <c r="P87" i="1"/>
  <c r="R86" i="1"/>
  <c r="C86" i="4" s="1"/>
  <c r="D86" i="4"/>
  <c r="N87" i="1"/>
  <c r="B87" i="4" l="1"/>
  <c r="P88" i="1"/>
  <c r="R87" i="1"/>
  <c r="C87" i="4" s="1"/>
  <c r="D87" i="4"/>
  <c r="N88" i="1"/>
  <c r="B88" i="4" l="1"/>
  <c r="P89" i="1"/>
  <c r="R88" i="1"/>
  <c r="C88" i="4" s="1"/>
  <c r="D88" i="4"/>
  <c r="N89" i="1"/>
  <c r="B89" i="4" l="1"/>
  <c r="P90" i="1"/>
  <c r="R89" i="1"/>
  <c r="C89" i="4" s="1"/>
  <c r="D89" i="4"/>
  <c r="N90" i="1"/>
  <c r="B90" i="4" l="1"/>
  <c r="P91" i="1"/>
  <c r="R90" i="1"/>
  <c r="C90" i="4" s="1"/>
  <c r="D90" i="4"/>
  <c r="N91" i="1"/>
  <c r="B91" i="4" l="1"/>
  <c r="P92" i="1"/>
  <c r="R91" i="1"/>
  <c r="C91" i="4" s="1"/>
  <c r="D91" i="4"/>
  <c r="N92" i="1"/>
  <c r="B92" i="4" l="1"/>
  <c r="P93" i="1"/>
  <c r="R92" i="1"/>
  <c r="C92" i="4" s="1"/>
  <c r="D92" i="4"/>
  <c r="N93" i="1"/>
  <c r="B93" i="4" l="1"/>
  <c r="P94" i="1"/>
  <c r="R93" i="1"/>
  <c r="C93" i="4" s="1"/>
  <c r="D93" i="4"/>
  <c r="N94" i="1"/>
  <c r="B94" i="4" l="1"/>
  <c r="P95" i="1"/>
  <c r="R94" i="1"/>
  <c r="C94" i="4" s="1"/>
  <c r="D94" i="4"/>
  <c r="N95" i="1"/>
  <c r="B95" i="4" l="1"/>
  <c r="P96" i="1"/>
  <c r="R95" i="1"/>
  <c r="C95" i="4" s="1"/>
  <c r="D95" i="4"/>
  <c r="N96" i="1"/>
  <c r="B96" i="4" l="1"/>
  <c r="P97" i="1"/>
  <c r="R96" i="1"/>
  <c r="C96" i="4" s="1"/>
  <c r="D96" i="4"/>
  <c r="N97" i="1"/>
  <c r="B97" i="4" l="1"/>
  <c r="P98" i="1"/>
  <c r="R97" i="1"/>
  <c r="C97" i="4" s="1"/>
  <c r="D97" i="4"/>
  <c r="N98" i="1"/>
  <c r="B98" i="4" l="1"/>
  <c r="P99" i="1"/>
  <c r="R98" i="1"/>
  <c r="C98" i="4" s="1"/>
  <c r="D98" i="4"/>
  <c r="N99" i="1"/>
  <c r="B99" i="4" l="1"/>
  <c r="P100" i="1"/>
  <c r="R99" i="1"/>
  <c r="C99" i="4" s="1"/>
  <c r="D99" i="4"/>
  <c r="N100" i="1"/>
  <c r="B100" i="4" l="1"/>
  <c r="P101" i="1"/>
  <c r="R100" i="1"/>
  <c r="C100" i="4" s="1"/>
  <c r="D100" i="4"/>
  <c r="N101" i="1"/>
  <c r="B101" i="4" l="1"/>
  <c r="P102" i="1"/>
  <c r="R101" i="1"/>
  <c r="C101" i="4" s="1"/>
  <c r="D101" i="4"/>
  <c r="N102" i="1"/>
  <c r="B102" i="4" l="1"/>
  <c r="P103" i="1"/>
  <c r="R102" i="1"/>
  <c r="C102" i="4" s="1"/>
  <c r="D102" i="4"/>
  <c r="N103" i="1"/>
  <c r="B103" i="4" l="1"/>
  <c r="P104" i="1"/>
  <c r="R103" i="1"/>
  <c r="C103" i="4" s="1"/>
  <c r="D103" i="4"/>
  <c r="N104" i="1"/>
  <c r="B104" i="4" l="1"/>
  <c r="P105" i="1"/>
  <c r="R104" i="1"/>
  <c r="C104" i="4" s="1"/>
  <c r="D104" i="4"/>
  <c r="N105" i="1"/>
  <c r="B105" i="4" l="1"/>
  <c r="P106" i="1"/>
  <c r="R105" i="1"/>
  <c r="C105" i="4" s="1"/>
  <c r="D105" i="4"/>
  <c r="N106" i="1"/>
  <c r="B106" i="4" l="1"/>
  <c r="P107" i="1"/>
  <c r="R106" i="1"/>
  <c r="C106" i="4" s="1"/>
  <c r="D106" i="4"/>
  <c r="N107" i="1"/>
  <c r="B107" i="4" l="1"/>
  <c r="P108" i="1"/>
  <c r="R107" i="1"/>
  <c r="C107" i="4" s="1"/>
  <c r="D107" i="4"/>
  <c r="N108" i="1"/>
  <c r="B108" i="4" l="1"/>
  <c r="P109" i="1"/>
  <c r="R108" i="1"/>
  <c r="C108" i="4" s="1"/>
  <c r="D108" i="4"/>
  <c r="N109" i="1"/>
  <c r="B109" i="4" l="1"/>
  <c r="P110" i="1"/>
  <c r="R109" i="1"/>
  <c r="C109" i="4" s="1"/>
  <c r="D109" i="4"/>
  <c r="N110" i="1"/>
  <c r="B110" i="4" l="1"/>
  <c r="P111" i="1"/>
  <c r="R110" i="1"/>
  <c r="C110" i="4" s="1"/>
  <c r="D110" i="4"/>
  <c r="N111" i="1"/>
  <c r="B111" i="4" l="1"/>
  <c r="P112" i="1"/>
  <c r="R111" i="1"/>
  <c r="C111" i="4" s="1"/>
  <c r="D111" i="4"/>
  <c r="N112" i="1"/>
  <c r="B112" i="4" l="1"/>
  <c r="P113" i="1"/>
  <c r="R112" i="1"/>
  <c r="C112" i="4" s="1"/>
  <c r="D112" i="4"/>
  <c r="N113" i="1"/>
  <c r="B113" i="4" l="1"/>
  <c r="P114" i="1"/>
  <c r="R113" i="1"/>
  <c r="C113" i="4" s="1"/>
  <c r="D113" i="4"/>
  <c r="N114" i="1"/>
  <c r="B114" i="4" l="1"/>
  <c r="P115" i="1"/>
  <c r="R114" i="1"/>
  <c r="C114" i="4" s="1"/>
  <c r="D114" i="4"/>
  <c r="N115" i="1"/>
  <c r="B115" i="4" l="1"/>
  <c r="P116" i="1"/>
  <c r="R115" i="1"/>
  <c r="C115" i="4" s="1"/>
  <c r="D115" i="4"/>
  <c r="N116" i="1"/>
  <c r="B116" i="4" l="1"/>
  <c r="P117" i="1"/>
  <c r="R116" i="1"/>
  <c r="C116" i="4" s="1"/>
  <c r="D116" i="4"/>
  <c r="N117" i="1"/>
  <c r="B117" i="4" l="1"/>
  <c r="P118" i="1"/>
  <c r="R117" i="1"/>
  <c r="C117" i="4" s="1"/>
  <c r="D117" i="4"/>
  <c r="N118" i="1"/>
  <c r="B118" i="4" l="1"/>
  <c r="P119" i="1"/>
  <c r="R118" i="1"/>
  <c r="C118" i="4" s="1"/>
  <c r="D118" i="4"/>
  <c r="N119" i="1"/>
  <c r="B119" i="4" l="1"/>
  <c r="P120" i="1"/>
  <c r="R119" i="1"/>
  <c r="C119" i="4" s="1"/>
  <c r="D119" i="4"/>
  <c r="N120" i="1"/>
  <c r="B120" i="4" l="1"/>
  <c r="P121" i="1"/>
  <c r="R120" i="1"/>
  <c r="C120" i="4" s="1"/>
  <c r="D120" i="4"/>
  <c r="N121" i="1"/>
  <c r="B121" i="4" l="1"/>
  <c r="P122" i="1"/>
  <c r="R121" i="1"/>
  <c r="C121" i="4" s="1"/>
  <c r="D121" i="4"/>
  <c r="N122" i="1"/>
  <c r="B122" i="4" l="1"/>
  <c r="P123" i="1"/>
  <c r="R122" i="1"/>
  <c r="C122" i="4" s="1"/>
  <c r="D122" i="4"/>
  <c r="N123" i="1"/>
  <c r="B123" i="4" l="1"/>
  <c r="P124" i="1"/>
  <c r="R123" i="1"/>
  <c r="C123" i="4" s="1"/>
  <c r="D123" i="4"/>
  <c r="N124" i="1"/>
  <c r="B124" i="4" l="1"/>
  <c r="P125" i="1"/>
  <c r="R124" i="1"/>
  <c r="C124" i="4" s="1"/>
  <c r="D124" i="4"/>
  <c r="N125" i="1"/>
  <c r="B125" i="4" l="1"/>
  <c r="P126" i="1"/>
  <c r="R125" i="1"/>
  <c r="C125" i="4" s="1"/>
  <c r="D125" i="4"/>
  <c r="N126" i="1"/>
  <c r="B126" i="4" l="1"/>
  <c r="P127" i="1"/>
  <c r="R126" i="1"/>
  <c r="C126" i="4" s="1"/>
  <c r="D126" i="4"/>
  <c r="N127" i="1"/>
  <c r="B127" i="4" l="1"/>
  <c r="P128" i="1"/>
  <c r="R127" i="1"/>
  <c r="C127" i="4" s="1"/>
  <c r="D127" i="4"/>
  <c r="N128" i="1"/>
  <c r="B128" i="4" l="1"/>
  <c r="P129" i="1"/>
  <c r="R128" i="1"/>
  <c r="C128" i="4" s="1"/>
  <c r="D128" i="4"/>
  <c r="N129" i="1"/>
  <c r="B129" i="4" l="1"/>
  <c r="P130" i="1"/>
  <c r="R129" i="1"/>
  <c r="C129" i="4" s="1"/>
  <c r="D129" i="4"/>
  <c r="N130" i="1"/>
  <c r="B130" i="4" l="1"/>
  <c r="P131" i="1"/>
  <c r="R130" i="1"/>
  <c r="C130" i="4" s="1"/>
  <c r="D130" i="4"/>
  <c r="N131" i="1"/>
  <c r="B131" i="4" l="1"/>
  <c r="P132" i="1"/>
  <c r="R131" i="1"/>
  <c r="C131" i="4" s="1"/>
  <c r="D131" i="4"/>
  <c r="N132" i="1"/>
  <c r="B132" i="4" l="1"/>
  <c r="P133" i="1"/>
  <c r="R132" i="1"/>
  <c r="C132" i="4" s="1"/>
  <c r="D132" i="4"/>
  <c r="N133" i="1"/>
  <c r="B133" i="4" l="1"/>
  <c r="P134" i="1"/>
  <c r="R133" i="1"/>
  <c r="C133" i="4" s="1"/>
  <c r="D133" i="4"/>
  <c r="N134" i="1"/>
  <c r="B134" i="4" l="1"/>
  <c r="P135" i="1"/>
  <c r="R134" i="1"/>
  <c r="C134" i="4" s="1"/>
  <c r="D134" i="4"/>
  <c r="N135" i="1"/>
  <c r="B135" i="4" l="1"/>
  <c r="P136" i="1"/>
  <c r="R135" i="1"/>
  <c r="C135" i="4" s="1"/>
  <c r="D135" i="4"/>
  <c r="N136" i="1"/>
  <c r="B136" i="4" l="1"/>
  <c r="P137" i="1"/>
  <c r="R136" i="1"/>
  <c r="C136" i="4" s="1"/>
  <c r="D136" i="4"/>
  <c r="N137" i="1"/>
  <c r="B137" i="4" l="1"/>
  <c r="P138" i="1"/>
  <c r="R137" i="1"/>
  <c r="C137" i="4" s="1"/>
  <c r="D137" i="4"/>
  <c r="N138" i="1"/>
  <c r="B138" i="4" l="1"/>
  <c r="P139" i="1"/>
  <c r="R138" i="1"/>
  <c r="C138" i="4" s="1"/>
  <c r="D138" i="4"/>
  <c r="N139" i="1"/>
  <c r="B139" i="4" l="1"/>
  <c r="P140" i="1"/>
  <c r="R139" i="1"/>
  <c r="C139" i="4" s="1"/>
  <c r="D139" i="4"/>
  <c r="N140" i="1"/>
  <c r="B140" i="4" l="1"/>
  <c r="P141" i="1"/>
  <c r="R140" i="1"/>
  <c r="C140" i="4" s="1"/>
  <c r="D140" i="4"/>
  <c r="N141" i="1"/>
  <c r="B141" i="4" l="1"/>
  <c r="P142" i="1"/>
  <c r="R141" i="1"/>
  <c r="C141" i="4" s="1"/>
  <c r="D141" i="4"/>
  <c r="N142" i="1"/>
  <c r="B142" i="4" l="1"/>
  <c r="P143" i="1"/>
  <c r="R142" i="1"/>
  <c r="C142" i="4" s="1"/>
  <c r="D142" i="4"/>
  <c r="N143" i="1"/>
  <c r="B143" i="4" l="1"/>
  <c r="P144" i="1"/>
  <c r="R143" i="1"/>
  <c r="C143" i="4" s="1"/>
  <c r="D143" i="4"/>
  <c r="N144" i="1"/>
  <c r="B144" i="4" l="1"/>
  <c r="P145" i="1"/>
  <c r="R144" i="1"/>
  <c r="C144" i="4" s="1"/>
  <c r="D144" i="4"/>
  <c r="N145" i="1"/>
  <c r="B145" i="4" l="1"/>
  <c r="P146" i="1"/>
  <c r="R145" i="1"/>
  <c r="C145" i="4" s="1"/>
  <c r="D145" i="4"/>
  <c r="N146" i="1"/>
  <c r="B146" i="4" l="1"/>
  <c r="P147" i="1"/>
  <c r="R146" i="1"/>
  <c r="C146" i="4" s="1"/>
  <c r="D146" i="4"/>
  <c r="N147" i="1"/>
  <c r="B147" i="4" l="1"/>
  <c r="P148" i="1"/>
  <c r="R147" i="1"/>
  <c r="C147" i="4" s="1"/>
  <c r="D147" i="4"/>
  <c r="N148" i="1"/>
  <c r="B148" i="4" l="1"/>
  <c r="P149" i="1"/>
  <c r="R148" i="1"/>
  <c r="C148" i="4" s="1"/>
  <c r="D148" i="4"/>
  <c r="N149" i="1"/>
  <c r="B149" i="4" l="1"/>
  <c r="P150" i="1"/>
  <c r="R149" i="1"/>
  <c r="C149" i="4" s="1"/>
  <c r="D149" i="4"/>
  <c r="N150" i="1"/>
  <c r="B150" i="4" l="1"/>
  <c r="P151" i="1"/>
  <c r="R150" i="1"/>
  <c r="C150" i="4" s="1"/>
  <c r="D150" i="4"/>
  <c r="N151" i="1"/>
  <c r="B151" i="4" l="1"/>
  <c r="P152" i="1"/>
  <c r="R151" i="1"/>
  <c r="C151" i="4" s="1"/>
  <c r="D151" i="4"/>
  <c r="N152" i="1"/>
  <c r="B152" i="4" l="1"/>
  <c r="P153" i="1"/>
  <c r="R152" i="1"/>
  <c r="C152" i="4" s="1"/>
  <c r="D152" i="4"/>
  <c r="N153" i="1"/>
  <c r="B153" i="4" l="1"/>
  <c r="P154" i="1"/>
  <c r="R153" i="1"/>
  <c r="C153" i="4" s="1"/>
  <c r="D153" i="4"/>
  <c r="N154" i="1"/>
  <c r="B154" i="4" l="1"/>
  <c r="P155" i="1"/>
  <c r="R154" i="1"/>
  <c r="C154" i="4" s="1"/>
  <c r="D154" i="4"/>
  <c r="N155" i="1"/>
  <c r="B155" i="4" l="1"/>
  <c r="P156" i="1"/>
  <c r="R155" i="1"/>
  <c r="C155" i="4" s="1"/>
  <c r="D155" i="4"/>
  <c r="N156" i="1"/>
  <c r="B156" i="4" l="1"/>
  <c r="P157" i="1"/>
  <c r="R156" i="1"/>
  <c r="C156" i="4" s="1"/>
  <c r="D156" i="4"/>
  <c r="N157" i="1"/>
  <c r="B157" i="4" l="1"/>
  <c r="P158" i="1"/>
  <c r="R157" i="1"/>
  <c r="C157" i="4" s="1"/>
  <c r="D157" i="4"/>
  <c r="N158" i="1"/>
  <c r="B158" i="4" l="1"/>
  <c r="P159" i="1"/>
  <c r="R158" i="1"/>
  <c r="C158" i="4" s="1"/>
  <c r="D158" i="4"/>
  <c r="N159" i="1"/>
  <c r="B159" i="4" l="1"/>
  <c r="P160" i="1"/>
  <c r="R159" i="1"/>
  <c r="C159" i="4" s="1"/>
  <c r="D159" i="4"/>
  <c r="N160" i="1"/>
  <c r="B160" i="4" l="1"/>
  <c r="P161" i="1"/>
  <c r="R160" i="1"/>
  <c r="C160" i="4" s="1"/>
  <c r="D160" i="4"/>
  <c r="N161" i="1"/>
  <c r="B161" i="4" l="1"/>
  <c r="P162" i="1"/>
  <c r="R161" i="1"/>
  <c r="C161" i="4" s="1"/>
  <c r="D161" i="4"/>
  <c r="N162" i="1"/>
  <c r="B162" i="4" l="1"/>
  <c r="P163" i="1"/>
  <c r="R162" i="1"/>
  <c r="C162" i="4" s="1"/>
  <c r="D162" i="4"/>
  <c r="N163" i="1"/>
  <c r="B163" i="4" l="1"/>
  <c r="P164" i="1"/>
  <c r="R163" i="1"/>
  <c r="C163" i="4" s="1"/>
  <c r="D163" i="4"/>
  <c r="N164" i="1"/>
  <c r="B164" i="4" l="1"/>
  <c r="P165" i="1"/>
  <c r="R164" i="1"/>
  <c r="C164" i="4" s="1"/>
  <c r="D164" i="4"/>
  <c r="N165" i="1"/>
  <c r="B165" i="4" l="1"/>
  <c r="P166" i="1"/>
  <c r="R165" i="1"/>
  <c r="C165" i="4" s="1"/>
  <c r="D165" i="4"/>
  <c r="N166" i="1"/>
  <c r="B166" i="4" l="1"/>
  <c r="P167" i="1"/>
  <c r="R166" i="1"/>
  <c r="C166" i="4" s="1"/>
  <c r="D166" i="4"/>
  <c r="N167" i="1"/>
  <c r="B167" i="4" l="1"/>
  <c r="P168" i="1"/>
  <c r="R167" i="1"/>
  <c r="C167" i="4" s="1"/>
  <c r="D167" i="4"/>
  <c r="N168" i="1"/>
  <c r="B168" i="4" l="1"/>
  <c r="P169" i="1"/>
  <c r="R168" i="1"/>
  <c r="C168" i="4" s="1"/>
  <c r="D168" i="4"/>
  <c r="N169" i="1"/>
  <c r="B169" i="4" l="1"/>
  <c r="P170" i="1"/>
  <c r="R169" i="1"/>
  <c r="C169" i="4" s="1"/>
  <c r="D169" i="4"/>
  <c r="N170" i="1"/>
  <c r="B170" i="4" l="1"/>
  <c r="P171" i="1"/>
  <c r="R170" i="1"/>
  <c r="C170" i="4" s="1"/>
  <c r="D170" i="4"/>
  <c r="N171" i="1"/>
  <c r="B171" i="4" l="1"/>
  <c r="P172" i="1"/>
  <c r="R171" i="1"/>
  <c r="C171" i="4" s="1"/>
  <c r="D171" i="4"/>
  <c r="N172" i="1"/>
  <c r="B172" i="4" l="1"/>
  <c r="P173" i="1"/>
  <c r="R172" i="1"/>
  <c r="C172" i="4" s="1"/>
  <c r="D172" i="4"/>
  <c r="N173" i="1"/>
  <c r="B173" i="4" l="1"/>
  <c r="P174" i="1"/>
  <c r="R173" i="1"/>
  <c r="C173" i="4" s="1"/>
  <c r="D173" i="4"/>
  <c r="N174" i="1"/>
  <c r="B174" i="4" l="1"/>
  <c r="P175" i="1"/>
  <c r="R174" i="1"/>
  <c r="C174" i="4" s="1"/>
  <c r="D174" i="4"/>
  <c r="N175" i="1"/>
  <c r="B175" i="4" l="1"/>
  <c r="P176" i="1"/>
  <c r="R175" i="1"/>
  <c r="C175" i="4" s="1"/>
  <c r="D175" i="4"/>
  <c r="N176" i="1"/>
  <c r="B176" i="4" l="1"/>
  <c r="P177" i="1"/>
  <c r="R176" i="1"/>
  <c r="C176" i="4" s="1"/>
  <c r="D176" i="4"/>
  <c r="N177" i="1"/>
  <c r="B177" i="4" l="1"/>
  <c r="P178" i="1"/>
  <c r="R177" i="1"/>
  <c r="C177" i="4" s="1"/>
  <c r="D177" i="4"/>
  <c r="N178" i="1"/>
  <c r="B178" i="4" l="1"/>
  <c r="R178" i="1"/>
  <c r="C178" i="4" s="1"/>
  <c r="D178" i="4"/>
  <c r="J3" i="4"/>
</calcChain>
</file>

<file path=xl/sharedStrings.xml><?xml version="1.0" encoding="utf-8"?>
<sst xmlns="http://schemas.openxmlformats.org/spreadsheetml/2006/main" count="2719" uniqueCount="1339">
  <si>
    <t>a</t>
  </si>
  <si>
    <t>b</t>
  </si>
  <si>
    <t>경험치 그래프</t>
  </si>
  <si>
    <t>챕터</t>
  </si>
  <si>
    <t>콘텐츠 진행 순서</t>
  </si>
  <si>
    <t>플레이 난이도</t>
  </si>
  <si>
    <t>플레이 흥미도</t>
  </si>
  <si>
    <t>플레이 목표</t>
  </si>
  <si>
    <t>플레이 난관</t>
  </si>
  <si>
    <t>공략 방법</t>
  </si>
  <si>
    <t>체감 난이도</t>
  </si>
  <si>
    <t>수행 과제 수</t>
  </si>
  <si>
    <t>목표 달성 조건</t>
  </si>
  <si>
    <t>실패 결과</t>
  </si>
  <si>
    <t>예상 소요 시간</t>
  </si>
  <si>
    <t>난이도 조절 요소</t>
  </si>
  <si>
    <t>누적 플레이 시간</t>
  </si>
  <si>
    <t>스테이지</t>
  </si>
  <si>
    <t>콘텐츠 진행 포인트 누적</t>
  </si>
  <si>
    <t>X
콘텐츠 진행 포인트</t>
  </si>
  <si>
    <t>Y
진행 요구 숙련도</t>
  </si>
  <si>
    <t>전투 콘텐츠
분류</t>
  </si>
  <si>
    <t>권장 전투
숙련도</t>
  </si>
  <si>
    <t>전투 예상 시간
(초)</t>
  </si>
  <si>
    <t>핵심 전투
기믹</t>
  </si>
  <si>
    <t>라이트 유저
(예상 시간 기준)</t>
  </si>
  <si>
    <t>미들 유저</t>
  </si>
  <si>
    <t>헤비 유저</t>
  </si>
  <si>
    <t>보스가 주는 경험치</t>
  </si>
  <si>
    <t>해당 레벨의
보스 분포 수</t>
  </si>
  <si>
    <t>보스 잡는 데 걸리는 시간(초)
보스타입 (근거리)</t>
  </si>
  <si>
    <t>보스 잡는 데 걸리는 시간(초)
보스타입 (원거리)</t>
  </si>
  <si>
    <t>1 | 동생 심부름</t>
  </si>
  <si>
    <t>차한해의 과거 오프닝 감상</t>
  </si>
  <si>
    <t>입양 이후 가족 안에서 희생을 요구받아 온 과거를 보여주는 연출이 길게 이어져 플레이어가 핵심 정보를 놓칠 수 있음</t>
  </si>
  <si>
    <t>핵심 장면의 시선 유도와 짧은 자막을 통해 관계와 감정 변화를 이해함</t>
  </si>
  <si>
    <t>1/10 – 연출 길이와 정보량이 난이도를 결정함</t>
  </si>
  <si>
    <t>오프닝 재생이 끝나면 자동 완료</t>
  </si>
  <si>
    <t>-</t>
  </si>
  <si>
    <t>1분 30초</t>
  </si>
  <si>
    <t>스킵·다시 보기 기능 제공</t>
  </si>
  <si>
    <t>1-A | 집·튜토리얼</t>
  </si>
  <si>
    <t>비전투</t>
  </si>
  <si>
    <t>—</t>
  </si>
  <si>
    <t>빨래 개기</t>
  </si>
  <si>
    <t>조사 가능한 가구가 많아 조작 가능한 대상을 바로 알아보기 어려움</t>
  </si>
  <si>
    <t>주인공 주변의 상호작용 표시를 확인하고 조사 키를 누름</t>
  </si>
  <si>
    <t>1/10 – 상호작용 표시의 가시성과 조사 범위가 난이도를 결정함</t>
  </si>
  <si>
    <t>소파 옆 주인공에서 조사 입력 1회 완료</t>
  </si>
  <si>
    <t>20초</t>
  </si>
  <si>
    <t>첫 상호작용 대상에 반짝임 표시</t>
  </si>
  <si>
    <t>동생에게 심부름 지시 받기</t>
  </si>
  <si>
    <t>대화 속에 다음 목적지와 필요한 물품 정보가 섞여 있음</t>
  </si>
  <si>
    <t>강조되는 핵심 단어와 NPC의 요구를 확인하며 대화를 끝까지 진행함</t>
  </si>
  <si>
    <t>1/10 – 대사 길이·핵심 정보의 명확성·선택지 수가 난이도를 결정함</t>
  </si>
  <si>
    <t>신상 과자·헤어롤·팝콘 심부름에 관한 대화를 마지막 문장까지 진행</t>
  </si>
  <si>
    <t>1분</t>
  </si>
  <si>
    <t>대화 종료 후 핵심 내용을 화면 한쪽에 요약 표시</t>
  </si>
  <si>
    <t>이동 조작 안내 확인</t>
  </si>
  <si>
    <t>여러 조작을 한 번에 제시하면 입력 방법을 혼동할 수 있음</t>
  </si>
  <si>
    <t>화면에 표시되는 키를 순서대로 입력하고 각 동작의 결과를 확인함</t>
  </si>
  <si>
    <t>1/10 – 동시에 제시되는 조작 수와 입력 허용 시간이 난이도를 결정함</t>
  </si>
  <si>
    <t>상하좌우 이동과 조사 키를 안내 순서대로 모두 수행</t>
  </si>
  <si>
    <t>40초</t>
  </si>
  <si>
    <t>입력하지 않은 키 안내를 계속 유지</t>
  </si>
  <si>
    <t>현관으로 이동하기</t>
  </si>
  <si>
    <t>갈림길과 주변 상호작용 오브젝트 때문에 목적지 방향을 놓칠 수 있음</t>
  </si>
  <si>
    <t>표지판·미니맵·NPC 이동 방향을 확인하며 거실에서 현관문까지 이동함</t>
  </si>
  <si>
    <t>1/10 – 맵 크기·갈림길 수·목적지 표식의 가시성이 난이도를 결정함</t>
  </si>
  <si>
    <t>거실에서 현관문의 도착 트리거에 진입</t>
  </si>
  <si>
    <t>30초</t>
  </si>
  <si>
    <t>일정 시간 정체 시 목적지 방향 화살표 표시</t>
  </si>
  <si>
    <t>집 밖으로 나가기</t>
  </si>
  <si>
    <t>조사 대상이 배경 오브젝트와 비슷해 상호작용 가능 여부를 놓칠 수 있음</t>
  </si>
  <si>
    <t>현관문 가까이 이동한 뒤 상호작용 아이콘이 나타날 때 조사함</t>
  </si>
  <si>
    <t>1/10 – 조사 대상의 크기·배경과의 대비·상호작용 범위가 난이도를 결정함</t>
  </si>
  <si>
    <t>현관문 조사 완료</t>
  </si>
  <si>
    <t>상호작용 가능 범위를 넓히고 아이콘 표시</t>
  </si>
  <si>
    <t>편의점으로 이동하기</t>
  </si>
  <si>
    <t>표지판·미니맵·NPC 이동 방향을 확인하며 아파트에서 편의점까지 이동함</t>
  </si>
  <si>
    <t>2/10 – 맵 크기·갈림길 수·목적지 표식의 가시성이 난이도를 결정함</t>
  </si>
  <si>
    <t>아파트에서 편의점의 도착 트리거에 진입</t>
  </si>
  <si>
    <t>1분 15초</t>
  </si>
  <si>
    <t>1-B | 편의점</t>
  </si>
  <si>
    <t>신상 과자 진열대 찾기</t>
  </si>
  <si>
    <t>비슷한 오브젝트와 진열대가 많아 목표 대상을 한 번에 찾기 어려움</t>
  </si>
  <si>
    <t>구역별 표지와 상품 외형을 비교하며 편의점 안 신상 과자 진열대를 조사함</t>
  </si>
  <si>
    <t>3/10 – 후보 오브젝트 수·외형 유사도·탐색 범위가 난이도를 결정함</t>
  </si>
  <si>
    <t>편의점 안 신상 과자 진열대 발견 및 조사 완료</t>
  </si>
  <si>
    <t>30초 이상 미발견 시 목표 구역에 약한 반짝임 표시</t>
  </si>
  <si>
    <t>품절 안내 조사하기</t>
  </si>
  <si>
    <t>비어 있는 진열칸과 손글씨 품절 안내 가까이 이동한 뒤 상호작용 아이콘이 나타날 때 조사함</t>
  </si>
  <si>
    <t>2/10 – 조사 대상의 크기·배경과의 대비·상호작용 범위가 난이도를 결정함</t>
  </si>
  <si>
    <t>비어 있는 진열칸과 손글씨 품절 안내 조사 완료</t>
  </si>
  <si>
    <t>35초</t>
  </si>
  <si>
    <t>알바생 NPC와 대화하기</t>
  </si>
  <si>
    <t>2/10 – 대사 길이·핵심 정보의 명확성·선택지 수가 난이도를 결정함</t>
  </si>
  <si>
    <t>재입고 시간과 물류 트럭 정보에 관한 대화를 마지막 문장까지 진행</t>
  </si>
  <si>
    <t>다이소로 이동하기</t>
  </si>
  <si>
    <t>표지판·미니맵·NPC 이동 방향을 확인하며 편의점에서 다이소까지 이동함</t>
  </si>
  <si>
    <t>편의점에서 다이소의 도착 트리거에 진입</t>
  </si>
  <si>
    <t>1-C | 다이소</t>
  </si>
  <si>
    <t>헤어롤 진열대 찾기</t>
  </si>
  <si>
    <t>구역별 표지와 상품 외형을 비교하며 생활용품 코너의 헤어롤을 조사함</t>
  </si>
  <si>
    <t>생활용품 코너의 헤어롤 발견 및 조사 완료</t>
  </si>
  <si>
    <t>1분 50초</t>
  </si>
  <si>
    <t>헤어롤 구매하기</t>
  </si>
  <si>
    <t>구매 대상·수량·결제 순서를 잘못 선택할 수 있음</t>
  </si>
  <si>
    <t>요청받은 품목을 확인하고 상품 선택→계산대 상호작용→결제를 순서대로 진행함</t>
  </si>
  <si>
    <t>2/10 – 상품 후보 수·품목 유사도·구매 단계 수가 난이도를 결정함</t>
  </si>
  <si>
    <t>헤어롤 1개 구매 후 인벤토리에 등록</t>
  </si>
  <si>
    <t>잘못된 품목 구매 시 다시 선택해야 함</t>
  </si>
  <si>
    <t>50초</t>
  </si>
  <si>
    <t>요청 품목에 작은 임무 아이콘 표시</t>
  </si>
  <si>
    <t>영화관으로 이동하기</t>
  </si>
  <si>
    <t>표지판·미니맵·NPC 이동 방향을 확인하며 다이소에서 영화관까지 이동함</t>
  </si>
  <si>
    <t>다이소에서 영화관의 도착 트리거에 진입</t>
  </si>
  <si>
    <t>2분</t>
  </si>
  <si>
    <t>1-D | 영화관</t>
  </si>
  <si>
    <t>팝콘 구매하기</t>
  </si>
  <si>
    <t>동생이 지정한 팝콘 구매 후 인벤토리에 등록</t>
  </si>
  <si>
    <t>1분 20초</t>
  </si>
  <si>
    <t>편의점 물류 트럭 발견하기</t>
  </si>
  <si>
    <t>짧은 시간 동안 화면을 지나가는 대상이라 시선을 다른 곳에 두면 놓칠 수 있음</t>
  </si>
  <si>
    <t>카메라 이동과 NPC 시선을 따라 영화관 출구 앞을 지나가는 편의점 물류 트럭을 확인함</t>
  </si>
  <si>
    <t>2/10 – 대상 노출 시간·화면 내 이동속도·시선 유도 강도가 난이도를 결정함</t>
  </si>
  <si>
    <t>영화관 출구 앞을 지나가는 편의점 물류 트럭을 화면 안에서 확인</t>
  </si>
  <si>
    <t>대상을 놓치면 짧은 연출이 다시 재생됨</t>
  </si>
  <si>
    <t>25초</t>
  </si>
  <si>
    <t>대상 등장 직전 효과음과 화면 가장자리 표시</t>
  </si>
  <si>
    <t>배송 상자의 재입고 표식 기억하기</t>
  </si>
  <si>
    <t>움직이는 트럭의 적재함이 잠깐 열리며 비슷한 상자 표식이 동시에 노출됨</t>
  </si>
  <si>
    <t>상자의 줄무늬·색 띠·배송 코드를 순서대로 기억해 편의점 재입고 상자를 판별함</t>
  </si>
  <si>
    <t>3/10 – 표식 노출 시간·유사 표식 수·기억해야 할 순서가 난이도를 결정함</t>
  </si>
  <si>
    <t>재입고 상자 표식 3개를 순서대로 선택</t>
  </si>
  <si>
    <t>오답 3회 시 트럭 등장 연출부터 다시 확인</t>
  </si>
  <si>
    <t>1분 10초</t>
  </si>
  <si>
    <t>첫 시도에는 표식을 순차적으로 확대하고 오답 후 다른 표식 하나를 제거</t>
  </si>
  <si>
    <t>1-E | 편의점 재입고</t>
  </si>
  <si>
    <t>편의점 물류 트럭 따라가기</t>
  </si>
  <si>
    <t>대상이 빠르게 이동하고 시민과 건물이 시야를 가려 추적이 끊길 수 있음</t>
  </si>
  <si>
    <t>목표 아이콘과 도로 방향을 보며 허용 거리 안에서 물류 트럭을 따라감</t>
  </si>
  <si>
    <t>6/10 – 플레이어와 대상의 속도 차이·허용 거리·시야 차단물이 난이도를 결정함</t>
  </si>
  <si>
    <t>허용 거리 안에서 추적 종료 지점 도착</t>
  </si>
  <si>
    <t>대상과 6초 이상 거리 초과 시 추격 구간 재시작</t>
  </si>
  <si>
    <t>실패 2회 후 대상 속도 감소 및 경로 화살표 표시</t>
  </si>
  <si>
    <t>골목 지름길의 장애물 돌파하기</t>
  </si>
  <si>
    <t>보행자·자전거·배송 상자가 골목을 막고 트럭과의 거리가 계속 벌어짐</t>
  </si>
  <si>
    <t>장애물의 이동 방향을 예측해 짧은 지름길을 선택하고 넘기·비켜가기 조작을 연결함</t>
  </si>
  <si>
    <t>5/10 – 장애물 밀도·트럭과의 거리·지름길 선택 시간이 난이도를 결정함</t>
  </si>
  <si>
    <t>트럭과의 추적 거리 게이지를 유지한 채 편의점 후문 도착</t>
  </si>
  <si>
    <t>거리 게이지가 0이 되면 골목 입구 체크포인트에서 재시작</t>
  </si>
  <si>
    <t>재시도마다 트럭 속도를 소폭 낮추고 안전한 지름길 입구를 강조</t>
  </si>
  <si>
    <t>신상 과자 오픈런 참가하기</t>
  </si>
  <si>
    <t>여러 NPC가 동시에 진열대로 이동해 접근 경로와 상호작용 위치가 막힘</t>
  </si>
  <si>
    <t>군중의 이동 방향을 예측하고 빈 공간으로 우회해 편의점 진열대 앞 군중에 접근함</t>
  </si>
  <si>
    <t>6/10 – 경쟁 NPC 수·충돌 범위·재고 수량·접근 가능 시간이 난이도를 결정함</t>
  </si>
  <si>
    <t>재고가 남아 있을 때 목표 상품 상호작용 성공</t>
  </si>
  <si>
    <t>재고가 모두 소진되면 직전 체크포인트에서 재시도</t>
  </si>
  <si>
    <t>1분 40초</t>
  </si>
  <si>
    <t>재시도 시 경쟁 NPC 수 1명 감소</t>
  </si>
  <si>
    <t>신상 과자 구매하기</t>
  </si>
  <si>
    <t>3/10 – 상품 후보 수·품목 유사도·구매 단계 수가 난이도를 결정함</t>
  </si>
  <si>
    <t>신상 과자 1봉 구매 후 인벤토리에 등록</t>
  </si>
  <si>
    <t>55초</t>
  </si>
  <si>
    <t>동생 연락 받기</t>
  </si>
  <si>
    <t>중고 거래 물품 수령 요청에 관한 대화를 마지막 문장까지 진행</t>
  </si>
  <si>
    <t>지하철역으로 이동하기</t>
  </si>
  <si>
    <t>표지판·미니맵·NPC 이동 방향을 확인하며 편의점에서 지하철역 개찰구까지 이동함</t>
  </si>
  <si>
    <t>편의점에서 지하철역 개찰구의 도착 트리거에 진입</t>
  </si>
  <si>
    <t>2분 30초</t>
  </si>
  <si>
    <t>1-F | 지하철역</t>
  </si>
  <si>
    <t>거래자 후보 3명 관찰하기</t>
  </si>
  <si>
    <t>중요한 단서가 여러 인물과 배경 오브젝트 사이에 분산되어 있음</t>
  </si>
  <si>
    <t>시선·행동·복장·주변 오브젝트를 순서대로 확인해 회색 후드 특징이 겹치는 세 명의 후보의 특징을 파악함</t>
  </si>
  <si>
    <t>5/10 – 관찰 대상 수·단서의 명확성·외형 유사도가 난이도를 결정함</t>
  </si>
  <si>
    <t>필수 관찰 대상 모두 조사</t>
  </si>
  <si>
    <t>필수 대상 위에 짧은 시선 유도 아이콘 표시</t>
  </si>
  <si>
    <t>중고 거래자 찾기</t>
  </si>
  <si>
    <t>후보들이 공통 특징을 가지고 있어 한 가지 단서만으로는 구별할 수 없음</t>
  </si>
  <si>
    <t>복장·소지품·대화 반응을 함께 비교해 대화 단서와 복장 단서가 일치하는 거래자를 선택함</t>
  </si>
  <si>
    <t>6/10 – 후보 수·공통 특징 수·추가 단서의 명확성이 난이도를 결정함</t>
  </si>
  <si>
    <t>올바른 거래자와 대화 시작</t>
  </si>
  <si>
    <t>오답 후보 선택 시 경계 대사가 출력되고 다시 선택</t>
  </si>
  <si>
    <t>오답 2회 후 확인하지 않은 단서 목록 표시</t>
  </si>
  <si>
    <t>중고 거래 완료하기</t>
  </si>
  <si>
    <t>동생이 부탁한 중고 물품 구매 후 인벤토리에 등록</t>
  </si>
  <si>
    <t>1분 5초</t>
  </si>
  <si>
    <t>집으로 돌아가는 길에 공원 진입하기</t>
  </si>
  <si>
    <t>표지판·미니맵·NPC 이동 방향을 확인하며 지하철역에서 축제 종료 공원까지 이동함</t>
  </si>
  <si>
    <t>지하철역에서 축제 종료 공원의 도착 트리거에 진입</t>
  </si>
  <si>
    <t>1-G | 공원 진입</t>
  </si>
  <si>
    <t>2 | 공원 청소</t>
  </si>
  <si>
    <t>축제 종료 현장 관찰하기</t>
  </si>
  <si>
    <t>시선·행동·복장·주변 오브젝트를 순서대로 확인해 떠나는 시민과 공원에 남은 쓰레기의 특징을 파악함</t>
  </si>
  <si>
    <t>3/10 – 관찰 대상 수·단서의 명확성·외형 유사도가 난이도를 결정함</t>
  </si>
  <si>
    <t>2-A | 공원 축제·청소</t>
  </si>
  <si>
    <t>아이가 쓰레기에 걸려 넘어질 뻔한 장면 목격하기</t>
  </si>
  <si>
    <t>짧은 연출 안에서 사건의 원인과 인물의 태도를 동시에 이해해야 함</t>
  </si>
  <si>
    <t>카메라가 강조하는 인물과 오브젝트를 보며 아이와 가족의 행동을 확인함</t>
  </si>
  <si>
    <t>1/10 – 연출 속도·동시에 제시되는 정보량이 난이도를 결정함</t>
  </si>
  <si>
    <t>사건 연출 종료</t>
  </si>
  <si>
    <t>핵심 오브젝트에 카메라 줌과 효과음 적용</t>
  </si>
  <si>
    <t>쓰레기를 치우기로 결정하기</t>
  </si>
  <si>
    <t>두 선택 모두 이후 상황에 영향을 주므로 감정적 판단 부담이 발생함</t>
  </si>
  <si>
    <t>현재 상황과 주인공의 독백을 확인한 뒤 공원을 지나갈지 쓰레기를 치울지 판단에 대한 행동을 결정함</t>
  </si>
  <si>
    <t>3/10 – 정보의 불완전성·결과 예측 가능성·감정적 부담이 난이도를 결정함</t>
  </si>
  <si>
    <t>선택지 1개 확정</t>
  </si>
  <si>
    <t>45초</t>
  </si>
  <si>
    <t>선택 직전 핵심 상황을 한 문장으로 다시 표시</t>
  </si>
  <si>
    <t>청소 도구 찾기</t>
  </si>
  <si>
    <t>구역별 표지와 상품 외형을 비교하며 공원 관리함의 집게와 봉투를 조사함</t>
  </si>
  <si>
    <t>공원 관리함의 집게와 봉투 발견 및 조사 완료</t>
  </si>
  <si>
    <t>1분 25초</t>
  </si>
  <si>
    <t>바람에 날린 비닐봉지 추격하기</t>
  </si>
  <si>
    <t>돌풍이 불 때마다 비닐봉지의 방향이 바뀌고 사람과 벤치가 이동 경로를 막음</t>
  </si>
  <si>
    <t>바람 방향 표시와 봉지의 그림자를 보고 다음 착지 지점을 예측해 세 번 안에 붙잡음</t>
  </si>
  <si>
    <t>4/10 – 방향 전환 빈도·장애물 배치·포획 가능 시간이 난이도를 결정함</t>
  </si>
  <si>
    <t>비닐봉지를 3번째 착지 이전에 회수</t>
  </si>
  <si>
    <t>공원 출구까지 날아가면 시작 지점에서 다시 추격</t>
  </si>
  <si>
    <t>실패 후 바람 방향 예고 시간을 늘리고 봉지 이동속도를 낮춤</t>
  </si>
  <si>
    <t>첫 쓰레기 줍기</t>
  </si>
  <si>
    <t>수거 대상과 배경 장식의 차이를 처음에는 구별하기 어려움</t>
  </si>
  <si>
    <t>반짝임 표시가 있는 산책로의 첫 쓰레기에 접근해 줍기 입력을 수행함</t>
  </si>
  <si>
    <t>2/10 – 대상 가시성·입력 단계 수가 난이도를 결정함</t>
  </si>
  <si>
    <t>안내된 수거 행동 3회 완료</t>
  </si>
  <si>
    <t>수거 대상 반짝임과 상호작용 범위를 크게 설정</t>
  </si>
  <si>
    <t>잔디 구역 쓰레기 수거하기</t>
  </si>
  <si>
    <t>쓰레기가 넓은 구역과 가려진 틈에 흩어져 있어 남은 대상을 찾기 어려움</t>
  </si>
  <si>
    <t>구역을 일정한 방향으로 순회하고 반짝임·잔여 개수 UI를 확인하며 잔디 구역 쓰레기 8개를 수거함</t>
  </si>
  <si>
    <t>4/10 – 목표 수량·배치 밀도·가림 오브젝트·탐색 범위가 난이도를 결정함</t>
  </si>
  <si>
    <t>잔디 구역 쓰레기 8개 전부 수거</t>
  </si>
  <si>
    <t>필수 수량을 채우지 못하면 다음 구역 진행 불가</t>
  </si>
  <si>
    <t>3분</t>
  </si>
  <si>
    <t>60초 이상 미발견 시 가장 가까운 미수거 대상 방향 표시</t>
  </si>
  <si>
    <t>산책로 쓰레기 수거하기</t>
  </si>
  <si>
    <t>구역을 일정한 방향으로 순회하고 반짝임·잔여 개수 UI를 확인하며 산책로 쓰레기 7개를 수거함</t>
  </si>
  <si>
    <t>산책로 쓰레기 7개 전부 수거</t>
  </si>
  <si>
    <t>2분 40초</t>
  </si>
  <si>
    <t>벤치 주변 쓰레기 수거하기</t>
  </si>
  <si>
    <t>구역을 일정한 방향으로 순회하고 반짝임·잔여 개수 UI를 확인하며 벤치와 가려진 틈의 쓰레기 6개를 수거함</t>
  </si>
  <si>
    <t>5/10 – 목표 수량·배치 밀도·가림 오브젝트·탐색 범위가 난이도를 결정함</t>
  </si>
  <si>
    <t>벤치와 가려진 틈의 쓰레기 6개 전부 수거</t>
  </si>
  <si>
    <t>한도윤과 대화하기</t>
  </si>
  <si>
    <t>혼자 청소하는 이유와 도움 제안에 관한 대화를 마지막 문장까지 진행</t>
  </si>
  <si>
    <t>한도윤과 구역 분담하기</t>
  </si>
  <si>
    <t>동료가 담당하는 구역과 플레이어 구역이 겹치면 불필요한 이동이 발생함</t>
  </si>
  <si>
    <t>대화에서 정한 담당 구역을 확인하고 서로 다른 공원 구역를 순서대로 처리함</t>
  </si>
  <si>
    <t>4/10 – 구역 수·동료 행동 예측 가능성·이동 동선이 난이도를 결정함</t>
  </si>
  <si>
    <t>플레이어 담당 구역의 목표 수량 달성</t>
  </si>
  <si>
    <t>2분 20초</t>
  </si>
  <si>
    <t>미니맵에 담당 구역을 서로 다른 테두리로 표시</t>
  </si>
  <si>
    <t>청소 콤보 유지하기</t>
  </si>
  <si>
    <t>서로 다른 쓰레기를 연속으로 정확히 주워야 콤보가 유지되며 잘못 집으면 게이지가 초기화됨</t>
  </si>
  <si>
    <t>가까운 쓰레기의 종류와 다음 분리수거 위치를 미리 확인해 이동 동선을 끊지 않고 수거함</t>
  </si>
  <si>
    <t>4/10 – 콤보 유지 시간·쓰레기 간 거리·오분류 페널티가 난이도를 결정함</t>
  </si>
  <si>
    <t>정확 수거 콤보 12회를 달성</t>
  </si>
  <si>
    <t>오분류 시 콤보만 초기화되고 수거 진행도는 유지</t>
  </si>
  <si>
    <t>콤보 실패 후 다음 3개 쓰레기의 분류 아이콘을 미리 표시</t>
  </si>
  <si>
    <t>우정 반지 단서 발견하기</t>
  </si>
  <si>
    <t>작은 단서가 쓰레기와 배경에 섞여 있어 일반 수거물로 오인할 수 있음</t>
  </si>
  <si>
    <t>중학생이 잃어버린 반지의 흔적의 형태와 주변 대사를 확인하고 별도 조사함</t>
  </si>
  <si>
    <t>4/10 – 단서 크기·배경 대비·오인 가능성이 난이도를 결정함</t>
  </si>
  <si>
    <t>필수 단서 모두 조사</t>
  </si>
  <si>
    <t>단서를 버리려 하면 경고 후 행동 취소</t>
  </si>
  <si>
    <t>단서에 일반 쓰레기와 다른 약한 빛 효과 적용</t>
  </si>
  <si>
    <t>발자국과 스티커 단서 대조하기</t>
  </si>
  <si>
    <t>비슷한 운동화 자국과 축제 스티커가 여러 방향으로 이어져 잘못된 동선을 선택하기 쉬움</t>
  </si>
  <si>
    <t>반지에 묻은 흙·신발 자국·가방 스티커를 비교해 중학생이 지나간 경로를 좁힘</t>
  </si>
  <si>
    <t>4/10 – 후보 경로 수·단서 유사도·비교 단계 수가 난이도를 결정함</t>
  </si>
  <si>
    <t>세 단서를 연결해 올바른 탐색 구역 선택</t>
  </si>
  <si>
    <t>오답 경로 선택 시 불필요한 탐색 시간이 추가됨</t>
  </si>
  <si>
    <t>오답 후 일치하지 않는 단서 하나에 취소 표시</t>
  </si>
  <si>
    <t>우정 반지 찾기</t>
  </si>
  <si>
    <t>목표물이 작고 수거 가능한 쓰레기 사이에 섞여 있어 탐색 부담이 큼</t>
  </si>
  <si>
    <t>마지막 목격 위치와 반짝임 주기를 이용해 쓰레기 사이에 섞인 작은 반지를 찾음</t>
  </si>
  <si>
    <t>6/10 – 목표물 크기·탐색 범위·가짜 후보 수가 난이도를 결정함</t>
  </si>
  <si>
    <t>쓰레기 사이에 섞인 작은 반지 발견 후 획득</t>
  </si>
  <si>
    <t>2분 50초</t>
  </si>
  <si>
    <t>90초 이상 미발견 시 탐색 범위를 단계적으로 축소</t>
  </si>
  <si>
    <t>중학생에게 반지 전달하기</t>
  </si>
  <si>
    <t>비슷한 복장의 NPC가 있어 물건의 주인을 잘못 선택할 수 있음</t>
  </si>
  <si>
    <t>의뢰 대사와 위치를 확인한 뒤 반지의 주인에게 전달함</t>
  </si>
  <si>
    <t>2/10 – NPC 후보 수·위치 이동 여부·의뢰 단서 명확성이 난이도를 결정함</t>
  </si>
  <si>
    <t>올바른 NPC에게 물품 전달</t>
  </si>
  <si>
    <t>오답 NPC 선택 시 전달이 취소되고 다시 선택</t>
  </si>
  <si>
    <t>의뢰 NPC 머리 위에 약한 대화 아이콘 표시</t>
  </si>
  <si>
    <t>남은 쓰레기 확인하기</t>
  </si>
  <si>
    <t>완료한 것처럼 보여도 남은 대상이나 오분류 항목이 존재할 수 있음</t>
  </si>
  <si>
    <t>잔여 수량과 각 구역 상태를 확인해 공원 미수거 구역과 남은 수량의 미완료 항목을 점검함</t>
  </si>
  <si>
    <t>4/10 – 검사 항목 수·오류 위치의 분산 정도가 난이도를 결정함</t>
  </si>
  <si>
    <t>잔여 수량 0 및 오류 항목 0</t>
  </si>
  <si>
    <t>조건 미달 시 완료 상호작용이 비활성화됨</t>
  </si>
  <si>
    <t>미완료 구역과 오류 수량을 별도 UI로 표시</t>
  </si>
  <si>
    <t>분리수거장으로 이동하기</t>
  </si>
  <si>
    <t>표지판·미니맵·NPC 이동 방향을 확인하며 공원에서 분리수거장까지 이동함</t>
  </si>
  <si>
    <t>공원에서 분리수거장의 도착 트리거에 진입</t>
  </si>
  <si>
    <t>2-B | 분리수거장</t>
  </si>
  <si>
    <t>일반쓰레기 분류하기</t>
  </si>
  <si>
    <t>외형이 비슷하거나 내용물이 남은 쓰레기는 분류 기준을 혼동하기 쉬움</t>
  </si>
  <si>
    <t>재질·오염 여부·남은 내용물을 확인하고 일반쓰레기 8개를 올바른 수거함에 넣음</t>
  </si>
  <si>
    <t>4/10 – 분류 종류 수·외형 유사도·오답 허용 횟수가 난이도를 결정함</t>
  </si>
  <si>
    <t>일반쓰레기 8개 전부 올바르게 분류</t>
  </si>
  <si>
    <t>오분류 5회 누적 시 해당 분류 단계 재시작</t>
  </si>
  <si>
    <t>오답 2회 후 분류 기준 그림 표시</t>
  </si>
  <si>
    <t>재활용품 분류하기</t>
  </si>
  <si>
    <t>재질·오염 여부·남은 내용물을 확인하고 플라스틱·캔·종이 10개를 올바른 수거함에 넣음</t>
  </si>
  <si>
    <t>6/10 – 분류 종류 수·외형 유사도·오답 허용 횟수가 난이도를 결정함</t>
  </si>
  <si>
    <t>플라스틱·캔·종이 10개 전부 올바르게 분류</t>
  </si>
  <si>
    <t>오염된 쓰레기 분류하기</t>
  </si>
  <si>
    <t>재질·오염 여부·남은 내용물을 확인하고 내용물이 남거나 오염된 쓰레기 6개를 올바른 수거함에 넣음</t>
  </si>
  <si>
    <t>7/10 – 분류 종류 수·외형 유사도·오답 허용 횟수가 난이도를 결정함</t>
  </si>
  <si>
    <t>내용물이 남거나 오염된 쓰레기 6개 전부 올바르게 분류</t>
  </si>
  <si>
    <t>분리수거 라인 막힘 해소하기</t>
  </si>
  <si>
    <t>한꺼번에 들어온 쓰레기로 컨베이어가 막히고 오염물이 다른 분류함으로 번짐</t>
  </si>
  <si>
    <t>막힘 원인을 먼저 제거한 뒤 제한 시간 동안 재활용·일반·세척 대상을 우선순위대로 분류함</t>
  </si>
  <si>
    <t>5/10 – 동시 등장 수·오염 확산 속도·우선순위 판단이 난이도를 결정함</t>
  </si>
  <si>
    <t>막힘 제거 후 쓰레기 10개를 오분류 없이 처리</t>
  </si>
  <si>
    <t>오염도 게이지가 최대가 되면 구간 시작부터 재시작</t>
  </si>
  <si>
    <t>재시도 시 컨베이어 속도를 낮추고 오염 확산 대상에 경고 테두리 표시</t>
  </si>
  <si>
    <t>분리수거 완료하기</t>
  </si>
  <si>
    <t>잔여 수량과 각 구역 상태를 확인해 모든 분류함과 오분류 여부의 미완료 항목을 점검함</t>
  </si>
  <si>
    <t>균열 발생을 목격하기</t>
  </si>
  <si>
    <t>카메라가 강조하는 인물과 오브젝트를 보며 분리수거장 바닥에서 열리는 도덕 균열를 확인함</t>
  </si>
  <si>
    <t>2-C | 균열 발생</t>
  </si>
  <si>
    <t>균열 구경하기</t>
  </si>
  <si>
    <t>시선·행동·복장·주변 오브젝트를 순서대로 확인해 균열의 빛·소리·주변 반응의 특징을 파악함</t>
  </si>
  <si>
    <t>4/10 – 관찰 대상 수·단서의 명확성·외형 유사도가 난이도를 결정함</t>
  </si>
  <si>
    <t>1분 35초</t>
  </si>
  <si>
    <t>집으로 귀가하기</t>
  </si>
  <si>
    <t>표지판·미니맵·NPC 이동 방향을 확인하며 공원에서 집까지 이동함</t>
  </si>
  <si>
    <t>공원에서 집의 도착 트리거에 진입</t>
  </si>
  <si>
    <t>2-D | 귀가·밤</t>
  </si>
  <si>
    <t>잠자기</t>
  </si>
  <si>
    <t>다음 날로 넘어가는 상호작용임을 알아차리지 못할 수 있음</t>
  </si>
  <si>
    <t>침대를 조사하고 휴식 확인 선택지를 선택함</t>
  </si>
  <si>
    <t>1/10 – 상호작용 대상의 명확성이 난이도를 결정함</t>
  </si>
  <si>
    <t>잠자기 확인 후 다음 장면 전환</t>
  </si>
  <si>
    <t>침대에 임무 아이콘 표시</t>
  </si>
  <si>
    <t>3 | 재난 대응</t>
  </si>
  <si>
    <t>새벽 재난 문자 확인하기</t>
  </si>
  <si>
    <t>재난 문자와 주변 효과음이 동시에 출력되어 핵심 행동을 놓칠 수 있음</t>
  </si>
  <si>
    <t>균열 인근 대피 안내의 대피 위치와 위험 지역을 먼저 확인함</t>
  </si>
  <si>
    <t>2/10 – 동시 정보량·경고 문구의 명확성이 난이도를 결정함</t>
  </si>
  <si>
    <t>재난 문자 핵심 항목 확인</t>
  </si>
  <si>
    <t>문자를 닫은 뒤 화면에 대피 목표를 고정 표시</t>
  </si>
  <si>
    <t>3-A | 아파트 재난</t>
  </si>
  <si>
    <t>가족 찾기</t>
  </si>
  <si>
    <t>3/10 – 대사 길이·핵심 정보의 명확성·선택지 수가 난이도를 결정함</t>
  </si>
  <si>
    <t>부모와 동생에 관한 대화를 마지막 문장까지 진행</t>
  </si>
  <si>
    <t>비상 물품 챙기기</t>
  </si>
  <si>
    <t>제한된 가방 칸 때문에 모든 물품을 챙길 수 없고 우선순위 판단이 필요함</t>
  </si>
  <si>
    <t>대피 상황에 필요한 물품을 비교해 가방·물·손전등·구급품 중 필수 물품를 선택함</t>
  </si>
  <si>
    <t>5/10 – 후보 물품 수·인벤토리 제한·필수 조합 수가 난이도를 결정함</t>
  </si>
  <si>
    <t>필수 물품이 포함된 상태로 준비 완료</t>
  </si>
  <si>
    <t>필수 물품이 없으면 확인 단계에서 진행 불가</t>
  </si>
  <si>
    <t>필수 물품 누락 시 용도 힌트 표시</t>
  </si>
  <si>
    <t>가족들 대피시키기</t>
  </si>
  <si>
    <t>동행 NPC가 장애물에 걸리거나 플레이어와 멀어지면 대피가 중단됨</t>
  </si>
  <si>
    <t>동행자 속도에 맞춰 이동하고 위험 구역 앞에서 부모와 동생를 기다림</t>
  </si>
  <si>
    <t>6/10 – 동행 인원·속도 차이·장애물 수·허용 거리가 난이도를 결정함</t>
  </si>
  <si>
    <t>모든 동행 NPC가 대피 지점 도착</t>
  </si>
  <si>
    <t>동행 NPC가 위험 구역에 8초 이상 고립되면 재시작</t>
  </si>
  <si>
    <t>동행 NPC가 멀어지면 화면 가장자리에 방향 표시</t>
  </si>
  <si>
    <t>아파트 계단으로 이동하기</t>
  </si>
  <si>
    <t>좁은 통로·어두운 조명·장애물로 이동 경로가 제한됨</t>
  </si>
  <si>
    <t>손전등과 안전한 발판을 확인하며 정전된 계단을 통과함</t>
  </si>
  <si>
    <t>5/10 – 통로 폭·시야 범위·장애물 간격이 난이도를 결정함</t>
  </si>
  <si>
    <t>다음 층 도착 트리거 진입</t>
  </si>
  <si>
    <t>낙하 또는 장애물 피격 3회 시 구간 재시작</t>
  </si>
  <si>
    <t>안전 발판 테두리와 체크포인트 제공</t>
  </si>
  <si>
    <t>3-B | 대피 경로</t>
  </si>
  <si>
    <t>이웃 주민 구조하기</t>
  </si>
  <si>
    <t>위험이 지속되는 동안 대상 상태를 확인하고 구조 행동을 여러 번 수행해야 함</t>
  </si>
  <si>
    <t>위험 패턴이 멈춘 순간에 접근해 계단에 쓰러진 이웃 주민를 안전 지점으로 옮김</t>
  </si>
  <si>
    <t>7/10 – 위험 주기·대상 체력·이동 거리·구조 단계 수가 난이도를 결정함</t>
  </si>
  <si>
    <t>구조 대상이 안전 지점 도착</t>
  </si>
  <si>
    <t>구조 대상 체력이 0이 되면 체크포인트 재시작</t>
  </si>
  <si>
    <t>대상 체력 경고와 안전 경로 표시</t>
  </si>
  <si>
    <t>아파트 밖으로 탈출하기</t>
  </si>
  <si>
    <t>출구가 무너지고 안전 경로가 짧은 시간마다 바뀜</t>
  </si>
  <si>
    <t>붕괴 경고 표시를 보고 붕괴되는 출입구의 열린 통로로 빠르게 이동함</t>
  </si>
  <si>
    <t>7/10 – 제한시간·안전 경로 폭·장애물 발생 주기가 난이도를 결정함</t>
  </si>
  <si>
    <t>제한시간 안에 탈출 지점 도착</t>
  </si>
  <si>
    <t>제한시간 종료 또는 3회 피격 시 재시작</t>
  </si>
  <si>
    <t>실패 후 제한시간 10초 증가</t>
  </si>
  <si>
    <t>안전 구역으로 이동하기</t>
  </si>
  <si>
    <t>표지판·미니맵·NPC 이동 방향을 확인하며 아파트에서 임시 안전 구역까지 이동함</t>
  </si>
  <si>
    <t>5/10 – 맵 크기·갈림길 수·목적지 표식의 가시성이 난이도를 결정함</t>
  </si>
  <si>
    <t>아파트에서 임시 안전 구역의 도착 트리거에 진입</t>
  </si>
  <si>
    <t>괴물의 첫 습격 회피하기</t>
  </si>
  <si>
    <t>적의 시야와 공격 범위가 넓어 직선 이동만으로는 회피하기 어려움</t>
  </si>
  <si>
    <t>장애물 뒤로 이동하고 공격 예고를 확인하며 새벽에 출현한 균열 괴물의 공격을 피함</t>
  </si>
  <si>
    <t>7/10 – 적 속도·공격 범위·예고 시간·안전 지점 수가 난이도를 결정함</t>
  </si>
  <si>
    <t>회피 구간 종료 지점 도착</t>
  </si>
  <si>
    <t>체력 0 또는 연속 피격 4회 시 체크포인트 재시작</t>
  </si>
  <si>
    <t>공격 예고 시간을 늘리고 안전 지점 표시</t>
  </si>
  <si>
    <t>회피 전투</t>
  </si>
  <si>
    <t>장애물 활용·공격 예고 회피</t>
  </si>
  <si>
    <t>주인공의 접촉으로 괴물이 소멸하는 현상 확인하기</t>
  </si>
  <si>
    <t>도망치던 괴물이 아파트 현관 앞에서 다시 나타나지만 공격보다 먼저 주인공에게 손을 뻗음</t>
  </si>
  <si>
    <t>공격 버튼 대신 상호작용 입력을 선택해 괴물에게 손을 대고 보랏빛 균열처럼 흩어지는 반응을 관찰함</t>
  </si>
  <si>
    <t>2/10 – 위협 연출 속에서 공격이 아닌 상호작용을 선택해야 하는 심리적 압박이 난이도를 결정함</t>
  </si>
  <si>
    <t>괴물과 상호작용해 소멸 연출 확인</t>
  </si>
  <si>
    <t>공격을 선택해도 진행되지만 이후 관리국 분석 대사가 달라짐</t>
  </si>
  <si>
    <t>상호작용 가능 순간에 공격 아이콘과 다른 보랏빛 손 아이콘을 표시</t>
  </si>
  <si>
    <t>특수 상호작용</t>
  </si>
  <si>
    <t>공격 대신 접촉해 소멸 반응 확인</t>
  </si>
  <si>
    <t>한도윤과 합류하기</t>
  </si>
  <si>
    <t>혼란 속에서 신호를 보내는 한도윤에 관한 대화를 마지막 문장까지 진행</t>
  </si>
  <si>
    <t>임시 대피소 도착하기</t>
  </si>
  <si>
    <t>표지판·미니맵·NPC 이동 방향을 확인하며 임시 대피소까지 이동함</t>
  </si>
  <si>
    <t>4/10 – 맵 크기·갈림길 수·목적지 표식의 가시성이 난이도를 결정함</t>
  </si>
  <si>
    <t>임시 대피소의 도착 트리거에 진입</t>
  </si>
  <si>
    <t>3-C | 대피소·선의관리국</t>
  </si>
  <si>
    <t>선의관리국 안내 듣기</t>
  </si>
  <si>
    <t>선의 측정과 등급제 설명에 관한 대화를 마지막 문장까지 진행</t>
  </si>
  <si>
    <t>선의 측정 받기</t>
  </si>
  <si>
    <t>장치 반응과 안내 문구가 평소와 달라 오류인지 결과인지 판단하기 어려움</t>
  </si>
  <si>
    <t>안내에 따라 손을 올리고 재측정 절차를 완료해 선의 측정 장치를 확인함</t>
  </si>
  <si>
    <t>4/10 – 측정 단계 수·대기 시간·비정상 결과의 설명 명확성이 난이도를 결정함</t>
  </si>
  <si>
    <t>측정 절차 모두 완료</t>
  </si>
  <si>
    <t>중간 이탈 시 측정 단계 처음부터 재진행</t>
  </si>
  <si>
    <t>현재 측정 단계와 남은 시간을 표시</t>
  </si>
  <si>
    <t>무한대 수치 재측정하기</t>
  </si>
  <si>
    <t>안내에 따라 손을 올리고 재측정 절차를 완료해 오류로 의심받는 무한대 수치를 확인함</t>
  </si>
  <si>
    <t>5/10 – 측정 단계 수·대기 시간·비정상 결과의 설명 명확성이 난이도를 결정함</t>
  </si>
  <si>
    <t>2분 10초</t>
  </si>
  <si>
    <t>영웅화 보도 확인하기</t>
  </si>
  <si>
    <t>방송 화면·시민 반응·관리국 설명이 동시에 제시되어 의미가 분산됨</t>
  </si>
  <si>
    <t>주요 보도 문구와 주변 인물 반응을 순서대로 확인해 생방송과 주변 시민의 반응을 확인함</t>
  </si>
  <si>
    <t>3/10 – 동시 정보량·필수 관찰 대상 수가 난이도를 결정함</t>
  </si>
  <si>
    <t>필수 방송 및 NPC 반응 확인</t>
  </si>
  <si>
    <t>필수 확인 대상을 목록으로 표시</t>
  </si>
  <si>
    <t>호화 숙소와 전용 지원 제안 받기</t>
  </si>
  <si>
    <t>호의처럼 보이는 제안 안에 이후 행동을 제한하는 조건이 포함되어 있음</t>
  </si>
  <si>
    <t>제안 내용과 조건을 확인해 영웅 대우를 전제로 한 관리국의 제안의 의미를 파악함</t>
  </si>
  <si>
    <t>3/10 – 조건 문구의 간접성·선택지의 감정적 부담이 난이도를 결정함</t>
  </si>
  <si>
    <t>제안 대화 종료</t>
  </si>
  <si>
    <t>제안 조건의 핵심 문구를 강조</t>
  </si>
  <si>
    <t>첫 구조 임무 수락하기</t>
  </si>
  <si>
    <t>임무 목표와 위험 요소가 한 번에 제시되어 우선순위를 놓칠 수 있음</t>
  </si>
  <si>
    <t>요청 지역·구조 대상·예상 위험을 확인한 뒤 도심 잔해 구역 구조 요청을 수락함</t>
  </si>
  <si>
    <t>3/10 – 목표 수·위험 정보량·선택지 수가 난이도를 결정함</t>
  </si>
  <si>
    <t>임무 수락 선택 완료</t>
  </si>
  <si>
    <t>수락 후 목표를 세 줄로 요약 표시</t>
  </si>
  <si>
    <t>3-D | 도심 구조 임무</t>
  </si>
  <si>
    <t>도심 잔해 구역으로 이동하기</t>
  </si>
  <si>
    <t>표지판·미니맵·NPC 이동 방향을 확인하며 대피소에서 붕괴 지역까지 이동함</t>
  </si>
  <si>
    <t>대피소에서 붕괴 지역의 도착 트리거에 진입</t>
  </si>
  <si>
    <t>고립 시민 찾기</t>
  </si>
  <si>
    <t>잔해와 효과음 때문에 구조 신호의 방향을 정확히 판단하기 어려움</t>
  </si>
  <si>
    <t>소리 크기와 탐지기 반응을 비교하며 잔해 속 구조 신호를 탐색함</t>
  </si>
  <si>
    <t>6/10 – 탐색 범위·가짜 신호 수·제한시간이 난이도를 결정함</t>
  </si>
  <si>
    <t>모든 구조 대상 위치 확인</t>
  </si>
  <si>
    <t>제한시간 종료 시 가장 가까운 체크포인트에서 재시작</t>
  </si>
  <si>
    <t>탐지기 반응 범위를 넓히고 방향 표시 제공</t>
  </si>
  <si>
    <t>잔해 제거하기</t>
  </si>
  <si>
    <t>잔해마다 필요한 조작과 안전한 제거 순서가 다름</t>
  </si>
  <si>
    <t>균열이 적은 잔해부터 선택하고 반복 입력으로 통로를 막는 잔해 6개를 제거함</t>
  </si>
  <si>
    <t>7/10 – 잔해 수·입력 횟수·위험 순서·피격 빈도가 난이도를 결정함</t>
  </si>
  <si>
    <t>통로를 막는 잔해 전부 제거</t>
  </si>
  <si>
    <t>위험 잔해를 먼저 제거하면 체력 감소 및 진행 지연</t>
  </si>
  <si>
    <t>3분 20초</t>
  </si>
  <si>
    <t>안전한 제거 순서를 색이 아닌 아이콘으로 표시</t>
  </si>
  <si>
    <t>시민 대피 유도하기</t>
  </si>
  <si>
    <t>시민들이 서로 다른 속도로 이동하고 공포 상태에서 경로를 이탈함</t>
  </si>
  <si>
    <t>가장 느린 시민 속도에 맞추고 위험 앞에서 집결 명령을 사용함</t>
  </si>
  <si>
    <t>7/10 – 동행 인원·속도 편차·위험 구간 수·명령 재사용 시간이 난이도를 결정함</t>
  </si>
  <si>
    <t>고립 시민 5명 전원이 안전 지점 도착</t>
  </si>
  <si>
    <t>시민 1명이라도 체력 0이 되면 체크포인트 재시작</t>
  </si>
  <si>
    <t>3분 10초</t>
  </si>
  <si>
    <t>이탈 시민 방향과 안전 경로를 표시</t>
  </si>
  <si>
    <t>선의관리국 지급 총과 상태 UI 확인하기</t>
  </si>
  <si>
    <t>관리국 지급 총은 익숙한 형태지만 괴물에게 유효한 무기인지 알 수 없고 전투 UI 정보가 한꺼번에 표시됨</t>
  </si>
  <si>
    <t>체력·회피·탄창 UI를 확인하고 지급 총의 조준과 재장전 방식을 순서대로 익힘</t>
  </si>
  <si>
    <t>2/10 – UI 정보량·강조 순서·설명 노출 시간이 난이도를 결정함</t>
  </si>
  <si>
    <t>체력·탄약·회피·조준 표시 4개 확인 및 지급 총 장착</t>
  </si>
  <si>
    <t>핵심 UI를 한 항목씩 점멸시키고 확인 전에는 다음 안내를 잠금</t>
  </si>
  <si>
    <t>총 사격과 회피 입력 연습하기</t>
  </si>
  <si>
    <t>조준 중 이동속도가 낮아지고 사격 후 회피 입력 타이밍을 처음 익혀야 함</t>
  </si>
  <si>
    <t>훈련 표적에 총알 3발을 명중한 뒤 공격 예고에 맞춰 회피를 2회 성공함</t>
  </si>
  <si>
    <t>3/10 – 조준 이동속도·사격 후 경직·회피 허용 시간이 난이도를 결정함</t>
  </si>
  <si>
    <t>총알 3발 명중과 회피 2회를 모두 성공</t>
  </si>
  <si>
    <t>실패한 동작만 즉시 다시 연습</t>
  </si>
  <si>
    <t>첫 회피 예고를 느리게 재생하고 실패 시 같은 패턴을 즉시 반복</t>
  </si>
  <si>
    <t>전투 튜토리얼</t>
  </si>
  <si>
    <t>조준·사격·회피 기본 입력</t>
  </si>
  <si>
    <t>괴물의 공격 예고 신호 파악하기</t>
  </si>
  <si>
    <t>괴물의 몸동작과 바닥 경고 아이콘을 함께 보고 공격 방향과 범위를 판단해야 함</t>
  </si>
  <si>
    <t>공격 전 몸동작과 경고 아이콘을 비교해 서로 다른 공격 3회를 피함</t>
  </si>
  <si>
    <t>4/10 – 예고 시간·공격 범위 차이·연속 패턴 수가 난이도를 결정함</t>
  </si>
  <si>
    <t>서로 다른 공격 패턴 3회를 피격 없이 회피</t>
  </si>
  <si>
    <t>피격 시 현재 패턴부터 다시 시작</t>
  </si>
  <si>
    <t>예고 시간을 늘리고 공격 범위를 외곽선과 아이콘으로 동시에 표시</t>
  </si>
  <si>
    <t>몸동작·바닥 경고 판독</t>
  </si>
  <si>
    <t>회피 후 사격할 빈틈 파악하기</t>
  </si>
  <si>
    <t>회피 직후 너무 빠르거나 늦게 조준하면 반격 기회를 놓치거나 추가 피해를 받음</t>
  </si>
  <si>
    <t>강한 공격을 회피한 뒤 경직 표시가 유지되는 동안 조준 사격을 2회 성공함</t>
  </si>
  <si>
    <t>5/10 – 반격 가능 시간·연속 입력 수·실패 시 피해량이 난이도를 결정함</t>
  </si>
  <si>
    <t>회피 후 약점 사격 2회 성공</t>
  </si>
  <si>
    <t>체력 0 시 자동 회복 후 현재 연습부터 재시작</t>
  </si>
  <si>
    <t>첫 반격 가능 구간에서 짧게 정지하고 입력 아이콘을 표시</t>
  </si>
  <si>
    <t>회피 직후 반격 타이밍</t>
  </si>
  <si>
    <t>관리국 지급 총의 낮은 피해 확인하기</t>
  </si>
  <si>
    <t>탄환이 명중해도 괴물의 체력은 거의 줄지 않고 움직임만 잠시 둔해져 일반 무기의 역할을 오해하기 쉬움</t>
  </si>
  <si>
    <t>같은 부위에 사격한 뒤 피해량과 경직량을 비교해 지급 총은 결정타가 아니라 거리 확보용 보조 수단임을 확인함</t>
  </si>
  <si>
    <t>4/10 – 조준 흔들림·탄약 제한·피해 수치 해석이 난이도를 결정함</t>
  </si>
  <si>
    <t>탄환 명중 3회, 피해량·경직량 비교, 무기 한계 확인</t>
  </si>
  <si>
    <t>탄약 소진 시 관리국 드론이 시험 탄창을 1회 보급</t>
  </si>
  <si>
    <t>첫 두 발은 조준 보정을 적용하고 피해 비교 UI를 크게 표시</t>
  </si>
  <si>
    <t>피해·경직 비교로 보조 무기 역할 이해</t>
  </si>
  <si>
    <t>보랏빛 공명 흔적 추적하기</t>
  </si>
  <si>
    <t>괴물을 피해 이동하는 동안 희미한 보랏빛 흔적이 잔해와 경고등에 섞여 잘 보이지 않음</t>
  </si>
  <si>
    <t>탐지기의 반응 강도와 바닥의 잔광을 비교해 괴물의 공격을 피하며 공명 물체의 위치를 좁힘</t>
  </si>
  <si>
    <t>5/10 – 시야 방해·탐지기 반응 지연·괴물 압박이 난이도를 결정함</t>
  </si>
  <si>
    <t>공명 흔적 4개를 따라 무기 위치 도달</t>
  </si>
  <si>
    <t>체력 0 시 첫 흔적 체크포인트에서 재시작</t>
  </si>
  <si>
    <t>재시도 시 탐지기 반응 범위를 넓히고 다음 흔적이 짧게 점멸</t>
  </si>
  <si>
    <t>붕괴 표지판의 철제 지지봉 회수하기</t>
  </si>
  <si>
    <t>공명하는 철제 지지봉이 잔해 아래 끼어 있고 괴물이 가까워지는 동안 여러 고정 장치를 풀어야 함</t>
  </si>
  <si>
    <t>총으로 괴물의 접근을 잠시 늦춘 뒤 고정핀을 순서대로 제거하고 보랏빛 지지봉을 뽑아 듦</t>
  </si>
  <si>
    <t>5/10 – 접근 제한시간·고정핀 순서·사격과 상호작용 전환이 난이도를 결정함</t>
  </si>
  <si>
    <t>고정핀 3개 해제 후 철제 지지봉 획득</t>
  </si>
  <si>
    <t>괴물에게 붙잡히면 마지막 고정핀 단계부터 재시작</t>
  </si>
  <si>
    <t>실패 후 괴물 경직 시간을 늘리고 다음 고정핀을 강조</t>
  </si>
  <si>
    <t>보랏빛 철제 지지봉으로 첫 괴물 제압하기</t>
  </si>
  <si>
    <t>괴물이 가까이 접근한 상태에서 처음 사용하는 근접 공명 무기의 짧은 사거리와 큰 후딜레이를 감당해야 함</t>
  </si>
  <si>
    <t>지급 총으로 돌진을 늦추고 회피 직후 보랏빛 철제 지지봉으로 외피와 약점을 차례로 타격함</t>
  </si>
  <si>
    <t>7/10 – 총으로 만드는 경직·근접 전환 시점·공명 공격 후 경직이 난이도를 결정함</t>
  </si>
  <si>
    <t>총으로 경직 2회, 지지봉 약점 타격 3회, 괴물 1체 제압</t>
  </si>
  <si>
    <t>주인공 체력 0 시 철제 지지봉 획득 직후부터 재시작</t>
  </si>
  <si>
    <t>4분 20초</t>
  </si>
  <si>
    <t>첫 공명 타격은 슬로 모션으로 연출하고 실패 후 약점 노출 시간을 늘림</t>
  </si>
  <si>
    <t>일반 몬스터</t>
  </si>
  <si>
    <t>총 경직→공명 무기 약점 타격</t>
  </si>
  <si>
    <t>공명 무기가 보랏빛 재로 소멸하는 현상 확인하기</t>
  </si>
  <si>
    <t>첫 전투에서 얻은 강력한 무기를 계속 사용할 수 있을 것처럼 보이지만 전투 종료와 함께 무기가 붕괴함</t>
  </si>
  <si>
    <t>철제 지지봉이 보랏빛 재로 변하는 연출과 관리국 통신을 확인해 새로운 괴물마다 그 기억과 공명하는 물체를 찾아야 함을 이해함</t>
  </si>
  <si>
    <t>3/10 – 규칙 설명량·연출 가시성이 난이도를 결정함</t>
  </si>
  <si>
    <t>무기 소멸 연출과 전투 기록의 신규 규칙 확인</t>
  </si>
  <si>
    <t>핵심 규칙을 전투 기록에 자동 저장</t>
  </si>
  <si>
    <t>구조 임무 완료 보고하기</t>
  </si>
  <si>
    <t>완료 정보와 새로 발견한 사실 중 무엇을 보고해야 하는지 구분해야 함</t>
  </si>
  <si>
    <t>임무 결과·인원·특이사항을 확인하고 구조 인원과 현장 상태를 순서대로 보고함</t>
  </si>
  <si>
    <t>2/10 – 보고 항목 수·정보 분산 정도가 난이도를 결정함</t>
  </si>
  <si>
    <t>필수 보고 항목 모두 선택</t>
  </si>
  <si>
    <t>누락 항목이 있으면 보고 완료 불가</t>
  </si>
  <si>
    <t>미보고 항목을 체크리스트로 표시</t>
  </si>
  <si>
    <t>지하 주차장 구조 요청 받기</t>
  </si>
  <si>
    <t>관리국은 시민 구조보다 괴물 제압 영상을 우선 요구하며 임무 목적이 충돌함</t>
  </si>
  <si>
    <t>구조 대상 위치와 촬영 지시를 확인하고 시민 구조를 우선 목표로 설정함</t>
  </si>
  <si>
    <t>2/10 – 상충하는 목표 문구와 선택의 감정적 부담이 난이도를 결정함</t>
  </si>
  <si>
    <t>지하 주차장 구조 임무 수락</t>
  </si>
  <si>
    <t>브리핑 종료 후 구조 목표와 홍보 목표를 분리 표시</t>
  </si>
  <si>
    <t>3-E | 지하 주차장 구조</t>
  </si>
  <si>
    <t>주차 차단기 막대의 공명 찾기</t>
  </si>
  <si>
    <t>비상등과 차량 경보가 반복되어 탐지기 반응과 보랏빛 잔광을 구분하기 어려움</t>
  </si>
  <si>
    <t>경보 주기와 무관하게 반응하는 물체를 비교해 부러진 주차 차단기 막대를 찾아냄</t>
  </si>
  <si>
    <t>4/10 – 가짜 반응 수·시야 점멸·탐색 범위가 난이도를 결정함</t>
  </si>
  <si>
    <t>가짜 반응을 제외하고 공명 차단기 막대 발견</t>
  </si>
  <si>
    <t>오탐 4회 시 괴물의 위치가 가까워짐</t>
  </si>
  <si>
    <t>오탐 후 경보와 동기화된 가짜 반응을 회색으로 표시</t>
  </si>
  <si>
    <t>차량 사이로 괴물 유인하기</t>
  </si>
  <si>
    <t>좁은 차량 사이에서는 회피 공간이 부족하고 경보음이 괴물의 돌진 방향을 바꿈</t>
  </si>
  <si>
    <t>차량 경적을 순서대로 작동시켜 괴물을 넓은 통로로 유인하고 시민과의 거리를 벌림</t>
  </si>
  <si>
    <t>6/10 – 통로 폭·돌진 속도·경적 재사용 시간·시민 위치가 난이도를 결정함</t>
  </si>
  <si>
    <t>괴물을 지정된 넓은 통로까지 유인</t>
  </si>
  <si>
    <t>시민 구역 진입 또는 체력 0 시 체크포인트 재시작</t>
  </si>
  <si>
    <t>재시도 시 돌진 예고 시간을 늘리고 다음 경적 위치를 표시</t>
  </si>
  <si>
    <t>전투 연계</t>
  </si>
  <si>
    <t>경적 유도·시민과 거리 확보</t>
  </si>
  <si>
    <t>차단기 막대로 괴물 제압하기</t>
  </si>
  <si>
    <t>괴물이 연속 돌진해 공격 가능한 시간이 짧지만 공명 무기의 타격은 큰 피해를 줌</t>
  </si>
  <si>
    <t>돌진을 옆으로 피한 뒤 차단기 막대로 약점을 두 번 가격해 짧은 시간 안에 제압함</t>
  </si>
  <si>
    <t>6/10 – 돌진 예고·회피 타이밍·약점 노출 시간이 난이도를 결정함</t>
  </si>
  <si>
    <t>공명 타격 2회로 괴물 1체 제압</t>
  </si>
  <si>
    <t>체력 0 시 유인 완료 지점부터 재시작</t>
  </si>
  <si>
    <t>첫 실패 후 약점 노출 시간을 늘리고 공격 방향 보정 적용</t>
  </si>
  <si>
    <t>돌진 회피→약점 2회 타격</t>
  </si>
  <si>
    <t>봉쇄된 임시 대피소의 구조 요청 확인하기</t>
  </si>
  <si>
    <t>철문 안쪽은 안전하지만 문밖의 구조 요청이 반복되고 관리자는 추가 생존자의 입장을 완전히 차단함</t>
  </si>
  <si>
    <t>무전 기록과 출입 명부를 확인해 관리인이 공포를 넘어 문밖의 사람을 위험 요소로 보기 시작했음을 파악함</t>
  </si>
  <si>
    <t>4/10 – 구조 요청 위치·출입 기록 순서·경보음의 중첩이 판단 난이도를 결정함</t>
  </si>
  <si>
    <t>문밖 생존자 3명의 위치와 봉쇄 원인 확인</t>
  </si>
  <si>
    <t>기록의 시간 순서를 자동 정렬하고 마지막 구조 요청 위치 표시</t>
  </si>
  <si>
    <t>3-F | 첫 보스·봉쇄 대피소</t>
  </si>
  <si>
    <t>닫힌 문지기의 돌진으로 철문 파괴하기</t>
  </si>
  <si>
    <t>보스가 출입문을 계속 닫고 철문 뒤에서 충격파를 발생시켜 직접 공격만으로는 방어 외피를 깨기 어려움</t>
  </si>
  <si>
    <t>돌진 예고를 확인하고 잠긴 철문 앞으로 유도해 충돌시키며 봉쇄문 3개와 외피를 차례로 파괴함</t>
  </si>
  <si>
    <t>6/10 – 돌진 속도·유도 각도·철문 간격이 난이도를 결정함</t>
  </si>
  <si>
    <t>보스 돌진으로 잠긴 철문 3개 파괴</t>
  </si>
  <si>
    <t>주인공 체력 0 시 보스전 시작 지점 재시작</t>
  </si>
  <si>
    <t>실패 후 돌진 궤적과 충돌 가능한 철문을 강조</t>
  </si>
  <si>
    <t>돌진 유도→철문 파괴</t>
  </si>
  <si>
    <t>문밖 시민을 열린 통로로 유도하기</t>
  </si>
  <si>
    <t>철문이 열려도 겁에 질린 시민들이 서로 다른 방향으로 움직여 보스의 충격파 범위에 다시 진입함</t>
  </si>
  <si>
    <t>차한해가 접근하면 반대 방향으로 움직이는 시민 반응을 이용해 3명을 순서대로 안전 구역에 넣음</t>
  </si>
  <si>
    <t>6/10 – 시민 간 거리·충격파 주기·안전 구역 위치가 난이도를 결정함</t>
  </si>
  <si>
    <t>시민 3명 전원 안전 구역 도착</t>
  </si>
  <si>
    <t>시민 체력 0 시 현재 페이즈 재시작</t>
  </si>
  <si>
    <t>시민 이동 예상 방향과 안전 구역 경계를 표시</t>
  </si>
  <si>
    <t>시민 밀어내기·안전 구역 유도</t>
  </si>
  <si>
    <t>닫힌 문지기의 방어 핵 제압하기</t>
  </si>
  <si>
    <t>모든 문이 열리면 보스가 남은 철판을 몸에 둘러 짧은 시간 동안 핵을 노출함</t>
  </si>
  <si>
    <t>충격파를 옆으로 피한 뒤 노출된 핵을 공명 무기로 3회 타격해 봉쇄 외피를 해제함</t>
  </si>
  <si>
    <t>6/10 – 핵 노출 시간·근접 전환 타이밍·충격파 간격이 난이도를 결정함</t>
  </si>
  <si>
    <t>방어 핵 공명 타격 3회 성공</t>
  </si>
  <si>
    <t>주인공 체력 0 시 핵 노출 페이즈 재시작</t>
  </si>
  <si>
    <t>반복 실패 시 핵 노출 시간을 늘리고 마지막 타격에 조준 보정 적용</t>
  </si>
  <si>
    <t>충격파 회피→노출 핵 집중 공격</t>
  </si>
  <si>
    <t>관리인의 마지막 출입 기록 확인하기</t>
  </si>
  <si>
    <t>보스가 쓰러진 뒤에도 잠긴 문을 지켜야 한다는 독백과 문밖 사람들의 구조 요청이 겹쳐 들림</t>
  </si>
  <si>
    <t>출입 기록과 남은 음성을 확인해 사람들을 지키려던 행동이 타인을 외면하는 안도감으로 변한 과정을 이해함</t>
  </si>
  <si>
    <t>3/10 – 기록의 감정 변화와 사건 순서를 연결하는 이해 난이도가 중심임</t>
  </si>
  <si>
    <t>필수 출입 기록 4개 확인</t>
  </si>
  <si>
    <t>시간순 자동 재생과 핵심 문장 기록 메뉴 저장</t>
  </si>
  <si>
    <t>시민들의 연속 부탁 처리하기</t>
  </si>
  <si>
    <t>작은 목표가 연속으로 추가되어 피로와 동선 낭비가 누적됨</t>
  </si>
  <si>
    <t>요청 위치를 묶어 처리하고 우선순위를 정해 작은 부탁이 끊임없이 추가되는 상황을 정리함</t>
  </si>
  <si>
    <t>7/10 – 요청 수·이동 거리·동시 활성 목표 수가 난이도를 결정함</t>
  </si>
  <si>
    <t>필수 부탁 전부 완료</t>
  </si>
  <si>
    <t>필수 부탁을 포기하면 해당 구간 보상 감소</t>
  </si>
  <si>
    <t>4분</t>
  </si>
  <si>
    <t>비슷한 위치의 부탁을 한 묶음으로 지도에 표시</t>
  </si>
  <si>
    <t>3-G | 임무 후 대피소·영웅화 압박</t>
  </si>
  <si>
    <t>승강장 전광판의 금속 프레임 회수하기</t>
  </si>
  <si>
    <t>정전과 열차 진입 경고 속에서 공명 물체가 선로 가까이에 떨어져 접근 시간이 제한됨</t>
  </si>
  <si>
    <t>열차 경고 주기를 확인해 안전 시간에 선로 가장자리로 접근하고 전광판 프레임을 끌어올림</t>
  </si>
  <si>
    <t>6/10 – 경고 주기·접근 가능 시간·상호작용 지속시간이 난이도를 결정함</t>
  </si>
  <si>
    <t>고정 장치 3개 해제 후 금속 프레임 획득</t>
  </si>
  <si>
    <t>경고 시간 안에 복귀하지 못하면 승강장 체크포인트 재시작</t>
  </si>
  <si>
    <t>재시도 시 열차 경고 시간을 늘리고 안전 구역을 선으로 표시</t>
  </si>
  <si>
    <t>3-H | 지하철 승강장 구조</t>
  </si>
  <si>
    <t>승강장 괴물 2체 연속 제압하기</t>
  </si>
  <si>
    <t>두 괴물이 다른 방향에서 공격하지만 공명 무기는 한 번에 한 방향만 넓게 타격함</t>
  </si>
  <si>
    <t>첫 괴물을 넉백시켜 두 적을 한 방향에 모은 뒤 금속 프레임의 넓은 휘두르기로 빠르게 제압함</t>
  </si>
  <si>
    <t>7/10 – 적 간격·공격 방향·넉백 거리·연속 공격 타이밍이 난이도를 결정함</t>
  </si>
  <si>
    <t>시민 피해 없이 괴물 2체 제압</t>
  </si>
  <si>
    <t>시민 체력 0 또는 주인공 체력 0 시 전투 시작부터 재시작</t>
  </si>
  <si>
    <t>재시도 시 첫 넉백 거리를 늘리고 시민 주변에 보호 구역 표시</t>
  </si>
  <si>
    <t>넉백으로 2체 정렬·광역 타격</t>
  </si>
  <si>
    <t>대피소의 아이에게 사탕 건네기</t>
  </si>
  <si>
    <t>아이는 어머니가 돌아오면 함께 먹겠다며 사탕을 바로 받지 않고 가족사진을 계속 쥐고 있음</t>
  </si>
  <si>
    <t>아이와 짧게 대화하고 사탕을 보관해 주며 가족사진과 철제 잔해 사고의 단서를 확인함</t>
  </si>
  <si>
    <t>2/10 – 짧은 대화 속 가족 단서를 알아차리는 난이도가 중심임</t>
  </si>
  <si>
    <t>아이와 대화 완료 및 사탕 보관</t>
  </si>
  <si>
    <t>가족사진을 기록 메뉴에 자동 등록</t>
  </si>
  <si>
    <t>3-I | 융합 보스·폭력의 순환</t>
  </si>
  <si>
    <t>융합된 괴물의 단일 외피 공략하기</t>
  </si>
  <si>
    <t>한 몸에서 서로 반대되는 공격 전조가 나타나 같은 방식으로 대응하면 시민과 주인공이 동시에 위험해짐</t>
  </si>
  <si>
    <t>좌우 얼굴과 팔의 전조를 구분하며 외피의 공명 부위를 타격해 내부의 두 기억을 분리시킴</t>
  </si>
  <si>
    <t>8/10 – 전조 구분·공격 방향·시민 위치·외피 약점 노출이 난이도를 결정함</t>
  </si>
  <si>
    <t>융합 외피 약점 4회 타격 후 분열 연출 발생</t>
  </si>
  <si>
    <t>주인공 또는 시민 체력 0 시 1페이즈 재시작</t>
  </si>
  <si>
    <t>첫 실패 후 두 공격 전조의 형태와 음성을 더 명확히 구분</t>
  </si>
  <si>
    <t>상반된 전조 판별·외피 파괴</t>
  </si>
  <si>
    <t>받아내는 자의 공격을 시민 대신 막기</t>
  </si>
  <si>
    <t>가정폭력의 기억에 갇힌 보스가 시민을 아이로 인식해 공격하며 차한해가 피하면 남편이 다시 책임을 회피했다고 판단함</t>
  </si>
  <si>
    <t>보스와 지목된 시민 사이의 공격 경로에 들어가 낮은 피해의 공격을 받아내며 환각을 일시적으로 해제함</t>
  </si>
  <si>
    <t>8/10 – 대상 표식·차단 위치·동시 공격 주기가 난이도를 결정함</t>
  </si>
  <si>
    <t>시민 피해 없이 받아내기 공격 3회 성공</t>
  </si>
  <si>
    <t>받아내기 실패 2회 시 화염 폭주 패턴 발생</t>
  </si>
  <si>
    <t>공격 경로와 받아내기 가능 판정 범위를 선으로 표시</t>
  </si>
  <si>
    <t>시민 대신 공격 받아내기</t>
  </si>
  <si>
    <t>빗나가게 하는 자의 공격을 끝까지 피하기</t>
  </si>
  <si>
    <t>군대 시절 폭행 기억에 갇힌 보스는 공격을 맞히는 순간 자신이 다시 가해자가 되었다고 인식함</t>
  </si>
  <si>
    <t>보스가 의도적으로 남겨 둔 빈 공간과 떨리는 어깨 신호를 읽고 모든 공격을 회피함</t>
  </si>
  <si>
    <t>8/10 – 회피 공간 크기·연속 공격 수·가짜 전조가 난이도를 결정함</t>
  </si>
  <si>
    <t>보스 공격 5회 연속 회피</t>
  </si>
  <si>
    <t>공격 피격 시 트라우마 폭주 패턴으로 전환</t>
  </si>
  <si>
    <t>실패 후 안전 방향을 0.5초간 잔상으로 표시</t>
  </si>
  <si>
    <t>의도된 빈틈 판독·연속 회피</t>
  </si>
  <si>
    <t>군인의 트라우마 폭주에서 시민 대피시키기</t>
  </si>
  <si>
    <t>공격이 적중하면 보스가 구석에서 머리카락을 쥐어뜯은 뒤 임시 막사로 착각한 주변을 반복해서 내려침</t>
  </si>
  <si>
    <t>시민에게 접근해 반대 방향으로 이동시키고 내려치기 범위가 좁아지는 순서에 맞춰 안전 구역으로 몰아냄</t>
  </si>
  <si>
    <t>9/10 – 시민 수·내려치기 범위·이동 반응·제한시간이 난이도를 결정함</t>
  </si>
  <si>
    <t>폭주 종료 전 시민 4명 전원 대피</t>
  </si>
  <si>
    <t>시민 체력 0 시 2페이즈 시작 지점 재시작</t>
  </si>
  <si>
    <t>시민 이동 예상 방향과 다음 내려치기 범위를 표시</t>
  </si>
  <si>
    <t>시민 몰이·범위 대피</t>
  </si>
  <si>
    <t>엄마의 화염 폭주 경로 차단하기</t>
  </si>
  <si>
    <t>받아내기 공격이 빗나가면 보스가 차한해를 도망가는 남편으로 오인해 사방으로 원거리 화염을 방출함</t>
  </si>
  <si>
    <t>시민 방향의 화염 경로를 공명 방벽으로 막고 남은 투사체 사이의 안전 구간으로 이동함</t>
  </si>
  <si>
    <t>8/10 – 투사체 수·방벽 유지시간·잔류 화염 위치가 난이도를 결정함</t>
  </si>
  <si>
    <t>시민 피해 없이 화염 파동 4회 차단</t>
  </si>
  <si>
    <t>방벽 파괴 또는 시민 체력 0 시 현재 패턴 재시작</t>
  </si>
  <si>
    <t>첫 실패 후 시민 방향 투사체를 더 굵게 표시</t>
  </si>
  <si>
    <t>방사형 투사체 차단·잔류 화염 회피</t>
  </si>
  <si>
    <t>폭력의 순환 핵 파괴하기</t>
  </si>
  <si>
    <t>두 보스의 체력이 낮아지면 때리는 기억과 맞는 기억이 다시 결합해 외피를 재생하려 함</t>
  </si>
  <si>
    <t>두 보스를 가까운 위치에 유도하고 동시에 노출된 연결 핵을 공명 타격해 폭력의 순환 구조를 끊음</t>
  </si>
  <si>
    <t>9/10 – 두 보스 위치·동시 약점 시간·마지막 타격 타이밍이 난이도를 결정함</t>
  </si>
  <si>
    <t>연결 핵 2개 동시 파괴</t>
  </si>
  <si>
    <t>시간 초과 시 두 보스 체력 일부 회복</t>
  </si>
  <si>
    <t>반복 실패 시 동시 약점 노출 시간을 늘림</t>
  </si>
  <si>
    <t>2체 위치 정렬·동시 핵 파괴</t>
  </si>
  <si>
    <t>자아 마모도 변화 확인하기</t>
  </si>
  <si>
    <t>UI 변화가 서서히 나타나 원인과 의미를 알아차리기 어려움</t>
  </si>
  <si>
    <t>이전 상태와 비교하며 표정·UI 색상·독백의 변화 단계를 확인함</t>
  </si>
  <si>
    <t>4/10 – 변화의 시각적 차이·설명 문구의 명확성이 난이도를 결정함</t>
  </si>
  <si>
    <t>상태 안내와 독백 확인</t>
  </si>
  <si>
    <t>첫 변화 발생 시 이전·현재 상태 비교 창 제공</t>
  </si>
  <si>
    <t>3-J | 영웅화·특혜의 고착</t>
  </si>
  <si>
    <t>다음 출동 준비하기</t>
  </si>
  <si>
    <t>전투 후 공명 무기가 보랏빛 잔류물과 함께 부서져 다음 지역에서는 새 무기를 찾아야 함</t>
  </si>
  <si>
    <t>사라진 임시 무기와 남은 장비를 확인하고 탐지기·회복품·지급 총을 다음 출동 기준에 맞게 정비함</t>
  </si>
  <si>
    <t>5/10 – 확인 항목 수·인벤토리 복잡도·추천 정보가 난이도를 결정함</t>
  </si>
  <si>
    <t>공명 무기 소멸 확인 및 필수 장비·회복품 준비</t>
  </si>
  <si>
    <t>필수 장비 미장착 시 출동 불가</t>
  </si>
  <si>
    <t>누락 항목 경고와 추천 장비 표시</t>
  </si>
  <si>
    <t>고등급자 특혜가 일상화된 기록 확인하기</t>
  </si>
  <si>
    <t>구조 성과와 무관한 전용 숙소·차량·방송 일정이 임무 기록보다 더 크게 관리되고 있음</t>
  </si>
  <si>
    <t>초기 구조 기록과 최근 활동 기록을 비교해 선행의 목적이 구조에서 특혜 유지로 변한 과정을 확인함</t>
  </si>
  <si>
    <t>4/10 – 시간대별 기록 수·행동 목적의 변화·누락 정보가 난이도를 결정함</t>
  </si>
  <si>
    <t>초기·중기·후기 기록의 변화점 5개 확인</t>
  </si>
  <si>
    <t>비교 화면에서 같은 항목의 변화 부분을 강조</t>
  </si>
  <si>
    <t>출동을 거부한 고등급자의 숙소 조사하기</t>
  </si>
  <si>
    <t>긴급 구조 알림은 꺼져 있고 호화 숙소 안에는 촬영 일정과 등급 유지 자료만 남아 있음</t>
  </si>
  <si>
    <t>꺼진 구조 단말기·닫힌 커튼·등급 자료를 조사해 '다른 고등급자를 보내라'는 마지막 선택을 재구성함</t>
  </si>
  <si>
    <t>5/10 – 조사 대상 수·시간 순서·선의 0 도달 단서가 난이도를 결정함</t>
  </si>
  <si>
    <t>선의 수치가 0이 된 마지막 선택의 단서 5개 조사</t>
  </si>
  <si>
    <t>필수 단서를 모두 확인하면 마지막 음성 자동 재생</t>
  </si>
  <si>
    <t>갈채를 먹는 자의 촬영 무대 진입하기</t>
  </si>
  <si>
    <t>보스가 구조 현장을 방송 무대로 바꾸고 스포트라이트 안에서 환호를 보호막으로 흡수함</t>
  </si>
  <si>
    <t>촬영 장비의 회전 방향과 보스의 이동을 확인하며 카메라 사각지대로 진입함</t>
  </si>
  <si>
    <t>7/10 – 카메라 시야·보스 이동·조명 범위가 난이도를 결정함</t>
  </si>
  <si>
    <t>카메라에 3회 이상 노출되지 않고 중앙 무대 진입</t>
  </si>
  <si>
    <t>재시도 시 카메라 시야 범위를 바닥에 표시</t>
  </si>
  <si>
    <t>3-K | 보스전·갈채를 먹는 자</t>
  </si>
  <si>
    <t>카메라 사각지대 진입</t>
  </si>
  <si>
    <t>스포트라이트와 중계 카메라 차단하기</t>
  </si>
  <si>
    <t>카메라 앞에서 공격하거나 구조하면 환호 수치가 올라 보스의 보호막과 공격력이 강화됨</t>
  </si>
  <si>
    <t>사각지대를 이동하며 전원 장치 3개를 끄고 보스의 돌진을 조명탑에 유도해 중계 장비를 파괴함</t>
  </si>
  <si>
    <t>8/10 – 사각지대 크기·전원 장치 위치·환호 누적 속도가 난이도를 결정함</t>
  </si>
  <si>
    <t>전원 장치 3개와 조명탑 3개 파괴</t>
  </si>
  <si>
    <t>환호 수치 최대 시 파괴 장치 1개 복구</t>
  </si>
  <si>
    <t>실패 후 다음 사각지대와 전원선을 강조</t>
  </si>
  <si>
    <t>주목도 관리·환경 장치 파괴</t>
  </si>
  <si>
    <t>가짜 구조 대상과 실제 시민 구분하기</t>
  </si>
  <si>
    <t>보스가 방송용 환영체를 실제 시민처럼 배치해 잘못 구조하면 갈채 보호막이 다시 생성됨</t>
  </si>
  <si>
    <t>호흡·그림자·주변 반응을 비교해 실제 시민만 선택하고 카메라가 없는 통로로 이동시킴</t>
  </si>
  <si>
    <t>8/10 – 후보 수·외형 유사도·판별 시간·보스 압박이 난이도를 결정함</t>
  </si>
  <si>
    <t>실제 시민 4명 전원 구조</t>
  </si>
  <si>
    <t>가짜 구조 대상 3회 선택 시 보호막 재생</t>
  </si>
  <si>
    <t>오답 후 실제 시민의 행동 단서 하나를 강조</t>
  </si>
  <si>
    <t>진짜 구조 대상 판별</t>
  </si>
  <si>
    <t>아무도 보지 않는 곳에서 시민을 구하고 보스 제압하기</t>
  </si>
  <si>
    <t>모든 카메라가 꺼지자 보스가 차한해를 새로운 영웅으로 지정하고 원거리 갈채 파동을 집중시킴</t>
  </si>
  <si>
    <t>스포트라이트 밖의 마지막 시민을 구조해 보호막을 완전히 끈 뒤 공명 약점을 집중 공격함</t>
  </si>
  <si>
    <t>8/10 – 구조 동선·원거리 파동·약점 노출 시간·회복 자원 관리가 난이도를 결정함</t>
  </si>
  <si>
    <t>마지막 시민 구조 후 보스 체력 0</t>
  </si>
  <si>
    <t>주인공 또는 마지막 시민 체력 0 시 최종 페이즈 재시작</t>
  </si>
  <si>
    <t>반복 실패 시 원거리 파동 간격 증가와 회복품 1개 추가</t>
  </si>
  <si>
    <t>비공개 구조→보호막 해제·집중 공격</t>
  </si>
  <si>
    <t>4 | 폐교 탐색</t>
  </si>
  <si>
    <t>폐교 조사 명령 받기</t>
  </si>
  <si>
    <t>관리국의 공식 목표와 주인공이 느끼는 개인적 목적이 다름</t>
  </si>
  <si>
    <t>대화와 자료를 확인해 폐교 균열 조사와 실종자 수색의 공식 목표와 숨은 위험을 구분함</t>
  </si>
  <si>
    <t>3/10 – 목표 간 충돌 정도·브리핑 정보량이 난이도를 결정함</t>
  </si>
  <si>
    <t>명령 브리핑 종료</t>
  </si>
  <si>
    <t>브리핑 종료 후 공식 목표와 개인 목표를 분리 표시</t>
  </si>
  <si>
    <t>4-A | 출동 준비</t>
  </si>
  <si>
    <t>조사 장비 수령하기</t>
  </si>
  <si>
    <t>장비 칸이 제한되어 탐색 장비와 공명 탐지기·회복품을 모두 챙길 수 없음</t>
  </si>
  <si>
    <t>폐교의 어두운 환경과 임시 무기 탐색을 고려해 손전등·공명 탐지기·회복품을 우선 선택함</t>
  </si>
  <si>
    <t>4/10 – 장비 후보 수·슬롯 제한·역할 중복이 난이도를 결정함</t>
  </si>
  <si>
    <t>손전등·공명 탐지기·회복품이 포함된 상태로 준비 완료</t>
  </si>
  <si>
    <t>필수 장비 누락 시 출발 불가</t>
  </si>
  <si>
    <t>장비 역할과 추천 조합 표시</t>
  </si>
  <si>
    <t>고등급자 파티에 합류하기</t>
  </si>
  <si>
    <t>동료마다 역할과 행동 우선순위가 달라 협력 방식을 이해해야 함</t>
  </si>
  <si>
    <t>대화를 통해 역할이 다른 고등급자 3명의 역할과 지원 조건을 확인함</t>
  </si>
  <si>
    <t>4/10 – 파티원 수·역할 차이·지원 조건 수가 난이도를 결정함</t>
  </si>
  <si>
    <t>모든 파티원 소개 및 역할 확인</t>
  </si>
  <si>
    <t>전투 UI에 역할 아이콘 고정 표시</t>
  </si>
  <si>
    <t>폐교 정문에 도착하기</t>
  </si>
  <si>
    <t>목적지 주변에 잘못된 진입로와 위험 오브젝트가 배치되어 있음</t>
  </si>
  <si>
    <t>탐지기와 표지물을 확인하며 폐교 정문의 안전한 진입로로 이동함</t>
  </si>
  <si>
    <t>4/10 – 진입로 수·위험 구역 범위·탐지기 명확성이 난이도를 결정함</t>
  </si>
  <si>
    <t>목적지 도착</t>
  </si>
  <si>
    <t>위험 지역 진입 후 체력 0 시 체크포인트 재시작</t>
  </si>
  <si>
    <t>안전 진입로에 탐지기 반응 강화</t>
  </si>
  <si>
    <t>4-B | 폐교 정문</t>
  </si>
  <si>
    <t>정문 봉인 해제하기</t>
  </si>
  <si>
    <t>여러 장치와 열쇠 조건을 올바른 순서로 충족해야 함</t>
  </si>
  <si>
    <t>주변 단서와 장치 반응을 확인해 균열 문양 4개를 순서대로 해제함</t>
  </si>
  <si>
    <t>6/10 – 단계 수·단서 위치·오답 초기화 범위가 난이도를 결정함</t>
  </si>
  <si>
    <t>모든 봉인 조건 해제</t>
  </si>
  <si>
    <t>오답 입력 5회 시 장치 초기화</t>
  </si>
  <si>
    <t>오답 후 잘못된 단계만 표시</t>
  </si>
  <si>
    <t>복도에 남은 보랏빛 발자국 추적하기</t>
  </si>
  <si>
    <t>발자국이 오래된 낙서와 환영체의 이동 흔적에 겹쳐 여러 방향으로 갈라짐</t>
  </si>
  <si>
    <t>탐지기 반응과 발자국 크기·끌린 자국을 비교해 최근에 생긴 흔적만 골라 이동함</t>
  </si>
  <si>
    <t>5/10 – 가짜 흔적 수·조명 변화·분기 수가 난이도를 결정함</t>
  </si>
  <si>
    <t>진짜 발자국 5개를 연결해 본관 진입</t>
  </si>
  <si>
    <t>가짜 경로 끝에 도달하면 환영체 추격 발생</t>
  </si>
  <si>
    <t>오답 후 가짜 흔적 하나가 사라지고 진짜 흔적의 잔광이 강화</t>
  </si>
  <si>
    <t>4-C | 폐교 본관 1층</t>
  </si>
  <si>
    <t>본관 1층 탐색하기</t>
  </si>
  <si>
    <t>방 구조가 반복되고 일부 길이 연결되어 현재 위치를 잃기 쉬움</t>
  </si>
  <si>
    <t>지도에 방문 구역을 표시하며 교실·교무실·복도를 한 방향으로 탐색함</t>
  </si>
  <si>
    <t>6/10 – 방 수·연결 구조·지도 정보량이 난이도를 결정함</t>
  </si>
  <si>
    <t>필수 구역과 상호작용 대상 모두 확인</t>
  </si>
  <si>
    <t>3분 30초</t>
  </si>
  <si>
    <t>방문한 문과 미방문 문을 아이콘으로 구분</t>
  </si>
  <si>
    <t>환영체 회피하기</t>
  </si>
  <si>
    <t>적이 소리에 반응하고 시야 밖에서도 이동해 안전 구간을 예측하기 어려움</t>
  </si>
  <si>
    <t>적 이동 소리와 순찰 경로를 확인해 소리에 반응하는 환영체를 피하며 이동함</t>
  </si>
  <si>
    <t>7/10 – 적 감지 범위·순찰 주기·은폐물 간격이 난이도를 결정함</t>
  </si>
  <si>
    <t>발각되지 않거나 추적을 끊고 종료 지점 도착</t>
  </si>
  <si>
    <t>연속 발각 3회 또는 체력 0 시 체크포인트 재시작</t>
  </si>
  <si>
    <t>실패 후 적 청각 범위 감소</t>
  </si>
  <si>
    <t>청각 감지 회피·추적 끊기</t>
  </si>
  <si>
    <t>교실 기억 단서 수집하기</t>
  </si>
  <si>
    <t>필수 단서가 여러 방에 흩어져 있고 일부는 환영 연출 뒤에 숨겨짐</t>
  </si>
  <si>
    <t>방문 기록과 단서 목록을 확인하며 친구의 과거를 보여주는 기억 단서 5개를 수집함</t>
  </si>
  <si>
    <t>6/10 – 단서 수·방 분산 정도·환영 연출 길이가 난이도를 결정함</t>
  </si>
  <si>
    <t>필수 기억 단서 전부 수집</t>
  </si>
  <si>
    <t>단서 부족 시 다음 퍼즐 활성화 불가</t>
  </si>
  <si>
    <t>미수집 단서가 있는 방에 지도 표시</t>
  </si>
  <si>
    <t>컴퓨터 잠금 퍼즐 해결하기</t>
  </si>
  <si>
    <t>여러 단서를 조합해 입력 순서나 의미를 추론해야 함</t>
  </si>
  <si>
    <t>수집한 기록을 비교하고 교실 단서를 순서대로 입력하는 잠금 장치의 규칙에 맞게 단계별로 입력함</t>
  </si>
  <si>
    <t>7/10 – 단서 수·추론 단계·오답 페널티·초기화 범위가 난이도를 결정함</t>
  </si>
  <si>
    <t>정답 순서 완성</t>
  </si>
  <si>
    <t>오답 누적 시 퍼즐 단계 일부 초기화</t>
  </si>
  <si>
    <t>오답 3회 후 사용하지 않은 단서 강조</t>
  </si>
  <si>
    <t>본관 2층으로 이동하기</t>
  </si>
  <si>
    <t>손전등과 안전한 발판을 확인하며 붕괴된 계단을 통과함</t>
  </si>
  <si>
    <t>4-D | 폐교 본관 2층</t>
  </si>
  <si>
    <t>학교폭력 흔적 조사하기</t>
  </si>
  <si>
    <t>시선·행동·복장·주변 오브젝트를 순서대로 확인해 낙서·찢어진 공책·잠긴 사물함의 특징을 파악함</t>
  </si>
  <si>
    <t>6/10 – 관찰 대상 수·단서의 명확성·외형 유사도가 난이도를 결정함</t>
  </si>
  <si>
    <t>교무실 체벌 기록 대조하기</t>
  </si>
  <si>
    <t>생활기록부·상담일지·반성문에서 같은 사건이 서로 다르게 기록되어 있음</t>
  </si>
  <si>
    <t>날짜·필체·교사 도장을 비교해 친구가 도움을 요청했지만 문제 학생으로 처리된 사실을 재구성함</t>
  </si>
  <si>
    <t>5/10 – 문서 수·모순 정보·대조 단계 수가 난이도를 결정함</t>
  </si>
  <si>
    <t>세 문서의 모순점 6개를 표시</t>
  </si>
  <si>
    <t>오답 5회 시 현재 문서 비교 단계 초기화</t>
  </si>
  <si>
    <t>오답 후 서로 일치하는 항목 하나를 자동 연결</t>
  </si>
  <si>
    <t>교탁 비밀칸 해제하기</t>
  </si>
  <si>
    <t>교사의 체벌 기록에 적힌 숫자와 교탁 잠금 장치의 방향 규칙을 함께 해석해야 함</t>
  </si>
  <si>
    <t>체벌 횟수·날짜·자리 배치 단서를 방향 입력으로 변환해 교탁의 숨은 칸을 해제함</t>
  </si>
  <si>
    <t>6/10 – 숫자 변환 단계·방향 입력 수·오답 초기화 범위가 난이도를 결정함</t>
  </si>
  <si>
    <t>잠금 방향 5단계를 정확히 입력</t>
  </si>
  <si>
    <t>오답 3회 시 마지막 두 단계 초기화</t>
  </si>
  <si>
    <t>오답 후 사용하지 않은 기록 문구를 강조</t>
  </si>
  <si>
    <t>보랏빛으로 빛나는 사랑의 매 발견하기</t>
  </si>
  <si>
    <t>낡은 체벌 도구가 평범한 오브젝트처럼 보이지만 친구의 기억이 재생될 때만 공명함</t>
  </si>
  <si>
    <t>교탁 안의 사랑의 매를 조사하고 교사의 체벌 기억과 무기의 보랏빛 반응이 연결되는 연출을 확인함</t>
  </si>
  <si>
    <t>3/10 – 서사 단서와 공명 타이밍을 연결해 이해하는 난이도가 중심임</t>
  </si>
  <si>
    <t>사랑의 매 조사 및 공명 연출 확인</t>
  </si>
  <si>
    <t>기억 재생 중 상호작용 가능한 순간에 보랏빛 잔광을 확대</t>
  </si>
  <si>
    <t>사랑의 매의 공명 타격 시험하기</t>
  </si>
  <si>
    <t>사랑의 매를 휘두를 때 친구가 교사에게 체벌당했던 기억이 겹쳐 화면이 흔들리고 공격 후 경직이 길어짐</t>
  </si>
  <si>
    <t>복도 환영체를 일렬로 유도해 외피를 한 번에 깨뜨리고, 기억 연출이 끝난 직후 두 번째 타격으로 제압함</t>
  </si>
  <si>
    <t>6/10 – 회피 타이밍·짧은 약점 노출·공명 공격 방향이 난이도를 결정함</t>
  </si>
  <si>
    <t>공명 타격으로 환영체 1체 제압</t>
  </si>
  <si>
    <t>체력 0 시 시험 직전 체크포인트 재시작</t>
  </si>
  <si>
    <t>환영체 일렬 유도·외피 파괴</t>
  </si>
  <si>
    <t>선택의 분기 퍼즐 해결하기</t>
  </si>
  <si>
    <t>수집한 기록을 비교하고 서로 다른 기억 문을 선택하는 퍼즐의 규칙에 맞게 단계별로 입력함</t>
  </si>
  <si>
    <t>8/10 – 단서 수·추론 단계·오답 페널티·초기화 범위가 난이도를 결정함</t>
  </si>
  <si>
    <t>아군 환영 구분하기</t>
  </si>
  <si>
    <t>환영이 동료의 외형과 목소리를 복제해 단순 외형만으로 구분할 수 없음</t>
  </si>
  <si>
    <t>이전 대화와 행동 습관을 비교해 동료와 똑같이 행동하는 환영을 판별함</t>
  </si>
  <si>
    <t>8/10 – 후보 수·복제 정확도·행동 단서의 명확성이 난이도를 결정함</t>
  </si>
  <si>
    <t>진짜 동료 전원 선택</t>
  </si>
  <si>
    <t>환영 선택 시 전투 또는 체력 감소 발생</t>
  </si>
  <si>
    <t>오답 후 구분 가능한 행동 단서 1개 표시</t>
  </si>
  <si>
    <t>본관 3층으로 이동하기</t>
  </si>
  <si>
    <t>손전등과 안전한 발판을 확인하며 환영이 반복되는 계단을 통과함</t>
  </si>
  <si>
    <t>6/10 – 통로 폭·시야 범위·장애물 간격이 난이도를 결정함</t>
  </si>
  <si>
    <t>4-E | 폐교 본관 3층</t>
  </si>
  <si>
    <t>친구의 목소리 추적하기</t>
  </si>
  <si>
    <t>반사음과 가짜 목소리 때문에 실제 방향을 잘못 판단할 수 있음</t>
  </si>
  <si>
    <t>소리 크기 변화와 파티원의 반응을 비교하며 복도마다 방향이 달라지는 목소리를 추적함</t>
  </si>
  <si>
    <t>7/10 – 가짜 신호 수·방향 변화 빈도·이동 거리의 차이가 난이도를 결정함</t>
  </si>
  <si>
    <t>올바른 강당 방향 도착</t>
  </si>
  <si>
    <t>가짜 경로 끝에 도달하면 추가 환영 전투 발생</t>
  </si>
  <si>
    <t>정체 45초 후 실제 방향의 음량을 강화</t>
  </si>
  <si>
    <t>강당 열쇠 찾기</t>
  </si>
  <si>
    <t>구역별 표지와 상품 외형을 비교하며 관리실·음악실·방송실의 열쇠 후보를 조사함</t>
  </si>
  <si>
    <t>7/10 – 후보 오브젝트 수·외형 유사도·탐색 범위가 난이도를 결정함</t>
  </si>
  <si>
    <t>관리실·음악실·방송실의 열쇠 후보 발견 및 조사 완료</t>
  </si>
  <si>
    <t>강당에 진입하기</t>
  </si>
  <si>
    <t>주변 단서와 장치 반응을 확인해 봉인된 강당 출입문를 순서대로 해제함</t>
  </si>
  <si>
    <t>5/10 – 단계 수·단서 위치·오답 초기화 범위가 난이도를 결정함</t>
  </si>
  <si>
    <t>강당 농구공의 보랏빛 공명 확인하기</t>
  </si>
  <si>
    <t>강당의 여러 공 가운데 하나만 친구가 농구 골대처럼 취급받으며 공을 맞았던 기억과 공명함</t>
  </si>
  <si>
    <t>찌그러진 공·골대 아래 충격 흔적·바닥의 보랏빛 잔광을 순서대로 조사해 공명 농구공을 식별함</t>
  </si>
  <si>
    <t>4/10 – 후보 공 수·공명 노출 시간·환영 시야 방해가 난이도를 결정함</t>
  </si>
  <si>
    <t>농구공 관련 흔적 3개 조사 및 공명 농구공 획득</t>
  </si>
  <si>
    <t>일반 농구공을 집으면 보스의 추적 속도가 잠시 증가</t>
  </si>
  <si>
    <t>오답 후 일반 농구공 하나의 상호작용 표시 제거</t>
  </si>
  <si>
    <t>4-F | 폐교 강당·보스전</t>
  </si>
  <si>
    <t>농구공의 투척 궤적 익히기</t>
  </si>
  <si>
    <t>던진 공은 적을 맞힌 뒤 벽과 바닥에 튕겨 떨어지므로 공격과 회수를 동시에 계획해야 함</t>
  </si>
  <si>
    <t>예상 궤적을 조절해 표적을 맞히고 반사된 공의 착지 지점으로 이동해 다시 회수함</t>
  </si>
  <si>
    <t>5/10 – 투척 각도·반사 횟수·공 회수 동선이 난이도를 결정함</t>
  </si>
  <si>
    <t>표적 3회 명중 및 농구공 3회 회수</t>
  </si>
  <si>
    <t>공을 회수 불가 구역에 보내면 시작 위치로 재배치</t>
  </si>
  <si>
    <t>첫 시도에는 예상 궤적선을 표시하고 실패 후 반사 각도를 보정</t>
  </si>
  <si>
    <t>사랑의 매로 괴물형 보스의 방어막 깨기</t>
  </si>
  <si>
    <t>사랑의 매는 방어막에 강하지만 타격할 때마다 교사의 체벌 기억이 겹쳐 시야와 조작이 흔들림</t>
  </si>
  <si>
    <t>소환체를 피하며 사랑의 매로 방어막의 균열 부위를 타격하고 기억 재생이 끝난 직후 연속 공격함</t>
  </si>
  <si>
    <t>8/10 – 돌진 속도·공명 타격 거리·방어막 재생 시간·환영체 개입이 난이도를 결정함</t>
  </si>
  <si>
    <t>사랑의 매 공명 타격으로 방어막 3단계 파괴</t>
  </si>
  <si>
    <t>3회 실패 후 공격 예고 시간 증가</t>
  </si>
  <si>
    <t>근접 공명 타격·방어막 3단계 파괴</t>
  </si>
  <si>
    <t>농구공으로 기억 개입 패턴 끊기</t>
  </si>
  <si>
    <t>기억 장면이 전투 화면을 덮는 동안 멀리 있는 기억 핵을 농구공의 반사 궤적으로 맞혀야 함</t>
  </si>
  <si>
    <t>벽 반사 각도를 조절해 기억 핵을 타격하고 공이 떨어지는 위치를 예측해 다음 패턴 전에 회수함</t>
  </si>
  <si>
    <t>8/10 – 조작 반전·반사 각도·기억 핵 노출 시간·공 회수 동선이 난이도를 결정함</t>
  </si>
  <si>
    <t>농구공 반사 공격으로 기억 핵 3회 명중</t>
  </si>
  <si>
    <t>오답 선택 누적 시 죄책감 수치와 피격 위험 증가</t>
  </si>
  <si>
    <t>실패 후 모순 단서 노출 시간을 늘림</t>
  </si>
  <si>
    <t>반사 투척으로 기억 핵 타격</t>
  </si>
  <si>
    <t>튕겨 나온 농구공 회수하기</t>
  </si>
  <si>
    <t>공을 회수하러 이동하는 동안 보스의 추적 공격이 이어져 최단 경로와 안전 경로가 다름</t>
  </si>
  <si>
    <t>착지 예고 지점을 확인하고 장애물을 끼고 이동해 농구공을 회수한 뒤 다시 투척 거리로 복귀함</t>
  </si>
  <si>
    <t>8/10 – 반사 궤적·보스 공격 주기·환영체 위치·회수 가능 시간이 난이도를 결정함</t>
  </si>
  <si>
    <t>농구공을 3회 연속 회수해 공격 기회 유지</t>
  </si>
  <si>
    <t>회수 실패 시 농구공이 중앙으로 재생성되지만 보스의 공격 패턴이 1회 추가됨</t>
  </si>
  <si>
    <t>재시도 시 착지 예상 범위를 넓히고 첫 반사 궤적을 표시</t>
  </si>
  <si>
    <t>착지 예측·회수 동선 관리</t>
  </si>
  <si>
    <t>사랑의 매와 농구공을 교대해 인간형 보스 공략하기</t>
  </si>
  <si>
    <t>근접 무기는 외피 파괴에, 농구공은 원거리 약점 공격에 유리해 보스의 자세에 따라 즉시 전환해야 함</t>
  </si>
  <si>
    <t>사랑의 매로 외피를 깨고 거리를 벌린 뒤 농구공을 던져 약점을 맞히며 반사된 공을 회수함</t>
  </si>
  <si>
    <t>9/10 – 무기 전환·거리 조절·반사 궤적·패턴 연계가 난이도를 결정함</t>
  </si>
  <si>
    <t>사랑의 매 3회·농구공 3회 공명 공격 성공 후 2페이즈 종료</t>
  </si>
  <si>
    <t>반복 실패 시 회복 아이템 1개 추가</t>
  </si>
  <si>
    <t>근·원거리 무기 전환·약점 연계</t>
  </si>
  <si>
    <t>죄책감 축적 패턴 버티기</t>
  </si>
  <si>
    <t>보스가 친구를 공격한 기억과 주인공의 선택을 겹쳐 보여 공격 입력 자체가 죄책감 게이지를 높임</t>
  </si>
  <si>
    <t>공격을 멈추고 환영 속 친구의 목소리를 따라 안전 지점을 이동하며 죄책감 파동 5회를 버팀</t>
  </si>
  <si>
    <t>9/10 – 누적 속도·감소 수단·제한시간·체력 회복량이 난이도를 결정함</t>
  </si>
  <si>
    <t>공격하지 않은 상태로 죄책감 파동 5회 생존</t>
  </si>
  <si>
    <t>죄책감 최대치 또는 체력 0 시 재시작</t>
  </si>
  <si>
    <t>누적 수치가 높을 때 감소 가능한 선택을 강조</t>
  </si>
  <si>
    <t>공격 중지·안전 지점 생존</t>
  </si>
  <si>
    <t>친구에게 다가가기</t>
  </si>
  <si>
    <t>보스가 공격을 멈추더라도 잔류 패턴과 화면 왜곡이 계속됨</t>
  </si>
  <si>
    <t>잔류 공격 사이의 빈틈을 이용해 공격을 멈춘 친구에게 단계적으로 접근함</t>
  </si>
  <si>
    <t>8/10 – 잔류 패턴 수·안전 구간 길이·필요 접근 횟수가 난이도를 결정함</t>
  </si>
  <si>
    <t>보스 앞 상호작용 지점 도착</t>
  </si>
  <si>
    <t>잔류 공격에 4회 피격 시 구간 재시작</t>
  </si>
  <si>
    <t>접근 실패 후 안전 지점 표시</t>
  </si>
  <si>
    <t>친구를 포옹하기</t>
  </si>
  <si>
    <t>전투에서 사용하던 공격 입력과 반대되는 행동을 선택해야 함</t>
  </si>
  <si>
    <t>주인공의 기억과 친구의 상태를 확인하고 처치 대신 포옹하는 선택을 실행함</t>
  </si>
  <si>
    <t>5/10 – 기존 조작 습관과 선택의 감정적 부담이 난이도를 결정함</t>
  </si>
  <si>
    <t>포옹 상호작용 완료</t>
  </si>
  <si>
    <t>공격 선택 시 다른 결말 분기로 전환</t>
  </si>
  <si>
    <t>상호작용 직전 공격 버튼 안내를 숨기고 선택 문구 강조</t>
  </si>
  <si>
    <t>친구를 인간으로 복원하기</t>
  </si>
  <si>
    <t>복원 과정 중 친구의 상태와 주인공의 선의 수치를 동시에 유지해야 함</t>
  </si>
  <si>
    <t>안내되는 타이밍에 상호작용해 선의가 고갈된 친구의 변이 수치를 단계적으로 낮춤</t>
  </si>
  <si>
    <t>4/10 – 입력 타이밍·유지 시간·실패 시 초기화 범위가 난이도를 결정함</t>
  </si>
  <si>
    <t>복원 게이지 100% 달성</t>
  </si>
  <si>
    <t>중단 게이지 최대 시 복원 단계 재시작</t>
  </si>
  <si>
    <t>입력 타이밍 범위를 넓히고 단계 체크포인트 제공</t>
  </si>
  <si>
    <t>폐교에서 탈출하기</t>
  </si>
  <si>
    <t>붕괴로 기존 길이 막히고 동료와 함께 제한시간 안에 탈출해야 함</t>
  </si>
  <si>
    <t>새로 열린 우회로를 따라가며 붕괴하는 폐교에서 파티원을 기다림</t>
  </si>
  <si>
    <t>7/10 – 제한시간·우회로 길이·동행 인원·붕괴 주기가 난이도를 결정함</t>
  </si>
  <si>
    <t>모든 생존 파티원이 출구 도착</t>
  </si>
  <si>
    <t>제한시간 종료 또는 파티원 전멸 시 재시작</t>
  </si>
  <si>
    <t>실패 후 붕괴 주기 완화 및 우회로 표시</t>
  </si>
  <si>
    <t>4-G | 폐교 탈출·귀환</t>
  </si>
  <si>
    <t>관리국에 귀환 보고하기</t>
  </si>
  <si>
    <t>임무 결과·인원·특이사항을 확인하고 친구 복원 사실과 균열 정보를 순서대로 보고함</t>
  </si>
  <si>
    <t>3/10 – 보고 항목 수·정보 분산 정도가 난이도를 결정함</t>
  </si>
  <si>
    <t>5 | 균열의 진실</t>
  </si>
  <si>
    <t>균열의 진실</t>
  </si>
  <si>
    <t>공식 명령과 주인공의 생존 가능성이 충돌해 목표를 단순히 받아들이기 어려움</t>
  </si>
  <si>
    <t>자료와 대화를 확인해 주인공만 진입 가능한 대형 균열의 목적과 위험을 이해함</t>
  </si>
  <si>
    <t>3/10 – 정보 비대칭·목표 충돌 정도가 난이도를 결정함</t>
  </si>
  <si>
    <t>최종 브리핑 종료</t>
  </si>
  <si>
    <t>명령의 공개 정보와 숨겨진 조건을 구분해 표시</t>
  </si>
  <si>
    <t>5-A | 대형 균열 외부</t>
  </si>
  <si>
    <t>강제 출동 압박 견디기</t>
  </si>
  <si>
    <t>여러 인물이 서로 다른 이유로 같은 희생을 요구해 감정적 압박이 커짐</t>
  </si>
  <si>
    <t>각 인물의 요구와 주인공의 상태를 비교하며 가족·관리국·시민의 희생 요구의 의미를 판단함</t>
  </si>
  <si>
    <t>6/10 – 요구 인물 수·대사 강도·선택지의 감정적 부담이 난이도를 결정함</t>
  </si>
  <si>
    <t>압박 대화 전부 확인</t>
  </si>
  <si>
    <t>대화 사이에 독백과 상태 확인 시간을 제공</t>
  </si>
  <si>
    <t>균열 중심부로 이동하기</t>
  </si>
  <si>
    <t>표지판·미니맵·NPC 이동 방향을 확인하며 도시에서 대형 균열 중심까지 이동함</t>
  </si>
  <si>
    <t>6/10 – 맵 크기·갈림길 수·목적지 표식의 가시성이 난이도를 결정함</t>
  </si>
  <si>
    <t>도시에서 대형 균열 중심의 도착 트리거에 진입</t>
  </si>
  <si>
    <t>균열 내부에 진입하기</t>
  </si>
  <si>
    <t>공간 왜곡으로 이동 방향과 상호작용 위치가 계속 바뀜</t>
  </si>
  <si>
    <t>고정된 빛 표식과 바닥 파동을 기준으로 왜곡된 진입 통로의 통로를 통과함</t>
  </si>
  <si>
    <t>7/10 – 화면 왜곡 강도·안전 표식 수·통로 폭이 난이도를 결정함</t>
  </si>
  <si>
    <t>균열 내부 첫 구역 도착</t>
  </si>
  <si>
    <t>왜곡 구역 낙하 3회 시 체크포인트 재시작</t>
  </si>
  <si>
    <t>실패 후 고정 표식의 밝기 증가</t>
  </si>
  <si>
    <t>5-B | 균열 내부</t>
  </si>
  <si>
    <t>선의 조각 수집하기</t>
  </si>
  <si>
    <t>자원이 움직이는 지형과 위험 구역에 분산되어 수집 동선이 길어짐</t>
  </si>
  <si>
    <t>위험 주기를 피하며 가까운 순서로 균열 내부에 흩어진 선의 조각 8개를 수집함</t>
  </si>
  <si>
    <t>7/10 – 목표 수량·배치 거리·위험 주기·이동 지형이 난이도를 결정함</t>
  </si>
  <si>
    <t>필수 자원 전부 수집</t>
  </si>
  <si>
    <t>필수 수량 미달 시 심층부 통로 활성화 불가</t>
  </si>
  <si>
    <t>3분 40초</t>
  </si>
  <si>
    <t>남은 자원의 대략적 방향과 거리 표시</t>
  </si>
  <si>
    <t>과거 기억 재생하기</t>
  </si>
  <si>
    <t>현재와 과거 장면이 교차해 사건의 시간 순서를 혼동할 수 있음</t>
  </si>
  <si>
    <t>반복되는 사물과 대사를 기준으로 주인공의 탄생과 가족의 기억의 순서를 맞춤</t>
  </si>
  <si>
    <t>5/10 – 장면 수·시간 순서의 복잡도·인물 수가 난이도를 결정함</t>
  </si>
  <si>
    <t>필수 기억 장면 모두 확인</t>
  </si>
  <si>
    <t>기억 장면마다 시간 표식과 인물 관계 아이콘 표시</t>
  </si>
  <si>
    <t>가짜 가족 환영 돌파하기</t>
  </si>
  <si>
    <t>칭찬과 비난이 번갈아 제시되어 올바른 길보다 감정적 반응을 유도함</t>
  </si>
  <si>
    <t>말의 내용보다 행동과 기억의 모순을 확인해 칭찬과 비난을 반복하는 가족 환영을 무시하고 진행함</t>
  </si>
  <si>
    <t>9/10 – 환영 수·가짜 단서의 설득력·자아 마모도 누적량이 난이도를 결정함</t>
  </si>
  <si>
    <t>환영 구역 종료 지점 도착</t>
  </si>
  <si>
    <t>잘못된 환영 선택 누적 시 자아 마모도 증가</t>
  </si>
  <si>
    <t>실패 후 모순되는 대사의 일부 강조</t>
  </si>
  <si>
    <t>기억 속 물건으로 가족 환영의 거짓말 깨뜨리기</t>
  </si>
  <si>
    <t>가족의 칭찬과 실제 기억이 충돌하며 잘못된 물건을 선택하면 자아 마모도가 증가함</t>
  </si>
  <si>
    <t>빨래·심부름 목록·우정 반지 등 이전 챕터에서 직접 다룬 물건을 실제 기억과 연결해 거짓 환영을 깨뜨림</t>
  </si>
  <si>
    <t>8/10 – 기억 물건 수·가짜 설명의 설득력·선택 제한시간이 난이도를 결정함</t>
  </si>
  <si>
    <t>거짓 환영 4개 해제 및 자아 마모도 기준 이하 유지</t>
  </si>
  <si>
    <t>오답 누적 시 현재 환영 묶음 재시작</t>
  </si>
  <si>
    <t>이전에 수집한 기록을 선택 화면에서 다시 열람 가능</t>
  </si>
  <si>
    <t>균열 수호체(정예) 전투 치르기</t>
  </si>
  <si>
    <t>환경 공격과 자아 마모도 상승이 겹치지만 보스처럼 다단계 서사 페이즈를 갖지는 않음</t>
  </si>
  <si>
    <t>안전 구역을 확보하고 약점 노출 때 공명 공격을 집중해 균열 심층부의 정예 수호체를 처치함</t>
  </si>
  <si>
    <t>8/10 – 환경 공격 주기·안전 구역 크기·자아 마모도 누적량이 난이도를 결정함</t>
  </si>
  <si>
    <t>정예 수호체 체력 0 및 주인공 생존</t>
  </si>
  <si>
    <t>체력 0 또는 자아 마모도 최대 시 전투 재시작</t>
  </si>
  <si>
    <t>반복 실패 시 안전 구역 확대와 회복 자원 1개 추가</t>
  </si>
  <si>
    <t>정예 몬스터</t>
  </si>
  <si>
    <t>안전 구역 확보·약점 노출 집중 공격</t>
  </si>
  <si>
    <t>균열 심층부의 폐기된 측정 기록 회수하기</t>
  </si>
  <si>
    <t>손상된 기록에는 선의 측정 체계의 초기 목적과 변이 인간을 은폐한 흔적이 서로 다른 코드로 남아 있음</t>
  </si>
  <si>
    <t>측정 장치와 변이 기록을 대조해 체계 설계자가 균열 연구를 계속했다는 사실을 확인함</t>
  </si>
  <si>
    <t>6/10 – 기록 손상도·코드 대응 수·숨겨진 분류 항목이 난이도를 결정함</t>
  </si>
  <si>
    <t>폐기 기록 6개 복원</t>
  </si>
  <si>
    <t>오류 코드 4회 선택 시 현재 기록 묶음 초기화</t>
  </si>
  <si>
    <t>오답 후 같은 시기의 측정 코드 하나를 자동 연결</t>
  </si>
  <si>
    <t>5-C | 선의 계량자 보스전</t>
  </si>
  <si>
    <t>지적 괴물 선의 계량자와 첫 대화하기</t>
  </si>
  <si>
    <t>괴물이 인간의 언어로 차한해의 수치와 행동을 분석하며 자신을 변이가 아닌 새로운 측정 상태라고 주장함</t>
  </si>
  <si>
    <t>대화를 통해 선의 계량자가 측정 체계의 설계자이며 균열 내부에서 이성을 유지한 첫 괴물임을 확인함</t>
  </si>
  <si>
    <t>5/10 – 새로운 세계 정보·의도적인 거짓말·전투 전 선택지의 부담이 난이도를 결정함</t>
  </si>
  <si>
    <t>필수 질문 5개 확인 후 전투 시작</t>
  </si>
  <si>
    <t>대화 기록에 주장과 확인된 사실을 구분해 저장</t>
  </si>
  <si>
    <t>선의 계량자의 등급 배정 규칙 무효화하기</t>
  </si>
  <si>
    <t>보스가 전장 인물에게 S·A·B·C·F 등급을 부여하고 등급별로 다른 공격과 의무를 강제함</t>
  </si>
  <si>
    <t>측정 빔의 순서를 읽고 등급 발생 장치 4개를 파괴해 전투 규칙이 수치에 따라 바뀌는 것을 막음</t>
  </si>
  <si>
    <t>9/10 – 등급별 효과·장치 위치·공격 순서·동료 상태가 난이도를 결정함</t>
  </si>
  <si>
    <t>등급 발생 장치 4개 파괴</t>
  </si>
  <si>
    <t>실패 후 등급별 위험 아이콘과 다음 측정 순서를 표시</t>
  </si>
  <si>
    <t>등급 규칙 파악·발생 장치 파괴</t>
  </si>
  <si>
    <t>시민·동료에게 부여된 등급 표식 해제하기</t>
  </si>
  <si>
    <t>낮은 등급 대상은 구조 우선순위에서 제외되고 높은 등급 대상은 위험한 공격을 대신 받도록 강제됨</t>
  </si>
  <si>
    <t>동료와 시민 사이의 연결선을 교차시켜 표식을 분산하고 측정 범위 밖으로 이동시켜 등급을 제거함</t>
  </si>
  <si>
    <t>9/10 – 대상 수·연결선 교차·이동 제한·공격 병행이 난이도를 결정함</t>
  </si>
  <si>
    <t>시민·동료 표식 6개 전부 해제</t>
  </si>
  <si>
    <t>표식 대상 2명 소멸 시 현재 페이즈 재시작</t>
  </si>
  <si>
    <t>실패 후 해제 가능한 연결선을 순서대로 강조</t>
  </si>
  <si>
    <t>표식 연결선 재배치·등급 해제</t>
  </si>
  <si>
    <t>차한해에게 연결된 무한대 부담 장치 파괴하기</t>
  </si>
  <si>
    <t>보스가 모든 균열 피해를 차한해에게 이전하고 예상 손실 1명이라는 계산을 최적해로 고정함</t>
  </si>
  <si>
    <t>혼자 공격을 받아내지 않고 전장에 분산된 연결 장치를 동료와 동시에 작동시켜 부담 이전 회로를 끊음</t>
  </si>
  <si>
    <t>10/10 – 동시 장치 수·자아 마모도 증가·공격 압박·협력 타이밍이 난이도를 결정함</t>
  </si>
  <si>
    <t>부담 연결 장치 4개 동시 파괴</t>
  </si>
  <si>
    <t>자아 마모도 최대 또는 동료 전멸 시 2페이즈 재시작</t>
  </si>
  <si>
    <t>반복 실패 시 장치 동시 입력 허용 시간을 늘림</t>
  </si>
  <si>
    <t>무한대 부담 분산·동시 장치 파괴</t>
  </si>
  <si>
    <t>유한한 선의를 분담해 최종 계산식 무너뜨리기</t>
  </si>
  <si>
    <t>선의 계량자는 한 사람의 무한한 희생이 여러 사람의 유한한 선택보다 효율적이라는 계산을 반복함</t>
  </si>
  <si>
    <t>이전 챕터에서 구조한 NPC와 동료가 자발적으로 장치를 맡게 하고 차한해는 마지막 핵만 공명 타격함</t>
  </si>
  <si>
    <t>10/10 – 참여 인원 보호·핵 노출 주기·자아 마모도·마지막 타격이 난이도를 결정함</t>
  </si>
  <si>
    <t>분담 장치 5개 유지 및 보스 핵 파괴</t>
  </si>
  <si>
    <t>참여 인원 3명 이상 이탈 또는 체력 0 시 최종 페이즈 재시작</t>
  </si>
  <si>
    <t>실패 후 참여 인원의 위험 순서와 핵 노출 시간을 표시</t>
  </si>
  <si>
    <t>다인 분담 유지·최종 핵 파괴</t>
  </si>
  <si>
    <t>선의 계량자의 마지막 증언 듣기</t>
  </si>
  <si>
    <t>소멸 직전의 보스가 차한해의 선의가 무한한 것이 아니라 인간의 측정식으로 정의할 수 없는 존재라고 밝힘</t>
  </si>
  <si>
    <t>남은 대화와 측정 기록을 확인해 균열이 차한해를 공격하는 것이 아니라 자신에게서 떨어진 존재를 회수하려 한다는 단서를 얻음</t>
  </si>
  <si>
    <t>6/10 – 진실과 추론을 구분하고 기존 세계 규칙을 재해석하는 난이도가 중심임</t>
  </si>
  <si>
    <t>출생의 비밀과 균열 소멸 조건에 관한 증언 5개 확인</t>
  </si>
  <si>
    <t>핵심 증언을 기록 메뉴에 저장하고 검증이 필요한 문장 표시</t>
  </si>
  <si>
    <t>균열 심층부로 이동하기</t>
  </si>
  <si>
    <t>통로가 붕괴하고 화면 왜곡이 심해져 이동 경로를 오래 유지할 수 없음</t>
  </si>
  <si>
    <t>붕괴 예고와 고정 표식을 보며 붕괴하는 균열 통로까지 짧은 구간 단위로 이동함</t>
  </si>
  <si>
    <t>7/10 – 붕괴 속도·통로 폭·왜곡 강도·체크포인트 간격이 난이도를 결정함</t>
  </si>
  <si>
    <t>심층부 도착</t>
  </si>
  <si>
    <t>낙하 또는 제한시간 종료 시 직전 지점 재시작</t>
  </si>
  <si>
    <t>구간별 체크포인트와 안전 발판 강조</t>
  </si>
  <si>
    <t>5-D | 균열 심층부</t>
  </si>
  <si>
    <t>선의 계량자의 증언 검증하기</t>
  </si>
  <si>
    <t>지적 괴물이 남긴 증언과 기존 관리국 기록이 충돌해 어느 정보가 사실인지 판단해야 함</t>
  </si>
  <si>
    <t>측정 기록·균열 반응·주인공의 기억을 비교해 차한해가 균열에서 태어난 존재라는 사실을 확인함</t>
  </si>
  <si>
    <t>6/10 – 증언과 기록의 모순 수·새 정보량·기존 규칙과의 충돌이 난이도를 결정함</t>
  </si>
  <si>
    <t>출생 관련 증언 3개와 균열 기록 3개 검증</t>
  </si>
  <si>
    <t>검증된 사실과 추론을 기록 메뉴에서 구분 표시</t>
  </si>
  <si>
    <t>한도윤과 마지막 통신하기</t>
  </si>
  <si>
    <t>통신이 끊기고 잡음이 섞여 상대의 의도를 정확히 듣기 어려움</t>
  </si>
  <si>
    <t>반복되는 핵심 문구를 확인하며 귀환을 요청하는 한도윤의 마지막 대화를 진행함</t>
  </si>
  <si>
    <t>5/10 – 잡음 강도·대사 길이·감정적 부담이 난이도를 결정함</t>
  </si>
  <si>
    <t>통신 종료</t>
  </si>
  <si>
    <t>핵심 대사 자막을 화면에 오래 유지</t>
  </si>
  <si>
    <t>소멸 선택지 확인하기</t>
  </si>
  <si>
    <t>어떤 선택도 완전한 보상이 없고 플레이어가 결말을 직접 확정해야 함</t>
  </si>
  <si>
    <t>지금까지 수집한 정보와 관계 변화를 확인해 자신의 소멸과 균열 소멸의 관계를 결정함</t>
  </si>
  <si>
    <t>8/10 – 결과의 비가역성·정보량·감정적 부담이 난이도를 결정함</t>
  </si>
  <si>
    <t>최종 선택지 확정</t>
  </si>
  <si>
    <t>선택 전 저장 및 주요 결과 요약 제공</t>
  </si>
  <si>
    <t>마지막 기억 회수하기</t>
  </si>
  <si>
    <t>기억 조각이 위험 구역과 멀리 떨어져 있어 수집 순서가 중요함</t>
  </si>
  <si>
    <t>가장 안전한 경로를 정하고 주인공이 지키고 싶었던 사람들의 기억 5개를 회수함</t>
  </si>
  <si>
    <t>7/10 – 목표 수·동선 길이·위험 구역 밀도·자아 마모도 증가량이 난이도를 결정함</t>
  </si>
  <si>
    <t>필수 기억 전부 회수</t>
  </si>
  <si>
    <t>자아 마모도 최대 시 직전 체크포인트 재시작</t>
  </si>
  <si>
    <t>남은 기억 방향과 안전 경로를 단계적으로 표시</t>
  </si>
  <si>
    <t>균열 핵에 접근하기</t>
  </si>
  <si>
    <t>핵의 충격파가 일정 주기로 넓어져 접근 가능한 시간이 짧음</t>
  </si>
  <si>
    <t>충격파 예고를 보고 안전 지점에서 대기한 뒤 주기적으로 충격파를 내보내는 균열 핵에 단계적으로 접근함</t>
  </si>
  <si>
    <t>9/10 – 충격파 주기·안전 지점 거리·필요 접근 횟수가 난이도를 결정함</t>
  </si>
  <si>
    <t>균열 핵 상호작용 지점 도착</t>
  </si>
  <si>
    <t>충격파 5회 피격 또는 체력 0 시 재시작</t>
  </si>
  <si>
    <t>실패 후 충격파 예고 시간 증가</t>
  </si>
  <si>
    <t>균열 핵과 동기화하기</t>
  </si>
  <si>
    <t>두 게이지가 서로 반대로 움직여 하나만 맞추면 다른 값이 벗어남</t>
  </si>
  <si>
    <t>입력 강도와 타이밍을 조절해 선의와 자아 마모도를 맞추는 입력의 두 수치를 목표 범위에 유지함</t>
  </si>
  <si>
    <t>9/10 – 게이지 이동속도·목표 범위·동시 입력 수·초기화 범위가 난이도를 결정함</t>
  </si>
  <si>
    <t>동기화 게이지 100% 달성</t>
  </si>
  <si>
    <t>불안정 수치 최대 시 동기화 단계 재시작</t>
  </si>
  <si>
    <t>실패 후 목표 범위 확대와 중간 체크포인트 제공</t>
  </si>
  <si>
    <t>최종 선택 실행하기</t>
  </si>
  <si>
    <t>최종 선택을 실행하면 되돌릴 수 없다는 사실이 강한 심리적 부담을 줌</t>
  </si>
  <si>
    <t>확인 문구와 지금까지의 결과를 검토한 뒤 균열과 함께 소멸하는 선택을 실행함</t>
  </si>
  <si>
    <t>7/10 – 선택의 비가역성과 감정적 부담이 난이도를 결정함</t>
  </si>
  <si>
    <t>최종 행동 확인 입력 완료</t>
  </si>
  <si>
    <t>이중 확인과 자동 저장 제공</t>
  </si>
  <si>
    <t>5-E | 최종 선택·후일담</t>
  </si>
  <si>
    <t>균열과 몬스터 소멸 확인하기</t>
  </si>
  <si>
    <t>여러 지역과 인물의 변화를 짧은 장면 안에서 연결해 이해해야 함</t>
  </si>
  <si>
    <t>장면 순서와 반복되는 상징을 보며 도시 곳곳의 균열과 괴물이 소멸한 결과를 확인함</t>
  </si>
  <si>
    <t>3/10 – 등장 인물 수·장면 전환 속도·결과 연결성이 난이도를 결정함</t>
  </si>
  <si>
    <t>후일담 장면 전부 재생</t>
  </si>
  <si>
    <t>인물별 이름과 이전 선택 결과를 함께 표시</t>
  </si>
  <si>
    <t>생존자들의 후일담 확인하기</t>
  </si>
  <si>
    <t>장면 순서와 반복되는 상징을 보며 가족·한도윤·친구·시민의 변화와 그 결과를 확인함</t>
  </si>
  <si>
    <t>2/10 – 등장 인물 수·장면 전환 속도·결과 연결성이 난이도를 결정함</t>
  </si>
  <si>
    <t>엔딩 크레딧 감상하기</t>
  </si>
  <si>
    <t>긴 크레딧 중 추가 장면과 기록이 삽입되어 놓칠 수 있음</t>
  </si>
  <si>
    <t>크레딧 사이의 주요 장면을 확인하며 엔딩 크레딧을 마지막까지 감상함</t>
  </si>
  <si>
    <t>1/10 – 추가 장면의 노출 시간과 배치 간격이 난이도를 결정함</t>
  </si>
  <si>
    <t>크레딧 종료</t>
  </si>
  <si>
    <t>일시정지·배속·다시 보기 기능 제공</t>
  </si>
  <si>
    <t>밸런스 팩터</t>
  </si>
  <si>
    <t>게임 「넌 착해!」의 플레이 경험에 영향을 주는 주요 조정 요소를 원형으로 정리</t>
  </si>
  <si>
    <t>큰 원은 플레이 전반에 미치는 영향이 큰 핵심 팩터이며, 작은 원은 장면·미션 단위에서 조정하는 세부 팩터임</t>
  </si>
  <si>
    <t>밸런스 문서 작성 기준</t>
  </si>
  <si>
    <t>항목</t>
  </si>
  <si>
    <t>작성 방식</t>
  </si>
  <si>
    <t>값/형식</t>
  </si>
  <si>
    <t>우리 게임 적용 기준</t>
  </si>
  <si>
    <t>조작난이도</t>
  </si>
  <si>
    <t>플레이어가 실제 입력을 수행할 때 느끼는 손 조작의 어려움</t>
  </si>
  <si>
    <t>1~10 숫자</t>
  </si>
  <si>
    <t>1은 단순 확인·대화, 10은 빠른 보스 패턴과 복합 입력</t>
  </si>
  <si>
    <t>재미율</t>
  </si>
  <si>
    <t>기획자가 해당 구간이 이 정도로 재미있기를 기대하며 정하는 정성적 목표값</t>
  </si>
  <si>
    <t>탐색·긴장·감정·반전·성취를 모두 포함하며 실제 테스트값이 아님</t>
  </si>
  <si>
    <t>컨텐츠 제시순서</t>
  </si>
  <si>
    <t>게임 시작부터 엔딩까지 해금되는 모든 플레이 내용을 순서대로 기록</t>
  </si>
  <si>
    <t>1부터 연속 넘버링</t>
  </si>
  <si>
    <t>UI 미션뿐 아니라 이동·조사·대화·전투·업적성 행동·연출 확인까지 포함</t>
  </si>
  <si>
    <t>미션</t>
  </si>
  <si>
    <t>제목만 읽어도 플레이어가 무엇을 해야 하는지 보이도록 작성</t>
  </si>
  <si>
    <t>행동형 제목</t>
  </si>
  <si>
    <t>예: 신상 과자 진열대 찾기, 균열 괴물과 첫 전투 치르기</t>
  </si>
  <si>
    <t>방해요소</t>
  </si>
  <si>
    <t>목표를 바로 달성하지 못하게 만드는 맵·NPC·시간·정보·전투 요소</t>
  </si>
  <si>
    <t>구체적 서술</t>
  </si>
  <si>
    <t>비슷한 후보, 넓은 탐색 범위, 제한시간, 시야 차단, 감정적 압박 등</t>
  </si>
  <si>
    <t>방해요소 공략</t>
  </si>
  <si>
    <t>방해요소를 해결하기 위해 플레이어가 관찰·판단·조작해야 하는 내용</t>
  </si>
  <si>
    <t>구체적 플레이 절차</t>
  </si>
  <si>
    <t>이 표에서 가장 핵심적인 항목으로 작성</t>
  </si>
  <si>
    <t>방해요인의 난이도</t>
  </si>
  <si>
    <t>관찰·판단·공략의 어려움과 그 난이도를 만드는 요인을 함께 기록</t>
  </si>
  <si>
    <t>숫자/10 + 원인 설명</t>
  </si>
  <si>
    <t>후보 수, 맵 크기, 속도 차이, 제한시간, 패턴 수 등</t>
  </si>
  <si>
    <t>미션개수</t>
  </si>
  <si>
    <t>해당 행의 목표를 완료하기 위해 필요한 행동·대상·단계의 수</t>
  </si>
  <si>
    <t>정수</t>
  </si>
  <si>
    <t>수거 8개, 단서 5개, 대화 1회, 보스 패턴 6회 등</t>
  </si>
  <si>
    <t>성공 미션조건</t>
  </si>
  <si>
    <t>시스템이 완료를 판정할 수 있는 명확한 조건</t>
  </si>
  <si>
    <t>구체적 판정 조건</t>
  </si>
  <si>
    <t>목표 수량 달성, 트리거 진입, 보스 체력 0 등</t>
  </si>
  <si>
    <t>실패 미션조건</t>
  </si>
  <si>
    <t>실패가 존재하는 경우 재시작·페널티가 발생하는 조건</t>
  </si>
  <si>
    <t>구체적 판정 조건 또는 실패 없음</t>
  </si>
  <si>
    <t>추격 거리 초과, 체력 0, 제한시간 종료, 오답 누적 등</t>
  </si>
  <si>
    <t>예상 플레이타임</t>
  </si>
  <si>
    <t>초회 플레이어가 해당 콘텐츠를 완료하는 데 걸릴 것으로 예상하는 시간</t>
  </si>
  <si>
    <t>초/분</t>
  </si>
  <si>
    <t>난이도 보정 컨텐츠</t>
  </si>
  <si>
    <t>막힌 플레이어가 목표를 다시 파악하도록 돕는 힌트와 보정 장치</t>
  </si>
  <si>
    <t>필요한 경우 작성</t>
  </si>
  <si>
    <t>방향 표시, 반짝임, 속도 감소, 체크포인트, 오답 힌트 등</t>
  </si>
  <si>
    <t>이동속도 A</t>
  </si>
  <si>
    <t>플레이어 또는 해당 행에서 주체가 되는 캐릭터의 이동속도</t>
  </si>
  <si>
    <t>1~5 상대값</t>
  </si>
  <si>
    <t>1 매우 느림, 3 보통, 5 빠름. 이동이 핵심이 아닐 때는 공란</t>
  </si>
  <si>
    <t>이동속도 B</t>
  </si>
  <si>
    <t>추격 대상·동행 NPC·위협체 등 상대 캐릭터의 이동속도</t>
  </si>
  <si>
    <t>A와 B의 속도 차이가 추격·호위·회피 난이도를 결정</t>
  </si>
  <si>
    <t>문서 범위</t>
  </si>
  <si>
    <t>게임 시작부터 엔딩까지 모든 콘텐츠를 작성</t>
  </si>
  <si>
    <t>최소 50개 이상</t>
  </si>
  <si>
    <t>진행 요구 숙련도</t>
  </si>
  <si>
    <t>콘텐츠 진행 포인트가 누적될수록 플레이어에게 요구되는 조작·판단·시스템 이해 수준</t>
  </si>
  <si>
    <t>Y=ax²+bx / 0~10000</t>
  </si>
  <si>
    <t>X는 콘텐츠 진행 포인트 누적, Y는 진행 요구 숙련도. Q3의 a와 R3의 b를 사용하며 마지막 값은 10000</t>
  </si>
  <si>
    <t>전투 콘텐츠 분류</t>
  </si>
  <si>
    <t>해당 행이 비전투·튜토리얼·일반 몬스터·정예 몬스터·보스 중 무엇인지 구분</t>
  </si>
  <si>
    <t>텍스트 분류</t>
  </si>
  <si>
    <t>보스전의 준비·전투·결말 행을 구분하고 균열 수호체는 정예 몬스터로 별도 분류</t>
  </si>
  <si>
    <t>권장 전투 숙련도</t>
  </si>
  <si>
    <t>해당 전투를 안정적으로 공략하기 위해 요구되는 회피·조준·기믹 이해 수준</t>
  </si>
  <si>
    <t>1~10 숫자 또는 —</t>
  </si>
  <si>
    <t>일반 전투는 2~7, 보스전은 5~10 범위. 비전투 콘텐츠는 —</t>
  </si>
  <si>
    <t>전투 예상 시간(초)</t>
  </si>
  <si>
    <t>해당 행에서 실제 전투 조작에 사용되는 예상 시간</t>
  </si>
  <si>
    <t>초 단위 정수 또는 —</t>
  </si>
  <si>
    <t>스토리 연출과 전투 후 대화는 제외하고 순수 전투·기믹 수행 시간만 기록</t>
  </si>
  <si>
    <t>핵심 전투 기믹</t>
  </si>
  <si>
    <t>전투를 단순 체력 감소가 아닌 해당 콘텐츠만의 공략 규칙으로 요약</t>
  </si>
  <si>
    <t>행동 순서형 짧은 문장</t>
  </si>
  <si>
    <t>예: 돌진 유도→철문 파괴, 시민 대신 공격 받아내기, 등급 표식 해제</t>
  </si>
  <si>
    <t>해당 구간 일반 몬스터 30체분의 환산 경험치를 보스 처치 보상으로 산정</t>
  </si>
  <si>
    <t>숫자</t>
  </si>
  <si>
    <t>25×30=750에서 시작해 후반 보스는 50×30=1500까지 증가</t>
  </si>
  <si>
    <t>해당 레벨의 보스 분포 수</t>
  </si>
  <si>
    <t>해당 챕터에 배치된 보스 스테이지 수를 기록하며 페이즈·분열 개체 수는 중복 계산하지 않음</t>
  </si>
  <si>
    <t>재난 대응 3개, 폐교 탐색 1개, 균열의 진실 1개</t>
  </si>
  <si>
    <t>보스타입 A/B 시간</t>
  </si>
  <si>
    <t>AB는 근거리형 패턴 시간, AC는 원거리형 패턴 시간으로 기록하고 합계를 보스 총 전투시간으로 사용</t>
  </si>
  <si>
    <t>초 단위 정수</t>
  </si>
  <si>
    <t>전체 밸런스 곡선 요약</t>
  </si>
  <si>
    <t>총 콘텐츠 수</t>
  </si>
  <si>
    <t>평균 플레이 난이도</t>
  </si>
  <si>
    <t>평균 플레이 흥미도</t>
  </si>
  <si>
    <t>보스 스테이지 수</t>
  </si>
  <si>
    <t>보스 밸런스 설계 요약</t>
  </si>
  <si>
    <t>순서</t>
  </si>
  <si>
    <t>챕터·스테이지</t>
  </si>
  <si>
    <t>보스명</t>
  </si>
  <si>
    <t>인간 시절 핵심 서사</t>
  </si>
  <si>
    <t>선의 0 도달 원인</t>
  </si>
  <si>
    <t>전투 구조</t>
  </si>
  <si>
    <t>핵심 공략</t>
  </si>
  <si>
    <t>일반 몬스터 1체 경험치</t>
  </si>
  <si>
    <t>보스 경험치</t>
  </si>
  <si>
    <t>일반 몬스터 1체 시간(초)</t>
  </si>
  <si>
    <t>30체 총시간(초)</t>
  </si>
  <si>
    <t>보스 총시간(초)</t>
  </si>
  <si>
    <t>근거리형 시간(초)</t>
  </si>
  <si>
    <t>원거리형 시간(초)</t>
  </si>
  <si>
    <t>시간 효율</t>
  </si>
  <si>
    <t>해당 챕터 보스 수</t>
  </si>
  <si>
    <t>서사적 승리 조건</t>
  </si>
  <si>
    <t>효율 검증</t>
  </si>
  <si>
    <t>닫힌 문지기</t>
  </si>
  <si>
    <t>대피소를 지키려 문을 열었던 관리인이 사고 이후 문밖의 사람을 위험 요소로 보기 시작함</t>
  </si>
  <si>
    <t>문을 열어도 되는 상황에서 구조 요청을 외면하고 안도감을 느끼는 순간 타인을 돕고자 하는 마음이 소진됨</t>
  </si>
  <si>
    <t>단일 페이즈·환경 파괴형</t>
  </si>
  <si>
    <t>돌진으로 철문 파괴→시민 이동→노출 핵 공격</t>
  </si>
  <si>
    <t>닫힌 문을 모두 열고 문밖 시민을 구조한 뒤 방어 핵 파괴</t>
  </si>
  <si>
    <t>폭력의 순환체</t>
  </si>
  <si>
    <t>아이 대신 폭력을 받아낸 엄마와 후임 대신 폭력을 행사하도록 강요받은 군인의 기억이 하나의 외피에 갇힘</t>
  </si>
  <si>
    <t>엄마는 희생이 아이를 지키지 못했다고 믿고, 군인은 자신이 폭력을 줄인 것이 아니라 지속시켰다고 깨달으며 인간에 대한 신뢰를 잃음</t>
  </si>
  <si>
    <t>1체 시작→2체 분열·2페이즈형</t>
  </si>
  <si>
    <t>받아내야 하는 공격과 피해야 하는 공격을 구분하고 시민을 대피시킨 뒤 연결 핵 동시 파괴</t>
  </si>
  <si>
    <t>때리는 자와 맞는 자를 연결한 폭력 순환 구조 자체를 파괴</t>
  </si>
  <si>
    <t>갈채를 먹는 자</t>
  </si>
  <si>
    <t>순수한 구조자였으나 고등급자 특혜와 영웅 대접에 익숙해지며 선행을 생활 유지 수단으로 바꿈</t>
  </si>
  <si>
    <t>긴급 구조 알림을 끄고 '다른 고등급자를 보내라'고 선택한 평범한 순간 선의 수치가 0에 도달함</t>
  </si>
  <si>
    <t>환경 제어·무대 전환형</t>
  </si>
  <si>
    <t>카메라 사각지대 이동→중계 장치 차단→실제 시민 판별→비공개 구조</t>
  </si>
  <si>
    <t>아무도 보지 않는 곳에서 시민을 구조해 갈채 보호막을 제거</t>
  </si>
  <si>
    <t>남겨진 친구</t>
  </si>
  <si>
    <t>학교폭력과 체벌을 호소했지만 주변이 문제 학생으로 취급하거나 외면한 차한해의 친구</t>
  </si>
  <si>
    <t>참는 것이 착한 행동이라는 믿음이 무너지고 아무도 자신을 구하지 않는다고 확신하며 선의가 고갈됨</t>
  </si>
  <si>
    <t>괴물형→인간형·비처치 결말형</t>
  </si>
  <si>
    <t>사랑의 매로 외피 파괴→농구공으로 기억 핵 개입→공격 중지→접근·포옹</t>
  </si>
  <si>
    <t>체력 0이 아니라 공격을 멈추고 친구를 포옹해 인간으로 복원</t>
  </si>
  <si>
    <t>선의 계량자</t>
  </si>
  <si>
    <t>선의 측정 체계를 설계해 책임을 공정하게 나누려 했으나 사람을 등급과 자원으로만 판단하게 된 연구자</t>
  </si>
  <si>
    <t>차한해 한 명의 희생을 예상 손실 1명이라는 최적해로 결정하며 타인을 사람으로 보는 마지막 선의를 잃음</t>
  </si>
  <si>
    <t>전장 규칙 변경·지적 보스형</t>
  </si>
  <si>
    <t>등급 발생 장치 파괴→표식 해제→무한대 부담 분산→다인 협력으로 계산식 붕괴</t>
  </si>
  <si>
    <t>한 사람의 무한한 희생이 아니라 여러 사람의 유한한 선택으로 부담을 분담</t>
  </si>
  <si>
    <t>정예 몬스터 분류: 균열 수호체는 보스가 아니며, 전투시간 200초·안전 구역/약점 노출 기믹을 가진 후반 정예 몬스터로 보스 분포 수와 보스 경험치 산정에서 제외</t>
  </si>
  <si>
    <t>보스</t>
  </si>
  <si>
    <t>L열 예상 소요 시간은 헤비 유저의 1회 성공 기준으로 작성함. W~Y열은 조작난이도와 전투 여부에 따라 라이트·미들·헤비 유저의 탐색·판단·재시도 시간을 반영함. 보스전은 대표 행에 전체 보스전 합산 시간을 표시하고 세부 패턴 행은 중복 집계하지 않음</t>
  </si>
  <si>
    <t>AB+AC는 헤비 유저 기준 보스 총 전투시간과 일치함. W·X·Y는 보스 대표 행에서 라이트·미들·헤비 유저의 전체 보스전 예상시간을 표시하며, 세부 패턴 행은 중복을 방지하기 위해 공란 처리함</t>
  </si>
  <si>
    <t>총 예상 플레이 시간(헤비 기준)</t>
  </si>
  <si>
    <t>보스 경험치는 해당 구간 일반 몬스터 30체분으로 산정함. 보스 총시간은 헤비 유저의 1회 성공 기준이며, 밸런스 문서 W·X·Y열의 보스 대표 행에는 라이트·미들·헤비 유저의 재시도와 판단 시간을 반영한 전체 보스전 시간을 한 번만 기록함</t>
  </si>
  <si>
    <t>Kill 이벤트
(관문)</t>
    <phoneticPr fontId="12" type="noConversion"/>
  </si>
  <si>
    <t>문지기 처치</t>
    <phoneticPr fontId="12" type="noConversion"/>
  </si>
  <si>
    <t>융합된 괴물 처치</t>
    <phoneticPr fontId="12" type="noConversion"/>
  </si>
  <si>
    <t>괴물형 보스 hp 0</t>
    <phoneticPr fontId="12" type="noConversion"/>
  </si>
  <si>
    <t>인간형 보스 hp 0</t>
    <phoneticPr fontId="12" type="noConversion"/>
  </si>
  <si>
    <t>균열 수호체 처치</t>
    <phoneticPr fontId="12" type="noConversion"/>
  </si>
  <si>
    <t>선의 계량자 규칙 무효화</t>
    <phoneticPr fontId="12" type="noConversion"/>
  </si>
  <si>
    <t>최종 선택</t>
    <phoneticPr fontId="12" type="noConversion"/>
  </si>
  <si>
    <t>갈채를 먹는 자 처치</t>
    <phoneticPr fontId="12" type="noConversion"/>
  </si>
  <si>
    <r>
      <t xml:space="preserve">[한도윤] </t>
    </r>
    <r>
      <rPr>
        <sz val="10"/>
        <color rgb="FF0070C0"/>
        <rFont val="맑은 고딕"/>
        <family val="3"/>
        <charset val="129"/>
      </rPr>
      <t>+5%</t>
    </r>
    <phoneticPr fontId="12" type="noConversion"/>
  </si>
  <si>
    <r>
      <t xml:space="preserve">[도시] </t>
    </r>
    <r>
      <rPr>
        <sz val="10"/>
        <color rgb="FF0070C0"/>
        <rFont val="맑은 고딕"/>
        <family val="3"/>
        <charset val="129"/>
      </rPr>
      <t>+5%</t>
    </r>
    <phoneticPr fontId="12" type="noConversion"/>
  </si>
  <si>
    <r>
      <t>[도시]</t>
    </r>
    <r>
      <rPr>
        <sz val="10"/>
        <color rgb="FF0070C0"/>
        <rFont val="맑은 고딕"/>
        <family val="3"/>
        <charset val="129"/>
      </rPr>
      <t xml:space="preserve"> +5%</t>
    </r>
    <phoneticPr fontId="12" type="noConversion"/>
  </si>
  <si>
    <r>
      <t>[한도윤]</t>
    </r>
    <r>
      <rPr>
        <sz val="10"/>
        <color rgb="FF0070C0"/>
        <rFont val="맑은 고딕"/>
        <family val="3"/>
        <charset val="129"/>
      </rPr>
      <t xml:space="preserve"> +5%</t>
    </r>
    <phoneticPr fontId="12" type="noConversion"/>
  </si>
  <si>
    <r>
      <t>[도시]</t>
    </r>
    <r>
      <rPr>
        <sz val="10"/>
        <color rgb="FF0070C0"/>
        <rFont val="맑은 고딕"/>
        <family val="3"/>
        <charset val="129"/>
      </rPr>
      <t xml:space="preserve"> +5%</t>
    </r>
    <r>
      <rPr>
        <sz val="10"/>
        <color rgb="FF000000"/>
        <rFont val="맑은 고딕"/>
        <family val="3"/>
        <charset val="129"/>
      </rPr>
      <t xml:space="preserve">
[차우선] </t>
    </r>
    <r>
      <rPr>
        <sz val="10"/>
        <color rgb="FFFF0000"/>
        <rFont val="맑은 고딕"/>
        <family val="3"/>
        <charset val="129"/>
      </rPr>
      <t>-10%</t>
    </r>
    <phoneticPr fontId="12" type="noConversion"/>
  </si>
  <si>
    <r>
      <t xml:space="preserve">[도시] </t>
    </r>
    <r>
      <rPr>
        <sz val="10"/>
        <color rgb="FF0070C0"/>
        <rFont val="맑은 고딕"/>
        <family val="3"/>
        <charset val="129"/>
      </rPr>
      <t>+5%</t>
    </r>
    <phoneticPr fontId="12" type="noConversion"/>
  </si>
  <si>
    <r>
      <t>[도시]</t>
    </r>
    <r>
      <rPr>
        <sz val="10"/>
        <color rgb="FF0070C0"/>
        <rFont val="맑은 고딕"/>
        <family val="3"/>
        <charset val="129"/>
      </rPr>
      <t xml:space="preserve"> +5%</t>
    </r>
    <phoneticPr fontId="12" type="noConversion"/>
  </si>
  <si>
    <r>
      <t xml:space="preserve">[도시] </t>
    </r>
    <r>
      <rPr>
        <sz val="10"/>
        <color rgb="FF0070C0"/>
        <rFont val="맑은 고딕"/>
        <family val="3"/>
        <charset val="129"/>
      </rPr>
      <t>+5%</t>
    </r>
    <phoneticPr fontId="12" type="noConversion"/>
  </si>
  <si>
    <r>
      <t xml:space="preserve">[도시] </t>
    </r>
    <r>
      <rPr>
        <sz val="10"/>
        <color rgb="FF0070C0"/>
        <rFont val="맑은 고딕"/>
        <family val="3"/>
        <charset val="129"/>
      </rPr>
      <t>+5%</t>
    </r>
    <phoneticPr fontId="12" type="noConversion"/>
  </si>
  <si>
    <r>
      <t xml:space="preserve">[도시] </t>
    </r>
    <r>
      <rPr>
        <sz val="10"/>
        <color rgb="FF0070C0"/>
        <rFont val="맑은 고딕"/>
        <family val="3"/>
        <charset val="129"/>
      </rPr>
      <t>+5%</t>
    </r>
    <phoneticPr fontId="12" type="noConversion"/>
  </si>
  <si>
    <r>
      <t xml:space="preserve">[도시] </t>
    </r>
    <r>
      <rPr>
        <sz val="10"/>
        <color rgb="FF0070C0"/>
        <rFont val="맑은 고딕"/>
        <family val="3"/>
        <charset val="129"/>
      </rPr>
      <t>+5%</t>
    </r>
    <phoneticPr fontId="12" type="noConversion"/>
  </si>
  <si>
    <r>
      <t xml:space="preserve">[도시] </t>
    </r>
    <r>
      <rPr>
        <sz val="10"/>
        <color rgb="FF0070C0"/>
        <rFont val="맑은 고딕"/>
        <family val="3"/>
        <charset val="129"/>
      </rPr>
      <t>+5%</t>
    </r>
    <phoneticPr fontId="12" type="noConversion"/>
  </si>
  <si>
    <r>
      <t>[도시]</t>
    </r>
    <r>
      <rPr>
        <sz val="10"/>
        <color rgb="FF0070C0"/>
        <rFont val="맑은 고딕"/>
        <family val="3"/>
        <charset val="129"/>
      </rPr>
      <t xml:space="preserve"> +30%</t>
    </r>
    <phoneticPr fontId="12" type="noConversion"/>
  </si>
  <si>
    <t>인연 시스템
(추가 경험치 획득률%)</t>
    <phoneticPr fontId="12" type="noConversion"/>
  </si>
  <si>
    <t>자아마모도(%)</t>
    <phoneticPr fontId="12" type="noConversion"/>
  </si>
  <si>
    <t>-</t>
    <phoneticPr fontId="12" type="noConversion"/>
  </si>
  <si>
    <t>갈채 수치 최대 또는 주인공 체력 0 시 보스전 재시작</t>
    <phoneticPr fontId="12" type="noConversion"/>
  </si>
  <si>
    <t>주인공 체력 0 시 페이즈 재시작</t>
    <phoneticPr fontId="12" type="noConversion"/>
  </si>
  <si>
    <t>주인공 체력 0 시 2페이즈 시작 지점 재시작</t>
    <phoneticPr fontId="12" type="noConversion"/>
  </si>
  <si>
    <t>주인공 체력 0 시 1페이즈 재시작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</si>
</sst>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.0"/>
    <numFmt numFmtId="177" formatCode="[h]&quot;시간 &quot;m&quot;분 &quot;s&quot;초&quot;"/>
    <numFmt numFmtId="178" formatCode="0.0%"/>
  </numFmts>
  <fonts count="21">
    <font>
      <sz val="11"/>
      <color rgb="FF000000"/>
      <name val="Carlito"/>
    </font>
    <font>
      <sz val="11"/>
      <color rgb="FF000000"/>
      <name val="Carlito"/>
    </font>
    <font>
      <b/>
      <sz val="16"/>
      <color rgb="FF000000"/>
      <name val="Carlito"/>
    </font>
    <font>
      <sz val="10"/>
      <color rgb="FF000000"/>
      <name val="Carlito"/>
    </font>
    <font>
      <sz val="11"/>
      <color rgb="FF000000"/>
      <name val="맑은 고딕"/>
      <family val="3"/>
      <charset val="129"/>
    </font>
    <font>
      <b/>
      <sz val="9"/>
      <color rgb="FF334155"/>
      <name val="Carlito"/>
    </font>
    <font>
      <b/>
      <sz val="10"/>
      <color rgb="FF334155"/>
      <name val="맑은 고딕"/>
      <family val="3"/>
      <charset val="129"/>
    </font>
    <font>
      <b/>
      <sz val="16"/>
      <color rgb="FFFFFFFF"/>
      <name val="Carlito"/>
    </font>
    <font>
      <i/>
      <sz val="11"/>
      <color rgb="FF1F1F1F"/>
      <name val="Carlito"/>
    </font>
    <font>
      <b/>
      <sz val="11"/>
      <color rgb="FFFFFFFF"/>
      <name val="Carlito"/>
    </font>
    <font>
      <b/>
      <sz val="11"/>
      <color rgb="FF375623"/>
      <name val="Carlito"/>
    </font>
    <font>
      <b/>
      <sz val="11"/>
      <color rgb="FF1F1F1F"/>
      <name val="Carlito"/>
    </font>
    <font>
      <sz val="8"/>
      <name val="돋움"/>
      <family val="3"/>
      <charset val="129"/>
    </font>
    <font>
      <b/>
      <sz val="10"/>
      <color rgb="FFFFFFFF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7F6000"/>
      <name val="맑은 고딕"/>
      <family val="3"/>
      <charset val="129"/>
    </font>
    <font>
      <b/>
      <sz val="10"/>
      <color rgb="FF375623"/>
      <name val="맑은 고딕"/>
      <family val="3"/>
      <charset val="129"/>
    </font>
    <font>
      <b/>
      <sz val="10"/>
      <color theme="0"/>
      <name val="맑은 고딕"/>
      <family val="3"/>
      <charset val="129"/>
    </font>
    <font>
      <sz val="10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10"/>
      <color rgb="FF0070C0"/>
      <name val="맑은 고딕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E2F0D9"/>
      </patternFill>
    </fill>
    <fill>
      <patternFill patternType="solid">
        <fgColor rgb="FF334E68"/>
      </patternFill>
    </fill>
    <fill>
      <patternFill patternType="solid">
        <fgColor rgb="FFFFE6C1"/>
        <bgColor indexed="64"/>
      </patternFill>
    </fill>
  </fills>
  <borders count="29">
    <border>
      <left/>
      <right/>
      <top/>
      <bottom/>
      <diagonal/>
    </border>
    <border>
      <left style="thin">
        <color rgb="FFC8D1DC"/>
      </left>
      <right/>
      <top style="thin">
        <color rgb="FFC8D1DC"/>
      </top>
      <bottom/>
      <diagonal/>
    </border>
    <border>
      <left/>
      <right/>
      <top style="thin">
        <color rgb="FFC8D1DC"/>
      </top>
      <bottom/>
      <diagonal/>
    </border>
    <border>
      <left/>
      <right style="thin">
        <color rgb="FFC8D1DC"/>
      </right>
      <top style="thin">
        <color rgb="FFC8D1DC"/>
      </top>
      <bottom/>
      <diagonal/>
    </border>
    <border>
      <left style="thin">
        <color rgb="FFC8D1DC"/>
      </left>
      <right/>
      <top/>
      <bottom/>
      <diagonal/>
    </border>
    <border>
      <left/>
      <right style="thin">
        <color rgb="FFC8D1DC"/>
      </right>
      <top/>
      <bottom/>
      <diagonal/>
    </border>
    <border>
      <left style="thin">
        <color rgb="FFC8D1DC"/>
      </left>
      <right/>
      <top/>
      <bottom style="thin">
        <color rgb="FFC8D1DC"/>
      </bottom>
      <diagonal/>
    </border>
    <border>
      <left/>
      <right/>
      <top/>
      <bottom style="thin">
        <color rgb="FFC8D1DC"/>
      </bottom>
      <diagonal/>
    </border>
    <border>
      <left/>
      <right style="thin">
        <color rgb="FFC8D1DC"/>
      </right>
      <top/>
      <bottom style="thin">
        <color rgb="FFC8D1DC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C8D1DC"/>
      </left>
      <right/>
      <top style="thin">
        <color rgb="FFC8D1DC"/>
      </top>
      <bottom/>
      <diagonal/>
    </border>
    <border>
      <left/>
      <right/>
      <top/>
      <bottom style="thin">
        <color rgb="FFC8D1DC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</cellStyleXfs>
  <cellXfs count="158">
    <xf numFmtId="0" fontId="0" fillId="0" borderId="0" xfId="0" applyNumberFormat="1" applyAlignment="1"/>
    <xf numFmtId="0" fontId="0" fillId="0" borderId="0" xfId="2" applyNumberFormat="1" applyFont="1" applyFill="1" applyBorder="1" applyAlignment="1">
      <alignment vertical="top" wrapText="1"/>
    </xf>
    <xf numFmtId="0" fontId="0" fillId="0" borderId="1" xfId="2" applyNumberFormat="1" applyFont="1" applyFill="1" applyBorder="1" applyAlignment="1">
      <alignment vertical="top" wrapText="1"/>
    </xf>
    <xf numFmtId="0" fontId="0" fillId="0" borderId="2" xfId="2" applyNumberFormat="1" applyFont="1" applyFill="1" applyBorder="1" applyAlignment="1">
      <alignment vertical="top" wrapText="1"/>
    </xf>
    <xf numFmtId="0" fontId="0" fillId="0" borderId="3" xfId="2" applyNumberFormat="1" applyFont="1" applyFill="1" applyBorder="1" applyAlignment="1">
      <alignment vertical="top" wrapText="1"/>
    </xf>
    <xf numFmtId="0" fontId="0" fillId="0" borderId="4" xfId="2" applyNumberFormat="1" applyFont="1" applyFill="1" applyBorder="1" applyAlignment="1">
      <alignment vertical="top" wrapText="1"/>
    </xf>
    <xf numFmtId="0" fontId="0" fillId="0" borderId="5" xfId="2" applyNumberFormat="1" applyFont="1" applyFill="1" applyBorder="1" applyAlignment="1">
      <alignment vertical="top" wrapText="1"/>
    </xf>
    <xf numFmtId="0" fontId="0" fillId="0" borderId="6" xfId="2" applyNumberFormat="1" applyFont="1" applyFill="1" applyBorder="1" applyAlignment="1">
      <alignment vertical="top" wrapText="1"/>
    </xf>
    <xf numFmtId="0" fontId="0" fillId="0" borderId="7" xfId="2" applyNumberFormat="1" applyFont="1" applyFill="1" applyBorder="1" applyAlignment="1">
      <alignment vertical="top" wrapText="1"/>
    </xf>
    <xf numFmtId="0" fontId="0" fillId="0" borderId="8" xfId="2" applyNumberFormat="1" applyFont="1" applyFill="1" applyBorder="1" applyAlignment="1">
      <alignment vertical="top" wrapText="1"/>
    </xf>
    <xf numFmtId="0" fontId="0" fillId="0" borderId="1" xfId="2" applyNumberFormat="1" applyFont="1" applyFill="1" applyBorder="1"/>
    <xf numFmtId="0" fontId="0" fillId="0" borderId="2" xfId="2" applyNumberFormat="1" applyFont="1" applyFill="1" applyBorder="1"/>
    <xf numFmtId="0" fontId="0" fillId="0" borderId="3" xfId="2" applyNumberFormat="1" applyFont="1" applyFill="1" applyBorder="1"/>
    <xf numFmtId="176" fontId="0" fillId="0" borderId="2" xfId="2" applyNumberFormat="1" applyFont="1" applyFill="1" applyBorder="1"/>
    <xf numFmtId="0" fontId="2" fillId="2" borderId="0" xfId="3" applyNumberFormat="1" applyFont="1" applyFill="1" applyAlignment="1"/>
    <xf numFmtId="0" fontId="4" fillId="0" borderId="0" xfId="3" applyNumberFormat="1" applyFont="1" applyAlignment="1"/>
    <xf numFmtId="0" fontId="5" fillId="0" borderId="9" xfId="2" applyNumberFormat="1" applyFont="1" applyBorder="1" applyAlignment="1">
      <alignment vertical="center" wrapText="1"/>
    </xf>
    <xf numFmtId="0" fontId="5" fillId="0" borderId="9" xfId="1" applyNumberFormat="1" applyFont="1" applyBorder="1" applyAlignment="1">
      <alignment horizontal="left" vertical="center" wrapText="1"/>
    </xf>
    <xf numFmtId="0" fontId="5" fillId="0" borderId="10" xfId="2" applyNumberFormat="1" applyFont="1" applyBorder="1" applyAlignment="1">
      <alignment vertical="center" wrapText="1"/>
    </xf>
    <xf numFmtId="0" fontId="5" fillId="0" borderId="10" xfId="1" applyNumberFormat="1" applyFont="1" applyBorder="1" applyAlignment="1">
      <alignment horizontal="left" vertical="center" wrapText="1"/>
    </xf>
    <xf numFmtId="0" fontId="6" fillId="0" borderId="0" xfId="1" applyNumberFormat="1" applyFont="1" applyFill="1" applyBorder="1" applyAlignment="1">
      <alignment vertical="center" wrapText="1"/>
    </xf>
    <xf numFmtId="0" fontId="0" fillId="0" borderId="0" xfId="0" applyNumberFormat="1" applyFont="1" applyFill="1" applyBorder="1" applyAlignment="1">
      <alignment vertical="top" wrapText="1"/>
    </xf>
    <xf numFmtId="1" fontId="0" fillId="0" borderId="10" xfId="0" applyNumberFormat="1" applyFont="1" applyFill="1" applyBorder="1" applyAlignment="1">
      <alignment horizontal="left" vertical="center" wrapText="1"/>
    </xf>
    <xf numFmtId="2" fontId="0" fillId="0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  <xf numFmtId="1" fontId="0" fillId="0" borderId="0" xfId="0" applyNumberFormat="1" applyFont="1" applyFill="1" applyBorder="1" applyAlignment="1">
      <alignment wrapText="1"/>
    </xf>
    <xf numFmtId="0" fontId="9" fillId="5" borderId="12" xfId="0" applyNumberFormat="1" applyFont="1" applyFill="1" applyBorder="1" applyAlignment="1">
      <alignment horizontal="center" vertical="center" wrapText="1"/>
    </xf>
    <xf numFmtId="0" fontId="9" fillId="5" borderId="13" xfId="0" applyNumberFormat="1" applyFont="1" applyFill="1" applyBorder="1" applyAlignment="1">
      <alignment horizontal="center" vertical="center" wrapText="1"/>
    </xf>
    <xf numFmtId="0" fontId="9" fillId="5" borderId="14" xfId="0" applyNumberFormat="1" applyFont="1" applyFill="1" applyBorder="1" applyAlignment="1">
      <alignment horizontal="center" vertical="center" wrapText="1"/>
    </xf>
    <xf numFmtId="0" fontId="0" fillId="0" borderId="16" xfId="0" applyNumberFormat="1" applyFont="1" applyFill="1" applyBorder="1" applyAlignment="1">
      <alignment vertical="top" wrapText="1"/>
    </xf>
    <xf numFmtId="0" fontId="0" fillId="0" borderId="21" xfId="0" applyNumberFormat="1" applyFont="1" applyFill="1" applyBorder="1" applyAlignment="1">
      <alignment vertical="top" wrapText="1"/>
    </xf>
    <xf numFmtId="0" fontId="0" fillId="0" borderId="15" xfId="0" applyNumberFormat="1" applyFont="1" applyFill="1" applyBorder="1" applyAlignment="1">
      <alignment horizontal="center" vertical="top" wrapText="1"/>
    </xf>
    <xf numFmtId="0" fontId="0" fillId="0" borderId="16" xfId="0" applyNumberFormat="1" applyFont="1" applyFill="1" applyBorder="1" applyAlignment="1">
      <alignment horizontal="center" vertical="top" wrapText="1"/>
    </xf>
    <xf numFmtId="0" fontId="0" fillId="0" borderId="18" xfId="0" applyNumberFormat="1" applyFont="1" applyFill="1" applyBorder="1" applyAlignment="1">
      <alignment horizontal="center" vertical="top" wrapText="1"/>
    </xf>
    <xf numFmtId="0" fontId="0" fillId="0" borderId="0" xfId="0" applyNumberFormat="1" applyFont="1" applyFill="1" applyBorder="1" applyAlignment="1">
      <alignment horizontal="center" vertical="top" wrapText="1"/>
    </xf>
    <xf numFmtId="0" fontId="0" fillId="0" borderId="20" xfId="0" applyNumberFormat="1" applyFont="1" applyFill="1" applyBorder="1" applyAlignment="1">
      <alignment horizontal="center" vertical="top" wrapText="1"/>
    </xf>
    <xf numFmtId="0" fontId="0" fillId="0" borderId="21" xfId="0" applyNumberFormat="1" applyFont="1" applyFill="1" applyBorder="1" applyAlignment="1">
      <alignment horizontal="center" vertical="top" wrapText="1"/>
    </xf>
    <xf numFmtId="1" fontId="0" fillId="0" borderId="16" xfId="0" applyNumberFormat="1" applyFont="1" applyFill="1" applyBorder="1" applyAlignment="1">
      <alignment horizontal="center" vertical="top" wrapText="1"/>
    </xf>
    <xf numFmtId="178" fontId="0" fillId="0" borderId="16" xfId="0" applyNumberFormat="1" applyFont="1" applyFill="1" applyBorder="1" applyAlignment="1">
      <alignment horizontal="center" vertical="top" wrapText="1"/>
    </xf>
    <xf numFmtId="1" fontId="0" fillId="0" borderId="0" xfId="0" applyNumberFormat="1" applyFont="1" applyFill="1" applyBorder="1" applyAlignment="1">
      <alignment horizontal="center" vertical="top" wrapText="1"/>
    </xf>
    <xf numFmtId="178" fontId="0" fillId="0" borderId="0" xfId="0" applyNumberFormat="1" applyFont="1" applyFill="1" applyBorder="1" applyAlignment="1">
      <alignment horizontal="center" vertical="top" wrapText="1"/>
    </xf>
    <xf numFmtId="1" fontId="0" fillId="0" borderId="21" xfId="0" applyNumberFormat="1" applyFont="1" applyFill="1" applyBorder="1" applyAlignment="1">
      <alignment horizontal="center" vertical="top" wrapText="1"/>
    </xf>
    <xf numFmtId="178" fontId="0" fillId="0" borderId="21" xfId="0" applyNumberFormat="1" applyFont="1" applyFill="1" applyBorder="1" applyAlignment="1">
      <alignment horizontal="center" vertical="top" wrapText="1"/>
    </xf>
    <xf numFmtId="0" fontId="0" fillId="0" borderId="17" xfId="0" applyNumberFormat="1" applyFont="1" applyFill="1" applyBorder="1" applyAlignment="1">
      <alignment horizontal="center" vertical="top" wrapText="1"/>
    </xf>
    <xf numFmtId="0" fontId="0" fillId="0" borderId="19" xfId="0" applyNumberFormat="1" applyFont="1" applyFill="1" applyBorder="1" applyAlignment="1">
      <alignment horizontal="center" vertical="top" wrapText="1"/>
    </xf>
    <xf numFmtId="0" fontId="0" fillId="0" borderId="22" xfId="0" applyNumberFormat="1" applyFont="1" applyFill="1" applyBorder="1" applyAlignment="1">
      <alignment horizontal="center" vertical="top" wrapText="1"/>
    </xf>
    <xf numFmtId="0" fontId="11" fillId="4" borderId="4" xfId="0" applyNumberFormat="1" applyFont="1" applyFill="1" applyBorder="1" applyAlignment="1">
      <alignment horizontal="center" vertical="center" wrapText="1"/>
    </xf>
    <xf numFmtId="0" fontId="11" fillId="4" borderId="0" xfId="0" applyNumberFormat="1" applyFont="1" applyFill="1" applyBorder="1" applyAlignment="1">
      <alignment horizontal="center" vertical="center" wrapText="1"/>
    </xf>
    <xf numFmtId="0" fontId="11" fillId="4" borderId="6" xfId="0" applyNumberFormat="1" applyFont="1" applyFill="1" applyBorder="1" applyAlignment="1">
      <alignment horizontal="center" vertical="center" wrapText="1"/>
    </xf>
    <xf numFmtId="2" fontId="0" fillId="0" borderId="1" xfId="0" applyNumberFormat="1" applyFont="1" applyFill="1" applyBorder="1" applyAlignment="1">
      <alignment vertical="top" wrapText="1"/>
    </xf>
    <xf numFmtId="2" fontId="5" fillId="0" borderId="0" xfId="0" applyNumberFormat="1" applyFont="1" applyFill="1" applyBorder="1" applyAlignment="1">
      <alignment vertical="center" wrapText="1"/>
    </xf>
    <xf numFmtId="2" fontId="5" fillId="0" borderId="0" xfId="0" applyNumberFormat="1" applyFont="1" applyFill="1" applyBorder="1" applyAlignment="1">
      <alignment horizontal="left" vertical="center" wrapText="1"/>
    </xf>
    <xf numFmtId="2" fontId="0" fillId="0" borderId="9" xfId="0" applyNumberFormat="1" applyFont="1" applyFill="1" applyBorder="1" applyAlignment="1">
      <alignment vertical="center" wrapText="1"/>
    </xf>
    <xf numFmtId="2" fontId="0" fillId="0" borderId="7" xfId="0" applyNumberFormat="1" applyFont="1" applyFill="1" applyBorder="1" applyAlignment="1">
      <alignment vertical="top" wrapText="1"/>
    </xf>
    <xf numFmtId="2" fontId="0" fillId="0" borderId="2" xfId="0" applyNumberFormat="1" applyFont="1" applyFill="1" applyBorder="1" applyAlignment="1">
      <alignment vertical="top" wrapText="1"/>
    </xf>
    <xf numFmtId="2" fontId="0" fillId="0" borderId="10" xfId="0" applyNumberFormat="1" applyFont="1" applyFill="1" applyBorder="1" applyAlignment="1">
      <alignment horizontal="left" vertical="center" wrapText="1"/>
    </xf>
    <xf numFmtId="1" fontId="0" fillId="0" borderId="1" xfId="0" applyNumberFormat="1" applyFont="1" applyFill="1" applyBorder="1" applyAlignment="1">
      <alignment vertical="top" wrapText="1"/>
    </xf>
    <xf numFmtId="1" fontId="0" fillId="0" borderId="7" xfId="0" applyNumberFormat="1" applyFont="1" applyFill="1" applyBorder="1" applyAlignment="1">
      <alignment wrapText="1"/>
    </xf>
    <xf numFmtId="1" fontId="0" fillId="0" borderId="8" xfId="0" applyNumberFormat="1" applyFont="1" applyFill="1" applyBorder="1" applyAlignment="1">
      <alignment wrapText="1"/>
    </xf>
    <xf numFmtId="1" fontId="3" fillId="2" borderId="0" xfId="0" applyNumberFormat="1" applyFont="1" applyFill="1" applyBorder="1" applyAlignment="1">
      <alignment wrapText="1"/>
    </xf>
    <xf numFmtId="1" fontId="0" fillId="0" borderId="7" xfId="0" applyNumberFormat="1" applyFont="1" applyFill="1" applyBorder="1" applyAlignment="1">
      <alignment vertical="top" wrapText="1"/>
    </xf>
    <xf numFmtId="177" fontId="11" fillId="4" borderId="5" xfId="0" applyNumberFormat="1" applyFont="1" applyFill="1" applyBorder="1" applyAlignment="1">
      <alignment horizontal="center" vertical="center" wrapText="1"/>
    </xf>
    <xf numFmtId="0" fontId="9" fillId="5" borderId="15" xfId="0" applyNumberFormat="1" applyFont="1" applyFill="1" applyBorder="1" applyAlignment="1">
      <alignment horizontal="center" vertical="center"/>
    </xf>
    <xf numFmtId="0" fontId="9" fillId="5" borderId="16" xfId="0" applyNumberFormat="1" applyFont="1" applyFill="1" applyBorder="1" applyAlignment="1">
      <alignment horizontal="center" vertical="center"/>
    </xf>
    <xf numFmtId="0" fontId="9" fillId="5" borderId="17" xfId="0" applyNumberFormat="1" applyFont="1" applyFill="1" applyBorder="1" applyAlignment="1">
      <alignment horizontal="center" vertical="center"/>
    </xf>
    <xf numFmtId="1" fontId="0" fillId="0" borderId="18" xfId="0" applyNumberFormat="1" applyFont="1" applyFill="1" applyBorder="1" applyAlignment="1">
      <alignment vertical="top" wrapText="1"/>
    </xf>
    <xf numFmtId="177" fontId="0" fillId="0" borderId="23" xfId="0" applyNumberFormat="1" applyFont="1" applyFill="1" applyBorder="1" applyAlignment="1">
      <alignment vertical="top" wrapText="1"/>
    </xf>
    <xf numFmtId="1" fontId="0" fillId="0" borderId="24" xfId="0" applyNumberFormat="1" applyFont="1" applyFill="1" applyBorder="1" applyAlignment="1">
      <alignment wrapText="1"/>
    </xf>
    <xf numFmtId="177" fontId="5" fillId="0" borderId="19" xfId="0" applyNumberFormat="1" applyFont="1" applyFill="1" applyBorder="1" applyAlignment="1">
      <alignment vertical="center" wrapText="1"/>
    </xf>
    <xf numFmtId="1" fontId="0" fillId="0" borderId="18" xfId="0" applyNumberFormat="1" applyFont="1" applyFill="1" applyBorder="1" applyAlignment="1">
      <alignment wrapText="1"/>
    </xf>
    <xf numFmtId="177" fontId="5" fillId="0" borderId="19" xfId="0" applyNumberFormat="1" applyFont="1" applyFill="1" applyBorder="1" applyAlignment="1">
      <alignment horizontal="left" vertical="center" wrapText="1"/>
    </xf>
    <xf numFmtId="177" fontId="0" fillId="0" borderId="25" xfId="0" applyNumberFormat="1" applyFont="1" applyFill="1" applyBorder="1" applyAlignment="1">
      <alignment vertical="center" wrapText="1"/>
    </xf>
    <xf numFmtId="1" fontId="0" fillId="0" borderId="24" xfId="0" applyNumberFormat="1" applyFont="1" applyFill="1" applyBorder="1" applyAlignment="1">
      <alignment vertical="top" wrapText="1"/>
    </xf>
    <xf numFmtId="177" fontId="0" fillId="0" borderId="19" xfId="0" applyNumberFormat="1" applyFont="1" applyFill="1" applyBorder="1" applyAlignment="1">
      <alignment wrapText="1"/>
    </xf>
    <xf numFmtId="1" fontId="0" fillId="0" borderId="26" xfId="0" applyNumberFormat="1" applyFont="1" applyFill="1" applyBorder="1" applyAlignment="1">
      <alignment horizontal="left" vertical="center" wrapText="1"/>
    </xf>
    <xf numFmtId="1" fontId="0" fillId="0" borderId="20" xfId="0" applyNumberFormat="1" applyFont="1" applyFill="1" applyBorder="1" applyAlignment="1">
      <alignment wrapText="1"/>
    </xf>
    <xf numFmtId="1" fontId="0" fillId="0" borderId="21" xfId="0" applyNumberFormat="1" applyFont="1" applyFill="1" applyBorder="1" applyAlignment="1">
      <alignment wrapText="1"/>
    </xf>
    <xf numFmtId="2" fontId="0" fillId="0" borderId="21" xfId="0" applyNumberFormat="1" applyFont="1" applyFill="1" applyBorder="1" applyAlignment="1">
      <alignment wrapText="1"/>
    </xf>
    <xf numFmtId="177" fontId="0" fillId="0" borderId="22" xfId="0" applyNumberFormat="1" applyFont="1" applyFill="1" applyBorder="1" applyAlignment="1">
      <alignment wrapText="1"/>
    </xf>
    <xf numFmtId="0" fontId="6" fillId="0" borderId="22" xfId="1" applyNumberFormat="1" applyFont="1" applyFill="1" applyBorder="1" applyAlignment="1">
      <alignment vertical="center" wrapText="1"/>
    </xf>
    <xf numFmtId="0" fontId="13" fillId="0" borderId="22" xfId="1" applyNumberFormat="1" applyFont="1" applyFill="1" applyBorder="1" applyAlignment="1">
      <alignment horizontal="left" vertical="center" wrapText="1"/>
    </xf>
    <xf numFmtId="2" fontId="14" fillId="0" borderId="11" xfId="1" applyNumberFormat="1" applyFont="1" applyFill="1" applyBorder="1" applyAlignment="1">
      <alignment horizontal="left" vertical="center" wrapText="1"/>
    </xf>
    <xf numFmtId="2" fontId="14" fillId="0" borderId="27" xfId="1" applyNumberFormat="1" applyFont="1" applyFill="1" applyBorder="1" applyAlignment="1">
      <alignment horizontal="left" vertical="center" wrapText="1"/>
    </xf>
    <xf numFmtId="0" fontId="17" fillId="7" borderId="11" xfId="1" applyNumberFormat="1" applyFont="1" applyFill="1" applyBorder="1" applyAlignment="1">
      <alignment horizontal="center" vertical="center" wrapText="1"/>
    </xf>
    <xf numFmtId="0" fontId="17" fillId="0" borderId="22" xfId="1" applyNumberFormat="1" applyFont="1" applyFill="1" applyBorder="1" applyAlignment="1">
      <alignment horizontal="center" vertical="center" wrapText="1"/>
    </xf>
    <xf numFmtId="1" fontId="17" fillId="7" borderId="11" xfId="1" applyNumberFormat="1" applyFont="1" applyFill="1" applyBorder="1" applyAlignment="1">
      <alignment horizontal="center" vertical="center" wrapText="1"/>
    </xf>
    <xf numFmtId="1" fontId="17" fillId="7" borderId="11" xfId="0" applyNumberFormat="1" applyFont="1" applyFill="1" applyBorder="1" applyAlignment="1">
      <alignment horizontal="center" vertical="center" wrapText="1"/>
    </xf>
    <xf numFmtId="0" fontId="17" fillId="7" borderId="11" xfId="0" applyNumberFormat="1" applyFont="1" applyFill="1" applyBorder="1" applyAlignment="1">
      <alignment horizontal="center" vertical="center" wrapText="1"/>
    </xf>
    <xf numFmtId="0" fontId="14" fillId="0" borderId="11" xfId="0" applyNumberFormat="1" applyFont="1" applyFill="1" applyBorder="1" applyAlignment="1">
      <alignment vertical="center" wrapText="1"/>
    </xf>
    <xf numFmtId="0" fontId="14" fillId="0" borderId="11" xfId="0" applyNumberFormat="1" applyFont="1" applyBorder="1" applyAlignment="1">
      <alignment vertical="center" wrapText="1"/>
    </xf>
    <xf numFmtId="0" fontId="16" fillId="6" borderId="11" xfId="0" applyNumberFormat="1" applyFont="1" applyFill="1" applyBorder="1" applyAlignment="1">
      <alignment vertical="center" wrapText="1"/>
    </xf>
    <xf numFmtId="0" fontId="6" fillId="0" borderId="22" xfId="1" applyNumberFormat="1" applyFont="1" applyFill="1" applyBorder="1" applyAlignment="1">
      <alignment horizontal="center" vertical="center" wrapText="1"/>
    </xf>
    <xf numFmtId="0" fontId="14" fillId="0" borderId="27" xfId="0" applyNumberFormat="1" applyFont="1" applyFill="1" applyBorder="1" applyAlignment="1">
      <alignment horizontal="center" vertical="center" wrapText="1"/>
    </xf>
    <xf numFmtId="0" fontId="14" fillId="0" borderId="11" xfId="0" applyNumberFormat="1" applyFont="1" applyFill="1" applyBorder="1" applyAlignment="1">
      <alignment horizontal="center" vertical="center" wrapText="1"/>
    </xf>
    <xf numFmtId="0" fontId="14" fillId="0" borderId="11" xfId="0" applyNumberFormat="1" applyFont="1" applyBorder="1" applyAlignment="1">
      <alignment horizontal="center" vertical="center" wrapText="1"/>
    </xf>
    <xf numFmtId="0" fontId="6" fillId="0" borderId="0" xfId="1" applyNumberFormat="1" applyFont="1" applyFill="1" applyBorder="1" applyAlignment="1">
      <alignment horizontal="center" vertical="center" wrapText="1"/>
    </xf>
    <xf numFmtId="2" fontId="14" fillId="0" borderId="27" xfId="1" applyNumberFormat="1" applyFont="1" applyFill="1" applyBorder="1" applyAlignment="1">
      <alignment horizontal="center" vertical="center" wrapText="1"/>
    </xf>
    <xf numFmtId="2" fontId="14" fillId="0" borderId="11" xfId="1" applyNumberFormat="1" applyFont="1" applyFill="1" applyBorder="1" applyAlignment="1">
      <alignment horizontal="center" vertical="center" wrapText="1"/>
    </xf>
    <xf numFmtId="177" fontId="14" fillId="0" borderId="27" xfId="0" applyNumberFormat="1" applyFont="1" applyFill="1" applyBorder="1" applyAlignment="1">
      <alignment horizontal="center" vertical="center" wrapText="1"/>
    </xf>
    <xf numFmtId="177" fontId="14" fillId="0" borderId="11" xfId="0" applyNumberFormat="1" applyFont="1" applyFill="1" applyBorder="1" applyAlignment="1">
      <alignment horizontal="center" vertical="center" wrapText="1"/>
    </xf>
    <xf numFmtId="1" fontId="14" fillId="0" borderId="27" xfId="0" applyNumberFormat="1" applyFont="1" applyFill="1" applyBorder="1" applyAlignment="1">
      <alignment horizontal="center" vertical="center" wrapText="1"/>
    </xf>
    <xf numFmtId="1" fontId="14" fillId="0" borderId="11" xfId="0" applyNumberFormat="1" applyFont="1" applyFill="1" applyBorder="1" applyAlignment="1">
      <alignment horizontal="center" vertical="center" wrapText="1"/>
    </xf>
    <xf numFmtId="1" fontId="16" fillId="6" borderId="11" xfId="0" applyNumberFormat="1" applyFont="1" applyFill="1" applyBorder="1" applyAlignment="1">
      <alignment horizontal="center" vertical="center" wrapText="1"/>
    </xf>
    <xf numFmtId="0" fontId="13" fillId="0" borderId="22" xfId="3" applyNumberFormat="1" applyFont="1" applyFill="1" applyBorder="1" applyAlignment="1">
      <alignment horizontal="center" vertical="center" wrapText="1"/>
    </xf>
    <xf numFmtId="2" fontId="14" fillId="0" borderId="27" xfId="0" applyNumberFormat="1" applyFont="1" applyFill="1" applyBorder="1" applyAlignment="1">
      <alignment horizontal="center" vertical="center" wrapText="1"/>
    </xf>
    <xf numFmtId="2" fontId="14" fillId="0" borderId="11" xfId="0" applyNumberFormat="1" applyFont="1" applyFill="1" applyBorder="1" applyAlignment="1">
      <alignment horizontal="center" vertical="center" wrapText="1"/>
    </xf>
    <xf numFmtId="2" fontId="16" fillId="6" borderId="11" xfId="0" applyNumberFormat="1" applyFont="1" applyFill="1" applyBorder="1" applyAlignment="1">
      <alignment horizontal="center" vertical="center" wrapText="1"/>
    </xf>
    <xf numFmtId="33" fontId="13" fillId="0" borderId="22" xfId="1" applyNumberFormat="1" applyFont="1" applyFill="1" applyBorder="1" applyAlignment="1">
      <alignment horizontal="center" vertical="center" wrapText="1"/>
    </xf>
    <xf numFmtId="0" fontId="16" fillId="6" borderId="11" xfId="0" applyNumberFormat="1" applyFont="1" applyFill="1" applyBorder="1" applyAlignment="1">
      <alignment horizontal="center" vertical="center" wrapText="1"/>
    </xf>
    <xf numFmtId="0" fontId="13" fillId="0" borderId="22" xfId="1" applyNumberFormat="1" applyFont="1" applyFill="1" applyBorder="1" applyAlignment="1">
      <alignment horizontal="center" vertical="center" wrapText="1"/>
    </xf>
    <xf numFmtId="0" fontId="14" fillId="0" borderId="22" xfId="0" applyNumberFormat="1" applyFont="1" applyBorder="1" applyAlignment="1">
      <alignment horizontal="center" vertical="center" wrapText="1"/>
    </xf>
    <xf numFmtId="0" fontId="14" fillId="0" borderId="0" xfId="0" applyNumberFormat="1" applyFont="1" applyAlignment="1">
      <alignment horizontal="center" vertical="center" wrapText="1"/>
    </xf>
    <xf numFmtId="33" fontId="6" fillId="0" borderId="22" xfId="1" applyNumberFormat="1" applyFont="1" applyFill="1" applyBorder="1" applyAlignment="1">
      <alignment horizontal="center" vertical="center" wrapText="1"/>
    </xf>
    <xf numFmtId="33" fontId="17" fillId="7" borderId="11" xfId="1" applyNumberFormat="1" applyFont="1" applyFill="1" applyBorder="1" applyAlignment="1">
      <alignment horizontal="center" vertical="center" wrapText="1"/>
    </xf>
    <xf numFmtId="33" fontId="14" fillId="0" borderId="27" xfId="0" applyNumberFormat="1" applyFont="1" applyFill="1" applyBorder="1" applyAlignment="1">
      <alignment horizontal="center" vertical="center" wrapText="1"/>
    </xf>
    <xf numFmtId="33" fontId="14" fillId="0" borderId="11" xfId="0" applyNumberFormat="1" applyFont="1" applyFill="1" applyBorder="1" applyAlignment="1">
      <alignment horizontal="center" vertical="center" wrapText="1"/>
    </xf>
    <xf numFmtId="33" fontId="13" fillId="0" borderId="0" xfId="1" applyNumberFormat="1" applyFont="1" applyFill="1" applyBorder="1" applyAlignment="1">
      <alignment horizontal="center" vertical="center" wrapText="1"/>
    </xf>
    <xf numFmtId="0" fontId="18" fillId="0" borderId="27" xfId="1" applyNumberFormat="1" applyFont="1" applyFill="1" applyBorder="1" applyAlignment="1">
      <alignment horizontal="left" vertical="center" wrapText="1"/>
    </xf>
    <xf numFmtId="0" fontId="18" fillId="0" borderId="11" xfId="1" applyNumberFormat="1" applyFont="1" applyFill="1" applyBorder="1" applyAlignment="1">
      <alignment horizontal="left" vertical="center" wrapText="1"/>
    </xf>
    <xf numFmtId="1" fontId="14" fillId="0" borderId="28" xfId="0" applyNumberFormat="1" applyFont="1" applyFill="1" applyBorder="1" applyAlignment="1">
      <alignment horizontal="center" vertical="center" wrapText="1"/>
    </xf>
    <xf numFmtId="0" fontId="18" fillId="0" borderId="28" xfId="1" applyNumberFormat="1" applyFont="1" applyFill="1" applyBorder="1" applyAlignment="1">
      <alignment horizontal="left" vertical="center" wrapText="1"/>
    </xf>
    <xf numFmtId="1" fontId="15" fillId="8" borderId="11" xfId="0" applyNumberFormat="1" applyFont="1" applyFill="1" applyBorder="1" applyAlignment="1">
      <alignment horizontal="center" vertical="center" wrapText="1"/>
    </xf>
    <xf numFmtId="1" fontId="14" fillId="8" borderId="11" xfId="0" applyNumberFormat="1" applyFont="1" applyFill="1" applyBorder="1" applyAlignment="1">
      <alignment horizontal="center" vertical="center" wrapText="1"/>
    </xf>
    <xf numFmtId="0" fontId="18" fillId="8" borderId="11" xfId="1" applyNumberFormat="1" applyFont="1" applyFill="1" applyBorder="1" applyAlignment="1">
      <alignment horizontal="left" vertical="center" wrapText="1"/>
    </xf>
    <xf numFmtId="0" fontId="18" fillId="0" borderId="11" xfId="1" applyNumberFormat="1" applyFont="1" applyFill="1" applyBorder="1" applyAlignment="1">
      <alignment vertical="center" wrapText="1"/>
    </xf>
    <xf numFmtId="0" fontId="18" fillId="0" borderId="28" xfId="1" applyNumberFormat="1" applyFont="1" applyFill="1" applyBorder="1" applyAlignment="1">
      <alignment vertical="center" wrapText="1"/>
    </xf>
    <xf numFmtId="0" fontId="18" fillId="0" borderId="27" xfId="1" applyNumberFormat="1" applyFont="1" applyFill="1" applyBorder="1" applyAlignment="1">
      <alignment vertical="center" wrapText="1"/>
    </xf>
    <xf numFmtId="0" fontId="18" fillId="8" borderId="11" xfId="1" applyNumberFormat="1" applyFont="1" applyFill="1" applyBorder="1" applyAlignment="1">
      <alignment vertical="center" wrapText="1"/>
    </xf>
    <xf numFmtId="0" fontId="18" fillId="0" borderId="22" xfId="1" applyNumberFormat="1" applyFont="1" applyFill="1" applyBorder="1" applyAlignment="1">
      <alignment horizontal="left" vertical="center" wrapText="1"/>
    </xf>
    <xf numFmtId="0" fontId="18" fillId="0" borderId="22" xfId="1" applyNumberFormat="1" applyFont="1" applyFill="1" applyBorder="1" applyAlignment="1">
      <alignment vertical="center" wrapText="1"/>
    </xf>
    <xf numFmtId="0" fontId="14" fillId="8" borderId="11" xfId="0" applyNumberFormat="1" applyFont="1" applyFill="1" applyBorder="1" applyAlignment="1">
      <alignment horizontal="center" vertical="center" wrapText="1"/>
    </xf>
    <xf numFmtId="2" fontId="15" fillId="8" borderId="11" xfId="0" applyNumberFormat="1" applyFont="1" applyFill="1" applyBorder="1" applyAlignment="1">
      <alignment horizontal="left" vertical="center" wrapText="1"/>
    </xf>
    <xf numFmtId="2" fontId="14" fillId="8" borderId="11" xfId="1" applyNumberFormat="1" applyFont="1" applyFill="1" applyBorder="1" applyAlignment="1">
      <alignment horizontal="left" vertical="center" wrapText="1"/>
    </xf>
    <xf numFmtId="2" fontId="14" fillId="8" borderId="11" xfId="1" applyNumberFormat="1" applyFont="1" applyFill="1" applyBorder="1" applyAlignment="1">
      <alignment horizontal="center" vertical="center" wrapText="1"/>
    </xf>
    <xf numFmtId="177" fontId="14" fillId="8" borderId="11" xfId="0" applyNumberFormat="1" applyFont="1" applyFill="1" applyBorder="1" applyAlignment="1">
      <alignment horizontal="center" vertical="center" wrapText="1"/>
    </xf>
    <xf numFmtId="2" fontId="15" fillId="8" borderId="11" xfId="0" applyNumberFormat="1" applyFont="1" applyFill="1" applyBorder="1" applyAlignment="1">
      <alignment horizontal="center" vertical="center" wrapText="1"/>
    </xf>
    <xf numFmtId="0" fontId="15" fillId="8" borderId="11" xfId="0" applyNumberFormat="1" applyFont="1" applyFill="1" applyBorder="1" applyAlignment="1">
      <alignment horizontal="center" vertical="center" wrapText="1"/>
    </xf>
    <xf numFmtId="33" fontId="15" fillId="8" borderId="11" xfId="0" applyNumberFormat="1" applyFont="1" applyFill="1" applyBorder="1" applyAlignment="1">
      <alignment horizontal="center" vertical="center" wrapText="1"/>
    </xf>
    <xf numFmtId="0" fontId="15" fillId="8" borderId="11" xfId="0" applyNumberFormat="1" applyFont="1" applyFill="1" applyBorder="1" applyAlignment="1">
      <alignment vertical="center" wrapText="1"/>
    </xf>
    <xf numFmtId="0" fontId="14" fillId="8" borderId="11" xfId="0" applyNumberFormat="1" applyFont="1" applyFill="1" applyBorder="1" applyAlignment="1">
      <alignment vertical="center" wrapText="1"/>
    </xf>
    <xf numFmtId="2" fontId="14" fillId="8" borderId="11" xfId="0" applyNumberFormat="1" applyFont="1" applyFill="1" applyBorder="1" applyAlignment="1">
      <alignment horizontal="center" vertical="center" wrapText="1"/>
    </xf>
    <xf numFmtId="33" fontId="14" fillId="8" borderId="11" xfId="0" applyNumberFormat="1" applyFont="1" applyFill="1" applyBorder="1" applyAlignment="1">
      <alignment horizontal="center" vertical="center" wrapText="1"/>
    </xf>
    <xf numFmtId="0" fontId="14" fillId="0" borderId="27" xfId="0" applyNumberFormat="1" applyFont="1" applyFill="1" applyBorder="1" applyAlignment="1">
      <alignment vertical="center" wrapText="1"/>
    </xf>
    <xf numFmtId="0" fontId="14" fillId="0" borderId="28" xfId="0" applyNumberFormat="1" applyFont="1" applyFill="1" applyBorder="1" applyAlignment="1">
      <alignment vertical="center" wrapText="1"/>
    </xf>
    <xf numFmtId="0" fontId="14" fillId="0" borderId="28" xfId="0" applyNumberFormat="1" applyFont="1" applyFill="1" applyBorder="1" applyAlignment="1">
      <alignment horizontal="center" vertical="center" wrapText="1"/>
    </xf>
    <xf numFmtId="177" fontId="14" fillId="0" borderId="28" xfId="0" applyNumberFormat="1" applyFont="1" applyFill="1" applyBorder="1" applyAlignment="1">
      <alignment horizontal="center" vertical="center" wrapText="1"/>
    </xf>
    <xf numFmtId="2" fontId="14" fillId="0" borderId="28" xfId="0" applyNumberFormat="1" applyFont="1" applyFill="1" applyBorder="1" applyAlignment="1">
      <alignment horizontal="center" vertical="center" wrapText="1"/>
    </xf>
    <xf numFmtId="33" fontId="14" fillId="0" borderId="28" xfId="0" applyNumberFormat="1" applyFont="1" applyFill="1" applyBorder="1" applyAlignment="1">
      <alignment horizontal="center" vertical="center" wrapText="1"/>
    </xf>
    <xf numFmtId="2" fontId="14" fillId="0" borderId="28" xfId="1" applyNumberFormat="1" applyFont="1" applyFill="1" applyBorder="1" applyAlignment="1">
      <alignment horizontal="left" vertical="center" wrapText="1"/>
    </xf>
    <xf numFmtId="2" fontId="14" fillId="0" borderId="28" xfId="1" applyNumberFormat="1" applyFont="1" applyFill="1" applyBorder="1" applyAlignment="1">
      <alignment horizontal="center" vertical="center" wrapText="1"/>
    </xf>
    <xf numFmtId="0" fontId="14" fillId="8" borderId="27" xfId="0" applyNumberFormat="1" applyFont="1" applyFill="1" applyBorder="1" applyAlignment="1">
      <alignment horizontal="center" vertical="center" wrapText="1"/>
    </xf>
    <xf numFmtId="9" fontId="19" fillId="0" borderId="27" xfId="0" applyNumberFormat="1" applyFont="1" applyFill="1" applyBorder="1" applyAlignment="1">
      <alignment horizontal="center" vertical="center" wrapText="1"/>
    </xf>
    <xf numFmtId="9" fontId="19" fillId="8" borderId="27" xfId="0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vertical="top" wrapText="1"/>
    </xf>
    <xf numFmtId="0" fontId="0" fillId="0" borderId="7" xfId="0" applyNumberFormat="1" applyFont="1" applyFill="1" applyBorder="1" applyAlignment="1">
      <alignment vertical="top" wrapText="1"/>
    </xf>
    <xf numFmtId="0" fontId="7" fillId="3" borderId="0" xfId="0" applyNumberFormat="1" applyFont="1" applyFill="1" applyBorder="1" applyAlignment="1">
      <alignment horizontal="center" vertical="center"/>
    </xf>
    <xf numFmtId="0" fontId="8" fillId="4" borderId="0" xfId="0" applyNumberFormat="1" applyFont="1" applyFill="1" applyBorder="1" applyAlignment="1">
      <alignment horizontal="left" vertical="center"/>
    </xf>
    <xf numFmtId="0" fontId="10" fillId="6" borderId="0" xfId="0" applyNumberFormat="1" applyFont="1" applyFill="1" applyBorder="1" applyAlignment="1">
      <alignment vertical="center" wrapText="1"/>
    </xf>
  </cellXfs>
  <cellStyles count="4">
    <cellStyle name="Normal" xfId="2"/>
    <cellStyle name="표준" xfId="0" builtinId="0"/>
    <cellStyle name="표준 2" xfId="3"/>
    <cellStyle name="표준 3" xfId="1"/>
  </cellStyles>
  <dxfs count="0"/>
  <tableStyles count="0" defaultTableStyle="TableStyleMedium2" defaultPivotStyle="PivotStyleLight16"/>
  <colors>
    <mruColors>
      <color rgb="FFFF0000"/>
      <color rgb="FFFFE6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/>
          <a:lstStyle/>
          <a:p>
            <a:r>
              <a:rPr/>
              <a:t>콘텐츠 진행 포인트별 진행 요구 숙련도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진행 요구 숙련도</c:v>
          </c:tx>
          <c:cat>
            <c:numRef>
              <c:f>'밸런스 곡선'!$B$5:$B$178</c:f>
              <c:numCache>
                <c:formatCode>0</c:formatCode>
                <c:ptCount val="174"/>
                <c:pt idx="0">
                  <c:v>4</c:v>
                </c:pt>
                <c:pt idx="1">
                  <c:v>6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16</c:v>
                </c:pt>
                <c:pt idx="6">
                  <c:v>19</c:v>
                </c:pt>
                <c:pt idx="7">
                  <c:v>23</c:v>
                </c:pt>
                <c:pt idx="8">
                  <c:v>25</c:v>
                </c:pt>
                <c:pt idx="9">
                  <c:v>28</c:v>
                </c:pt>
                <c:pt idx="10">
                  <c:v>31</c:v>
                </c:pt>
                <c:pt idx="11">
                  <c:v>35</c:v>
                </c:pt>
                <c:pt idx="12">
                  <c:v>37</c:v>
                </c:pt>
                <c:pt idx="13">
                  <c:v>40</c:v>
                </c:pt>
                <c:pt idx="14">
                  <c:v>43</c:v>
                </c:pt>
                <c:pt idx="15">
                  <c:v>46</c:v>
                </c:pt>
                <c:pt idx="16">
                  <c:v>51</c:v>
                </c:pt>
                <c:pt idx="17">
                  <c:v>58</c:v>
                </c:pt>
                <c:pt idx="18">
                  <c:v>65</c:v>
                </c:pt>
                <c:pt idx="19">
                  <c:v>71</c:v>
                </c:pt>
                <c:pt idx="20">
                  <c:v>74</c:v>
                </c:pt>
                <c:pt idx="21">
                  <c:v>76</c:v>
                </c:pt>
                <c:pt idx="22">
                  <c:v>79</c:v>
                </c:pt>
                <c:pt idx="23">
                  <c:v>83</c:v>
                </c:pt>
                <c:pt idx="24">
                  <c:v>89</c:v>
                </c:pt>
                <c:pt idx="25">
                  <c:v>91</c:v>
                </c:pt>
                <c:pt idx="26">
                  <c:v>94</c:v>
                </c:pt>
                <c:pt idx="27">
                  <c:v>96</c:v>
                </c:pt>
                <c:pt idx="28">
                  <c:v>99</c:v>
                </c:pt>
                <c:pt idx="29">
                  <c:v>101</c:v>
                </c:pt>
                <c:pt idx="30">
                  <c:v>104</c:v>
                </c:pt>
                <c:pt idx="31">
                  <c:v>111</c:v>
                </c:pt>
                <c:pt idx="32">
                  <c:v>113</c:v>
                </c:pt>
                <c:pt idx="33">
                  <c:v>117</c:v>
                </c:pt>
                <c:pt idx="34">
                  <c:v>121</c:v>
                </c:pt>
                <c:pt idx="35">
                  <c:v>126</c:v>
                </c:pt>
                <c:pt idx="36">
                  <c:v>128</c:v>
                </c:pt>
                <c:pt idx="37">
                  <c:v>131</c:v>
                </c:pt>
                <c:pt idx="38">
                  <c:v>138</c:v>
                </c:pt>
                <c:pt idx="39">
                  <c:v>142</c:v>
                </c:pt>
                <c:pt idx="40">
                  <c:v>149</c:v>
                </c:pt>
                <c:pt idx="41">
                  <c:v>154</c:v>
                </c:pt>
                <c:pt idx="42">
                  <c:v>158</c:v>
                </c:pt>
                <c:pt idx="43">
                  <c:v>160</c:v>
                </c:pt>
                <c:pt idx="44">
                  <c:v>164</c:v>
                </c:pt>
                <c:pt idx="45">
                  <c:v>168</c:v>
                </c:pt>
                <c:pt idx="46">
                  <c:v>173</c:v>
                </c:pt>
                <c:pt idx="47">
                  <c:v>178</c:v>
                </c:pt>
                <c:pt idx="48">
                  <c:v>185</c:v>
                </c:pt>
                <c:pt idx="49">
                  <c:v>189</c:v>
                </c:pt>
                <c:pt idx="50">
                  <c:v>193</c:v>
                </c:pt>
                <c:pt idx="51">
                  <c:v>198</c:v>
                </c:pt>
                <c:pt idx="52">
                  <c:v>201</c:v>
                </c:pt>
                <c:pt idx="53">
                  <c:v>203</c:v>
                </c:pt>
                <c:pt idx="54">
                  <c:v>206</c:v>
                </c:pt>
                <c:pt idx="55">
                  <c:v>211</c:v>
                </c:pt>
                <c:pt idx="56">
                  <c:v>216</c:v>
                </c:pt>
                <c:pt idx="57">
                  <c:v>223</c:v>
                </c:pt>
                <c:pt idx="58">
                  <c:v>230</c:v>
                </c:pt>
                <c:pt idx="59">
                  <c:v>237</c:v>
                </c:pt>
                <c:pt idx="60">
                  <c:v>244</c:v>
                </c:pt>
                <c:pt idx="61">
                  <c:v>251</c:v>
                </c:pt>
                <c:pt idx="62">
                  <c:v>259</c:v>
                </c:pt>
                <c:pt idx="63">
                  <c:v>264</c:v>
                </c:pt>
                <c:pt idx="64">
                  <c:v>269</c:v>
                </c:pt>
                <c:pt idx="65">
                  <c:v>275</c:v>
                </c:pt>
                <c:pt idx="66">
                  <c:v>279</c:v>
                </c:pt>
                <c:pt idx="67">
                  <c:v>284</c:v>
                </c:pt>
                <c:pt idx="68">
                  <c:v>289</c:v>
                </c:pt>
                <c:pt idx="69">
                  <c:v>293</c:v>
                </c:pt>
                <c:pt idx="70">
                  <c:v>297</c:v>
                </c:pt>
                <c:pt idx="71">
                  <c:v>301</c:v>
                </c:pt>
                <c:pt idx="72">
                  <c:v>307</c:v>
                </c:pt>
                <c:pt idx="73">
                  <c:v>313</c:v>
                </c:pt>
                <c:pt idx="74">
                  <c:v>320</c:v>
                </c:pt>
                <c:pt idx="75">
                  <c:v>327</c:v>
                </c:pt>
                <c:pt idx="76">
                  <c:v>331</c:v>
                </c:pt>
                <c:pt idx="77">
                  <c:v>336</c:v>
                </c:pt>
                <c:pt idx="78">
                  <c:v>342</c:v>
                </c:pt>
                <c:pt idx="79">
                  <c:v>349</c:v>
                </c:pt>
                <c:pt idx="80">
                  <c:v>356</c:v>
                </c:pt>
                <c:pt idx="81">
                  <c:v>363</c:v>
                </c:pt>
                <c:pt idx="82">
                  <c:v>370</c:v>
                </c:pt>
                <c:pt idx="83">
                  <c:v>378</c:v>
                </c:pt>
                <c:pt idx="84">
                  <c:v>384</c:v>
                </c:pt>
                <c:pt idx="85">
                  <c:v>387</c:v>
                </c:pt>
                <c:pt idx="86">
                  <c:v>390</c:v>
                </c:pt>
                <c:pt idx="87">
                  <c:v>397</c:v>
                </c:pt>
                <c:pt idx="88">
                  <c:v>405</c:v>
                </c:pt>
                <c:pt idx="89">
                  <c:v>413</c:v>
                </c:pt>
                <c:pt idx="90">
                  <c:v>417</c:v>
                </c:pt>
                <c:pt idx="91">
                  <c:v>425</c:v>
                </c:pt>
                <c:pt idx="92">
                  <c:v>432</c:v>
                </c:pt>
                <c:pt idx="93">
                  <c:v>439</c:v>
                </c:pt>
                <c:pt idx="94">
                  <c:v>443</c:v>
                </c:pt>
                <c:pt idx="95">
                  <c:v>449</c:v>
                </c:pt>
                <c:pt idx="96">
                  <c:v>457</c:v>
                </c:pt>
                <c:pt idx="97">
                  <c:v>466</c:v>
                </c:pt>
                <c:pt idx="98">
                  <c:v>469</c:v>
                </c:pt>
                <c:pt idx="99">
                  <c:v>479</c:v>
                </c:pt>
                <c:pt idx="100">
                  <c:v>487</c:v>
                </c:pt>
                <c:pt idx="101">
                  <c:v>495</c:v>
                </c:pt>
                <c:pt idx="102">
                  <c:v>502</c:v>
                </c:pt>
                <c:pt idx="103">
                  <c:v>509</c:v>
                </c:pt>
                <c:pt idx="104">
                  <c:v>516</c:v>
                </c:pt>
                <c:pt idx="105">
                  <c:v>519</c:v>
                </c:pt>
                <c:pt idx="106">
                  <c:v>523</c:v>
                </c:pt>
                <c:pt idx="107">
                  <c:v>528</c:v>
                </c:pt>
                <c:pt idx="108">
                  <c:v>533</c:v>
                </c:pt>
                <c:pt idx="109">
                  <c:v>541</c:v>
                </c:pt>
                <c:pt idx="110">
                  <c:v>550</c:v>
                </c:pt>
                <c:pt idx="111">
                  <c:v>558</c:v>
                </c:pt>
                <c:pt idx="112">
                  <c:v>567</c:v>
                </c:pt>
                <c:pt idx="113">
                  <c:v>570</c:v>
                </c:pt>
                <c:pt idx="114">
                  <c:v>573</c:v>
                </c:pt>
                <c:pt idx="115">
                  <c:v>576</c:v>
                </c:pt>
                <c:pt idx="116">
                  <c:v>581</c:v>
                </c:pt>
                <c:pt idx="117">
                  <c:v>586</c:v>
                </c:pt>
                <c:pt idx="118">
                  <c:v>593</c:v>
                </c:pt>
                <c:pt idx="119">
                  <c:v>599</c:v>
                </c:pt>
                <c:pt idx="120">
                  <c:v>607</c:v>
                </c:pt>
                <c:pt idx="121">
                  <c:v>613</c:v>
                </c:pt>
                <c:pt idx="122">
                  <c:v>620</c:v>
                </c:pt>
                <c:pt idx="123">
                  <c:v>626</c:v>
                </c:pt>
                <c:pt idx="124">
                  <c:v>632</c:v>
                </c:pt>
                <c:pt idx="125">
                  <c:v>639</c:v>
                </c:pt>
                <c:pt idx="126">
                  <c:v>647</c:v>
                </c:pt>
                <c:pt idx="127">
                  <c:v>654</c:v>
                </c:pt>
                <c:pt idx="128">
                  <c:v>662</c:v>
                </c:pt>
                <c:pt idx="129">
                  <c:v>669</c:v>
                </c:pt>
                <c:pt idx="130">
                  <c:v>675</c:v>
                </c:pt>
                <c:pt idx="131">
                  <c:v>681</c:v>
                </c:pt>
                <c:pt idx="132">
                  <c:v>688</c:v>
                </c:pt>
                <c:pt idx="133">
                  <c:v>694</c:v>
                </c:pt>
                <c:pt idx="134">
                  <c:v>699</c:v>
                </c:pt>
                <c:pt idx="135">
                  <c:v>706</c:v>
                </c:pt>
                <c:pt idx="136">
                  <c:v>713</c:v>
                </c:pt>
                <c:pt idx="137">
                  <c:v>724</c:v>
                </c:pt>
                <c:pt idx="138">
                  <c:v>735</c:v>
                </c:pt>
                <c:pt idx="139">
                  <c:v>746</c:v>
                </c:pt>
                <c:pt idx="140">
                  <c:v>757</c:v>
                </c:pt>
                <c:pt idx="141">
                  <c:v>769</c:v>
                </c:pt>
                <c:pt idx="142">
                  <c:v>779</c:v>
                </c:pt>
                <c:pt idx="143">
                  <c:v>784</c:v>
                </c:pt>
                <c:pt idx="144">
                  <c:v>790</c:v>
                </c:pt>
                <c:pt idx="145">
                  <c:v>798</c:v>
                </c:pt>
                <c:pt idx="146">
                  <c:v>802</c:v>
                </c:pt>
                <c:pt idx="147">
                  <c:v>806</c:v>
                </c:pt>
                <c:pt idx="148">
                  <c:v>810</c:v>
                </c:pt>
                <c:pt idx="149">
                  <c:v>817</c:v>
                </c:pt>
                <c:pt idx="150">
                  <c:v>826</c:v>
                </c:pt>
                <c:pt idx="151">
                  <c:v>833</c:v>
                </c:pt>
                <c:pt idx="152">
                  <c:v>839</c:v>
                </c:pt>
                <c:pt idx="153">
                  <c:v>849</c:v>
                </c:pt>
                <c:pt idx="154">
                  <c:v>858</c:v>
                </c:pt>
                <c:pt idx="155">
                  <c:v>869</c:v>
                </c:pt>
                <c:pt idx="156">
                  <c:v>876</c:v>
                </c:pt>
                <c:pt idx="157">
                  <c:v>883</c:v>
                </c:pt>
                <c:pt idx="158">
                  <c:v>893</c:v>
                </c:pt>
                <c:pt idx="159">
                  <c:v>903</c:v>
                </c:pt>
                <c:pt idx="160">
                  <c:v>914</c:v>
                </c:pt>
                <c:pt idx="161">
                  <c:v>925</c:v>
                </c:pt>
                <c:pt idx="162">
                  <c:v>932</c:v>
                </c:pt>
                <c:pt idx="163">
                  <c:v>941</c:v>
                </c:pt>
                <c:pt idx="164">
                  <c:v>946</c:v>
                </c:pt>
                <c:pt idx="165">
                  <c:v>951</c:v>
                </c:pt>
                <c:pt idx="166">
                  <c:v>956</c:v>
                </c:pt>
                <c:pt idx="167">
                  <c:v>963</c:v>
                </c:pt>
                <c:pt idx="168">
                  <c:v>973</c:v>
                </c:pt>
                <c:pt idx="169">
                  <c:v>982</c:v>
                </c:pt>
                <c:pt idx="170">
                  <c:v>987</c:v>
                </c:pt>
                <c:pt idx="171">
                  <c:v>992</c:v>
                </c:pt>
                <c:pt idx="172">
                  <c:v>996</c:v>
                </c:pt>
                <c:pt idx="173">
                  <c:v>1000</c:v>
                </c:pt>
              </c:numCache>
            </c:numRef>
          </c:cat>
          <c:val>
            <c:numRef>
              <c:f>'밸런스 곡선'!$C$5:$C$178</c:f>
              <c:numCache>
                <c:formatCode>0.00</c:formatCode>
                <c:ptCount val="174"/>
                <c:pt idx="0">
                  <c:v>1.4</c:v>
                </c:pt>
                <c:pt idx="1">
                  <c:v>2.7</c:v>
                </c:pt>
                <c:pt idx="2">
                  <c:v>5.4</c:v>
                </c:pt>
                <c:pt idx="3">
                  <c:v>7.7</c:v>
                </c:pt>
                <c:pt idx="4">
                  <c:v>10.4</c:v>
                </c:pt>
                <c:pt idx="5">
                  <c:v>15.2</c:v>
                </c:pt>
                <c:pt idx="6">
                  <c:v>20.9</c:v>
                </c:pt>
                <c:pt idx="7">
                  <c:v>29.9</c:v>
                </c:pt>
                <c:pt idx="8">
                  <c:v>35</c:v>
                </c:pt>
                <c:pt idx="9">
                  <c:v>43.4</c:v>
                </c:pt>
                <c:pt idx="10">
                  <c:v>52.7</c:v>
                </c:pt>
                <c:pt idx="11">
                  <c:v>66.5</c:v>
                </c:pt>
                <c:pt idx="12">
                  <c:v>74</c:v>
                </c:pt>
                <c:pt idx="13">
                  <c:v>86</c:v>
                </c:pt>
                <c:pt idx="14">
                  <c:v>98.9</c:v>
                </c:pt>
                <c:pt idx="15">
                  <c:v>112.7</c:v>
                </c:pt>
                <c:pt idx="16">
                  <c:v>137.69999999999999</c:v>
                </c:pt>
                <c:pt idx="17">
                  <c:v>176.9</c:v>
                </c:pt>
                <c:pt idx="18">
                  <c:v>221</c:v>
                </c:pt>
                <c:pt idx="19">
                  <c:v>262.7</c:v>
                </c:pt>
                <c:pt idx="20">
                  <c:v>284.89999999999998</c:v>
                </c:pt>
                <c:pt idx="21">
                  <c:v>300.2</c:v>
                </c:pt>
                <c:pt idx="22">
                  <c:v>323.89999999999998</c:v>
                </c:pt>
                <c:pt idx="23">
                  <c:v>356.9</c:v>
                </c:pt>
                <c:pt idx="24">
                  <c:v>409.4</c:v>
                </c:pt>
                <c:pt idx="25">
                  <c:v>427.7</c:v>
                </c:pt>
                <c:pt idx="26">
                  <c:v>455.9</c:v>
                </c:pt>
                <c:pt idx="27">
                  <c:v>475.2</c:v>
                </c:pt>
                <c:pt idx="28">
                  <c:v>504.9</c:v>
                </c:pt>
                <c:pt idx="29">
                  <c:v>525.20000000000005</c:v>
                </c:pt>
                <c:pt idx="30">
                  <c:v>556.4</c:v>
                </c:pt>
                <c:pt idx="31">
                  <c:v>632.70000000000005</c:v>
                </c:pt>
                <c:pt idx="32">
                  <c:v>655.4</c:v>
                </c:pt>
                <c:pt idx="33">
                  <c:v>702</c:v>
                </c:pt>
                <c:pt idx="34">
                  <c:v>750.2</c:v>
                </c:pt>
                <c:pt idx="35">
                  <c:v>812.7</c:v>
                </c:pt>
                <c:pt idx="36">
                  <c:v>838.4</c:v>
                </c:pt>
                <c:pt idx="37">
                  <c:v>877.7</c:v>
                </c:pt>
                <c:pt idx="38">
                  <c:v>972.9</c:v>
                </c:pt>
                <c:pt idx="39">
                  <c:v>1029.5</c:v>
                </c:pt>
                <c:pt idx="40">
                  <c:v>1132.4000000000001</c:v>
                </c:pt>
                <c:pt idx="41">
                  <c:v>1208.9000000000001</c:v>
                </c:pt>
                <c:pt idx="42">
                  <c:v>1271.9000000000001</c:v>
                </c:pt>
                <c:pt idx="43">
                  <c:v>1304</c:v>
                </c:pt>
                <c:pt idx="44">
                  <c:v>1369.4</c:v>
                </c:pt>
                <c:pt idx="45">
                  <c:v>1436.4</c:v>
                </c:pt>
                <c:pt idx="46">
                  <c:v>1522.4</c:v>
                </c:pt>
                <c:pt idx="47">
                  <c:v>1610.9</c:v>
                </c:pt>
                <c:pt idx="48">
                  <c:v>1739</c:v>
                </c:pt>
                <c:pt idx="49">
                  <c:v>1814.4</c:v>
                </c:pt>
                <c:pt idx="50">
                  <c:v>1891.4</c:v>
                </c:pt>
                <c:pt idx="51">
                  <c:v>1989.9</c:v>
                </c:pt>
                <c:pt idx="52">
                  <c:v>2050.1999999999998</c:v>
                </c:pt>
                <c:pt idx="53">
                  <c:v>2090.9</c:v>
                </c:pt>
                <c:pt idx="54">
                  <c:v>2152.6999999999998</c:v>
                </c:pt>
                <c:pt idx="55">
                  <c:v>2257.6999999999998</c:v>
                </c:pt>
                <c:pt idx="56">
                  <c:v>2365.1999999999998</c:v>
                </c:pt>
                <c:pt idx="57">
                  <c:v>2519.9</c:v>
                </c:pt>
                <c:pt idx="58">
                  <c:v>2679.5</c:v>
                </c:pt>
                <c:pt idx="59">
                  <c:v>2844</c:v>
                </c:pt>
                <c:pt idx="60">
                  <c:v>3013.4</c:v>
                </c:pt>
                <c:pt idx="61">
                  <c:v>3187.7</c:v>
                </c:pt>
                <c:pt idx="62">
                  <c:v>3392.9</c:v>
                </c:pt>
                <c:pt idx="63">
                  <c:v>3524.4</c:v>
                </c:pt>
                <c:pt idx="64">
                  <c:v>3658.4</c:v>
                </c:pt>
                <c:pt idx="65">
                  <c:v>3822.5</c:v>
                </c:pt>
                <c:pt idx="66">
                  <c:v>3933.9</c:v>
                </c:pt>
                <c:pt idx="67">
                  <c:v>4075.4</c:v>
                </c:pt>
                <c:pt idx="68">
                  <c:v>4219.3999999999996</c:v>
                </c:pt>
                <c:pt idx="69">
                  <c:v>4336.3999999999996</c:v>
                </c:pt>
                <c:pt idx="70">
                  <c:v>4455</c:v>
                </c:pt>
                <c:pt idx="71">
                  <c:v>4575.2</c:v>
                </c:pt>
                <c:pt idx="72">
                  <c:v>4758.5</c:v>
                </c:pt>
                <c:pt idx="73">
                  <c:v>4945.3999999999996</c:v>
                </c:pt>
                <c:pt idx="74">
                  <c:v>5168</c:v>
                </c:pt>
                <c:pt idx="75">
                  <c:v>5395.5</c:v>
                </c:pt>
                <c:pt idx="76">
                  <c:v>5527.7</c:v>
                </c:pt>
                <c:pt idx="77">
                  <c:v>5695.2</c:v>
                </c:pt>
                <c:pt idx="78">
                  <c:v>5899.5</c:v>
                </c:pt>
                <c:pt idx="79">
                  <c:v>6142.4</c:v>
                </c:pt>
                <c:pt idx="80">
                  <c:v>6390.2</c:v>
                </c:pt>
                <c:pt idx="81">
                  <c:v>6642.9</c:v>
                </c:pt>
                <c:pt idx="82">
                  <c:v>6900.5</c:v>
                </c:pt>
                <c:pt idx="83">
                  <c:v>7200.9</c:v>
                </c:pt>
                <c:pt idx="84">
                  <c:v>7430.4</c:v>
                </c:pt>
                <c:pt idx="85">
                  <c:v>7546.5</c:v>
                </c:pt>
                <c:pt idx="86">
                  <c:v>7663.5</c:v>
                </c:pt>
                <c:pt idx="87">
                  <c:v>7940</c:v>
                </c:pt>
                <c:pt idx="88">
                  <c:v>8262</c:v>
                </c:pt>
                <c:pt idx="89">
                  <c:v>8590.4</c:v>
                </c:pt>
                <c:pt idx="90">
                  <c:v>8757</c:v>
                </c:pt>
                <c:pt idx="91">
                  <c:v>9095</c:v>
                </c:pt>
                <c:pt idx="92">
                  <c:v>9396</c:v>
                </c:pt>
                <c:pt idx="93">
                  <c:v>9701.9</c:v>
                </c:pt>
                <c:pt idx="94">
                  <c:v>9878.9</c:v>
                </c:pt>
                <c:pt idx="95">
                  <c:v>10147.4</c:v>
                </c:pt>
                <c:pt idx="96">
                  <c:v>10511</c:v>
                </c:pt>
                <c:pt idx="97">
                  <c:v>10927.7</c:v>
                </c:pt>
                <c:pt idx="98">
                  <c:v>11068.4</c:v>
                </c:pt>
                <c:pt idx="99">
                  <c:v>11543.9</c:v>
                </c:pt>
                <c:pt idx="100">
                  <c:v>11931.5</c:v>
                </c:pt>
                <c:pt idx="101">
                  <c:v>12325.5</c:v>
                </c:pt>
                <c:pt idx="102">
                  <c:v>12675.5</c:v>
                </c:pt>
                <c:pt idx="103">
                  <c:v>13030.4</c:v>
                </c:pt>
                <c:pt idx="104">
                  <c:v>13390.2</c:v>
                </c:pt>
                <c:pt idx="105">
                  <c:v>13545.9</c:v>
                </c:pt>
                <c:pt idx="106">
                  <c:v>13754.9</c:v>
                </c:pt>
                <c:pt idx="107">
                  <c:v>14018.4</c:v>
                </c:pt>
                <c:pt idx="108">
                  <c:v>14284.4</c:v>
                </c:pt>
                <c:pt idx="109">
                  <c:v>14715.2</c:v>
                </c:pt>
                <c:pt idx="110">
                  <c:v>15207.5</c:v>
                </c:pt>
                <c:pt idx="111">
                  <c:v>15651.9</c:v>
                </c:pt>
                <c:pt idx="112">
                  <c:v>16159.5</c:v>
                </c:pt>
                <c:pt idx="113">
                  <c:v>16330.5</c:v>
                </c:pt>
                <c:pt idx="114">
                  <c:v>16502.400000000001</c:v>
                </c:pt>
                <c:pt idx="115">
                  <c:v>16675.2</c:v>
                </c:pt>
                <c:pt idx="116">
                  <c:v>16965.2</c:v>
                </c:pt>
                <c:pt idx="117">
                  <c:v>17257.7</c:v>
                </c:pt>
                <c:pt idx="118">
                  <c:v>17671.400000000001</c:v>
                </c:pt>
                <c:pt idx="119">
                  <c:v>18029.900000000001</c:v>
                </c:pt>
                <c:pt idx="120">
                  <c:v>18513.5</c:v>
                </c:pt>
                <c:pt idx="121">
                  <c:v>18880.400000000001</c:v>
                </c:pt>
                <c:pt idx="122">
                  <c:v>19313</c:v>
                </c:pt>
                <c:pt idx="123">
                  <c:v>19687.7</c:v>
                </c:pt>
                <c:pt idx="124">
                  <c:v>20066</c:v>
                </c:pt>
                <c:pt idx="125">
                  <c:v>20511.900000000001</c:v>
                </c:pt>
                <c:pt idx="126">
                  <c:v>21027.5</c:v>
                </c:pt>
                <c:pt idx="127">
                  <c:v>21483.9</c:v>
                </c:pt>
                <c:pt idx="128">
                  <c:v>22011.5</c:v>
                </c:pt>
                <c:pt idx="129">
                  <c:v>22478.400000000001</c:v>
                </c:pt>
                <c:pt idx="130">
                  <c:v>22882.5</c:v>
                </c:pt>
                <c:pt idx="131">
                  <c:v>23290.2</c:v>
                </c:pt>
                <c:pt idx="132">
                  <c:v>23770.400000000001</c:v>
                </c:pt>
                <c:pt idx="133">
                  <c:v>24185.9</c:v>
                </c:pt>
                <c:pt idx="134">
                  <c:v>24534.9</c:v>
                </c:pt>
                <c:pt idx="135">
                  <c:v>25027.7</c:v>
                </c:pt>
                <c:pt idx="136">
                  <c:v>25525.4</c:v>
                </c:pt>
                <c:pt idx="137">
                  <c:v>26317.4</c:v>
                </c:pt>
                <c:pt idx="138">
                  <c:v>27121.5</c:v>
                </c:pt>
                <c:pt idx="139">
                  <c:v>27937.7</c:v>
                </c:pt>
                <c:pt idx="140">
                  <c:v>28766</c:v>
                </c:pt>
                <c:pt idx="141">
                  <c:v>29683.4</c:v>
                </c:pt>
                <c:pt idx="142">
                  <c:v>30458.9</c:v>
                </c:pt>
                <c:pt idx="143">
                  <c:v>30850.400000000001</c:v>
                </c:pt>
                <c:pt idx="144">
                  <c:v>31323.5</c:v>
                </c:pt>
                <c:pt idx="145">
                  <c:v>31959.9</c:v>
                </c:pt>
                <c:pt idx="146">
                  <c:v>32280.5</c:v>
                </c:pt>
                <c:pt idx="147">
                  <c:v>32602.7</c:v>
                </c:pt>
                <c:pt idx="148">
                  <c:v>32926.5</c:v>
                </c:pt>
                <c:pt idx="149">
                  <c:v>33497</c:v>
                </c:pt>
                <c:pt idx="150">
                  <c:v>34237.699999999997</c:v>
                </c:pt>
                <c:pt idx="151">
                  <c:v>34819.4</c:v>
                </c:pt>
                <c:pt idx="152">
                  <c:v>35321.9</c:v>
                </c:pt>
                <c:pt idx="153">
                  <c:v>36167.4</c:v>
                </c:pt>
                <c:pt idx="154">
                  <c:v>36936.9</c:v>
                </c:pt>
                <c:pt idx="155">
                  <c:v>37888.400000000001</c:v>
                </c:pt>
                <c:pt idx="156">
                  <c:v>38500.199999999997</c:v>
                </c:pt>
                <c:pt idx="157">
                  <c:v>39116.9</c:v>
                </c:pt>
                <c:pt idx="158">
                  <c:v>40006.400000000001</c:v>
                </c:pt>
                <c:pt idx="159">
                  <c:v>40905.9</c:v>
                </c:pt>
                <c:pt idx="160">
                  <c:v>41906.9</c:v>
                </c:pt>
                <c:pt idx="161">
                  <c:v>42920</c:v>
                </c:pt>
                <c:pt idx="162">
                  <c:v>43571</c:v>
                </c:pt>
                <c:pt idx="163">
                  <c:v>44415.199999999997</c:v>
                </c:pt>
                <c:pt idx="164">
                  <c:v>44887.7</c:v>
                </c:pt>
                <c:pt idx="165">
                  <c:v>45362.7</c:v>
                </c:pt>
                <c:pt idx="166">
                  <c:v>45840.2</c:v>
                </c:pt>
                <c:pt idx="167">
                  <c:v>46512.9</c:v>
                </c:pt>
                <c:pt idx="168">
                  <c:v>47482.400000000001</c:v>
                </c:pt>
                <c:pt idx="169">
                  <c:v>48363.5</c:v>
                </c:pt>
                <c:pt idx="170">
                  <c:v>48856.5</c:v>
                </c:pt>
                <c:pt idx="171">
                  <c:v>49352</c:v>
                </c:pt>
                <c:pt idx="172">
                  <c:v>49750.2</c:v>
                </c:pt>
                <c:pt idx="173">
                  <c:v>50150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18-4412-A7B3-1EA3E519CA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/>
          <a:lstStyle/>
          <a:p>
            <a:r>
              <a:rPr/>
              <a:t>일반 몬스터 30체 대비 보스전 소요시간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일반 몬스터 30체</c:v>
          </c:tx>
          <c:invertIfNegative val="1"/>
          <c:cat>
            <c:strRef>
              <c:f>'보스 설계 요약'!$C$5:$C$9</c:f>
              <c:strCache>
                <c:ptCount val="5"/>
                <c:pt idx="0">
                  <c:v>닫힌 문지기</c:v>
                </c:pt>
                <c:pt idx="1">
                  <c:v>폭력의 순환체</c:v>
                </c:pt>
                <c:pt idx="2">
                  <c:v>갈채를 먹는 자</c:v>
                </c:pt>
                <c:pt idx="3">
                  <c:v>남겨진 친구</c:v>
                </c:pt>
                <c:pt idx="4">
                  <c:v>선의 계량자</c:v>
                </c:pt>
              </c:strCache>
            </c:strRef>
          </c:cat>
          <c:val>
            <c:numRef>
              <c:f>'보스 설계 요약'!$K$5:$K$9</c:f>
              <c:numCache>
                <c:formatCode>0</c:formatCode>
                <c:ptCount val="5"/>
                <c:pt idx="0">
                  <c:v>600</c:v>
                </c:pt>
                <c:pt idx="1">
                  <c:v>750</c:v>
                </c:pt>
                <c:pt idx="2">
                  <c:v>780</c:v>
                </c:pt>
                <c:pt idx="3">
                  <c:v>840</c:v>
                </c:pt>
                <c:pt idx="4">
                  <c:v>960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31-4515-8E29-B7D4BAEE9633}"/>
            </c:ext>
          </c:extLst>
        </c:ser>
        <c:ser>
          <c:idx val="1"/>
          <c:order val="1"/>
          <c:tx>
            <c:v>보스전</c:v>
          </c:tx>
          <c:invertIfNegative val="1"/>
          <c:cat>
            <c:strRef>
              <c:f>'보스 설계 요약'!$C$5:$C$9</c:f>
              <c:strCache>
                <c:ptCount val="5"/>
                <c:pt idx="0">
                  <c:v>닫힌 문지기</c:v>
                </c:pt>
                <c:pt idx="1">
                  <c:v>폭력의 순환체</c:v>
                </c:pt>
                <c:pt idx="2">
                  <c:v>갈채를 먹는 자</c:v>
                </c:pt>
                <c:pt idx="3">
                  <c:v>남겨진 친구</c:v>
                </c:pt>
                <c:pt idx="4">
                  <c:v>선의 계량자</c:v>
                </c:pt>
              </c:strCache>
            </c:strRef>
          </c:cat>
          <c:val>
            <c:numRef>
              <c:f>'보스 설계 요약'!$L$5:$L$9</c:f>
              <c:numCache>
                <c:formatCode>0</c:formatCode>
                <c:ptCount val="5"/>
                <c:pt idx="0">
                  <c:v>330</c:v>
                </c:pt>
                <c:pt idx="1">
                  <c:v>420</c:v>
                </c:pt>
                <c:pt idx="2">
                  <c:v>450</c:v>
                </c:pt>
                <c:pt idx="3">
                  <c:v>510</c:v>
                </c:pt>
                <c:pt idx="4">
                  <c:v>570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31-4515-8E29-B7D4BAEE96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21</xdr:row>
      <xdr:rowOff>0</xdr:rowOff>
    </xdr:from>
    <xdr:to>
      <xdr:col>27</xdr:col>
      <xdr:colOff>266700</xdr:colOff>
      <xdr:row>32</xdr:row>
      <xdr:rowOff>152400</xdr:rowOff>
    </xdr:to>
    <xdr:sp macro="" textlink="">
      <xdr:nvSpPr>
        <xdr:cNvPr id="2" name="밸런스팩터_01"/>
        <xdr:cNvSpPr>
          <a:spLocks noGrp="1"/>
        </xdr:cNvSpPr>
      </xdr:nvSpPr>
      <xdr:spPr>
        <a:xfrm>
          <a:off x="13716000" y="9601200"/>
          <a:ext cx="5334000" cy="53340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650" b="1">
              <a:solidFill>
                <a:srgbClr val="000000"/>
              </a:solidFill>
              <a:latin typeface="Carlito"/>
              <a:ea typeface="Carlito"/>
              <a:cs typeface="Carlito"/>
            </a:rPr>
            <a:t>퀘스트 동선</a:t>
          </a:r>
          <a:endParaRPr/>
        </a:p>
        <a:p>
          <a:pPr algn="ctr">
            <a:lnSpc>
              <a:spcPct val="100000"/>
            </a:lnSpc>
            <a:buNone/>
          </a:pPr>
          <a:r>
            <a:rPr sz="1650" b="1">
              <a:solidFill>
                <a:srgbClr val="000000"/>
              </a:solidFill>
              <a:latin typeface="Carlito"/>
              <a:ea typeface="Carlito"/>
              <a:cs typeface="Carlito"/>
            </a:rPr>
            <a:t>레벨디자인</a:t>
          </a:r>
          <a:endParaRPr/>
        </a:p>
        <a:p>
          <a:pPr algn="ctr">
            <a:lnSpc>
              <a:spcPct val="100000"/>
            </a:lnSpc>
            <a:buNone/>
          </a:pPr>
          <a:r>
            <a:rPr sz="1650" b="1">
              <a:solidFill>
                <a:srgbClr val="000000"/>
              </a:solidFill>
              <a:latin typeface="Carlito"/>
              <a:ea typeface="Carlito"/>
              <a:cs typeface="Carlito"/>
            </a:rPr>
            <a:t>오브젝트 배치</a:t>
          </a:r>
          <a:endParaRPr/>
        </a:p>
      </xdr:txBody>
    </xdr:sp>
    <xdr:clientData/>
  </xdr:twoCellAnchor>
  <xdr:twoCellAnchor editAs="oneCell">
    <xdr:from>
      <xdr:col>14</xdr:col>
      <xdr:colOff>190500</xdr:colOff>
      <xdr:row>29</xdr:row>
      <xdr:rowOff>19050</xdr:rowOff>
    </xdr:from>
    <xdr:to>
      <xdr:col>20</xdr:col>
      <xdr:colOff>323850</xdr:colOff>
      <xdr:row>38</xdr:row>
      <xdr:rowOff>152400</xdr:rowOff>
    </xdr:to>
    <xdr:sp macro="" textlink="">
      <xdr:nvSpPr>
        <xdr:cNvPr id="3" name="밸런스팩터_02"/>
        <xdr:cNvSpPr>
          <a:spLocks noGrp="1"/>
        </xdr:cNvSpPr>
      </xdr:nvSpPr>
      <xdr:spPr>
        <a:xfrm>
          <a:off x="9982200" y="13296900"/>
          <a:ext cx="4381500" cy="43815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공원 쓰레기</a:t>
          </a:r>
          <a:endParaRPr/>
        </a:p>
        <a:p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개수·배치</a:t>
          </a:r>
          <a:endParaRPr/>
        </a:p>
        <a:p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분리수거 규칙</a:t>
          </a:r>
          <a:endParaRPr/>
        </a:p>
      </xdr:txBody>
    </xdr:sp>
    <xdr:clientData/>
  </xdr:twoCellAnchor>
  <xdr:twoCellAnchor editAs="oneCell">
    <xdr:from>
      <xdr:col>28</xdr:col>
      <xdr:colOff>171449</xdr:colOff>
      <xdr:row>22</xdr:row>
      <xdr:rowOff>57150</xdr:rowOff>
    </xdr:from>
    <xdr:to>
      <xdr:col>34</xdr:col>
      <xdr:colOff>304800</xdr:colOff>
      <xdr:row>31</xdr:row>
      <xdr:rowOff>190500</xdr:rowOff>
    </xdr:to>
    <xdr:sp macro="" textlink="">
      <xdr:nvSpPr>
        <xdr:cNvPr id="4" name="밸런스팩터_03"/>
        <xdr:cNvSpPr>
          <a:spLocks noGrp="1"/>
        </xdr:cNvSpPr>
      </xdr:nvSpPr>
      <xdr:spPr>
        <a:xfrm>
          <a:off x="19545300" y="10172700"/>
          <a:ext cx="4381500" cy="43815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선의 감소량</a:t>
          </a:r>
          <a:endParaRPr/>
        </a:p>
        <a:p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자아 마모도</a:t>
          </a:r>
          <a:endParaRPr/>
        </a:p>
        <a:p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회복 수단</a:t>
          </a:r>
          <a:endParaRPr/>
        </a:p>
      </xdr:txBody>
    </xdr:sp>
    <xdr:clientData/>
  </xdr:twoCellAnchor>
  <xdr:twoCellAnchor editAs="oneCell">
    <xdr:from>
      <xdr:col>27</xdr:col>
      <xdr:colOff>142875</xdr:colOff>
      <xdr:row>12</xdr:row>
      <xdr:rowOff>76200</xdr:rowOff>
    </xdr:from>
    <xdr:to>
      <xdr:col>33</xdr:col>
      <xdr:colOff>133350</xdr:colOff>
      <xdr:row>21</xdr:row>
      <xdr:rowOff>66675</xdr:rowOff>
    </xdr:to>
    <xdr:sp macro="" textlink="">
      <xdr:nvSpPr>
        <xdr:cNvPr id="5" name="밸런스팩터_04"/>
        <xdr:cNvSpPr>
          <a:spLocks noGrp="1"/>
        </xdr:cNvSpPr>
      </xdr:nvSpPr>
      <xdr:spPr>
        <a:xfrm>
          <a:off x="18802350" y="5638800"/>
          <a:ext cx="4095750" cy="409575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몬스터 개수</a:t>
          </a:r>
          <a:endParaRPr/>
        </a:p>
        <a:p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배치</a:t>
          </a:r>
          <a:endParaRPr/>
        </a:p>
        <a:p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공격 판정</a:t>
          </a:r>
          <a:endParaRPr/>
        </a:p>
      </xdr:txBody>
    </xdr:sp>
    <xdr:clientData/>
  </xdr:twoCellAnchor>
  <xdr:twoCellAnchor editAs="oneCell">
    <xdr:from>
      <xdr:col>13</xdr:col>
      <xdr:colOff>19050</xdr:colOff>
      <xdr:row>19</xdr:row>
      <xdr:rowOff>180975</xdr:rowOff>
    </xdr:from>
    <xdr:to>
      <xdr:col>18</xdr:col>
      <xdr:colOff>257175</xdr:colOff>
      <xdr:row>28</xdr:row>
      <xdr:rowOff>76200</xdr:rowOff>
    </xdr:to>
    <xdr:sp macro="" textlink="">
      <xdr:nvSpPr>
        <xdr:cNvPr id="6" name="밸런스팩터_05"/>
        <xdr:cNvSpPr>
          <a:spLocks noGrp="1"/>
        </xdr:cNvSpPr>
      </xdr:nvSpPr>
      <xdr:spPr>
        <a:xfrm>
          <a:off x="8953500" y="9048750"/>
          <a:ext cx="3905250" cy="390525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275" b="1">
              <a:solidFill>
                <a:srgbClr val="000000"/>
              </a:solidFill>
              <a:latin typeface="Carlito"/>
              <a:ea typeface="Carlito"/>
              <a:cs typeface="Carlito"/>
            </a:rPr>
            <a:t>이벤트 템포</a:t>
          </a:r>
          <a:endParaRPr/>
        </a:p>
      </xdr:txBody>
    </xdr:sp>
    <xdr:clientData/>
  </xdr:twoCellAnchor>
  <xdr:twoCellAnchor editAs="oneCell">
    <xdr:from>
      <xdr:col>23</xdr:col>
      <xdr:colOff>0</xdr:colOff>
      <xdr:row>8</xdr:row>
      <xdr:rowOff>0</xdr:rowOff>
    </xdr:from>
    <xdr:to>
      <xdr:col>27</xdr:col>
      <xdr:colOff>57150</xdr:colOff>
      <xdr:row>14</xdr:row>
      <xdr:rowOff>57150</xdr:rowOff>
    </xdr:to>
    <xdr:sp macro="" textlink="">
      <xdr:nvSpPr>
        <xdr:cNvPr id="7" name="밸런스팩터_06"/>
        <xdr:cNvSpPr>
          <a:spLocks noGrp="1"/>
        </xdr:cNvSpPr>
      </xdr:nvSpPr>
      <xdr:spPr>
        <a:xfrm>
          <a:off x="15773400" y="3657600"/>
          <a:ext cx="2857500" cy="28575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PC 이동</a:t>
          </a:r>
          <a:endParaRPr/>
        </a:p>
        <a:p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속도</a:t>
          </a:r>
          <a:endParaRPr/>
        </a:p>
      </xdr:txBody>
    </xdr:sp>
    <xdr:clientData/>
  </xdr:twoCellAnchor>
  <xdr:twoCellAnchor editAs="oneCell">
    <xdr:from>
      <xdr:col>30</xdr:col>
      <xdr:colOff>209550</xdr:colOff>
      <xdr:row>6</xdr:row>
      <xdr:rowOff>95250</xdr:rowOff>
    </xdr:from>
    <xdr:to>
      <xdr:col>34</xdr:col>
      <xdr:colOff>123824</xdr:colOff>
      <xdr:row>12</xdr:row>
      <xdr:rowOff>9525</xdr:rowOff>
    </xdr:to>
    <xdr:sp macro="" textlink="">
      <xdr:nvSpPr>
        <xdr:cNvPr id="8" name="밸런스팩터_07"/>
        <xdr:cNvSpPr>
          <a:spLocks noGrp="1"/>
        </xdr:cNvSpPr>
      </xdr:nvSpPr>
      <xdr:spPr>
        <a:xfrm>
          <a:off x="20993100" y="2933700"/>
          <a:ext cx="2571750" cy="257175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달리기 속도</a:t>
          </a:r>
          <a:endParaRPr/>
        </a:p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지속시간</a:t>
          </a:r>
          <a:endParaRPr/>
        </a:p>
      </xdr:txBody>
    </xdr:sp>
    <xdr:clientData/>
  </xdr:twoCellAnchor>
  <xdr:twoCellAnchor editAs="oneCell">
    <xdr:from>
      <xdr:col>36</xdr:col>
      <xdr:colOff>19050</xdr:colOff>
      <xdr:row>6</xdr:row>
      <xdr:rowOff>157225</xdr:rowOff>
    </xdr:from>
    <xdr:to>
      <xdr:col>40</xdr:col>
      <xdr:colOff>28575</xdr:colOff>
      <xdr:row>12</xdr:row>
      <xdr:rowOff>171449</xdr:rowOff>
    </xdr:to>
    <xdr:sp macro="" textlink="">
      <xdr:nvSpPr>
        <xdr:cNvPr id="9" name="밸런스팩터_08"/>
        <xdr:cNvSpPr>
          <a:spLocks noGrp="1"/>
        </xdr:cNvSpPr>
      </xdr:nvSpPr>
      <xdr:spPr>
        <a:xfrm>
          <a:off x="24726902" y="3057525"/>
          <a:ext cx="2762250" cy="2771775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425" b="1">
              <a:solidFill>
                <a:srgbClr val="000000"/>
              </a:solidFill>
              <a:latin typeface="Carlito"/>
              <a:ea typeface="Carlito"/>
              <a:cs typeface="Carlito"/>
            </a:rPr>
            <a:t>맵</a:t>
          </a:r>
          <a:endParaRPr/>
        </a:p>
        <a:p>
          <a:pPr algn="ctr">
            <a:lnSpc>
              <a:spcPct val="100000"/>
            </a:lnSpc>
            <a:buNone/>
          </a:pPr>
          <a:r>
            <a:rPr sz="1425" b="1">
              <a:solidFill>
                <a:srgbClr val="000000"/>
              </a:solidFill>
              <a:latin typeface="Carlito"/>
              <a:ea typeface="Carlito"/>
              <a:cs typeface="Carlito"/>
            </a:rPr>
            <a:t>크기</a:t>
          </a:r>
          <a:endParaRPr/>
        </a:p>
      </xdr:txBody>
    </xdr:sp>
    <xdr:clientData/>
  </xdr:twoCellAnchor>
  <xdr:twoCellAnchor editAs="oneCell">
    <xdr:from>
      <xdr:col>11</xdr:col>
      <xdr:colOff>209550</xdr:colOff>
      <xdr:row>3</xdr:row>
      <xdr:rowOff>157225</xdr:rowOff>
    </xdr:from>
    <xdr:to>
      <xdr:col>15</xdr:col>
      <xdr:colOff>171449</xdr:colOff>
      <xdr:row>9</xdr:row>
      <xdr:rowOff>123824</xdr:rowOff>
    </xdr:to>
    <xdr:sp macro="" textlink="">
      <xdr:nvSpPr>
        <xdr:cNvPr id="10" name="밸런스팩터_09"/>
        <xdr:cNvSpPr>
          <a:spLocks noGrp="1"/>
        </xdr:cNvSpPr>
      </xdr:nvSpPr>
      <xdr:spPr>
        <a:xfrm>
          <a:off x="7962900" y="1685925"/>
          <a:ext cx="2667000" cy="2676525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카메라 시야</a:t>
          </a:r>
          <a:endParaRPr/>
        </a:p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가시성</a:t>
          </a:r>
          <a:endParaRPr/>
        </a:p>
      </xdr:txBody>
    </xdr:sp>
    <xdr:clientData/>
  </xdr:twoCellAnchor>
  <xdr:twoCellAnchor editAs="oneCell">
    <xdr:from>
      <xdr:col>9</xdr:col>
      <xdr:colOff>0</xdr:colOff>
      <xdr:row>18</xdr:row>
      <xdr:rowOff>38100</xdr:rowOff>
    </xdr:from>
    <xdr:to>
      <xdr:col>12</xdr:col>
      <xdr:colOff>304800</xdr:colOff>
      <xdr:row>24</xdr:row>
      <xdr:rowOff>0</xdr:rowOff>
    </xdr:to>
    <xdr:sp macro="" textlink="">
      <xdr:nvSpPr>
        <xdr:cNvPr id="11" name="밸런스팩터_10"/>
        <xdr:cNvSpPr>
          <a:spLocks noGrp="1"/>
        </xdr:cNvSpPr>
      </xdr:nvSpPr>
      <xdr:spPr>
        <a:xfrm>
          <a:off x="6172200" y="8305800"/>
          <a:ext cx="2667000" cy="26670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트리거</a:t>
          </a:r>
          <a:endParaRPr/>
        </a:p>
        <a:p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위치</a:t>
          </a:r>
          <a:endParaRPr/>
        </a:p>
      </xdr:txBody>
    </xdr:sp>
    <xdr:clientData/>
  </xdr:twoCellAnchor>
  <xdr:twoCellAnchor editAs="oneCell">
    <xdr:from>
      <xdr:col>10</xdr:col>
      <xdr:colOff>0</xdr:colOff>
      <xdr:row>26</xdr:row>
      <xdr:rowOff>142875</xdr:rowOff>
    </xdr:from>
    <xdr:to>
      <xdr:col>13</xdr:col>
      <xdr:colOff>304800</xdr:colOff>
      <xdr:row>32</xdr:row>
      <xdr:rowOff>104775</xdr:rowOff>
    </xdr:to>
    <xdr:sp macro="" textlink="">
      <xdr:nvSpPr>
        <xdr:cNvPr id="12" name="밸런스팩터_11"/>
        <xdr:cNvSpPr>
          <a:spLocks noGrp="1"/>
        </xdr:cNvSpPr>
      </xdr:nvSpPr>
      <xdr:spPr>
        <a:xfrm>
          <a:off x="6858000" y="12172949"/>
          <a:ext cx="2667000" cy="26670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200" b="1">
              <a:solidFill>
                <a:srgbClr val="000000"/>
              </a:solidFill>
              <a:latin typeface="Carlito"/>
              <a:ea typeface="Carlito"/>
              <a:cs typeface="Carlito"/>
            </a:rPr>
            <a:t>상호작용</a:t>
          </a:r>
          <a:endParaRPr/>
        </a:p>
        <a:p>
          <a:pPr algn="ctr">
            <a:lnSpc>
              <a:spcPct val="100000"/>
            </a:lnSpc>
            <a:buNone/>
          </a:pPr>
          <a:r>
            <a:rPr sz="1200" b="1">
              <a:solidFill>
                <a:srgbClr val="000000"/>
              </a:solidFill>
              <a:latin typeface="Carlito"/>
              <a:ea typeface="Carlito"/>
              <a:cs typeface="Carlito"/>
            </a:rPr>
            <a:t>범위</a:t>
          </a:r>
          <a:endParaRPr/>
        </a:p>
      </xdr:txBody>
    </xdr:sp>
    <xdr:clientData/>
  </xdr:twoCellAnchor>
  <xdr:twoCellAnchor editAs="oneCell">
    <xdr:from>
      <xdr:col>16</xdr:col>
      <xdr:colOff>0</xdr:colOff>
      <xdr:row>6</xdr:row>
      <xdr:rowOff>0</xdr:rowOff>
    </xdr:from>
    <xdr:to>
      <xdr:col>19</xdr:col>
      <xdr:colOff>304800</xdr:colOff>
      <xdr:row>11</xdr:row>
      <xdr:rowOff>190500</xdr:rowOff>
    </xdr:to>
    <xdr:sp macro="" textlink="">
      <xdr:nvSpPr>
        <xdr:cNvPr id="13" name="밸런스팩터_12"/>
        <xdr:cNvSpPr>
          <a:spLocks noGrp="1"/>
        </xdr:cNvSpPr>
      </xdr:nvSpPr>
      <xdr:spPr>
        <a:xfrm>
          <a:off x="10972800" y="2743200"/>
          <a:ext cx="2667000" cy="26670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200" b="1">
              <a:solidFill>
                <a:srgbClr val="000000"/>
              </a:solidFill>
              <a:latin typeface="Carlito"/>
              <a:ea typeface="Carlito"/>
              <a:cs typeface="Carlito"/>
            </a:rPr>
            <a:t>목표 표시</a:t>
          </a:r>
          <a:endParaRPr/>
        </a:p>
        <a:p>
          <a:pPr algn="ctr">
            <a:lnSpc>
              <a:spcPct val="100000"/>
            </a:lnSpc>
            <a:buNone/>
          </a:pPr>
          <a:r>
            <a:rPr sz="1200" b="1">
              <a:solidFill>
                <a:srgbClr val="000000"/>
              </a:solidFill>
              <a:latin typeface="Carlito"/>
              <a:ea typeface="Carlito"/>
              <a:cs typeface="Carlito"/>
            </a:rPr>
            <a:t>힌트량</a:t>
          </a:r>
          <a:endParaRPr/>
        </a:p>
      </xdr:txBody>
    </xdr:sp>
    <xdr:clientData/>
  </xdr:twoCellAnchor>
  <xdr:twoCellAnchor editAs="oneCell">
    <xdr:from>
      <xdr:col>12</xdr:col>
      <xdr:colOff>228600</xdr:colOff>
      <xdr:row>13</xdr:row>
      <xdr:rowOff>142875</xdr:rowOff>
    </xdr:from>
    <xdr:to>
      <xdr:col>16</xdr:col>
      <xdr:colOff>47625</xdr:colOff>
      <xdr:row>18</xdr:row>
      <xdr:rowOff>190500</xdr:rowOff>
    </xdr:to>
    <xdr:sp macro="" textlink="">
      <xdr:nvSpPr>
        <xdr:cNvPr id="14" name="밸런스팩터_13"/>
        <xdr:cNvSpPr>
          <a:spLocks noGrp="1"/>
        </xdr:cNvSpPr>
      </xdr:nvSpPr>
      <xdr:spPr>
        <a:xfrm>
          <a:off x="8686800" y="6229350"/>
          <a:ext cx="2381250" cy="238125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275" b="1">
              <a:solidFill>
                <a:srgbClr val="000000"/>
              </a:solidFill>
              <a:latin typeface="Carlito"/>
              <a:ea typeface="Carlito"/>
              <a:cs typeface="Carlito"/>
            </a:rPr>
            <a:t>NPC</a:t>
          </a:r>
          <a:endParaRPr/>
        </a:p>
        <a:p>
          <a:pPr algn="ctr">
            <a:lnSpc>
              <a:spcPct val="100000"/>
            </a:lnSpc>
            <a:buNone/>
          </a:pPr>
          <a:r>
            <a:rPr sz="1275" b="1">
              <a:solidFill>
                <a:srgbClr val="000000"/>
              </a:solidFill>
              <a:latin typeface="Carlito"/>
              <a:ea typeface="Carlito"/>
              <a:cs typeface="Carlito"/>
            </a:rPr>
            <a:t>밀도</a:t>
          </a:r>
          <a:endParaRPr/>
        </a:p>
      </xdr:txBody>
    </xdr:sp>
    <xdr:clientData/>
  </xdr:twoCellAnchor>
  <xdr:twoCellAnchor editAs="oneCell">
    <xdr:from>
      <xdr:col>11</xdr:col>
      <xdr:colOff>95250</xdr:colOff>
      <xdr:row>35</xdr:row>
      <xdr:rowOff>76200</xdr:rowOff>
    </xdr:from>
    <xdr:to>
      <xdr:col>14</xdr:col>
      <xdr:colOff>304800</xdr:colOff>
      <xdr:row>40</xdr:row>
      <xdr:rowOff>171449</xdr:rowOff>
    </xdr:to>
    <xdr:sp macro="" textlink="">
      <xdr:nvSpPr>
        <xdr:cNvPr id="15" name="밸런스팩터_14"/>
        <xdr:cNvSpPr>
          <a:spLocks noGrp="1"/>
        </xdr:cNvSpPr>
      </xdr:nvSpPr>
      <xdr:spPr>
        <a:xfrm>
          <a:off x="7734300" y="16154400"/>
          <a:ext cx="2476500" cy="24765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미니게임</a:t>
          </a:r>
          <a:endParaRPr/>
        </a:p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제한 시간</a:t>
          </a:r>
          <a:endParaRPr/>
        </a:p>
      </xdr:txBody>
    </xdr:sp>
    <xdr:clientData/>
  </xdr:twoCellAnchor>
  <xdr:twoCellAnchor editAs="oneCell">
    <xdr:from>
      <xdr:col>21</xdr:col>
      <xdr:colOff>123824</xdr:colOff>
      <xdr:row>33</xdr:row>
      <xdr:rowOff>76200</xdr:rowOff>
    </xdr:from>
    <xdr:to>
      <xdr:col>24</xdr:col>
      <xdr:colOff>333375</xdr:colOff>
      <xdr:row>38</xdr:row>
      <xdr:rowOff>171449</xdr:rowOff>
    </xdr:to>
    <xdr:sp macro="" textlink="">
      <xdr:nvSpPr>
        <xdr:cNvPr id="16" name="밸런스팩터_15"/>
        <xdr:cNvSpPr>
          <a:spLocks noGrp="1"/>
        </xdr:cNvSpPr>
      </xdr:nvSpPr>
      <xdr:spPr>
        <a:xfrm>
          <a:off x="14649451" y="15240000"/>
          <a:ext cx="2476500" cy="24765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미션 실패</a:t>
          </a:r>
          <a:endParaRPr/>
        </a:p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패널티</a:t>
          </a:r>
          <a:endParaRPr/>
        </a:p>
      </xdr:txBody>
    </xdr:sp>
    <xdr:clientData/>
  </xdr:twoCellAnchor>
  <xdr:twoCellAnchor editAs="oneCell">
    <xdr:from>
      <xdr:col>23</xdr:col>
      <xdr:colOff>104775</xdr:colOff>
      <xdr:row>15</xdr:row>
      <xdr:rowOff>76200</xdr:rowOff>
    </xdr:from>
    <xdr:to>
      <xdr:col>26</xdr:col>
      <xdr:colOff>314325</xdr:colOff>
      <xdr:row>20</xdr:row>
      <xdr:rowOff>171449</xdr:rowOff>
    </xdr:to>
    <xdr:sp macro="" textlink="">
      <xdr:nvSpPr>
        <xdr:cNvPr id="17" name="밸런스팩터_16"/>
        <xdr:cNvSpPr>
          <a:spLocks noGrp="1"/>
        </xdr:cNvSpPr>
      </xdr:nvSpPr>
      <xdr:spPr>
        <a:xfrm>
          <a:off x="15982949" y="7010400"/>
          <a:ext cx="2476500" cy="24765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칭찬·보상</a:t>
          </a:r>
          <a:endParaRPr/>
        </a:p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빈도</a:t>
          </a:r>
          <a:endParaRPr/>
        </a:p>
      </xdr:txBody>
    </xdr:sp>
    <xdr:clientData/>
  </xdr:twoCellAnchor>
  <xdr:twoCellAnchor editAs="oneCell">
    <xdr:from>
      <xdr:col>20</xdr:col>
      <xdr:colOff>76200</xdr:colOff>
      <xdr:row>4</xdr:row>
      <xdr:rowOff>0</xdr:rowOff>
    </xdr:from>
    <xdr:to>
      <xdr:col>23</xdr:col>
      <xdr:colOff>285750</xdr:colOff>
      <xdr:row>9</xdr:row>
      <xdr:rowOff>95250</xdr:rowOff>
    </xdr:to>
    <xdr:sp macro="" textlink="">
      <xdr:nvSpPr>
        <xdr:cNvPr id="18" name="밸런스팩터_17"/>
        <xdr:cNvSpPr>
          <a:spLocks noGrp="1"/>
        </xdr:cNvSpPr>
      </xdr:nvSpPr>
      <xdr:spPr>
        <a:xfrm>
          <a:off x="13868400" y="1828800"/>
          <a:ext cx="2476500" cy="24765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체크포인트</a:t>
          </a:r>
          <a:endParaRPr/>
        </a:p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간격</a:t>
          </a:r>
          <a:endParaRPr/>
        </a:p>
      </xdr:txBody>
    </xdr:sp>
    <xdr:clientData/>
  </xdr:twoCellAnchor>
  <xdr:twoCellAnchor editAs="oneCell">
    <xdr:from>
      <xdr:col>26</xdr:col>
      <xdr:colOff>0</xdr:colOff>
      <xdr:row>40</xdr:row>
      <xdr:rowOff>76200</xdr:rowOff>
    </xdr:from>
    <xdr:to>
      <xdr:col>29</xdr:col>
      <xdr:colOff>209550</xdr:colOff>
      <xdr:row>45</xdr:row>
      <xdr:rowOff>171449</xdr:rowOff>
    </xdr:to>
    <xdr:sp macro="" textlink="">
      <xdr:nvSpPr>
        <xdr:cNvPr id="19" name="밸런스팩터_18"/>
        <xdr:cNvSpPr>
          <a:spLocks noGrp="1"/>
        </xdr:cNvSpPr>
      </xdr:nvSpPr>
      <xdr:spPr>
        <a:xfrm>
          <a:off x="17830800" y="18440400"/>
          <a:ext cx="2476500" cy="24765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선택지</a:t>
          </a:r>
          <a:endParaRPr/>
        </a:p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영향도</a:t>
          </a:r>
          <a:endParaRPr/>
        </a:p>
      </xdr:txBody>
    </xdr:sp>
    <xdr:clientData/>
  </xdr:twoCellAnchor>
  <xdr:twoCellAnchor editAs="oneCell">
    <xdr:from>
      <xdr:col>34</xdr:col>
      <xdr:colOff>19050</xdr:colOff>
      <xdr:row>13</xdr:row>
      <xdr:rowOff>104775</xdr:rowOff>
    </xdr:from>
    <xdr:to>
      <xdr:col>37</xdr:col>
      <xdr:colOff>276225</xdr:colOff>
      <xdr:row>19</xdr:row>
      <xdr:rowOff>19050</xdr:rowOff>
    </xdr:to>
    <xdr:sp macro="" textlink="">
      <xdr:nvSpPr>
        <xdr:cNvPr id="20" name="밸런스팩터_19"/>
        <xdr:cNvSpPr>
          <a:spLocks noGrp="1"/>
        </xdr:cNvSpPr>
      </xdr:nvSpPr>
      <xdr:spPr>
        <a:xfrm>
          <a:off x="23355302" y="6153150"/>
          <a:ext cx="2571750" cy="257175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보스 패턴</a:t>
          </a:r>
          <a:endParaRPr/>
        </a:p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속도</a:t>
          </a:r>
          <a:endParaRPr/>
        </a:p>
      </xdr:txBody>
    </xdr:sp>
    <xdr:clientData/>
  </xdr:twoCellAnchor>
  <xdr:twoCellAnchor editAs="oneCell">
    <xdr:from>
      <xdr:col>14</xdr:col>
      <xdr:colOff>180975</xdr:colOff>
      <xdr:row>38</xdr:row>
      <xdr:rowOff>209550</xdr:rowOff>
    </xdr:from>
    <xdr:to>
      <xdr:col>18</xdr:col>
      <xdr:colOff>47625</xdr:colOff>
      <xdr:row>44</xdr:row>
      <xdr:rowOff>76200</xdr:rowOff>
    </xdr:to>
    <xdr:sp macro="" textlink="">
      <xdr:nvSpPr>
        <xdr:cNvPr id="21" name="밸런스팩터_20"/>
        <xdr:cNvSpPr>
          <a:spLocks noGrp="1"/>
        </xdr:cNvSpPr>
      </xdr:nvSpPr>
      <xdr:spPr>
        <a:xfrm>
          <a:off x="9963150" y="17792700"/>
          <a:ext cx="2476500" cy="24765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200" b="1">
              <a:solidFill>
                <a:srgbClr val="000000"/>
              </a:solidFill>
              <a:latin typeface="Carlito"/>
              <a:ea typeface="Carlito"/>
              <a:cs typeface="Carlito"/>
            </a:rPr>
            <a:t>퍼즐</a:t>
          </a:r>
          <a:endParaRPr/>
        </a:p>
        <a:p>
          <a:pPr algn="ctr">
            <a:lnSpc>
              <a:spcPct val="100000"/>
            </a:lnSpc>
            <a:buNone/>
          </a:pPr>
          <a:r>
            <a:rPr sz="1200" b="1">
              <a:solidFill>
                <a:srgbClr val="000000"/>
              </a:solidFill>
              <a:latin typeface="Carlito"/>
              <a:ea typeface="Carlito"/>
              <a:cs typeface="Carlito"/>
            </a:rPr>
            <a:t>힌트량</a:t>
          </a:r>
          <a:endParaRPr/>
        </a:p>
      </xdr:txBody>
    </xdr:sp>
    <xdr:clientData/>
  </xdr:twoCellAnchor>
  <xdr:twoCellAnchor editAs="oneCell">
    <xdr:from>
      <xdr:col>34</xdr:col>
      <xdr:colOff>266700</xdr:colOff>
      <xdr:row>19</xdr:row>
      <xdr:rowOff>209550</xdr:rowOff>
    </xdr:from>
    <xdr:to>
      <xdr:col>38</xdr:col>
      <xdr:colOff>133350</xdr:colOff>
      <xdr:row>25</xdr:row>
      <xdr:rowOff>76200</xdr:rowOff>
    </xdr:to>
    <xdr:sp macro="" textlink="">
      <xdr:nvSpPr>
        <xdr:cNvPr id="22" name="밸런스팩터_21"/>
        <xdr:cNvSpPr>
          <a:spLocks noGrp="1"/>
        </xdr:cNvSpPr>
      </xdr:nvSpPr>
      <xdr:spPr>
        <a:xfrm>
          <a:off x="23850600" y="9105900"/>
          <a:ext cx="2476500" cy="24765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균열 발생</a:t>
          </a:r>
          <a:endParaRPr/>
        </a:p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타이밍</a:t>
          </a:r>
          <a:endParaRPr/>
        </a:p>
      </xdr:txBody>
    </xdr:sp>
    <xdr:clientData/>
  </xdr:twoCellAnchor>
  <xdr:twoCellAnchor editAs="oneCell">
    <xdr:from>
      <xdr:col>5</xdr:col>
      <xdr:colOff>104775</xdr:colOff>
      <xdr:row>9</xdr:row>
      <xdr:rowOff>157225</xdr:rowOff>
    </xdr:from>
    <xdr:to>
      <xdr:col>8</xdr:col>
      <xdr:colOff>266700</xdr:colOff>
      <xdr:row>14</xdr:row>
      <xdr:rowOff>209550</xdr:rowOff>
    </xdr:to>
    <xdr:sp macro="" textlink="">
      <xdr:nvSpPr>
        <xdr:cNvPr id="23" name="밸런스팩터_22"/>
        <xdr:cNvSpPr>
          <a:spLocks noGrp="1"/>
        </xdr:cNvSpPr>
      </xdr:nvSpPr>
      <xdr:spPr>
        <a:xfrm>
          <a:off x="3638550" y="4429125"/>
          <a:ext cx="2381250" cy="2390775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975" b="1">
              <a:solidFill>
                <a:srgbClr val="000000"/>
              </a:solidFill>
              <a:latin typeface="Carlito"/>
              <a:ea typeface="Carlito"/>
              <a:cs typeface="Carlito"/>
            </a:rPr>
            <a:t>회색 후드 NPC</a:t>
          </a:r>
          <a:endParaRPr/>
        </a:p>
        <a:p>
          <a:pPr algn="ctr">
            <a:lnSpc>
              <a:spcPct val="100000"/>
            </a:lnSpc>
            <a:buNone/>
          </a:pPr>
          <a:r>
            <a:rPr sz="975" b="1">
              <a:solidFill>
                <a:srgbClr val="000000"/>
              </a:solidFill>
              <a:latin typeface="Carlito"/>
              <a:ea typeface="Carlito"/>
              <a:cs typeface="Carlito"/>
            </a:rPr>
            <a:t>구분 난도</a:t>
          </a:r>
          <a:endParaRPr/>
        </a:p>
      </xdr:txBody>
    </xdr:sp>
    <xdr:clientData/>
  </xdr:twoCellAnchor>
  <xdr:twoCellAnchor editAs="oneCell">
    <xdr:from>
      <xdr:col>5</xdr:col>
      <xdr:colOff>180975</xdr:colOff>
      <xdr:row>22</xdr:row>
      <xdr:rowOff>38100</xdr:rowOff>
    </xdr:from>
    <xdr:to>
      <xdr:col>9</xdr:col>
      <xdr:colOff>47625</xdr:colOff>
      <xdr:row>27</xdr:row>
      <xdr:rowOff>133350</xdr:rowOff>
    </xdr:to>
    <xdr:sp macro="" textlink="">
      <xdr:nvSpPr>
        <xdr:cNvPr id="24" name="밸런스팩터_23"/>
        <xdr:cNvSpPr>
          <a:spLocks noGrp="1"/>
        </xdr:cNvSpPr>
      </xdr:nvSpPr>
      <xdr:spPr>
        <a:xfrm>
          <a:off x="3790950" y="10134600"/>
          <a:ext cx="2476500" cy="24765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050" b="1">
              <a:solidFill>
                <a:srgbClr val="000000"/>
              </a:solidFill>
              <a:latin typeface="Carlito"/>
              <a:ea typeface="Carlito"/>
              <a:cs typeface="Carlito"/>
            </a:rPr>
            <a:t>편의점 재고</a:t>
          </a:r>
          <a:endParaRPr/>
        </a:p>
        <a:p>
          <a:pPr algn="ctr">
            <a:lnSpc>
              <a:spcPct val="100000"/>
            </a:lnSpc>
            <a:buNone/>
          </a:pPr>
          <a:r>
            <a:rPr sz="1050" b="1">
              <a:solidFill>
                <a:srgbClr val="000000"/>
              </a:solidFill>
              <a:latin typeface="Carlito"/>
              <a:ea typeface="Carlito"/>
              <a:cs typeface="Carlito"/>
            </a:rPr>
            <a:t>연출 타이밍</a:t>
          </a:r>
          <a:endParaRPr/>
        </a:p>
      </xdr:txBody>
    </xdr:sp>
    <xdr:clientData/>
  </xdr:twoCellAnchor>
  <xdr:twoCellAnchor editAs="oneCell">
    <xdr:from>
      <xdr:col>5</xdr:col>
      <xdr:colOff>19050</xdr:colOff>
      <xdr:row>16</xdr:row>
      <xdr:rowOff>19050</xdr:rowOff>
    </xdr:from>
    <xdr:to>
      <xdr:col>8</xdr:col>
      <xdr:colOff>228600</xdr:colOff>
      <xdr:row>21</xdr:row>
      <xdr:rowOff>114300</xdr:rowOff>
    </xdr:to>
    <xdr:sp macro="" textlink="">
      <xdr:nvSpPr>
        <xdr:cNvPr id="25" name="밸런스팩터_24"/>
        <xdr:cNvSpPr>
          <a:spLocks noGrp="1"/>
        </xdr:cNvSpPr>
      </xdr:nvSpPr>
      <xdr:spPr>
        <a:xfrm>
          <a:off x="3467100" y="7353300"/>
          <a:ext cx="2476500" cy="24765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050" b="1">
              <a:solidFill>
                <a:srgbClr val="000000"/>
              </a:solidFill>
              <a:latin typeface="Carlito"/>
              <a:ea typeface="Carlito"/>
              <a:cs typeface="Carlito"/>
            </a:rPr>
            <a:t>물류 트럭</a:t>
          </a:r>
          <a:endParaRPr/>
        </a:p>
        <a:p>
          <a:pPr algn="ctr">
            <a:lnSpc>
              <a:spcPct val="100000"/>
            </a:lnSpc>
            <a:buNone/>
          </a:pPr>
          <a:r>
            <a:rPr sz="1050" b="1">
              <a:solidFill>
                <a:srgbClr val="000000"/>
              </a:solidFill>
              <a:latin typeface="Carlito"/>
              <a:ea typeface="Carlito"/>
              <a:cs typeface="Carlito"/>
            </a:rPr>
            <a:t>이동 속도</a:t>
          </a:r>
          <a:endParaRPr/>
        </a:p>
      </xdr:txBody>
    </xdr:sp>
    <xdr:clientData/>
  </xdr:twoCellAnchor>
  <xdr:twoCellAnchor editAs="oneCell">
    <xdr:from>
      <xdr:col>9</xdr:col>
      <xdr:colOff>228600</xdr:colOff>
      <xdr:row>9</xdr:row>
      <xdr:rowOff>180975</xdr:rowOff>
    </xdr:from>
    <xdr:to>
      <xdr:col>13</xdr:col>
      <xdr:colOff>0</xdr:colOff>
      <xdr:row>14</xdr:row>
      <xdr:rowOff>180975</xdr:rowOff>
    </xdr:to>
    <xdr:sp macro="" textlink="">
      <xdr:nvSpPr>
        <xdr:cNvPr id="26" name="밸런스팩터_25"/>
        <xdr:cNvSpPr>
          <a:spLocks noGrp="1"/>
        </xdr:cNvSpPr>
      </xdr:nvSpPr>
      <xdr:spPr>
        <a:xfrm>
          <a:off x="6629400" y="4476750"/>
          <a:ext cx="2286000" cy="22860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050" b="1">
              <a:solidFill>
                <a:srgbClr val="000000"/>
              </a:solidFill>
              <a:latin typeface="Carlito"/>
              <a:ea typeface="Carlito"/>
              <a:cs typeface="Carlito"/>
            </a:rPr>
            <a:t>오픈런</a:t>
          </a:r>
          <a:endParaRPr/>
        </a:p>
        <a:p>
          <a:pPr algn="ctr">
            <a:lnSpc>
              <a:spcPct val="100000"/>
            </a:lnSpc>
            <a:buNone/>
          </a:pPr>
          <a:r>
            <a:rPr sz="1050" b="1">
              <a:solidFill>
                <a:srgbClr val="000000"/>
              </a:solidFill>
              <a:latin typeface="Carlito"/>
              <a:ea typeface="Carlito"/>
              <a:cs typeface="Carlito"/>
            </a:rPr>
            <a:t>경쟁</a:t>
          </a:r>
          <a:endParaRPr/>
        </a:p>
      </xdr:txBody>
    </xdr:sp>
    <xdr:clientData/>
  </xdr:twoCellAnchor>
  <xdr:twoCellAnchor editAs="oneCell">
    <xdr:from>
      <xdr:col>24</xdr:col>
      <xdr:colOff>57150</xdr:colOff>
      <xdr:row>2</xdr:row>
      <xdr:rowOff>38100</xdr:rowOff>
    </xdr:from>
    <xdr:to>
      <xdr:col>27</xdr:col>
      <xdr:colOff>219075</xdr:colOff>
      <xdr:row>7</xdr:row>
      <xdr:rowOff>85724</xdr:rowOff>
    </xdr:to>
    <xdr:sp macro="" textlink="">
      <xdr:nvSpPr>
        <xdr:cNvPr id="27" name="밸런스팩터_26"/>
        <xdr:cNvSpPr>
          <a:spLocks noGrp="1"/>
        </xdr:cNvSpPr>
      </xdr:nvSpPr>
      <xdr:spPr>
        <a:xfrm>
          <a:off x="16573500" y="990600"/>
          <a:ext cx="2381250" cy="238125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050" b="1">
              <a:solidFill>
                <a:srgbClr val="000000"/>
              </a:solidFill>
              <a:latin typeface="Carlito"/>
              <a:ea typeface="Carlito"/>
              <a:cs typeface="Carlito"/>
            </a:rPr>
            <a:t>사운드·시각</a:t>
          </a:r>
          <a:endParaRPr/>
        </a:p>
        <a:p>
          <a:pPr algn="ctr">
            <a:lnSpc>
              <a:spcPct val="100000"/>
            </a:lnSpc>
            <a:buNone/>
          </a:pPr>
          <a:r>
            <a:rPr sz="1050" b="1">
              <a:solidFill>
                <a:srgbClr val="000000"/>
              </a:solidFill>
              <a:latin typeface="Carlito"/>
              <a:ea typeface="Carlito"/>
              <a:cs typeface="Carlito"/>
            </a:rPr>
            <a:t>경고 강도</a:t>
          </a:r>
          <a:endParaRPr/>
        </a:p>
      </xdr:txBody>
    </xdr:sp>
    <xdr:clientData/>
  </xdr:twoCellAnchor>
  <xdr:twoCellAnchor editAs="oneCell">
    <xdr:from>
      <xdr:col>25</xdr:col>
      <xdr:colOff>142875</xdr:colOff>
      <xdr:row>31</xdr:row>
      <xdr:rowOff>28575</xdr:rowOff>
    </xdr:from>
    <xdr:to>
      <xdr:col>31</xdr:col>
      <xdr:colOff>38100</xdr:colOff>
      <xdr:row>39</xdr:row>
      <xdr:rowOff>152400</xdr:rowOff>
    </xdr:to>
    <xdr:sp macro="" textlink="">
      <xdr:nvSpPr>
        <xdr:cNvPr id="28" name="밸런스팩터_05"/>
        <xdr:cNvSpPr>
          <a:spLocks noGrp="1"/>
        </xdr:cNvSpPr>
      </xdr:nvSpPr>
      <xdr:spPr>
        <a:xfrm>
          <a:off x="17430750" y="14230349"/>
          <a:ext cx="3905250" cy="390525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275" b="1">
              <a:solidFill>
                <a:srgbClr val="000000"/>
              </a:solidFill>
              <a:latin typeface="Carlito"/>
              <a:ea typeface="Carlito"/>
              <a:cs typeface="Carlito"/>
            </a:rPr>
            <a:t>대화 길이</a:t>
          </a:r>
          <a:endParaRPr/>
        </a:p>
      </xdr:txBody>
    </xdr:sp>
    <xdr:clientData/>
  </xdr:twoCellAnchor>
  <xdr:twoCellAnchor editAs="oneCell">
    <xdr:from>
      <xdr:col>17</xdr:col>
      <xdr:colOff>95250</xdr:colOff>
      <xdr:row>12</xdr:row>
      <xdr:rowOff>66675</xdr:rowOff>
    </xdr:from>
    <xdr:to>
      <xdr:col>22</xdr:col>
      <xdr:colOff>328675</xdr:colOff>
      <xdr:row>20</xdr:row>
      <xdr:rowOff>190500</xdr:rowOff>
    </xdr:to>
    <xdr:sp macro="" textlink="">
      <xdr:nvSpPr>
        <xdr:cNvPr id="29" name="밸런스팩터_05"/>
        <xdr:cNvSpPr>
          <a:spLocks noGrp="1"/>
        </xdr:cNvSpPr>
      </xdr:nvSpPr>
      <xdr:spPr>
        <a:xfrm>
          <a:off x="11849100" y="5619750"/>
          <a:ext cx="3895725" cy="390525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275" b="1">
              <a:solidFill>
                <a:srgbClr val="000000"/>
              </a:solidFill>
              <a:latin typeface="Carlito"/>
              <a:ea typeface="Carlito"/>
              <a:cs typeface="Carlito"/>
            </a:rPr>
            <a:t>연출 밀도</a:t>
          </a:r>
          <a:endParaRPr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</xdr:row>
      <xdr:rowOff>0</xdr:rowOff>
    </xdr:from>
    <xdr:to>
      <xdr:col>17</xdr:col>
      <xdr:colOff>0</xdr:colOff>
      <xdr:row>26</xdr:row>
      <xdr:rowOff>0</xdr:rowOff>
    </xdr:to>
    <xdr:graphicFrame macro="">
      <xdr:nvGraphicFramePr>
        <xdr:cNvPr id="2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10</xdr:col>
      <xdr:colOff>0</xdr:colOff>
      <xdr:row>31</xdr:row>
      <xdr:rowOff>0</xdr:rowOff>
    </xdr:to>
    <xdr:graphicFrame macro="">
      <xdr:nvGraphicFramePr>
        <xdr:cNvPr id="2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79"/>
  <sheetViews>
    <sheetView tabSelected="1" topLeftCell="M1" zoomScale="70" zoomScaleNormal="70" workbookViewId="0">
      <selection activeCell="T8" sqref="T8"/>
    </sheetView>
  </sheetViews>
  <sheetFormatPr defaultColWidth="9" defaultRowHeight="13.5"/>
  <cols>
    <col min="1" max="1" width="13.875" style="20" customWidth="1"/>
    <col min="2" max="2" width="14.125" style="95" customWidth="1"/>
    <col min="3" max="3" width="13.125" style="95" customWidth="1"/>
    <col min="4" max="4" width="13.375" style="95" customWidth="1"/>
    <col min="5" max="5" width="42.625" style="20" customWidth="1"/>
    <col min="6" max="6" width="47.625" style="20" customWidth="1"/>
    <col min="7" max="7" width="47.5" style="20" customWidth="1"/>
    <col min="8" max="8" width="36.875" style="20" customWidth="1"/>
    <col min="9" max="9" width="11.875" style="95" customWidth="1"/>
    <col min="10" max="10" width="25" style="20" customWidth="1"/>
    <col min="11" max="11" width="39.625" style="95" customWidth="1"/>
    <col min="12" max="12" width="18.625" style="95" customWidth="1"/>
    <col min="13" max="13" width="27.75" style="20" customWidth="1"/>
    <col min="14" max="14" width="18.75" style="95" customWidth="1"/>
    <col min="15" max="15" width="24.75" style="20" customWidth="1"/>
    <col min="16" max="16" width="19.75" style="95" customWidth="1"/>
    <col min="17" max="17" width="18.875" style="95" customWidth="1"/>
    <col min="18" max="18" width="16" style="95" customWidth="1"/>
    <col min="19" max="19" width="15" style="95" customWidth="1"/>
    <col min="20" max="20" width="12" style="91" customWidth="1"/>
    <col min="21" max="21" width="14" style="109" customWidth="1"/>
    <col min="22" max="22" width="32" style="109" customWidth="1"/>
    <col min="23" max="23" width="15" style="112" customWidth="1"/>
    <col min="24" max="25" width="15" style="116" customWidth="1"/>
    <col min="26" max="26" width="14.75" style="95" customWidth="1"/>
    <col min="27" max="27" width="13" style="95" customWidth="1"/>
    <col min="28" max="31" width="22.375" style="111" customWidth="1"/>
    <col min="32" max="32" width="18.875" style="20" customWidth="1"/>
    <col min="33" max="16384" width="9" style="20"/>
  </cols>
  <sheetData>
    <row r="1" spans="1:33" s="79" customFormat="1">
      <c r="B1" s="91"/>
      <c r="C1" s="91"/>
      <c r="D1" s="91"/>
      <c r="I1" s="91"/>
      <c r="K1" s="91"/>
      <c r="L1" s="91"/>
      <c r="N1" s="91"/>
      <c r="P1" s="91"/>
      <c r="Q1" s="91" t="s">
        <v>0</v>
      </c>
      <c r="R1" s="91" t="s">
        <v>1</v>
      </c>
      <c r="S1" s="91"/>
      <c r="T1" s="91"/>
      <c r="U1" s="109"/>
      <c r="V1" s="109"/>
      <c r="W1" s="112"/>
      <c r="X1" s="107"/>
      <c r="Y1" s="107"/>
      <c r="Z1" s="91"/>
      <c r="AA1" s="91"/>
      <c r="AB1" s="110"/>
      <c r="AC1" s="110"/>
      <c r="AD1" s="110"/>
      <c r="AE1" s="110"/>
    </row>
    <row r="2" spans="1:33" s="79" customFormat="1">
      <c r="B2" s="91"/>
      <c r="C2" s="91"/>
      <c r="D2" s="91"/>
      <c r="I2" s="91"/>
      <c r="K2" s="91"/>
      <c r="L2" s="91"/>
      <c r="M2" s="80" t="s">
        <v>2</v>
      </c>
      <c r="N2" s="91"/>
      <c r="P2" s="91"/>
      <c r="Q2" s="103">
        <v>5</v>
      </c>
      <c r="R2" s="103">
        <v>15</v>
      </c>
      <c r="S2" s="91"/>
      <c r="T2" s="91"/>
      <c r="U2" s="109"/>
      <c r="V2" s="109"/>
      <c r="W2" s="112"/>
      <c r="X2" s="107"/>
      <c r="Y2" s="107"/>
      <c r="Z2" s="91"/>
      <c r="AA2" s="91"/>
      <c r="AB2" s="110"/>
      <c r="AC2" s="110"/>
      <c r="AD2" s="110"/>
      <c r="AE2" s="110"/>
    </row>
    <row r="3" spans="1:33" s="79" customFormat="1">
      <c r="B3" s="91"/>
      <c r="C3" s="91"/>
      <c r="D3" s="91"/>
      <c r="I3" s="91"/>
      <c r="K3" s="91"/>
      <c r="L3" s="91"/>
      <c r="N3" s="91"/>
      <c r="P3" s="91"/>
      <c r="Q3" s="103">
        <f>Q2/100</f>
        <v>0.05</v>
      </c>
      <c r="R3" s="103">
        <f>R2/100</f>
        <v>0.15</v>
      </c>
      <c r="S3" s="107"/>
      <c r="T3" s="107"/>
      <c r="U3" s="107"/>
      <c r="V3" s="107"/>
      <c r="W3" s="107"/>
      <c r="X3" s="107"/>
      <c r="Y3" s="107"/>
      <c r="Z3" s="91"/>
      <c r="AA3" s="91"/>
      <c r="AB3" s="110"/>
      <c r="AC3" s="110"/>
      <c r="AD3" s="110"/>
      <c r="AE3" s="110"/>
    </row>
    <row r="4" spans="1:33" s="84" customFormat="1" ht="56.1" customHeight="1">
      <c r="A4" s="83" t="s">
        <v>3</v>
      </c>
      <c r="B4" s="83" t="s">
        <v>4</v>
      </c>
      <c r="C4" s="83" t="s">
        <v>5</v>
      </c>
      <c r="D4" s="83" t="s">
        <v>6</v>
      </c>
      <c r="E4" s="83" t="s">
        <v>7</v>
      </c>
      <c r="F4" s="83" t="s">
        <v>8</v>
      </c>
      <c r="G4" s="83" t="s">
        <v>9</v>
      </c>
      <c r="H4" s="83" t="s">
        <v>10</v>
      </c>
      <c r="I4" s="83" t="s">
        <v>11</v>
      </c>
      <c r="J4" s="83" t="s">
        <v>12</v>
      </c>
      <c r="K4" s="83" t="s">
        <v>13</v>
      </c>
      <c r="L4" s="83" t="s">
        <v>14</v>
      </c>
      <c r="M4" s="83" t="s">
        <v>15</v>
      </c>
      <c r="N4" s="85" t="s">
        <v>16</v>
      </c>
      <c r="O4" s="85" t="s">
        <v>17</v>
      </c>
      <c r="P4" s="85" t="s">
        <v>18</v>
      </c>
      <c r="Q4" s="85" t="s">
        <v>19</v>
      </c>
      <c r="R4" s="86" t="s">
        <v>20</v>
      </c>
      <c r="S4" s="87" t="s">
        <v>21</v>
      </c>
      <c r="T4" s="86" t="s">
        <v>22</v>
      </c>
      <c r="U4" s="86" t="s">
        <v>23</v>
      </c>
      <c r="V4" s="86" t="s">
        <v>24</v>
      </c>
      <c r="W4" s="113" t="s">
        <v>25</v>
      </c>
      <c r="X4" s="113" t="s">
        <v>26</v>
      </c>
      <c r="Y4" s="113" t="s">
        <v>27</v>
      </c>
      <c r="Z4" s="85" t="s">
        <v>28</v>
      </c>
      <c r="AA4" s="85" t="s">
        <v>29</v>
      </c>
      <c r="AB4" s="85" t="s">
        <v>30</v>
      </c>
      <c r="AC4" s="85" t="s">
        <v>31</v>
      </c>
      <c r="AD4" s="83" t="s">
        <v>1333</v>
      </c>
      <c r="AE4" s="85" t="s">
        <v>1332</v>
      </c>
      <c r="AF4" s="83" t="s">
        <v>1310</v>
      </c>
    </row>
    <row r="5" spans="1:33" s="79" customFormat="1" ht="65.099999999999994" customHeight="1">
      <c r="A5" s="82" t="s">
        <v>32</v>
      </c>
      <c r="B5" s="92">
        <v>1</v>
      </c>
      <c r="C5" s="92">
        <v>1</v>
      </c>
      <c r="D5" s="92">
        <v>8</v>
      </c>
      <c r="E5" s="82" t="s">
        <v>33</v>
      </c>
      <c r="F5" s="82" t="s">
        <v>34</v>
      </c>
      <c r="G5" s="82" t="s">
        <v>35</v>
      </c>
      <c r="H5" s="82" t="s">
        <v>36</v>
      </c>
      <c r="I5" s="92">
        <v>1</v>
      </c>
      <c r="J5" s="82" t="s">
        <v>37</v>
      </c>
      <c r="K5" s="96" t="s">
        <v>38</v>
      </c>
      <c r="L5" s="96" t="s">
        <v>39</v>
      </c>
      <c r="M5" s="82" t="s">
        <v>40</v>
      </c>
      <c r="N5" s="98">
        <f>(IFERROR(VALUE(LEFT(L5,FIND("분",L5)-1))*60,0)+IFERROR(VALUE(TRIM(MID(L5,IFERROR(FIND("분",L5),0)+1,IFERROR(FIND("초",L5),LEN(L5)+1)-IFERROR(FIND("분",L5),0)-1))),0))/86400</f>
        <v>1.0416666666666667E-3</v>
      </c>
      <c r="O5" s="82" t="s">
        <v>41</v>
      </c>
      <c r="P5" s="100">
        <f>Q5</f>
        <v>4</v>
      </c>
      <c r="Q5" s="100">
        <v>4</v>
      </c>
      <c r="R5" s="104">
        <f t="shared" ref="R5:R36" si="0">ROUND($Q$3*P5*P5+$R$3*P5,2)</f>
        <v>1.4</v>
      </c>
      <c r="S5" s="92" t="s">
        <v>42</v>
      </c>
      <c r="T5" s="100" t="s">
        <v>43</v>
      </c>
      <c r="U5" s="100" t="s">
        <v>43</v>
      </c>
      <c r="V5" s="92" t="s">
        <v>43</v>
      </c>
      <c r="W5" s="114">
        <v>1.2152777777777778E-3</v>
      </c>
      <c r="X5" s="114">
        <v>1.0995370370370371E-3</v>
      </c>
      <c r="Y5" s="114">
        <v>1.0416666666666667E-3</v>
      </c>
      <c r="Z5" s="100"/>
      <c r="AA5" s="100"/>
      <c r="AB5" s="100"/>
      <c r="AC5" s="100"/>
      <c r="AD5" s="92" t="s">
        <v>1334</v>
      </c>
      <c r="AE5" s="100"/>
      <c r="AF5" s="117"/>
      <c r="AG5" s="128"/>
    </row>
    <row r="6" spans="1:33" ht="65.099999999999994" customHeight="1">
      <c r="A6" s="81" t="s">
        <v>32</v>
      </c>
      <c r="B6" s="93">
        <v>2</v>
      </c>
      <c r="C6" s="93">
        <v>1</v>
      </c>
      <c r="D6" s="93">
        <v>3</v>
      </c>
      <c r="E6" s="81" t="s">
        <v>44</v>
      </c>
      <c r="F6" s="81" t="s">
        <v>45</v>
      </c>
      <c r="G6" s="81" t="s">
        <v>46</v>
      </c>
      <c r="H6" s="81" t="s">
        <v>47</v>
      </c>
      <c r="I6" s="93">
        <v>1</v>
      </c>
      <c r="J6" s="81" t="s">
        <v>48</v>
      </c>
      <c r="K6" s="97" t="s">
        <v>38</v>
      </c>
      <c r="L6" s="97" t="s">
        <v>49</v>
      </c>
      <c r="M6" s="81" t="s">
        <v>50</v>
      </c>
      <c r="N6" s="99">
        <f>N5+(IFERROR(VALUE(LEFT(L6,FIND("분",L6)-1))*60,0)+IFERROR(VALUE(TRIM(MID(L6,IFERROR(FIND("분",L6),0)+1,IFERROR(FIND("초",L6),LEN(L6)+1)-IFERROR(FIND("분",L6),0)-1))),0))/86400</f>
        <v>1.2731481481481483E-3</v>
      </c>
      <c r="O6" s="81" t="s">
        <v>41</v>
      </c>
      <c r="P6" s="101">
        <f t="shared" ref="P6:P37" si="1">P5+Q6</f>
        <v>6</v>
      </c>
      <c r="Q6" s="101">
        <v>2</v>
      </c>
      <c r="R6" s="105">
        <f t="shared" si="0"/>
        <v>2.7</v>
      </c>
      <c r="S6" s="93" t="s">
        <v>42</v>
      </c>
      <c r="T6" s="101" t="s">
        <v>43</v>
      </c>
      <c r="U6" s="101" t="s">
        <v>43</v>
      </c>
      <c r="V6" s="93" t="s">
        <v>43</v>
      </c>
      <c r="W6" s="115">
        <v>2.8935185185185184E-4</v>
      </c>
      <c r="X6" s="115">
        <v>2.8935185185185184E-4</v>
      </c>
      <c r="Y6" s="115">
        <v>2.3148148148148149E-4</v>
      </c>
      <c r="Z6" s="101"/>
      <c r="AA6" s="101"/>
      <c r="AB6" s="101"/>
      <c r="AC6" s="101"/>
      <c r="AD6" s="92" t="s">
        <v>1334</v>
      </c>
      <c r="AE6" s="101"/>
      <c r="AF6" s="118"/>
      <c r="AG6" s="128"/>
    </row>
    <row r="7" spans="1:33" ht="65.099999999999994" customHeight="1">
      <c r="A7" s="81" t="s">
        <v>32</v>
      </c>
      <c r="B7" s="93">
        <v>3</v>
      </c>
      <c r="C7" s="93">
        <v>1</v>
      </c>
      <c r="D7" s="93">
        <v>5</v>
      </c>
      <c r="E7" s="81" t="s">
        <v>51</v>
      </c>
      <c r="F7" s="81" t="s">
        <v>52</v>
      </c>
      <c r="G7" s="81" t="s">
        <v>53</v>
      </c>
      <c r="H7" s="81" t="s">
        <v>54</v>
      </c>
      <c r="I7" s="93">
        <v>1</v>
      </c>
      <c r="J7" s="81" t="s">
        <v>55</v>
      </c>
      <c r="K7" s="97" t="s">
        <v>38</v>
      </c>
      <c r="L7" s="97" t="s">
        <v>56</v>
      </c>
      <c r="M7" s="81" t="s">
        <v>57</v>
      </c>
      <c r="N7" s="99">
        <f t="shared" ref="N7:N37" si="2">N6+(IFERROR(VALUE(LEFT(L7,FIND("분",L7)-1))*60,0)+IFERROR(VALUE(TRIM(MID(L7,IFERROR(FIND("분",L7),0)+1,IFERROR(FIND("초",L7),LEN(L7)+1)-IFERROR(FIND("분",L7),0)-1))),0))/86400</f>
        <v>1.9675925925925928E-3</v>
      </c>
      <c r="O7" s="81" t="s">
        <v>41</v>
      </c>
      <c r="P7" s="101">
        <f t="shared" si="1"/>
        <v>9</v>
      </c>
      <c r="Q7" s="101">
        <v>3</v>
      </c>
      <c r="R7" s="105">
        <f t="shared" si="0"/>
        <v>5.4</v>
      </c>
      <c r="S7" s="93" t="s">
        <v>42</v>
      </c>
      <c r="T7" s="101" t="s">
        <v>43</v>
      </c>
      <c r="U7" s="101" t="s">
        <v>43</v>
      </c>
      <c r="V7" s="93" t="s">
        <v>43</v>
      </c>
      <c r="W7" s="115">
        <v>8.1018518518518516E-4</v>
      </c>
      <c r="X7" s="115">
        <v>7.5231481481481482E-4</v>
      </c>
      <c r="Y7" s="115">
        <v>6.9444444444444447E-4</v>
      </c>
      <c r="Z7" s="101"/>
      <c r="AA7" s="101"/>
      <c r="AB7" s="101"/>
      <c r="AC7" s="101"/>
      <c r="AD7" s="92" t="s">
        <v>1334</v>
      </c>
      <c r="AE7" s="101"/>
      <c r="AF7" s="118"/>
      <c r="AG7" s="128"/>
    </row>
    <row r="8" spans="1:33" ht="65.099999999999994" customHeight="1">
      <c r="A8" s="81" t="s">
        <v>32</v>
      </c>
      <c r="B8" s="93">
        <v>4</v>
      </c>
      <c r="C8" s="93">
        <v>1</v>
      </c>
      <c r="D8" s="93">
        <v>3</v>
      </c>
      <c r="E8" s="81" t="s">
        <v>58</v>
      </c>
      <c r="F8" s="81" t="s">
        <v>59</v>
      </c>
      <c r="G8" s="81" t="s">
        <v>60</v>
      </c>
      <c r="H8" s="81" t="s">
        <v>61</v>
      </c>
      <c r="I8" s="93">
        <v>4</v>
      </c>
      <c r="J8" s="81" t="s">
        <v>62</v>
      </c>
      <c r="K8" s="97" t="s">
        <v>38</v>
      </c>
      <c r="L8" s="97" t="s">
        <v>63</v>
      </c>
      <c r="M8" s="81" t="s">
        <v>64</v>
      </c>
      <c r="N8" s="99">
        <f t="shared" si="2"/>
        <v>2.4305555555555556E-3</v>
      </c>
      <c r="O8" s="81" t="s">
        <v>41</v>
      </c>
      <c r="P8" s="101">
        <f t="shared" si="1"/>
        <v>11</v>
      </c>
      <c r="Q8" s="101">
        <v>2</v>
      </c>
      <c r="R8" s="105">
        <f t="shared" si="0"/>
        <v>7.7</v>
      </c>
      <c r="S8" s="93" t="s">
        <v>42</v>
      </c>
      <c r="T8" s="101" t="s">
        <v>43</v>
      </c>
      <c r="U8" s="101" t="s">
        <v>43</v>
      </c>
      <c r="V8" s="93" t="s">
        <v>43</v>
      </c>
      <c r="W8" s="115">
        <v>5.7870370370370367E-4</v>
      </c>
      <c r="X8" s="115">
        <v>5.2083333333333333E-4</v>
      </c>
      <c r="Y8" s="115">
        <v>4.6296296296296298E-4</v>
      </c>
      <c r="Z8" s="101"/>
      <c r="AA8" s="101"/>
      <c r="AB8" s="101"/>
      <c r="AC8" s="101"/>
      <c r="AD8" s="92" t="s">
        <v>1334</v>
      </c>
      <c r="AE8" s="101"/>
      <c r="AF8" s="118"/>
      <c r="AG8" s="128"/>
    </row>
    <row r="9" spans="1:33" ht="65.099999999999994" customHeight="1">
      <c r="A9" s="81" t="s">
        <v>32</v>
      </c>
      <c r="B9" s="93">
        <v>5</v>
      </c>
      <c r="C9" s="93">
        <v>1</v>
      </c>
      <c r="D9" s="93">
        <v>3</v>
      </c>
      <c r="E9" s="81" t="s">
        <v>65</v>
      </c>
      <c r="F9" s="81" t="s">
        <v>66</v>
      </c>
      <c r="G9" s="81" t="s">
        <v>67</v>
      </c>
      <c r="H9" s="81" t="s">
        <v>68</v>
      </c>
      <c r="I9" s="93">
        <v>1</v>
      </c>
      <c r="J9" s="81" t="s">
        <v>69</v>
      </c>
      <c r="K9" s="97" t="s">
        <v>38</v>
      </c>
      <c r="L9" s="97" t="s">
        <v>70</v>
      </c>
      <c r="M9" s="81" t="s">
        <v>71</v>
      </c>
      <c r="N9" s="99">
        <f t="shared" si="2"/>
        <v>2.7777777777777779E-3</v>
      </c>
      <c r="O9" s="81" t="s">
        <v>41</v>
      </c>
      <c r="P9" s="101">
        <f t="shared" si="1"/>
        <v>13</v>
      </c>
      <c r="Q9" s="101">
        <v>2</v>
      </c>
      <c r="R9" s="105">
        <f t="shared" si="0"/>
        <v>10.4</v>
      </c>
      <c r="S9" s="93" t="s">
        <v>42</v>
      </c>
      <c r="T9" s="101" t="s">
        <v>43</v>
      </c>
      <c r="U9" s="101" t="s">
        <v>43</v>
      </c>
      <c r="V9" s="93" t="s">
        <v>43</v>
      </c>
      <c r="W9" s="115">
        <v>4.0509259259259258E-4</v>
      </c>
      <c r="X9" s="115">
        <v>4.0509259259259258E-4</v>
      </c>
      <c r="Y9" s="115">
        <v>3.4722222222222224E-4</v>
      </c>
      <c r="Z9" s="101"/>
      <c r="AA9" s="101"/>
      <c r="AB9" s="101"/>
      <c r="AC9" s="101"/>
      <c r="AD9" s="92" t="s">
        <v>1334</v>
      </c>
      <c r="AE9" s="101"/>
      <c r="AF9" s="118"/>
      <c r="AG9" s="128"/>
    </row>
    <row r="10" spans="1:33" ht="65.099999999999994" customHeight="1">
      <c r="A10" s="81" t="s">
        <v>32</v>
      </c>
      <c r="B10" s="93">
        <v>6</v>
      </c>
      <c r="C10" s="93">
        <v>1</v>
      </c>
      <c r="D10" s="93">
        <v>5</v>
      </c>
      <c r="E10" s="81" t="s">
        <v>72</v>
      </c>
      <c r="F10" s="81" t="s">
        <v>73</v>
      </c>
      <c r="G10" s="81" t="s">
        <v>74</v>
      </c>
      <c r="H10" s="81" t="s">
        <v>75</v>
      </c>
      <c r="I10" s="93">
        <v>1</v>
      </c>
      <c r="J10" s="81" t="s">
        <v>76</v>
      </c>
      <c r="K10" s="97" t="s">
        <v>38</v>
      </c>
      <c r="L10" s="97" t="s">
        <v>49</v>
      </c>
      <c r="M10" s="81" t="s">
        <v>77</v>
      </c>
      <c r="N10" s="99">
        <f t="shared" si="2"/>
        <v>3.0092592592592593E-3</v>
      </c>
      <c r="O10" s="81" t="s">
        <v>41</v>
      </c>
      <c r="P10" s="101">
        <f t="shared" si="1"/>
        <v>16</v>
      </c>
      <c r="Q10" s="101">
        <v>3</v>
      </c>
      <c r="R10" s="105">
        <f t="shared" si="0"/>
        <v>15.2</v>
      </c>
      <c r="S10" s="93" t="s">
        <v>42</v>
      </c>
      <c r="T10" s="101" t="s">
        <v>43</v>
      </c>
      <c r="U10" s="101" t="s">
        <v>43</v>
      </c>
      <c r="V10" s="93" t="s">
        <v>43</v>
      </c>
      <c r="W10" s="115">
        <v>2.8935185185185184E-4</v>
      </c>
      <c r="X10" s="115">
        <v>2.8935185185185184E-4</v>
      </c>
      <c r="Y10" s="115">
        <v>2.3148148148148149E-4</v>
      </c>
      <c r="Z10" s="101"/>
      <c r="AA10" s="101"/>
      <c r="AB10" s="101"/>
      <c r="AC10" s="101"/>
      <c r="AD10" s="92" t="s">
        <v>1334</v>
      </c>
      <c r="AE10" s="101"/>
      <c r="AF10" s="118"/>
      <c r="AG10" s="128"/>
    </row>
    <row r="11" spans="1:33" ht="65.099999999999994" customHeight="1">
      <c r="A11" s="81" t="s">
        <v>32</v>
      </c>
      <c r="B11" s="93">
        <v>7</v>
      </c>
      <c r="C11" s="93">
        <v>2</v>
      </c>
      <c r="D11" s="93">
        <v>5</v>
      </c>
      <c r="E11" s="81" t="s">
        <v>78</v>
      </c>
      <c r="F11" s="81" t="s">
        <v>66</v>
      </c>
      <c r="G11" s="81" t="s">
        <v>79</v>
      </c>
      <c r="H11" s="81" t="s">
        <v>80</v>
      </c>
      <c r="I11" s="93">
        <v>1</v>
      </c>
      <c r="J11" s="81" t="s">
        <v>81</v>
      </c>
      <c r="K11" s="97" t="s">
        <v>38</v>
      </c>
      <c r="L11" s="97" t="s">
        <v>82</v>
      </c>
      <c r="M11" s="81" t="s">
        <v>71</v>
      </c>
      <c r="N11" s="99">
        <f t="shared" si="2"/>
        <v>3.8773148148148148E-3</v>
      </c>
      <c r="O11" s="81" t="s">
        <v>83</v>
      </c>
      <c r="P11" s="101">
        <f t="shared" si="1"/>
        <v>19</v>
      </c>
      <c r="Q11" s="101">
        <v>3</v>
      </c>
      <c r="R11" s="105">
        <f t="shared" si="0"/>
        <v>20.9</v>
      </c>
      <c r="S11" s="93" t="s">
        <v>42</v>
      </c>
      <c r="T11" s="101" t="s">
        <v>43</v>
      </c>
      <c r="U11" s="101" t="s">
        <v>43</v>
      </c>
      <c r="V11" s="93" t="s">
        <v>43</v>
      </c>
      <c r="W11" s="115">
        <v>1.0416666666666667E-3</v>
      </c>
      <c r="X11" s="115">
        <v>9.2592592592592596E-4</v>
      </c>
      <c r="Y11" s="115">
        <v>8.6805555555555551E-4</v>
      </c>
      <c r="Z11" s="101"/>
      <c r="AA11" s="101"/>
      <c r="AB11" s="101"/>
      <c r="AC11" s="101"/>
      <c r="AD11" s="92" t="s">
        <v>1334</v>
      </c>
      <c r="AE11" s="101"/>
      <c r="AF11" s="118"/>
      <c r="AG11" s="128"/>
    </row>
    <row r="12" spans="1:33" ht="65.099999999999994" customHeight="1">
      <c r="A12" s="81" t="s">
        <v>32</v>
      </c>
      <c r="B12" s="93">
        <v>8</v>
      </c>
      <c r="C12" s="93">
        <v>2</v>
      </c>
      <c r="D12" s="93">
        <v>6</v>
      </c>
      <c r="E12" s="81" t="s">
        <v>84</v>
      </c>
      <c r="F12" s="81" t="s">
        <v>85</v>
      </c>
      <c r="G12" s="81" t="s">
        <v>86</v>
      </c>
      <c r="H12" s="81" t="s">
        <v>87</v>
      </c>
      <c r="I12" s="93">
        <v>4</v>
      </c>
      <c r="J12" s="81" t="s">
        <v>88</v>
      </c>
      <c r="K12" s="97" t="s">
        <v>38</v>
      </c>
      <c r="L12" s="97" t="s">
        <v>39</v>
      </c>
      <c r="M12" s="81" t="s">
        <v>89</v>
      </c>
      <c r="N12" s="99">
        <f t="shared" si="2"/>
        <v>4.9189814814814816E-3</v>
      </c>
      <c r="O12" s="81" t="s">
        <v>83</v>
      </c>
      <c r="P12" s="101">
        <f t="shared" si="1"/>
        <v>23</v>
      </c>
      <c r="Q12" s="101">
        <v>4</v>
      </c>
      <c r="R12" s="105">
        <f t="shared" si="0"/>
        <v>29.9</v>
      </c>
      <c r="S12" s="93" t="s">
        <v>42</v>
      </c>
      <c r="T12" s="101" t="s">
        <v>43</v>
      </c>
      <c r="U12" s="101" t="s">
        <v>43</v>
      </c>
      <c r="V12" s="93" t="s">
        <v>43</v>
      </c>
      <c r="W12" s="115">
        <v>1.2152777777777778E-3</v>
      </c>
      <c r="X12" s="115">
        <v>1.0995370370370371E-3</v>
      </c>
      <c r="Y12" s="115">
        <v>1.0416666666666667E-3</v>
      </c>
      <c r="Z12" s="101"/>
      <c r="AA12" s="101"/>
      <c r="AB12" s="101"/>
      <c r="AC12" s="101"/>
      <c r="AD12" s="92" t="s">
        <v>1334</v>
      </c>
      <c r="AE12" s="101"/>
      <c r="AF12" s="118"/>
      <c r="AG12" s="128"/>
    </row>
    <row r="13" spans="1:33" ht="65.099999999999994" customHeight="1">
      <c r="A13" s="81" t="s">
        <v>32</v>
      </c>
      <c r="B13" s="93">
        <v>9</v>
      </c>
      <c r="C13" s="93">
        <v>1</v>
      </c>
      <c r="D13" s="93">
        <v>5</v>
      </c>
      <c r="E13" s="81" t="s">
        <v>90</v>
      </c>
      <c r="F13" s="81" t="s">
        <v>73</v>
      </c>
      <c r="G13" s="81" t="s">
        <v>91</v>
      </c>
      <c r="H13" s="81" t="s">
        <v>92</v>
      </c>
      <c r="I13" s="93">
        <v>2</v>
      </c>
      <c r="J13" s="81" t="s">
        <v>93</v>
      </c>
      <c r="K13" s="97" t="s">
        <v>38</v>
      </c>
      <c r="L13" s="97" t="s">
        <v>94</v>
      </c>
      <c r="M13" s="81" t="s">
        <v>77</v>
      </c>
      <c r="N13" s="99">
        <f t="shared" si="2"/>
        <v>5.324074074074074E-3</v>
      </c>
      <c r="O13" s="81" t="s">
        <v>83</v>
      </c>
      <c r="P13" s="101">
        <f t="shared" si="1"/>
        <v>25</v>
      </c>
      <c r="Q13" s="101">
        <v>2</v>
      </c>
      <c r="R13" s="105">
        <f t="shared" si="0"/>
        <v>35</v>
      </c>
      <c r="S13" s="93" t="s">
        <v>42</v>
      </c>
      <c r="T13" s="101" t="s">
        <v>43</v>
      </c>
      <c r="U13" s="101" t="s">
        <v>43</v>
      </c>
      <c r="V13" s="93" t="s">
        <v>43</v>
      </c>
      <c r="W13" s="115">
        <v>5.2083333333333333E-4</v>
      </c>
      <c r="X13" s="115">
        <v>4.6296296296296298E-4</v>
      </c>
      <c r="Y13" s="115">
        <v>4.0509259259259258E-4</v>
      </c>
      <c r="Z13" s="101"/>
      <c r="AA13" s="101"/>
      <c r="AB13" s="101"/>
      <c r="AC13" s="101"/>
      <c r="AD13" s="92" t="s">
        <v>1334</v>
      </c>
      <c r="AE13" s="101"/>
      <c r="AF13" s="118"/>
      <c r="AG13" s="128"/>
    </row>
    <row r="14" spans="1:33" ht="65.099999999999994" customHeight="1">
      <c r="A14" s="81" t="s">
        <v>32</v>
      </c>
      <c r="B14" s="93">
        <v>10</v>
      </c>
      <c r="C14" s="93">
        <v>1</v>
      </c>
      <c r="D14" s="93">
        <v>6</v>
      </c>
      <c r="E14" s="81" t="s">
        <v>95</v>
      </c>
      <c r="F14" s="81" t="s">
        <v>52</v>
      </c>
      <c r="G14" s="81" t="s">
        <v>53</v>
      </c>
      <c r="H14" s="81" t="s">
        <v>96</v>
      </c>
      <c r="I14" s="93">
        <v>1</v>
      </c>
      <c r="J14" s="81" t="s">
        <v>97</v>
      </c>
      <c r="K14" s="97" t="s">
        <v>38</v>
      </c>
      <c r="L14" s="97" t="s">
        <v>82</v>
      </c>
      <c r="M14" s="81" t="s">
        <v>57</v>
      </c>
      <c r="N14" s="99">
        <f t="shared" si="2"/>
        <v>6.192129629629629E-3</v>
      </c>
      <c r="O14" s="81" t="s">
        <v>83</v>
      </c>
      <c r="P14" s="101">
        <f t="shared" si="1"/>
        <v>28</v>
      </c>
      <c r="Q14" s="101">
        <v>3</v>
      </c>
      <c r="R14" s="105">
        <f t="shared" si="0"/>
        <v>43.4</v>
      </c>
      <c r="S14" s="93" t="s">
        <v>42</v>
      </c>
      <c r="T14" s="101" t="s">
        <v>43</v>
      </c>
      <c r="U14" s="101" t="s">
        <v>43</v>
      </c>
      <c r="V14" s="93" t="s">
        <v>43</v>
      </c>
      <c r="W14" s="115">
        <v>1.0416666666666667E-3</v>
      </c>
      <c r="X14" s="115">
        <v>9.2592592592592596E-4</v>
      </c>
      <c r="Y14" s="115">
        <v>8.6805555555555551E-4</v>
      </c>
      <c r="Z14" s="101"/>
      <c r="AA14" s="101"/>
      <c r="AB14" s="101"/>
      <c r="AC14" s="101"/>
      <c r="AD14" s="92" t="s">
        <v>1334</v>
      </c>
      <c r="AE14" s="101"/>
      <c r="AF14" s="118"/>
      <c r="AG14" s="128"/>
    </row>
    <row r="15" spans="1:33" ht="65.099999999999994" customHeight="1">
      <c r="A15" s="81" t="s">
        <v>32</v>
      </c>
      <c r="B15" s="93">
        <v>11</v>
      </c>
      <c r="C15" s="93">
        <v>2</v>
      </c>
      <c r="D15" s="93">
        <v>5</v>
      </c>
      <c r="E15" s="81" t="s">
        <v>98</v>
      </c>
      <c r="F15" s="81" t="s">
        <v>66</v>
      </c>
      <c r="G15" s="81" t="s">
        <v>99</v>
      </c>
      <c r="H15" s="81" t="s">
        <v>80</v>
      </c>
      <c r="I15" s="93">
        <v>1</v>
      </c>
      <c r="J15" s="81" t="s">
        <v>100</v>
      </c>
      <c r="K15" s="97" t="s">
        <v>38</v>
      </c>
      <c r="L15" s="97" t="s">
        <v>39</v>
      </c>
      <c r="M15" s="81" t="s">
        <v>71</v>
      </c>
      <c r="N15" s="99">
        <f t="shared" si="2"/>
        <v>7.2337962962962955E-3</v>
      </c>
      <c r="O15" s="81" t="s">
        <v>101</v>
      </c>
      <c r="P15" s="101">
        <f t="shared" si="1"/>
        <v>31</v>
      </c>
      <c r="Q15" s="101">
        <v>3</v>
      </c>
      <c r="R15" s="105">
        <f t="shared" si="0"/>
        <v>52.7</v>
      </c>
      <c r="S15" s="93" t="s">
        <v>42</v>
      </c>
      <c r="T15" s="101" t="s">
        <v>43</v>
      </c>
      <c r="U15" s="101" t="s">
        <v>43</v>
      </c>
      <c r="V15" s="93" t="s">
        <v>43</v>
      </c>
      <c r="W15" s="115">
        <v>1.2152777777777778E-3</v>
      </c>
      <c r="X15" s="115">
        <v>1.0995370370370371E-3</v>
      </c>
      <c r="Y15" s="115">
        <v>1.0416666666666667E-3</v>
      </c>
      <c r="Z15" s="101"/>
      <c r="AA15" s="101"/>
      <c r="AB15" s="101"/>
      <c r="AC15" s="101"/>
      <c r="AD15" s="92" t="s">
        <v>1334</v>
      </c>
      <c r="AE15" s="101"/>
      <c r="AF15" s="118"/>
      <c r="AG15" s="128"/>
    </row>
    <row r="16" spans="1:33" ht="65.099999999999994" customHeight="1">
      <c r="A16" s="81" t="s">
        <v>32</v>
      </c>
      <c r="B16" s="93">
        <v>12</v>
      </c>
      <c r="C16" s="93">
        <v>2</v>
      </c>
      <c r="D16" s="93">
        <v>6</v>
      </c>
      <c r="E16" s="81" t="s">
        <v>102</v>
      </c>
      <c r="F16" s="81" t="s">
        <v>85</v>
      </c>
      <c r="G16" s="81" t="s">
        <v>103</v>
      </c>
      <c r="H16" s="81" t="s">
        <v>87</v>
      </c>
      <c r="I16" s="93">
        <v>5</v>
      </c>
      <c r="J16" s="81" t="s">
        <v>104</v>
      </c>
      <c r="K16" s="97" t="s">
        <v>38</v>
      </c>
      <c r="L16" s="97" t="s">
        <v>105</v>
      </c>
      <c r="M16" s="81" t="s">
        <v>89</v>
      </c>
      <c r="N16" s="99">
        <f t="shared" si="2"/>
        <v>8.5069444444444437E-3</v>
      </c>
      <c r="O16" s="81" t="s">
        <v>101</v>
      </c>
      <c r="P16" s="101">
        <f t="shared" si="1"/>
        <v>35</v>
      </c>
      <c r="Q16" s="101">
        <v>4</v>
      </c>
      <c r="R16" s="105">
        <f t="shared" si="0"/>
        <v>66.5</v>
      </c>
      <c r="S16" s="93" t="s">
        <v>42</v>
      </c>
      <c r="T16" s="101" t="s">
        <v>43</v>
      </c>
      <c r="U16" s="101" t="s">
        <v>43</v>
      </c>
      <c r="V16" s="93" t="s">
        <v>43</v>
      </c>
      <c r="W16" s="115">
        <v>1.5046296296296296E-3</v>
      </c>
      <c r="X16" s="115">
        <v>1.3888888888888889E-3</v>
      </c>
      <c r="Y16" s="115">
        <v>1.2731481481481483E-3</v>
      </c>
      <c r="Z16" s="101"/>
      <c r="AA16" s="101"/>
      <c r="AB16" s="101"/>
      <c r="AC16" s="101"/>
      <c r="AD16" s="92" t="s">
        <v>1334</v>
      </c>
      <c r="AE16" s="101"/>
      <c r="AF16" s="118"/>
      <c r="AG16" s="128"/>
    </row>
    <row r="17" spans="1:33" ht="65.099999999999994" customHeight="1">
      <c r="A17" s="81" t="s">
        <v>32</v>
      </c>
      <c r="B17" s="93">
        <v>13</v>
      </c>
      <c r="C17" s="93">
        <v>1</v>
      </c>
      <c r="D17" s="93">
        <v>5</v>
      </c>
      <c r="E17" s="81" t="s">
        <v>106</v>
      </c>
      <c r="F17" s="81" t="s">
        <v>107</v>
      </c>
      <c r="G17" s="81" t="s">
        <v>108</v>
      </c>
      <c r="H17" s="81" t="s">
        <v>109</v>
      </c>
      <c r="I17" s="93">
        <v>3</v>
      </c>
      <c r="J17" s="81" t="s">
        <v>110</v>
      </c>
      <c r="K17" s="97" t="s">
        <v>111</v>
      </c>
      <c r="L17" s="97" t="s">
        <v>112</v>
      </c>
      <c r="M17" s="81" t="s">
        <v>113</v>
      </c>
      <c r="N17" s="99">
        <f t="shared" si="2"/>
        <v>9.0856481481481483E-3</v>
      </c>
      <c r="O17" s="81" t="s">
        <v>101</v>
      </c>
      <c r="P17" s="101">
        <f t="shared" si="1"/>
        <v>37</v>
      </c>
      <c r="Q17" s="101">
        <v>2</v>
      </c>
      <c r="R17" s="105">
        <f t="shared" si="0"/>
        <v>74</v>
      </c>
      <c r="S17" s="93" t="s">
        <v>42</v>
      </c>
      <c r="T17" s="101" t="s">
        <v>43</v>
      </c>
      <c r="U17" s="101" t="s">
        <v>43</v>
      </c>
      <c r="V17" s="93" t="s">
        <v>43</v>
      </c>
      <c r="W17" s="115">
        <v>6.9444444444444447E-4</v>
      </c>
      <c r="X17" s="115">
        <v>6.3657407407407413E-4</v>
      </c>
      <c r="Y17" s="115">
        <v>5.7870370370370367E-4</v>
      </c>
      <c r="Z17" s="101"/>
      <c r="AA17" s="101"/>
      <c r="AB17" s="101"/>
      <c r="AC17" s="101"/>
      <c r="AD17" s="92" t="s">
        <v>1334</v>
      </c>
      <c r="AE17" s="101"/>
      <c r="AF17" s="118"/>
      <c r="AG17" s="128"/>
    </row>
    <row r="18" spans="1:33" ht="65.099999999999994" customHeight="1">
      <c r="A18" s="81" t="s">
        <v>32</v>
      </c>
      <c r="B18" s="93">
        <v>14</v>
      </c>
      <c r="C18" s="93">
        <v>2</v>
      </c>
      <c r="D18" s="93">
        <v>5</v>
      </c>
      <c r="E18" s="81" t="s">
        <v>114</v>
      </c>
      <c r="F18" s="81" t="s">
        <v>66</v>
      </c>
      <c r="G18" s="81" t="s">
        <v>115</v>
      </c>
      <c r="H18" s="81" t="s">
        <v>80</v>
      </c>
      <c r="I18" s="93">
        <v>1</v>
      </c>
      <c r="J18" s="81" t="s">
        <v>116</v>
      </c>
      <c r="K18" s="97" t="s">
        <v>38</v>
      </c>
      <c r="L18" s="97" t="s">
        <v>117</v>
      </c>
      <c r="M18" s="81" t="s">
        <v>71</v>
      </c>
      <c r="N18" s="99">
        <f t="shared" si="2"/>
        <v>1.0474537037037037E-2</v>
      </c>
      <c r="O18" s="81" t="s">
        <v>118</v>
      </c>
      <c r="P18" s="101">
        <f t="shared" si="1"/>
        <v>40</v>
      </c>
      <c r="Q18" s="101">
        <v>3</v>
      </c>
      <c r="R18" s="105">
        <f t="shared" si="0"/>
        <v>86</v>
      </c>
      <c r="S18" s="93" t="s">
        <v>42</v>
      </c>
      <c r="T18" s="101" t="s">
        <v>43</v>
      </c>
      <c r="U18" s="101" t="s">
        <v>43</v>
      </c>
      <c r="V18" s="93" t="s">
        <v>43</v>
      </c>
      <c r="W18" s="115">
        <v>1.6203703703703703E-3</v>
      </c>
      <c r="X18" s="115">
        <v>1.5046296296296296E-3</v>
      </c>
      <c r="Y18" s="115">
        <v>1.3888888888888889E-3</v>
      </c>
      <c r="Z18" s="101"/>
      <c r="AA18" s="101"/>
      <c r="AB18" s="101"/>
      <c r="AC18" s="101"/>
      <c r="AD18" s="92" t="s">
        <v>1334</v>
      </c>
      <c r="AE18" s="101"/>
      <c r="AF18" s="118"/>
      <c r="AG18" s="128"/>
    </row>
    <row r="19" spans="1:33" ht="65.099999999999994" customHeight="1">
      <c r="A19" s="81" t="s">
        <v>32</v>
      </c>
      <c r="B19" s="93">
        <v>15</v>
      </c>
      <c r="C19" s="93">
        <v>2</v>
      </c>
      <c r="D19" s="93">
        <v>5</v>
      </c>
      <c r="E19" s="81" t="s">
        <v>119</v>
      </c>
      <c r="F19" s="81" t="s">
        <v>107</v>
      </c>
      <c r="G19" s="81" t="s">
        <v>108</v>
      </c>
      <c r="H19" s="81" t="s">
        <v>109</v>
      </c>
      <c r="I19" s="93">
        <v>3</v>
      </c>
      <c r="J19" s="81" t="s">
        <v>120</v>
      </c>
      <c r="K19" s="97" t="s">
        <v>111</v>
      </c>
      <c r="L19" s="97" t="s">
        <v>121</v>
      </c>
      <c r="M19" s="81" t="s">
        <v>113</v>
      </c>
      <c r="N19" s="99">
        <f t="shared" si="2"/>
        <v>1.1400462962962963E-2</v>
      </c>
      <c r="O19" s="81" t="s">
        <v>118</v>
      </c>
      <c r="P19" s="101">
        <f t="shared" si="1"/>
        <v>43</v>
      </c>
      <c r="Q19" s="101">
        <v>3</v>
      </c>
      <c r="R19" s="105">
        <f t="shared" si="0"/>
        <v>98.9</v>
      </c>
      <c r="S19" s="93" t="s">
        <v>42</v>
      </c>
      <c r="T19" s="101" t="s">
        <v>43</v>
      </c>
      <c r="U19" s="101" t="s">
        <v>43</v>
      </c>
      <c r="V19" s="93" t="s">
        <v>43</v>
      </c>
      <c r="W19" s="115">
        <v>1.0995370370370371E-3</v>
      </c>
      <c r="X19" s="115">
        <v>9.837962962962962E-4</v>
      </c>
      <c r="Y19" s="115">
        <v>9.2592592592592596E-4</v>
      </c>
      <c r="Z19" s="101"/>
      <c r="AA19" s="101"/>
      <c r="AB19" s="101"/>
      <c r="AC19" s="101"/>
      <c r="AD19" s="92" t="s">
        <v>1334</v>
      </c>
      <c r="AE19" s="101"/>
      <c r="AF19" s="118"/>
      <c r="AG19" s="128"/>
    </row>
    <row r="20" spans="1:33" ht="65.099999999999994" customHeight="1">
      <c r="A20" s="81" t="s">
        <v>32</v>
      </c>
      <c r="B20" s="93">
        <v>16</v>
      </c>
      <c r="C20" s="93">
        <v>1</v>
      </c>
      <c r="D20" s="93">
        <v>7</v>
      </c>
      <c r="E20" s="81" t="s">
        <v>122</v>
      </c>
      <c r="F20" s="81" t="s">
        <v>123</v>
      </c>
      <c r="G20" s="81" t="s">
        <v>124</v>
      </c>
      <c r="H20" s="81" t="s">
        <v>125</v>
      </c>
      <c r="I20" s="93">
        <v>1</v>
      </c>
      <c r="J20" s="81" t="s">
        <v>126</v>
      </c>
      <c r="K20" s="97" t="s">
        <v>127</v>
      </c>
      <c r="L20" s="97" t="s">
        <v>128</v>
      </c>
      <c r="M20" s="81" t="s">
        <v>129</v>
      </c>
      <c r="N20" s="99">
        <f t="shared" si="2"/>
        <v>1.1689814814814814E-2</v>
      </c>
      <c r="O20" s="81" t="s">
        <v>118</v>
      </c>
      <c r="P20" s="101">
        <f t="shared" si="1"/>
        <v>46</v>
      </c>
      <c r="Q20" s="101">
        <v>3</v>
      </c>
      <c r="R20" s="105">
        <f t="shared" si="0"/>
        <v>112.7</v>
      </c>
      <c r="S20" s="93" t="s">
        <v>42</v>
      </c>
      <c r="T20" s="101" t="s">
        <v>43</v>
      </c>
      <c r="U20" s="101" t="s">
        <v>43</v>
      </c>
      <c r="V20" s="93" t="s">
        <v>43</v>
      </c>
      <c r="W20" s="115">
        <v>3.4722222222222224E-4</v>
      </c>
      <c r="X20" s="115">
        <v>3.4722222222222224E-4</v>
      </c>
      <c r="Y20" s="115">
        <v>2.8935185185185184E-4</v>
      </c>
      <c r="Z20" s="101"/>
      <c r="AA20" s="101"/>
      <c r="AB20" s="101"/>
      <c r="AC20" s="101"/>
      <c r="AD20" s="92" t="s">
        <v>1334</v>
      </c>
      <c r="AE20" s="101"/>
      <c r="AF20" s="118"/>
      <c r="AG20" s="128"/>
    </row>
    <row r="21" spans="1:33" ht="65.099999999999994" customHeight="1">
      <c r="A21" s="81" t="s">
        <v>32</v>
      </c>
      <c r="B21" s="93">
        <v>17</v>
      </c>
      <c r="C21" s="93">
        <v>3</v>
      </c>
      <c r="D21" s="93">
        <v>7</v>
      </c>
      <c r="E21" s="81" t="s">
        <v>130</v>
      </c>
      <c r="F21" s="81" t="s">
        <v>131</v>
      </c>
      <c r="G21" s="81" t="s">
        <v>132</v>
      </c>
      <c r="H21" s="81" t="s">
        <v>133</v>
      </c>
      <c r="I21" s="93">
        <v>3</v>
      </c>
      <c r="J21" s="81" t="s">
        <v>134</v>
      </c>
      <c r="K21" s="97" t="s">
        <v>135</v>
      </c>
      <c r="L21" s="97" t="s">
        <v>136</v>
      </c>
      <c r="M21" s="81" t="s">
        <v>137</v>
      </c>
      <c r="N21" s="99">
        <f t="shared" si="2"/>
        <v>1.2499999999999999E-2</v>
      </c>
      <c r="O21" s="81" t="s">
        <v>138</v>
      </c>
      <c r="P21" s="101">
        <f t="shared" si="1"/>
        <v>51</v>
      </c>
      <c r="Q21" s="101">
        <v>5</v>
      </c>
      <c r="R21" s="105">
        <f t="shared" si="0"/>
        <v>137.69999999999999</v>
      </c>
      <c r="S21" s="93" t="s">
        <v>42</v>
      </c>
      <c r="T21" s="101" t="s">
        <v>43</v>
      </c>
      <c r="U21" s="101" t="s">
        <v>43</v>
      </c>
      <c r="V21" s="93" t="s">
        <v>43</v>
      </c>
      <c r="W21" s="115">
        <v>1.0995370370370371E-3</v>
      </c>
      <c r="X21" s="115">
        <v>9.837962962962962E-4</v>
      </c>
      <c r="Y21" s="115">
        <v>8.1018518518518516E-4</v>
      </c>
      <c r="Z21" s="101"/>
      <c r="AA21" s="101"/>
      <c r="AB21" s="101"/>
      <c r="AC21" s="101"/>
      <c r="AD21" s="92" t="s">
        <v>1334</v>
      </c>
      <c r="AE21" s="101"/>
      <c r="AF21" s="118"/>
      <c r="AG21" s="128"/>
    </row>
    <row r="22" spans="1:33" ht="65.099999999999994" customHeight="1">
      <c r="A22" s="81" t="s">
        <v>32</v>
      </c>
      <c r="B22" s="93">
        <v>18</v>
      </c>
      <c r="C22" s="93">
        <v>5</v>
      </c>
      <c r="D22" s="93">
        <v>8</v>
      </c>
      <c r="E22" s="81" t="s">
        <v>139</v>
      </c>
      <c r="F22" s="81" t="s">
        <v>140</v>
      </c>
      <c r="G22" s="81" t="s">
        <v>141</v>
      </c>
      <c r="H22" s="81" t="s">
        <v>142</v>
      </c>
      <c r="I22" s="93">
        <v>1</v>
      </c>
      <c r="J22" s="81" t="s">
        <v>143</v>
      </c>
      <c r="K22" s="97" t="s">
        <v>144</v>
      </c>
      <c r="L22" s="97" t="s">
        <v>117</v>
      </c>
      <c r="M22" s="81" t="s">
        <v>145</v>
      </c>
      <c r="N22" s="99">
        <f t="shared" si="2"/>
        <v>1.3888888888888888E-2</v>
      </c>
      <c r="O22" s="81" t="s">
        <v>138</v>
      </c>
      <c r="P22" s="101">
        <f t="shared" si="1"/>
        <v>58</v>
      </c>
      <c r="Q22" s="101">
        <v>7</v>
      </c>
      <c r="R22" s="105">
        <f t="shared" si="0"/>
        <v>176.9</v>
      </c>
      <c r="S22" s="93" t="s">
        <v>42</v>
      </c>
      <c r="T22" s="101" t="s">
        <v>43</v>
      </c>
      <c r="U22" s="101" t="s">
        <v>43</v>
      </c>
      <c r="V22" s="93" t="s">
        <v>43</v>
      </c>
      <c r="W22" s="115">
        <v>2.2569444444444442E-3</v>
      </c>
      <c r="X22" s="115">
        <v>1.8518518518518519E-3</v>
      </c>
      <c r="Y22" s="115">
        <v>1.3888888888888889E-3</v>
      </c>
      <c r="Z22" s="101"/>
      <c r="AA22" s="101"/>
      <c r="AB22" s="101"/>
      <c r="AC22" s="101"/>
      <c r="AD22" s="92" t="s">
        <v>1334</v>
      </c>
      <c r="AE22" s="101"/>
      <c r="AF22" s="118"/>
      <c r="AG22" s="128"/>
    </row>
    <row r="23" spans="1:33" ht="65.099999999999994" customHeight="1">
      <c r="A23" s="81" t="s">
        <v>32</v>
      </c>
      <c r="B23" s="93">
        <v>19</v>
      </c>
      <c r="C23" s="93">
        <v>5</v>
      </c>
      <c r="D23" s="93">
        <v>8</v>
      </c>
      <c r="E23" s="81" t="s">
        <v>146</v>
      </c>
      <c r="F23" s="81" t="s">
        <v>147</v>
      </c>
      <c r="G23" s="81" t="s">
        <v>148</v>
      </c>
      <c r="H23" s="81" t="s">
        <v>149</v>
      </c>
      <c r="I23" s="93">
        <v>6</v>
      </c>
      <c r="J23" s="81" t="s">
        <v>150</v>
      </c>
      <c r="K23" s="97" t="s">
        <v>151</v>
      </c>
      <c r="L23" s="97" t="s">
        <v>121</v>
      </c>
      <c r="M23" s="81" t="s">
        <v>152</v>
      </c>
      <c r="N23" s="99">
        <f t="shared" si="2"/>
        <v>1.4814814814814814E-2</v>
      </c>
      <c r="O23" s="81" t="s">
        <v>138</v>
      </c>
      <c r="P23" s="101">
        <f t="shared" si="1"/>
        <v>65</v>
      </c>
      <c r="Q23" s="101">
        <v>7</v>
      </c>
      <c r="R23" s="105">
        <f t="shared" si="0"/>
        <v>221</v>
      </c>
      <c r="S23" s="93" t="s">
        <v>42</v>
      </c>
      <c r="T23" s="101" t="s">
        <v>43</v>
      </c>
      <c r="U23" s="101" t="s">
        <v>43</v>
      </c>
      <c r="V23" s="93" t="s">
        <v>43</v>
      </c>
      <c r="W23" s="115">
        <v>1.5046296296296296E-3</v>
      </c>
      <c r="X23" s="115">
        <v>1.2152777777777778E-3</v>
      </c>
      <c r="Y23" s="115">
        <v>9.2592592592592596E-4</v>
      </c>
      <c r="Z23" s="101"/>
      <c r="AA23" s="101"/>
      <c r="AB23" s="101"/>
      <c r="AC23" s="101"/>
      <c r="AD23" s="92" t="s">
        <v>1334</v>
      </c>
      <c r="AE23" s="101"/>
      <c r="AF23" s="118"/>
      <c r="AG23" s="128"/>
    </row>
    <row r="24" spans="1:33" ht="65.099999999999994" customHeight="1">
      <c r="A24" s="81" t="s">
        <v>32</v>
      </c>
      <c r="B24" s="93">
        <v>20</v>
      </c>
      <c r="C24" s="93">
        <v>4</v>
      </c>
      <c r="D24" s="93">
        <v>7</v>
      </c>
      <c r="E24" s="81" t="s">
        <v>153</v>
      </c>
      <c r="F24" s="81" t="s">
        <v>154</v>
      </c>
      <c r="G24" s="81" t="s">
        <v>155</v>
      </c>
      <c r="H24" s="81" t="s">
        <v>156</v>
      </c>
      <c r="I24" s="93">
        <v>4</v>
      </c>
      <c r="J24" s="81" t="s">
        <v>157</v>
      </c>
      <c r="K24" s="97" t="s">
        <v>158</v>
      </c>
      <c r="L24" s="97" t="s">
        <v>159</v>
      </c>
      <c r="M24" s="81" t="s">
        <v>160</v>
      </c>
      <c r="N24" s="99">
        <f t="shared" si="2"/>
        <v>1.5972222222222221E-2</v>
      </c>
      <c r="O24" s="81" t="s">
        <v>138</v>
      </c>
      <c r="P24" s="101">
        <f t="shared" si="1"/>
        <v>71</v>
      </c>
      <c r="Q24" s="101">
        <v>6</v>
      </c>
      <c r="R24" s="105">
        <f t="shared" si="0"/>
        <v>262.7</v>
      </c>
      <c r="S24" s="93" t="s">
        <v>42</v>
      </c>
      <c r="T24" s="101" t="s">
        <v>43</v>
      </c>
      <c r="U24" s="101" t="s">
        <v>43</v>
      </c>
      <c r="V24" s="93" t="s">
        <v>43</v>
      </c>
      <c r="W24" s="115">
        <v>1.5625000000000001E-3</v>
      </c>
      <c r="X24" s="115">
        <v>1.3310185185185185E-3</v>
      </c>
      <c r="Y24" s="115">
        <v>1.1574074074074073E-3</v>
      </c>
      <c r="Z24" s="101"/>
      <c r="AA24" s="101"/>
      <c r="AB24" s="101"/>
      <c r="AC24" s="101"/>
      <c r="AD24" s="92" t="s">
        <v>1334</v>
      </c>
      <c r="AE24" s="101"/>
      <c r="AF24" s="118"/>
      <c r="AG24" s="128"/>
    </row>
    <row r="25" spans="1:33" ht="65.099999999999994" customHeight="1">
      <c r="A25" s="81" t="s">
        <v>32</v>
      </c>
      <c r="B25" s="93">
        <v>21</v>
      </c>
      <c r="C25" s="93">
        <v>2</v>
      </c>
      <c r="D25" s="93">
        <v>5</v>
      </c>
      <c r="E25" s="81" t="s">
        <v>161</v>
      </c>
      <c r="F25" s="81" t="s">
        <v>107</v>
      </c>
      <c r="G25" s="81" t="s">
        <v>108</v>
      </c>
      <c r="H25" s="81" t="s">
        <v>162</v>
      </c>
      <c r="I25" s="93">
        <v>3</v>
      </c>
      <c r="J25" s="81" t="s">
        <v>163</v>
      </c>
      <c r="K25" s="97" t="s">
        <v>111</v>
      </c>
      <c r="L25" s="97" t="s">
        <v>164</v>
      </c>
      <c r="M25" s="81" t="s">
        <v>113</v>
      </c>
      <c r="N25" s="99">
        <f t="shared" si="2"/>
        <v>1.6608796296296295E-2</v>
      </c>
      <c r="O25" s="81" t="s">
        <v>138</v>
      </c>
      <c r="P25" s="101">
        <f t="shared" si="1"/>
        <v>74</v>
      </c>
      <c r="Q25" s="101">
        <v>3</v>
      </c>
      <c r="R25" s="105">
        <f t="shared" si="0"/>
        <v>284.89999999999998</v>
      </c>
      <c r="S25" s="93" t="s">
        <v>42</v>
      </c>
      <c r="T25" s="101" t="s">
        <v>43</v>
      </c>
      <c r="U25" s="101" t="s">
        <v>43</v>
      </c>
      <c r="V25" s="93" t="s">
        <v>43</v>
      </c>
      <c r="W25" s="115">
        <v>7.5231481481481482E-4</v>
      </c>
      <c r="X25" s="115">
        <v>6.9444444444444447E-4</v>
      </c>
      <c r="Y25" s="115">
        <v>6.3657407407407413E-4</v>
      </c>
      <c r="Z25" s="101"/>
      <c r="AA25" s="101"/>
      <c r="AB25" s="101"/>
      <c r="AC25" s="101"/>
      <c r="AD25" s="92" t="s">
        <v>1334</v>
      </c>
      <c r="AE25" s="101"/>
      <c r="AF25" s="118"/>
      <c r="AG25" s="128"/>
    </row>
    <row r="26" spans="1:33" ht="65.099999999999994" customHeight="1">
      <c r="A26" s="81" t="s">
        <v>32</v>
      </c>
      <c r="B26" s="93">
        <v>22</v>
      </c>
      <c r="C26" s="93">
        <v>1</v>
      </c>
      <c r="D26" s="93">
        <v>5</v>
      </c>
      <c r="E26" s="81" t="s">
        <v>165</v>
      </c>
      <c r="F26" s="81" t="s">
        <v>52</v>
      </c>
      <c r="G26" s="81" t="s">
        <v>53</v>
      </c>
      <c r="H26" s="81" t="s">
        <v>96</v>
      </c>
      <c r="I26" s="93">
        <v>1</v>
      </c>
      <c r="J26" s="81" t="s">
        <v>166</v>
      </c>
      <c r="K26" s="97" t="s">
        <v>38</v>
      </c>
      <c r="L26" s="97" t="s">
        <v>136</v>
      </c>
      <c r="M26" s="81" t="s">
        <v>57</v>
      </c>
      <c r="N26" s="99">
        <f t="shared" si="2"/>
        <v>1.741898148148148E-2</v>
      </c>
      <c r="O26" s="81" t="s">
        <v>138</v>
      </c>
      <c r="P26" s="101">
        <f t="shared" si="1"/>
        <v>76</v>
      </c>
      <c r="Q26" s="101">
        <v>2</v>
      </c>
      <c r="R26" s="105">
        <f t="shared" si="0"/>
        <v>300.2</v>
      </c>
      <c r="S26" s="93" t="s">
        <v>42</v>
      </c>
      <c r="T26" s="101" t="s">
        <v>43</v>
      </c>
      <c r="U26" s="101" t="s">
        <v>43</v>
      </c>
      <c r="V26" s="93" t="s">
        <v>43</v>
      </c>
      <c r="W26" s="115">
        <v>9.837962962962962E-4</v>
      </c>
      <c r="X26" s="115">
        <v>8.6805555555555551E-4</v>
      </c>
      <c r="Y26" s="115">
        <v>8.1018518518518516E-4</v>
      </c>
      <c r="Z26" s="101"/>
      <c r="AA26" s="101"/>
      <c r="AB26" s="101"/>
      <c r="AC26" s="101"/>
      <c r="AD26" s="92" t="s">
        <v>1334</v>
      </c>
      <c r="AE26" s="101"/>
      <c r="AF26" s="118"/>
      <c r="AG26" s="128"/>
    </row>
    <row r="27" spans="1:33" ht="65.099999999999994" customHeight="1">
      <c r="A27" s="81" t="s">
        <v>32</v>
      </c>
      <c r="B27" s="93">
        <v>23</v>
      </c>
      <c r="C27" s="93">
        <v>2</v>
      </c>
      <c r="D27" s="93">
        <v>5</v>
      </c>
      <c r="E27" s="81" t="s">
        <v>167</v>
      </c>
      <c r="F27" s="81" t="s">
        <v>66</v>
      </c>
      <c r="G27" s="81" t="s">
        <v>168</v>
      </c>
      <c r="H27" s="81" t="s">
        <v>80</v>
      </c>
      <c r="I27" s="93">
        <v>1</v>
      </c>
      <c r="J27" s="81" t="s">
        <v>169</v>
      </c>
      <c r="K27" s="97" t="s">
        <v>38</v>
      </c>
      <c r="L27" s="97" t="s">
        <v>170</v>
      </c>
      <c r="M27" s="81" t="s">
        <v>71</v>
      </c>
      <c r="N27" s="99">
        <f t="shared" si="2"/>
        <v>1.9155092592592592E-2</v>
      </c>
      <c r="O27" s="81" t="s">
        <v>171</v>
      </c>
      <c r="P27" s="101">
        <f t="shared" si="1"/>
        <v>79</v>
      </c>
      <c r="Q27" s="101">
        <v>3</v>
      </c>
      <c r="R27" s="105">
        <f t="shared" si="0"/>
        <v>323.89999999999998</v>
      </c>
      <c r="S27" s="93" t="s">
        <v>42</v>
      </c>
      <c r="T27" s="101" t="s">
        <v>43</v>
      </c>
      <c r="U27" s="101" t="s">
        <v>43</v>
      </c>
      <c r="V27" s="93" t="s">
        <v>43</v>
      </c>
      <c r="W27" s="115">
        <v>2.0254629629629629E-3</v>
      </c>
      <c r="X27" s="115">
        <v>1.8518518518518519E-3</v>
      </c>
      <c r="Y27" s="115">
        <v>1.736111111111111E-3</v>
      </c>
      <c r="Z27" s="101"/>
      <c r="AA27" s="101"/>
      <c r="AB27" s="101"/>
      <c r="AC27" s="101"/>
      <c r="AD27" s="92" t="s">
        <v>1334</v>
      </c>
      <c r="AE27" s="101"/>
      <c r="AF27" s="118"/>
      <c r="AG27" s="128"/>
    </row>
    <row r="28" spans="1:33" ht="65.099999999999994" customHeight="1">
      <c r="A28" s="81" t="s">
        <v>32</v>
      </c>
      <c r="B28" s="93">
        <v>24</v>
      </c>
      <c r="C28" s="93">
        <v>2</v>
      </c>
      <c r="D28" s="93">
        <v>7</v>
      </c>
      <c r="E28" s="81" t="s">
        <v>172</v>
      </c>
      <c r="F28" s="81" t="s">
        <v>173</v>
      </c>
      <c r="G28" s="81" t="s">
        <v>174</v>
      </c>
      <c r="H28" s="81" t="s">
        <v>175</v>
      </c>
      <c r="I28" s="93">
        <v>3</v>
      </c>
      <c r="J28" s="81" t="s">
        <v>176</v>
      </c>
      <c r="K28" s="97" t="s">
        <v>38</v>
      </c>
      <c r="L28" s="97" t="s">
        <v>39</v>
      </c>
      <c r="M28" s="81" t="s">
        <v>177</v>
      </c>
      <c r="N28" s="99">
        <f t="shared" si="2"/>
        <v>2.0196759259259258E-2</v>
      </c>
      <c r="O28" s="81" t="s">
        <v>171</v>
      </c>
      <c r="P28" s="101">
        <f t="shared" si="1"/>
        <v>83</v>
      </c>
      <c r="Q28" s="101">
        <v>4</v>
      </c>
      <c r="R28" s="105">
        <f t="shared" si="0"/>
        <v>356.9</v>
      </c>
      <c r="S28" s="93" t="s">
        <v>42</v>
      </c>
      <c r="T28" s="101" t="s">
        <v>43</v>
      </c>
      <c r="U28" s="101" t="s">
        <v>43</v>
      </c>
      <c r="V28" s="93" t="s">
        <v>43</v>
      </c>
      <c r="W28" s="115">
        <v>1.2152777777777778E-3</v>
      </c>
      <c r="X28" s="115">
        <v>1.0995370370370371E-3</v>
      </c>
      <c r="Y28" s="115">
        <v>1.0416666666666667E-3</v>
      </c>
      <c r="Z28" s="101"/>
      <c r="AA28" s="101"/>
      <c r="AB28" s="101"/>
      <c r="AC28" s="101"/>
      <c r="AD28" s="92" t="s">
        <v>1334</v>
      </c>
      <c r="AE28" s="101"/>
      <c r="AF28" s="118"/>
      <c r="AG28" s="128"/>
    </row>
    <row r="29" spans="1:33" ht="65.099999999999994" customHeight="1">
      <c r="A29" s="81" t="s">
        <v>32</v>
      </c>
      <c r="B29" s="93">
        <v>25</v>
      </c>
      <c r="C29" s="93">
        <v>3</v>
      </c>
      <c r="D29" s="93">
        <v>8</v>
      </c>
      <c r="E29" s="81" t="s">
        <v>178</v>
      </c>
      <c r="F29" s="81" t="s">
        <v>179</v>
      </c>
      <c r="G29" s="81" t="s">
        <v>180</v>
      </c>
      <c r="H29" s="81" t="s">
        <v>181</v>
      </c>
      <c r="I29" s="93">
        <v>4</v>
      </c>
      <c r="J29" s="81" t="s">
        <v>182</v>
      </c>
      <c r="K29" s="97" t="s">
        <v>183</v>
      </c>
      <c r="L29" s="97" t="s">
        <v>117</v>
      </c>
      <c r="M29" s="81" t="s">
        <v>184</v>
      </c>
      <c r="N29" s="99">
        <f t="shared" si="2"/>
        <v>2.1585648148148145E-2</v>
      </c>
      <c r="O29" s="81" t="s">
        <v>171</v>
      </c>
      <c r="P29" s="101">
        <f t="shared" si="1"/>
        <v>89</v>
      </c>
      <c r="Q29" s="101">
        <v>6</v>
      </c>
      <c r="R29" s="105">
        <f t="shared" si="0"/>
        <v>409.4</v>
      </c>
      <c r="S29" s="93" t="s">
        <v>42</v>
      </c>
      <c r="T29" s="101" t="s">
        <v>43</v>
      </c>
      <c r="U29" s="101" t="s">
        <v>43</v>
      </c>
      <c r="V29" s="93" t="s">
        <v>43</v>
      </c>
      <c r="W29" s="115">
        <v>1.9097222222222222E-3</v>
      </c>
      <c r="X29" s="115">
        <v>1.6203703703703703E-3</v>
      </c>
      <c r="Y29" s="115">
        <v>1.3888888888888889E-3</v>
      </c>
      <c r="Z29" s="101"/>
      <c r="AA29" s="101"/>
      <c r="AB29" s="101"/>
      <c r="AC29" s="101"/>
      <c r="AD29" s="92" t="s">
        <v>1334</v>
      </c>
      <c r="AE29" s="101"/>
      <c r="AF29" s="118"/>
      <c r="AG29" s="128"/>
    </row>
    <row r="30" spans="1:33" ht="65.099999999999994" customHeight="1">
      <c r="A30" s="81" t="s">
        <v>32</v>
      </c>
      <c r="B30" s="93">
        <v>26</v>
      </c>
      <c r="C30" s="93">
        <v>1</v>
      </c>
      <c r="D30" s="93">
        <v>5</v>
      </c>
      <c r="E30" s="81" t="s">
        <v>185</v>
      </c>
      <c r="F30" s="81" t="s">
        <v>107</v>
      </c>
      <c r="G30" s="81" t="s">
        <v>108</v>
      </c>
      <c r="H30" s="81" t="s">
        <v>109</v>
      </c>
      <c r="I30" s="93">
        <v>3</v>
      </c>
      <c r="J30" s="81" t="s">
        <v>186</v>
      </c>
      <c r="K30" s="97" t="s">
        <v>111</v>
      </c>
      <c r="L30" s="97" t="s">
        <v>187</v>
      </c>
      <c r="M30" s="81" t="s">
        <v>113</v>
      </c>
      <c r="N30" s="99">
        <f t="shared" si="2"/>
        <v>2.2337962962962959E-2</v>
      </c>
      <c r="O30" s="81" t="s">
        <v>171</v>
      </c>
      <c r="P30" s="101">
        <f t="shared" si="1"/>
        <v>91</v>
      </c>
      <c r="Q30" s="101">
        <v>2</v>
      </c>
      <c r="R30" s="105">
        <f t="shared" si="0"/>
        <v>427.7</v>
      </c>
      <c r="S30" s="93" t="s">
        <v>42</v>
      </c>
      <c r="T30" s="101" t="s">
        <v>43</v>
      </c>
      <c r="U30" s="101" t="s">
        <v>43</v>
      </c>
      <c r="V30" s="93" t="s">
        <v>43</v>
      </c>
      <c r="W30" s="115">
        <v>8.6805555555555551E-4</v>
      </c>
      <c r="X30" s="115">
        <v>8.1018518518518516E-4</v>
      </c>
      <c r="Y30" s="115">
        <v>7.5231481481481482E-4</v>
      </c>
      <c r="Z30" s="101"/>
      <c r="AA30" s="101"/>
      <c r="AB30" s="101"/>
      <c r="AC30" s="101"/>
      <c r="AD30" s="92" t="s">
        <v>1334</v>
      </c>
      <c r="AE30" s="101"/>
      <c r="AF30" s="118"/>
      <c r="AG30" s="128"/>
    </row>
    <row r="31" spans="1:33" ht="65.099999999999994" customHeight="1" thickBot="1">
      <c r="A31" s="148" t="s">
        <v>32</v>
      </c>
      <c r="B31" s="144">
        <v>27</v>
      </c>
      <c r="C31" s="144">
        <v>2</v>
      </c>
      <c r="D31" s="144">
        <v>5</v>
      </c>
      <c r="E31" s="148" t="s">
        <v>188</v>
      </c>
      <c r="F31" s="148" t="s">
        <v>66</v>
      </c>
      <c r="G31" s="148" t="s">
        <v>189</v>
      </c>
      <c r="H31" s="148" t="s">
        <v>80</v>
      </c>
      <c r="I31" s="144">
        <v>1</v>
      </c>
      <c r="J31" s="148" t="s">
        <v>190</v>
      </c>
      <c r="K31" s="149" t="s">
        <v>38</v>
      </c>
      <c r="L31" s="149" t="s">
        <v>105</v>
      </c>
      <c r="M31" s="148" t="s">
        <v>71</v>
      </c>
      <c r="N31" s="145">
        <f t="shared" si="2"/>
        <v>2.3611111111111107E-2</v>
      </c>
      <c r="O31" s="148" t="s">
        <v>191</v>
      </c>
      <c r="P31" s="119">
        <f t="shared" si="1"/>
        <v>94</v>
      </c>
      <c r="Q31" s="119">
        <v>3</v>
      </c>
      <c r="R31" s="146">
        <f t="shared" si="0"/>
        <v>455.9</v>
      </c>
      <c r="S31" s="144" t="s">
        <v>42</v>
      </c>
      <c r="T31" s="119" t="s">
        <v>43</v>
      </c>
      <c r="U31" s="119" t="s">
        <v>43</v>
      </c>
      <c r="V31" s="144" t="s">
        <v>43</v>
      </c>
      <c r="W31" s="147">
        <v>1.5046296296296296E-3</v>
      </c>
      <c r="X31" s="147">
        <v>1.3888888888888889E-3</v>
      </c>
      <c r="Y31" s="147">
        <v>1.2731481481481483E-3</v>
      </c>
      <c r="Z31" s="119"/>
      <c r="AA31" s="119"/>
      <c r="AB31" s="119"/>
      <c r="AC31" s="119"/>
      <c r="AD31" s="144" t="s">
        <v>1334</v>
      </c>
      <c r="AE31" s="119"/>
      <c r="AF31" s="120"/>
      <c r="AG31" s="128"/>
    </row>
    <row r="32" spans="1:33" ht="65.099999999999994" customHeight="1">
      <c r="A32" s="82" t="s">
        <v>192</v>
      </c>
      <c r="B32" s="92">
        <v>28</v>
      </c>
      <c r="C32" s="92">
        <v>1</v>
      </c>
      <c r="D32" s="92">
        <v>5</v>
      </c>
      <c r="E32" s="82" t="s">
        <v>193</v>
      </c>
      <c r="F32" s="82" t="s">
        <v>173</v>
      </c>
      <c r="G32" s="82" t="s">
        <v>194</v>
      </c>
      <c r="H32" s="82" t="s">
        <v>195</v>
      </c>
      <c r="I32" s="92">
        <v>4</v>
      </c>
      <c r="J32" s="82" t="s">
        <v>176</v>
      </c>
      <c r="K32" s="96" t="s">
        <v>38</v>
      </c>
      <c r="L32" s="96" t="s">
        <v>82</v>
      </c>
      <c r="M32" s="82" t="s">
        <v>177</v>
      </c>
      <c r="N32" s="98">
        <f t="shared" si="2"/>
        <v>2.4479166666666663E-2</v>
      </c>
      <c r="O32" s="82" t="s">
        <v>196</v>
      </c>
      <c r="P32" s="100">
        <f t="shared" si="1"/>
        <v>96</v>
      </c>
      <c r="Q32" s="100">
        <v>2</v>
      </c>
      <c r="R32" s="104">
        <f t="shared" si="0"/>
        <v>475.2</v>
      </c>
      <c r="S32" s="92" t="s">
        <v>42</v>
      </c>
      <c r="T32" s="100" t="s">
        <v>43</v>
      </c>
      <c r="U32" s="100" t="s">
        <v>43</v>
      </c>
      <c r="V32" s="92" t="s">
        <v>43</v>
      </c>
      <c r="W32" s="114">
        <v>1.0416666666666667E-3</v>
      </c>
      <c r="X32" s="114">
        <v>9.2592592592592596E-4</v>
      </c>
      <c r="Y32" s="114">
        <v>8.6805555555555551E-4</v>
      </c>
      <c r="Z32" s="100"/>
      <c r="AA32" s="100"/>
      <c r="AB32" s="100"/>
      <c r="AC32" s="100"/>
      <c r="AD32" s="92" t="s">
        <v>1334</v>
      </c>
      <c r="AE32" s="100"/>
      <c r="AF32" s="117"/>
      <c r="AG32" s="128"/>
    </row>
    <row r="33" spans="1:33" ht="65.099999999999994" customHeight="1">
      <c r="A33" s="81" t="s">
        <v>192</v>
      </c>
      <c r="B33" s="93">
        <v>29</v>
      </c>
      <c r="C33" s="93">
        <v>1</v>
      </c>
      <c r="D33" s="93">
        <v>6</v>
      </c>
      <c r="E33" s="81" t="s">
        <v>197</v>
      </c>
      <c r="F33" s="81" t="s">
        <v>198</v>
      </c>
      <c r="G33" s="81" t="s">
        <v>199</v>
      </c>
      <c r="H33" s="81" t="s">
        <v>200</v>
      </c>
      <c r="I33" s="93">
        <v>1</v>
      </c>
      <c r="J33" s="81" t="s">
        <v>201</v>
      </c>
      <c r="K33" s="97" t="s">
        <v>38</v>
      </c>
      <c r="L33" s="97" t="s">
        <v>94</v>
      </c>
      <c r="M33" s="81" t="s">
        <v>202</v>
      </c>
      <c r="N33" s="99">
        <f t="shared" si="2"/>
        <v>2.4884259259259255E-2</v>
      </c>
      <c r="O33" s="81" t="s">
        <v>196</v>
      </c>
      <c r="P33" s="101">
        <f t="shared" si="1"/>
        <v>99</v>
      </c>
      <c r="Q33" s="101">
        <v>3</v>
      </c>
      <c r="R33" s="105">
        <f t="shared" si="0"/>
        <v>504.9</v>
      </c>
      <c r="S33" s="93" t="s">
        <v>42</v>
      </c>
      <c r="T33" s="101" t="s">
        <v>43</v>
      </c>
      <c r="U33" s="101" t="s">
        <v>43</v>
      </c>
      <c r="V33" s="93" t="s">
        <v>43</v>
      </c>
      <c r="W33" s="115">
        <v>5.2083333333333333E-4</v>
      </c>
      <c r="X33" s="115">
        <v>4.6296296296296298E-4</v>
      </c>
      <c r="Y33" s="115">
        <v>4.0509259259259258E-4</v>
      </c>
      <c r="Z33" s="101"/>
      <c r="AA33" s="101"/>
      <c r="AB33" s="101"/>
      <c r="AC33" s="101"/>
      <c r="AD33" s="92" t="s">
        <v>1334</v>
      </c>
      <c r="AE33" s="101"/>
      <c r="AF33" s="118"/>
      <c r="AG33" s="128"/>
    </row>
    <row r="34" spans="1:33" ht="65.099999999999994" customHeight="1">
      <c r="A34" s="81" t="s">
        <v>192</v>
      </c>
      <c r="B34" s="93">
        <v>30</v>
      </c>
      <c r="C34" s="93">
        <v>1</v>
      </c>
      <c r="D34" s="93">
        <v>5</v>
      </c>
      <c r="E34" s="81" t="s">
        <v>203</v>
      </c>
      <c r="F34" s="81" t="s">
        <v>204</v>
      </c>
      <c r="G34" s="81" t="s">
        <v>205</v>
      </c>
      <c r="H34" s="81" t="s">
        <v>206</v>
      </c>
      <c r="I34" s="93">
        <v>1</v>
      </c>
      <c r="J34" s="81" t="s">
        <v>207</v>
      </c>
      <c r="K34" s="97" t="s">
        <v>38</v>
      </c>
      <c r="L34" s="97" t="s">
        <v>208</v>
      </c>
      <c r="M34" s="81" t="s">
        <v>209</v>
      </c>
      <c r="N34" s="99">
        <f t="shared" si="2"/>
        <v>2.540509259259259E-2</v>
      </c>
      <c r="O34" s="81" t="s">
        <v>196</v>
      </c>
      <c r="P34" s="101">
        <f t="shared" si="1"/>
        <v>101</v>
      </c>
      <c r="Q34" s="101">
        <v>2</v>
      </c>
      <c r="R34" s="105">
        <f t="shared" si="0"/>
        <v>525.20000000000005</v>
      </c>
      <c r="S34" s="93" t="s">
        <v>42</v>
      </c>
      <c r="T34" s="101" t="s">
        <v>43</v>
      </c>
      <c r="U34" s="101" t="s">
        <v>43</v>
      </c>
      <c r="V34" s="93" t="s">
        <v>43</v>
      </c>
      <c r="W34" s="115">
        <v>6.3657407407407413E-4</v>
      </c>
      <c r="X34" s="115">
        <v>5.7870370370370367E-4</v>
      </c>
      <c r="Y34" s="115">
        <v>5.2083333333333333E-4</v>
      </c>
      <c r="Z34" s="101"/>
      <c r="AA34" s="101"/>
      <c r="AB34" s="101"/>
      <c r="AC34" s="101"/>
      <c r="AD34" s="92" t="s">
        <v>1334</v>
      </c>
      <c r="AE34" s="101"/>
      <c r="AF34" s="118"/>
      <c r="AG34" s="128"/>
    </row>
    <row r="35" spans="1:33" ht="65.099999999999994" customHeight="1">
      <c r="A35" s="81" t="s">
        <v>192</v>
      </c>
      <c r="B35" s="93">
        <v>31</v>
      </c>
      <c r="C35" s="93">
        <v>2</v>
      </c>
      <c r="D35" s="93">
        <v>5</v>
      </c>
      <c r="E35" s="81" t="s">
        <v>210</v>
      </c>
      <c r="F35" s="81" t="s">
        <v>85</v>
      </c>
      <c r="G35" s="81" t="s">
        <v>211</v>
      </c>
      <c r="H35" s="81" t="s">
        <v>87</v>
      </c>
      <c r="I35" s="93">
        <v>4</v>
      </c>
      <c r="J35" s="81" t="s">
        <v>212</v>
      </c>
      <c r="K35" s="97" t="s">
        <v>38</v>
      </c>
      <c r="L35" s="97" t="s">
        <v>213</v>
      </c>
      <c r="M35" s="81" t="s">
        <v>89</v>
      </c>
      <c r="N35" s="99">
        <f t="shared" si="2"/>
        <v>2.6388888888888885E-2</v>
      </c>
      <c r="O35" s="81" t="s">
        <v>196</v>
      </c>
      <c r="P35" s="101">
        <f t="shared" si="1"/>
        <v>104</v>
      </c>
      <c r="Q35" s="101">
        <v>3</v>
      </c>
      <c r="R35" s="105">
        <f t="shared" si="0"/>
        <v>556.4</v>
      </c>
      <c r="S35" s="93" t="s">
        <v>42</v>
      </c>
      <c r="T35" s="101" t="s">
        <v>43</v>
      </c>
      <c r="U35" s="101" t="s">
        <v>43</v>
      </c>
      <c r="V35" s="93" t="s">
        <v>43</v>
      </c>
      <c r="W35" s="115">
        <v>1.1574074074074073E-3</v>
      </c>
      <c r="X35" s="115">
        <v>1.0416666666666667E-3</v>
      </c>
      <c r="Y35" s="115">
        <v>9.837962962962962E-4</v>
      </c>
      <c r="Z35" s="101"/>
      <c r="AA35" s="101"/>
      <c r="AB35" s="101"/>
      <c r="AC35" s="101"/>
      <c r="AD35" s="92" t="s">
        <v>1334</v>
      </c>
      <c r="AE35" s="101"/>
      <c r="AF35" s="118"/>
      <c r="AG35" s="128"/>
    </row>
    <row r="36" spans="1:33" ht="65.099999999999994" customHeight="1">
      <c r="A36" s="81" t="s">
        <v>192</v>
      </c>
      <c r="B36" s="93">
        <v>32</v>
      </c>
      <c r="C36" s="93">
        <v>4</v>
      </c>
      <c r="D36" s="93">
        <v>8</v>
      </c>
      <c r="E36" s="81" t="s">
        <v>214</v>
      </c>
      <c r="F36" s="81" t="s">
        <v>215</v>
      </c>
      <c r="G36" s="81" t="s">
        <v>216</v>
      </c>
      <c r="H36" s="81" t="s">
        <v>217</v>
      </c>
      <c r="I36" s="93">
        <v>3</v>
      </c>
      <c r="J36" s="81" t="s">
        <v>218</v>
      </c>
      <c r="K36" s="97" t="s">
        <v>219</v>
      </c>
      <c r="L36" s="97" t="s">
        <v>121</v>
      </c>
      <c r="M36" s="81" t="s">
        <v>220</v>
      </c>
      <c r="N36" s="99">
        <f t="shared" si="2"/>
        <v>2.7314814814814813E-2</v>
      </c>
      <c r="O36" s="81" t="s">
        <v>196</v>
      </c>
      <c r="P36" s="101">
        <f t="shared" si="1"/>
        <v>111</v>
      </c>
      <c r="Q36" s="101">
        <v>7</v>
      </c>
      <c r="R36" s="105">
        <f t="shared" si="0"/>
        <v>632.70000000000005</v>
      </c>
      <c r="S36" s="93" t="s">
        <v>42</v>
      </c>
      <c r="T36" s="101" t="s">
        <v>43</v>
      </c>
      <c r="U36" s="101" t="s">
        <v>43</v>
      </c>
      <c r="V36" s="93" t="s">
        <v>43</v>
      </c>
      <c r="W36" s="115">
        <v>1.2731481481481483E-3</v>
      </c>
      <c r="X36" s="115">
        <v>1.0995370370370371E-3</v>
      </c>
      <c r="Y36" s="115">
        <v>9.2592592592592596E-4</v>
      </c>
      <c r="Z36" s="101"/>
      <c r="AA36" s="101"/>
      <c r="AB36" s="101"/>
      <c r="AC36" s="101"/>
      <c r="AD36" s="92" t="s">
        <v>1334</v>
      </c>
      <c r="AE36" s="101"/>
      <c r="AF36" s="118"/>
      <c r="AG36" s="128"/>
    </row>
    <row r="37" spans="1:33" ht="65.099999999999994" customHeight="1">
      <c r="A37" s="81" t="s">
        <v>192</v>
      </c>
      <c r="B37" s="93">
        <v>33</v>
      </c>
      <c r="C37" s="93">
        <v>1</v>
      </c>
      <c r="D37" s="93">
        <v>5</v>
      </c>
      <c r="E37" s="81" t="s">
        <v>221</v>
      </c>
      <c r="F37" s="81" t="s">
        <v>222</v>
      </c>
      <c r="G37" s="81" t="s">
        <v>223</v>
      </c>
      <c r="H37" s="81" t="s">
        <v>224</v>
      </c>
      <c r="I37" s="93">
        <v>3</v>
      </c>
      <c r="J37" s="81" t="s">
        <v>225</v>
      </c>
      <c r="K37" s="97" t="s">
        <v>38</v>
      </c>
      <c r="L37" s="97" t="s">
        <v>164</v>
      </c>
      <c r="M37" s="81" t="s">
        <v>226</v>
      </c>
      <c r="N37" s="99">
        <f t="shared" si="2"/>
        <v>2.7951388888888887E-2</v>
      </c>
      <c r="O37" s="81" t="s">
        <v>196</v>
      </c>
      <c r="P37" s="101">
        <f t="shared" si="1"/>
        <v>113</v>
      </c>
      <c r="Q37" s="101">
        <v>2</v>
      </c>
      <c r="R37" s="105">
        <f t="shared" ref="R37:R68" si="3">ROUND($Q$3*P37*P37+$R$3*P37,2)</f>
        <v>655.4</v>
      </c>
      <c r="S37" s="93" t="s">
        <v>42</v>
      </c>
      <c r="T37" s="101" t="s">
        <v>43</v>
      </c>
      <c r="U37" s="101" t="s">
        <v>43</v>
      </c>
      <c r="V37" s="93" t="s">
        <v>43</v>
      </c>
      <c r="W37" s="115">
        <v>7.5231481481481482E-4</v>
      </c>
      <c r="X37" s="115">
        <v>6.9444444444444447E-4</v>
      </c>
      <c r="Y37" s="115">
        <v>6.3657407407407413E-4</v>
      </c>
      <c r="Z37" s="101"/>
      <c r="AA37" s="101"/>
      <c r="AB37" s="101"/>
      <c r="AC37" s="101"/>
      <c r="AD37" s="92" t="s">
        <v>1334</v>
      </c>
      <c r="AE37" s="101"/>
      <c r="AF37" s="118"/>
      <c r="AG37" s="128"/>
    </row>
    <row r="38" spans="1:33" ht="65.099999999999994" customHeight="1">
      <c r="A38" s="81" t="s">
        <v>192</v>
      </c>
      <c r="B38" s="93">
        <v>34</v>
      </c>
      <c r="C38" s="93">
        <v>2</v>
      </c>
      <c r="D38" s="93">
        <v>6</v>
      </c>
      <c r="E38" s="81" t="s">
        <v>227</v>
      </c>
      <c r="F38" s="81" t="s">
        <v>228</v>
      </c>
      <c r="G38" s="81" t="s">
        <v>229</v>
      </c>
      <c r="H38" s="81" t="s">
        <v>230</v>
      </c>
      <c r="I38" s="93">
        <v>8</v>
      </c>
      <c r="J38" s="81" t="s">
        <v>231</v>
      </c>
      <c r="K38" s="97" t="s">
        <v>232</v>
      </c>
      <c r="L38" s="97" t="s">
        <v>233</v>
      </c>
      <c r="M38" s="81" t="s">
        <v>234</v>
      </c>
      <c r="N38" s="99">
        <f t="shared" ref="N38:N69" si="4">N37+(IFERROR(VALUE(LEFT(L38,FIND("분",L38)-1))*60,0)+IFERROR(VALUE(TRIM(MID(L38,IFERROR(FIND("분",L38),0)+1,IFERROR(FIND("초",L38),LEN(L38)+1)-IFERROR(FIND("분",L38),0)-1))),0))/86400</f>
        <v>3.003472222222222E-2</v>
      </c>
      <c r="O38" s="81" t="s">
        <v>196</v>
      </c>
      <c r="P38" s="101">
        <f t="shared" ref="P38:P69" si="5">P37+Q38</f>
        <v>117</v>
      </c>
      <c r="Q38" s="101">
        <v>4</v>
      </c>
      <c r="R38" s="105">
        <f t="shared" si="3"/>
        <v>702</v>
      </c>
      <c r="S38" s="93" t="s">
        <v>42</v>
      </c>
      <c r="T38" s="101" t="s">
        <v>43</v>
      </c>
      <c r="U38" s="101" t="s">
        <v>43</v>
      </c>
      <c r="V38" s="93" t="s">
        <v>43</v>
      </c>
      <c r="W38" s="115">
        <v>2.4305555555555556E-3</v>
      </c>
      <c r="X38" s="115">
        <v>2.1990740740740742E-3</v>
      </c>
      <c r="Y38" s="115">
        <v>2.0833333333333333E-3</v>
      </c>
      <c r="Z38" s="101"/>
      <c r="AA38" s="101"/>
      <c r="AB38" s="101"/>
      <c r="AC38" s="101"/>
      <c r="AD38" s="92" t="s">
        <v>1334</v>
      </c>
      <c r="AE38" s="101"/>
      <c r="AF38" s="118"/>
      <c r="AG38" s="128"/>
    </row>
    <row r="39" spans="1:33" ht="65.099999999999994" customHeight="1">
      <c r="A39" s="81" t="s">
        <v>192</v>
      </c>
      <c r="B39" s="93">
        <v>35</v>
      </c>
      <c r="C39" s="93">
        <v>2</v>
      </c>
      <c r="D39" s="93">
        <v>6</v>
      </c>
      <c r="E39" s="81" t="s">
        <v>235</v>
      </c>
      <c r="F39" s="81" t="s">
        <v>228</v>
      </c>
      <c r="G39" s="81" t="s">
        <v>236</v>
      </c>
      <c r="H39" s="81" t="s">
        <v>230</v>
      </c>
      <c r="I39" s="93">
        <v>7</v>
      </c>
      <c r="J39" s="81" t="s">
        <v>237</v>
      </c>
      <c r="K39" s="97" t="s">
        <v>232</v>
      </c>
      <c r="L39" s="97" t="s">
        <v>238</v>
      </c>
      <c r="M39" s="81" t="s">
        <v>234</v>
      </c>
      <c r="N39" s="99">
        <f t="shared" si="4"/>
        <v>3.1886574074074074E-2</v>
      </c>
      <c r="O39" s="81" t="s">
        <v>196</v>
      </c>
      <c r="P39" s="101">
        <f t="shared" si="5"/>
        <v>121</v>
      </c>
      <c r="Q39" s="101">
        <v>4</v>
      </c>
      <c r="R39" s="105">
        <f t="shared" si="3"/>
        <v>750.2</v>
      </c>
      <c r="S39" s="93" t="s">
        <v>42</v>
      </c>
      <c r="T39" s="101" t="s">
        <v>43</v>
      </c>
      <c r="U39" s="101" t="s">
        <v>43</v>
      </c>
      <c r="V39" s="93" t="s">
        <v>43</v>
      </c>
      <c r="W39" s="115">
        <v>2.1412037037037038E-3</v>
      </c>
      <c r="X39" s="115">
        <v>1.9675925925925924E-3</v>
      </c>
      <c r="Y39" s="115">
        <v>1.8518518518518519E-3</v>
      </c>
      <c r="Z39" s="101"/>
      <c r="AA39" s="101"/>
      <c r="AB39" s="101"/>
      <c r="AC39" s="101"/>
      <c r="AD39" s="92" t="s">
        <v>1334</v>
      </c>
      <c r="AE39" s="101"/>
      <c r="AF39" s="118"/>
      <c r="AG39" s="128"/>
    </row>
    <row r="40" spans="1:33" ht="65.099999999999994" customHeight="1">
      <c r="A40" s="81" t="s">
        <v>192</v>
      </c>
      <c r="B40" s="93">
        <v>36</v>
      </c>
      <c r="C40" s="93">
        <v>3</v>
      </c>
      <c r="D40" s="93">
        <v>6</v>
      </c>
      <c r="E40" s="81" t="s">
        <v>239</v>
      </c>
      <c r="F40" s="81" t="s">
        <v>228</v>
      </c>
      <c r="G40" s="81" t="s">
        <v>240</v>
      </c>
      <c r="H40" s="81" t="s">
        <v>241</v>
      </c>
      <c r="I40" s="93">
        <v>6</v>
      </c>
      <c r="J40" s="81" t="s">
        <v>242</v>
      </c>
      <c r="K40" s="97" t="s">
        <v>232</v>
      </c>
      <c r="L40" s="97" t="s">
        <v>170</v>
      </c>
      <c r="M40" s="81" t="s">
        <v>234</v>
      </c>
      <c r="N40" s="99">
        <f t="shared" si="4"/>
        <v>3.3622685185185186E-2</v>
      </c>
      <c r="O40" s="81" t="s">
        <v>196</v>
      </c>
      <c r="P40" s="101">
        <f t="shared" si="5"/>
        <v>126</v>
      </c>
      <c r="Q40" s="101">
        <v>5</v>
      </c>
      <c r="R40" s="105">
        <f t="shared" si="3"/>
        <v>812.7</v>
      </c>
      <c r="S40" s="93" t="s">
        <v>42</v>
      </c>
      <c r="T40" s="101" t="s">
        <v>43</v>
      </c>
      <c r="U40" s="101" t="s">
        <v>43</v>
      </c>
      <c r="V40" s="93" t="s">
        <v>43</v>
      </c>
      <c r="W40" s="115">
        <v>2.3726851851851851E-3</v>
      </c>
      <c r="X40" s="115">
        <v>2.0254629629629629E-3</v>
      </c>
      <c r="Y40" s="115">
        <v>1.736111111111111E-3</v>
      </c>
      <c r="Z40" s="101"/>
      <c r="AA40" s="101"/>
      <c r="AB40" s="101"/>
      <c r="AC40" s="101"/>
      <c r="AD40" s="92" t="s">
        <v>1334</v>
      </c>
      <c r="AE40" s="101"/>
      <c r="AF40" s="118"/>
      <c r="AG40" s="128"/>
    </row>
    <row r="41" spans="1:33" ht="65.099999999999994" customHeight="1">
      <c r="A41" s="81" t="s">
        <v>192</v>
      </c>
      <c r="B41" s="93">
        <v>37</v>
      </c>
      <c r="C41" s="93">
        <v>1</v>
      </c>
      <c r="D41" s="93">
        <v>5</v>
      </c>
      <c r="E41" s="81" t="s">
        <v>243</v>
      </c>
      <c r="F41" s="81" t="s">
        <v>52</v>
      </c>
      <c r="G41" s="81" t="s">
        <v>53</v>
      </c>
      <c r="H41" s="81" t="s">
        <v>96</v>
      </c>
      <c r="I41" s="93">
        <v>1</v>
      </c>
      <c r="J41" s="81" t="s">
        <v>244</v>
      </c>
      <c r="K41" s="97" t="s">
        <v>38</v>
      </c>
      <c r="L41" s="97" t="s">
        <v>39</v>
      </c>
      <c r="M41" s="81" t="s">
        <v>57</v>
      </c>
      <c r="N41" s="99">
        <f t="shared" si="4"/>
        <v>3.4664351851851856E-2</v>
      </c>
      <c r="O41" s="81" t="s">
        <v>196</v>
      </c>
      <c r="P41" s="101">
        <f t="shared" si="5"/>
        <v>128</v>
      </c>
      <c r="Q41" s="101">
        <v>2</v>
      </c>
      <c r="R41" s="105">
        <f t="shared" si="3"/>
        <v>838.4</v>
      </c>
      <c r="S41" s="93" t="s">
        <v>42</v>
      </c>
      <c r="T41" s="101" t="s">
        <v>43</v>
      </c>
      <c r="U41" s="101" t="s">
        <v>43</v>
      </c>
      <c r="V41" s="93" t="s">
        <v>43</v>
      </c>
      <c r="W41" s="115">
        <v>1.2152777777777778E-3</v>
      </c>
      <c r="X41" s="115">
        <v>1.0995370370370371E-3</v>
      </c>
      <c r="Y41" s="115">
        <v>1.0416666666666667E-3</v>
      </c>
      <c r="Z41" s="101"/>
      <c r="AA41" s="101"/>
      <c r="AB41" s="101"/>
      <c r="AC41" s="101"/>
      <c r="AD41" s="92" t="s">
        <v>1334</v>
      </c>
      <c r="AE41" s="101" t="s">
        <v>1319</v>
      </c>
      <c r="AF41" s="118"/>
      <c r="AG41" s="128"/>
    </row>
    <row r="42" spans="1:33" ht="65.099999999999994" customHeight="1">
      <c r="A42" s="81" t="s">
        <v>192</v>
      </c>
      <c r="B42" s="93">
        <v>38</v>
      </c>
      <c r="C42" s="93">
        <v>2</v>
      </c>
      <c r="D42" s="93">
        <v>5</v>
      </c>
      <c r="E42" s="81" t="s">
        <v>245</v>
      </c>
      <c r="F42" s="81" t="s">
        <v>246</v>
      </c>
      <c r="G42" s="81" t="s">
        <v>247</v>
      </c>
      <c r="H42" s="81" t="s">
        <v>248</v>
      </c>
      <c r="I42" s="93">
        <v>4</v>
      </c>
      <c r="J42" s="81" t="s">
        <v>249</v>
      </c>
      <c r="K42" s="97" t="s">
        <v>38</v>
      </c>
      <c r="L42" s="97" t="s">
        <v>250</v>
      </c>
      <c r="M42" s="81" t="s">
        <v>251</v>
      </c>
      <c r="N42" s="99">
        <f t="shared" si="4"/>
        <v>3.6284722222222225E-2</v>
      </c>
      <c r="O42" s="81" t="s">
        <v>196</v>
      </c>
      <c r="P42" s="101">
        <f t="shared" si="5"/>
        <v>131</v>
      </c>
      <c r="Q42" s="101">
        <v>3</v>
      </c>
      <c r="R42" s="105">
        <f t="shared" si="3"/>
        <v>877.7</v>
      </c>
      <c r="S42" s="93" t="s">
        <v>42</v>
      </c>
      <c r="T42" s="101" t="s">
        <v>43</v>
      </c>
      <c r="U42" s="101" t="s">
        <v>43</v>
      </c>
      <c r="V42" s="93" t="s">
        <v>43</v>
      </c>
      <c r="W42" s="115">
        <v>1.9097222222222222E-3</v>
      </c>
      <c r="X42" s="115">
        <v>1.736111111111111E-3</v>
      </c>
      <c r="Y42" s="115">
        <v>1.6203703703703703E-3</v>
      </c>
      <c r="Z42" s="101"/>
      <c r="AA42" s="101"/>
      <c r="AB42" s="101"/>
      <c r="AC42" s="101"/>
      <c r="AD42" s="92" t="s">
        <v>1334</v>
      </c>
      <c r="AE42" s="101"/>
      <c r="AF42" s="118"/>
      <c r="AG42" s="128"/>
    </row>
    <row r="43" spans="1:33" ht="65.099999999999994" customHeight="1">
      <c r="A43" s="81" t="s">
        <v>192</v>
      </c>
      <c r="B43" s="93">
        <v>39</v>
      </c>
      <c r="C43" s="93">
        <v>4</v>
      </c>
      <c r="D43" s="93">
        <v>8</v>
      </c>
      <c r="E43" s="81" t="s">
        <v>252</v>
      </c>
      <c r="F43" s="81" t="s">
        <v>253</v>
      </c>
      <c r="G43" s="81" t="s">
        <v>254</v>
      </c>
      <c r="H43" s="81" t="s">
        <v>255</v>
      </c>
      <c r="I43" s="93">
        <v>12</v>
      </c>
      <c r="J43" s="81" t="s">
        <v>256</v>
      </c>
      <c r="K43" s="97" t="s">
        <v>257</v>
      </c>
      <c r="L43" s="97" t="s">
        <v>117</v>
      </c>
      <c r="M43" s="81" t="s">
        <v>258</v>
      </c>
      <c r="N43" s="99">
        <f t="shared" si="4"/>
        <v>3.7673611111111116E-2</v>
      </c>
      <c r="O43" s="81" t="s">
        <v>196</v>
      </c>
      <c r="P43" s="101">
        <f t="shared" si="5"/>
        <v>138</v>
      </c>
      <c r="Q43" s="101">
        <v>7</v>
      </c>
      <c r="R43" s="105">
        <f t="shared" si="3"/>
        <v>972.9</v>
      </c>
      <c r="S43" s="93" t="s">
        <v>42</v>
      </c>
      <c r="T43" s="101" t="s">
        <v>43</v>
      </c>
      <c r="U43" s="101" t="s">
        <v>43</v>
      </c>
      <c r="V43" s="93" t="s">
        <v>43</v>
      </c>
      <c r="W43" s="115">
        <v>1.9097222222222222E-3</v>
      </c>
      <c r="X43" s="115">
        <v>1.6203703703703703E-3</v>
      </c>
      <c r="Y43" s="115">
        <v>1.3888888888888889E-3</v>
      </c>
      <c r="Z43" s="101"/>
      <c r="AA43" s="101"/>
      <c r="AB43" s="101"/>
      <c r="AC43" s="101"/>
      <c r="AD43" s="92" t="s">
        <v>1334</v>
      </c>
      <c r="AE43" s="101"/>
      <c r="AF43" s="118"/>
      <c r="AG43" s="128"/>
    </row>
    <row r="44" spans="1:33" ht="65.099999999999994" customHeight="1">
      <c r="A44" s="81" t="s">
        <v>192</v>
      </c>
      <c r="B44" s="93">
        <v>40</v>
      </c>
      <c r="C44" s="93">
        <v>2</v>
      </c>
      <c r="D44" s="93">
        <v>6</v>
      </c>
      <c r="E44" s="81" t="s">
        <v>259</v>
      </c>
      <c r="F44" s="81" t="s">
        <v>260</v>
      </c>
      <c r="G44" s="81" t="s">
        <v>261</v>
      </c>
      <c r="H44" s="81" t="s">
        <v>262</v>
      </c>
      <c r="I44" s="93">
        <v>3</v>
      </c>
      <c r="J44" s="81" t="s">
        <v>263</v>
      </c>
      <c r="K44" s="97" t="s">
        <v>264</v>
      </c>
      <c r="L44" s="97" t="s">
        <v>82</v>
      </c>
      <c r="M44" s="81" t="s">
        <v>265</v>
      </c>
      <c r="N44" s="99">
        <f t="shared" si="4"/>
        <v>3.8541666666666669E-2</v>
      </c>
      <c r="O44" s="81" t="s">
        <v>196</v>
      </c>
      <c r="P44" s="101">
        <f t="shared" si="5"/>
        <v>142</v>
      </c>
      <c r="Q44" s="101">
        <v>4</v>
      </c>
      <c r="R44" s="105">
        <f t="shared" si="3"/>
        <v>1029.5</v>
      </c>
      <c r="S44" s="93" t="s">
        <v>42</v>
      </c>
      <c r="T44" s="101" t="s">
        <v>43</v>
      </c>
      <c r="U44" s="101" t="s">
        <v>43</v>
      </c>
      <c r="V44" s="93" t="s">
        <v>43</v>
      </c>
      <c r="W44" s="115">
        <v>1.0416666666666667E-3</v>
      </c>
      <c r="X44" s="115">
        <v>9.2592592592592596E-4</v>
      </c>
      <c r="Y44" s="115">
        <v>8.6805555555555551E-4</v>
      </c>
      <c r="Z44" s="101"/>
      <c r="AA44" s="101"/>
      <c r="AB44" s="101"/>
      <c r="AC44" s="101"/>
      <c r="AD44" s="92" t="s">
        <v>1334</v>
      </c>
      <c r="AE44" s="101"/>
      <c r="AF44" s="118"/>
      <c r="AG44" s="128"/>
    </row>
    <row r="45" spans="1:33" ht="65.099999999999994" customHeight="1">
      <c r="A45" s="81" t="s">
        <v>192</v>
      </c>
      <c r="B45" s="93">
        <v>41</v>
      </c>
      <c r="C45" s="93">
        <v>4</v>
      </c>
      <c r="D45" s="93">
        <v>8</v>
      </c>
      <c r="E45" s="81" t="s">
        <v>266</v>
      </c>
      <c r="F45" s="81" t="s">
        <v>267</v>
      </c>
      <c r="G45" s="81" t="s">
        <v>268</v>
      </c>
      <c r="H45" s="81" t="s">
        <v>269</v>
      </c>
      <c r="I45" s="93">
        <v>4</v>
      </c>
      <c r="J45" s="81" t="s">
        <v>270</v>
      </c>
      <c r="K45" s="97" t="s">
        <v>271</v>
      </c>
      <c r="L45" s="97" t="s">
        <v>117</v>
      </c>
      <c r="M45" s="81" t="s">
        <v>272</v>
      </c>
      <c r="N45" s="99">
        <f t="shared" si="4"/>
        <v>3.9930555555555559E-2</v>
      </c>
      <c r="O45" s="81" t="s">
        <v>196</v>
      </c>
      <c r="P45" s="101">
        <f t="shared" si="5"/>
        <v>149</v>
      </c>
      <c r="Q45" s="101">
        <v>7</v>
      </c>
      <c r="R45" s="105">
        <f t="shared" si="3"/>
        <v>1132.4000000000001</v>
      </c>
      <c r="S45" s="93" t="s">
        <v>42</v>
      </c>
      <c r="T45" s="101" t="s">
        <v>43</v>
      </c>
      <c r="U45" s="101" t="s">
        <v>43</v>
      </c>
      <c r="V45" s="93" t="s">
        <v>43</v>
      </c>
      <c r="W45" s="115">
        <v>1.9097222222222222E-3</v>
      </c>
      <c r="X45" s="115">
        <v>1.6203703703703703E-3</v>
      </c>
      <c r="Y45" s="115">
        <v>1.3888888888888889E-3</v>
      </c>
      <c r="Z45" s="101"/>
      <c r="AA45" s="101"/>
      <c r="AB45" s="101"/>
      <c r="AC45" s="101"/>
      <c r="AD45" s="92" t="s">
        <v>1334</v>
      </c>
      <c r="AE45" s="101"/>
      <c r="AF45" s="118"/>
      <c r="AG45" s="128"/>
    </row>
    <row r="46" spans="1:33" ht="65.099999999999994" customHeight="1">
      <c r="A46" s="81" t="s">
        <v>192</v>
      </c>
      <c r="B46" s="93">
        <v>42</v>
      </c>
      <c r="C46" s="93">
        <v>3</v>
      </c>
      <c r="D46" s="93">
        <v>7</v>
      </c>
      <c r="E46" s="81" t="s">
        <v>273</v>
      </c>
      <c r="F46" s="81" t="s">
        <v>274</v>
      </c>
      <c r="G46" s="81" t="s">
        <v>275</v>
      </c>
      <c r="H46" s="81" t="s">
        <v>276</v>
      </c>
      <c r="I46" s="93">
        <v>5</v>
      </c>
      <c r="J46" s="81" t="s">
        <v>277</v>
      </c>
      <c r="K46" s="97" t="s">
        <v>38</v>
      </c>
      <c r="L46" s="97" t="s">
        <v>278</v>
      </c>
      <c r="M46" s="81" t="s">
        <v>279</v>
      </c>
      <c r="N46" s="99">
        <f t="shared" si="4"/>
        <v>4.189814814814815E-2</v>
      </c>
      <c r="O46" s="81" t="s">
        <v>196</v>
      </c>
      <c r="P46" s="101">
        <f t="shared" si="5"/>
        <v>154</v>
      </c>
      <c r="Q46" s="101">
        <v>5</v>
      </c>
      <c r="R46" s="105">
        <f t="shared" si="3"/>
        <v>1208.9000000000001</v>
      </c>
      <c r="S46" s="93" t="s">
        <v>42</v>
      </c>
      <c r="T46" s="101" t="s">
        <v>43</v>
      </c>
      <c r="U46" s="101" t="s">
        <v>43</v>
      </c>
      <c r="V46" s="93" t="s">
        <v>43</v>
      </c>
      <c r="W46" s="115">
        <v>2.662037037037037E-3</v>
      </c>
      <c r="X46" s="115">
        <v>2.3148148148148147E-3</v>
      </c>
      <c r="Y46" s="115">
        <v>1.9675925925925924E-3</v>
      </c>
      <c r="Z46" s="101"/>
      <c r="AA46" s="101"/>
      <c r="AB46" s="101"/>
      <c r="AC46" s="101"/>
      <c r="AD46" s="92" t="s">
        <v>1334</v>
      </c>
      <c r="AE46" s="101"/>
      <c r="AF46" s="118"/>
      <c r="AG46" s="128"/>
    </row>
    <row r="47" spans="1:33" ht="65.099999999999994" customHeight="1">
      <c r="A47" s="81" t="s">
        <v>192</v>
      </c>
      <c r="B47" s="93">
        <v>43</v>
      </c>
      <c r="C47" s="93">
        <v>1</v>
      </c>
      <c r="D47" s="93">
        <v>8</v>
      </c>
      <c r="E47" s="81" t="s">
        <v>280</v>
      </c>
      <c r="F47" s="81" t="s">
        <v>281</v>
      </c>
      <c r="G47" s="81" t="s">
        <v>282</v>
      </c>
      <c r="H47" s="81" t="s">
        <v>283</v>
      </c>
      <c r="I47" s="93">
        <v>2</v>
      </c>
      <c r="J47" s="81" t="s">
        <v>284</v>
      </c>
      <c r="K47" s="97" t="s">
        <v>285</v>
      </c>
      <c r="L47" s="97" t="s">
        <v>136</v>
      </c>
      <c r="M47" s="81" t="s">
        <v>286</v>
      </c>
      <c r="N47" s="99">
        <f t="shared" si="4"/>
        <v>4.2708333333333334E-2</v>
      </c>
      <c r="O47" s="81" t="s">
        <v>196</v>
      </c>
      <c r="P47" s="101">
        <f t="shared" si="5"/>
        <v>158</v>
      </c>
      <c r="Q47" s="101">
        <v>4</v>
      </c>
      <c r="R47" s="105">
        <f t="shared" si="3"/>
        <v>1271.9000000000001</v>
      </c>
      <c r="S47" s="93" t="s">
        <v>42</v>
      </c>
      <c r="T47" s="101" t="s">
        <v>43</v>
      </c>
      <c r="U47" s="101" t="s">
        <v>43</v>
      </c>
      <c r="V47" s="93" t="s">
        <v>43</v>
      </c>
      <c r="W47" s="115">
        <v>9.837962962962962E-4</v>
      </c>
      <c r="X47" s="115">
        <v>8.6805555555555551E-4</v>
      </c>
      <c r="Y47" s="115">
        <v>8.1018518518518516E-4</v>
      </c>
      <c r="Z47" s="101"/>
      <c r="AA47" s="101"/>
      <c r="AB47" s="101"/>
      <c r="AC47" s="101"/>
      <c r="AD47" s="92" t="s">
        <v>1334</v>
      </c>
      <c r="AE47" s="101" t="s">
        <v>1320</v>
      </c>
      <c r="AF47" s="118"/>
      <c r="AG47" s="128"/>
    </row>
    <row r="48" spans="1:33" ht="65.099999999999994" customHeight="1">
      <c r="A48" s="81" t="s">
        <v>192</v>
      </c>
      <c r="B48" s="93">
        <v>44</v>
      </c>
      <c r="C48" s="93">
        <v>1</v>
      </c>
      <c r="D48" s="93">
        <v>5</v>
      </c>
      <c r="E48" s="81" t="s">
        <v>287</v>
      </c>
      <c r="F48" s="81" t="s">
        <v>288</v>
      </c>
      <c r="G48" s="81" t="s">
        <v>289</v>
      </c>
      <c r="H48" s="81" t="s">
        <v>290</v>
      </c>
      <c r="I48" s="93">
        <v>4</v>
      </c>
      <c r="J48" s="81" t="s">
        <v>291</v>
      </c>
      <c r="K48" s="97" t="s">
        <v>292</v>
      </c>
      <c r="L48" s="97" t="s">
        <v>39</v>
      </c>
      <c r="M48" s="81" t="s">
        <v>293</v>
      </c>
      <c r="N48" s="99">
        <f t="shared" si="4"/>
        <v>4.3750000000000004E-2</v>
      </c>
      <c r="O48" s="81" t="s">
        <v>196</v>
      </c>
      <c r="P48" s="101">
        <f t="shared" si="5"/>
        <v>160</v>
      </c>
      <c r="Q48" s="101">
        <v>2</v>
      </c>
      <c r="R48" s="105">
        <f t="shared" si="3"/>
        <v>1304</v>
      </c>
      <c r="S48" s="93" t="s">
        <v>42</v>
      </c>
      <c r="T48" s="101" t="s">
        <v>43</v>
      </c>
      <c r="U48" s="101" t="s">
        <v>43</v>
      </c>
      <c r="V48" s="93" t="s">
        <v>43</v>
      </c>
      <c r="W48" s="115">
        <v>1.2152777777777778E-3</v>
      </c>
      <c r="X48" s="115">
        <v>1.0995370370370371E-3</v>
      </c>
      <c r="Y48" s="115">
        <v>1.0416666666666667E-3</v>
      </c>
      <c r="Z48" s="101"/>
      <c r="AA48" s="101"/>
      <c r="AB48" s="101"/>
      <c r="AC48" s="101"/>
      <c r="AD48" s="92" t="s">
        <v>1334</v>
      </c>
      <c r="AE48" s="101"/>
      <c r="AF48" s="118"/>
      <c r="AG48" s="128"/>
    </row>
    <row r="49" spans="1:33" ht="65.099999999999994" customHeight="1">
      <c r="A49" s="81" t="s">
        <v>192</v>
      </c>
      <c r="B49" s="93">
        <v>45</v>
      </c>
      <c r="C49" s="93">
        <v>2</v>
      </c>
      <c r="D49" s="93">
        <v>6</v>
      </c>
      <c r="E49" s="81" t="s">
        <v>294</v>
      </c>
      <c r="F49" s="81" t="s">
        <v>66</v>
      </c>
      <c r="G49" s="81" t="s">
        <v>295</v>
      </c>
      <c r="H49" s="81" t="s">
        <v>80</v>
      </c>
      <c r="I49" s="93">
        <v>1</v>
      </c>
      <c r="J49" s="81" t="s">
        <v>296</v>
      </c>
      <c r="K49" s="97" t="s">
        <v>38</v>
      </c>
      <c r="L49" s="97" t="s">
        <v>82</v>
      </c>
      <c r="M49" s="81" t="s">
        <v>71</v>
      </c>
      <c r="N49" s="99">
        <f t="shared" si="4"/>
        <v>4.4618055555555557E-2</v>
      </c>
      <c r="O49" s="81" t="s">
        <v>297</v>
      </c>
      <c r="P49" s="101">
        <f t="shared" si="5"/>
        <v>164</v>
      </c>
      <c r="Q49" s="101">
        <v>4</v>
      </c>
      <c r="R49" s="105">
        <f t="shared" si="3"/>
        <v>1369.4</v>
      </c>
      <c r="S49" s="93" t="s">
        <v>42</v>
      </c>
      <c r="T49" s="101" t="s">
        <v>43</v>
      </c>
      <c r="U49" s="101" t="s">
        <v>43</v>
      </c>
      <c r="V49" s="93" t="s">
        <v>43</v>
      </c>
      <c r="W49" s="115">
        <v>1.0416666666666667E-3</v>
      </c>
      <c r="X49" s="115">
        <v>9.2592592592592596E-4</v>
      </c>
      <c r="Y49" s="115">
        <v>8.6805555555555551E-4</v>
      </c>
      <c r="Z49" s="101"/>
      <c r="AA49" s="101"/>
      <c r="AB49" s="101"/>
      <c r="AC49" s="101"/>
      <c r="AD49" s="92" t="s">
        <v>1334</v>
      </c>
      <c r="AE49" s="101"/>
      <c r="AF49" s="118"/>
      <c r="AG49" s="128"/>
    </row>
    <row r="50" spans="1:33" ht="65.099999999999994" customHeight="1">
      <c r="A50" s="81" t="s">
        <v>192</v>
      </c>
      <c r="B50" s="93">
        <v>46</v>
      </c>
      <c r="C50" s="93">
        <v>2</v>
      </c>
      <c r="D50" s="93">
        <v>6</v>
      </c>
      <c r="E50" s="81" t="s">
        <v>298</v>
      </c>
      <c r="F50" s="81" t="s">
        <v>299</v>
      </c>
      <c r="G50" s="81" t="s">
        <v>300</v>
      </c>
      <c r="H50" s="81" t="s">
        <v>301</v>
      </c>
      <c r="I50" s="93">
        <v>8</v>
      </c>
      <c r="J50" s="81" t="s">
        <v>302</v>
      </c>
      <c r="K50" s="97" t="s">
        <v>303</v>
      </c>
      <c r="L50" s="97" t="s">
        <v>250</v>
      </c>
      <c r="M50" s="81" t="s">
        <v>304</v>
      </c>
      <c r="N50" s="99">
        <f t="shared" si="4"/>
        <v>4.6238425925925926E-2</v>
      </c>
      <c r="O50" s="81" t="s">
        <v>297</v>
      </c>
      <c r="P50" s="101">
        <f t="shared" si="5"/>
        <v>168</v>
      </c>
      <c r="Q50" s="101">
        <v>4</v>
      </c>
      <c r="R50" s="105">
        <f t="shared" si="3"/>
        <v>1436.4</v>
      </c>
      <c r="S50" s="93" t="s">
        <v>42</v>
      </c>
      <c r="T50" s="101" t="s">
        <v>43</v>
      </c>
      <c r="U50" s="101" t="s">
        <v>43</v>
      </c>
      <c r="V50" s="93" t="s">
        <v>43</v>
      </c>
      <c r="W50" s="115">
        <v>1.9097222222222222E-3</v>
      </c>
      <c r="X50" s="115">
        <v>1.736111111111111E-3</v>
      </c>
      <c r="Y50" s="115">
        <v>1.6203703703703703E-3</v>
      </c>
      <c r="Z50" s="101"/>
      <c r="AA50" s="101"/>
      <c r="AB50" s="101"/>
      <c r="AC50" s="101"/>
      <c r="AD50" s="92" t="s">
        <v>1334</v>
      </c>
      <c r="AE50" s="101"/>
      <c r="AF50" s="118"/>
      <c r="AG50" s="128"/>
    </row>
    <row r="51" spans="1:33" ht="65.099999999999994" customHeight="1">
      <c r="A51" s="81" t="s">
        <v>192</v>
      </c>
      <c r="B51" s="93">
        <v>47</v>
      </c>
      <c r="C51" s="93">
        <v>3</v>
      </c>
      <c r="D51" s="93">
        <v>7</v>
      </c>
      <c r="E51" s="81" t="s">
        <v>305</v>
      </c>
      <c r="F51" s="81" t="s">
        <v>299</v>
      </c>
      <c r="G51" s="81" t="s">
        <v>306</v>
      </c>
      <c r="H51" s="81" t="s">
        <v>307</v>
      </c>
      <c r="I51" s="93">
        <v>10</v>
      </c>
      <c r="J51" s="81" t="s">
        <v>308</v>
      </c>
      <c r="K51" s="97" t="s">
        <v>303</v>
      </c>
      <c r="L51" s="97" t="s">
        <v>233</v>
      </c>
      <c r="M51" s="81" t="s">
        <v>304</v>
      </c>
      <c r="N51" s="99">
        <f t="shared" si="4"/>
        <v>4.8321759259259259E-2</v>
      </c>
      <c r="O51" s="81" t="s">
        <v>297</v>
      </c>
      <c r="P51" s="101">
        <f t="shared" si="5"/>
        <v>173</v>
      </c>
      <c r="Q51" s="101">
        <v>5</v>
      </c>
      <c r="R51" s="105">
        <f t="shared" si="3"/>
        <v>1522.4</v>
      </c>
      <c r="S51" s="93" t="s">
        <v>42</v>
      </c>
      <c r="T51" s="101" t="s">
        <v>43</v>
      </c>
      <c r="U51" s="101" t="s">
        <v>43</v>
      </c>
      <c r="V51" s="93" t="s">
        <v>43</v>
      </c>
      <c r="W51" s="115">
        <v>2.8356481481481483E-3</v>
      </c>
      <c r="X51" s="115">
        <v>2.4305555555555556E-3</v>
      </c>
      <c r="Y51" s="115">
        <v>2.0833333333333333E-3</v>
      </c>
      <c r="Z51" s="101"/>
      <c r="AA51" s="101"/>
      <c r="AB51" s="101"/>
      <c r="AC51" s="101"/>
      <c r="AD51" s="92" t="s">
        <v>1334</v>
      </c>
      <c r="AE51" s="101"/>
      <c r="AF51" s="118"/>
      <c r="AG51" s="128"/>
    </row>
    <row r="52" spans="1:33" ht="65.099999999999994" customHeight="1">
      <c r="A52" s="81" t="s">
        <v>192</v>
      </c>
      <c r="B52" s="93">
        <v>48</v>
      </c>
      <c r="C52" s="93">
        <v>3</v>
      </c>
      <c r="D52" s="93">
        <v>7</v>
      </c>
      <c r="E52" s="81" t="s">
        <v>309</v>
      </c>
      <c r="F52" s="81" t="s">
        <v>299</v>
      </c>
      <c r="G52" s="81" t="s">
        <v>310</v>
      </c>
      <c r="H52" s="81" t="s">
        <v>311</v>
      </c>
      <c r="I52" s="93">
        <v>6</v>
      </c>
      <c r="J52" s="81" t="s">
        <v>312</v>
      </c>
      <c r="K52" s="97" t="s">
        <v>303</v>
      </c>
      <c r="L52" s="97" t="s">
        <v>238</v>
      </c>
      <c r="M52" s="81" t="s">
        <v>304</v>
      </c>
      <c r="N52" s="99">
        <f t="shared" si="4"/>
        <v>5.0173611111111113E-2</v>
      </c>
      <c r="O52" s="81" t="s">
        <v>297</v>
      </c>
      <c r="P52" s="101">
        <f t="shared" si="5"/>
        <v>178</v>
      </c>
      <c r="Q52" s="101">
        <v>5</v>
      </c>
      <c r="R52" s="105">
        <f t="shared" si="3"/>
        <v>1610.9</v>
      </c>
      <c r="S52" s="93" t="s">
        <v>42</v>
      </c>
      <c r="T52" s="101" t="s">
        <v>43</v>
      </c>
      <c r="U52" s="101" t="s">
        <v>43</v>
      </c>
      <c r="V52" s="93" t="s">
        <v>43</v>
      </c>
      <c r="W52" s="115">
        <v>2.5462962962962965E-3</v>
      </c>
      <c r="X52" s="115">
        <v>2.1412037037037038E-3</v>
      </c>
      <c r="Y52" s="115">
        <v>1.8518518518518519E-3</v>
      </c>
      <c r="Z52" s="101"/>
      <c r="AA52" s="101"/>
      <c r="AB52" s="101"/>
      <c r="AC52" s="101"/>
      <c r="AD52" s="92" t="s">
        <v>1334</v>
      </c>
      <c r="AE52" s="101"/>
      <c r="AF52" s="118"/>
      <c r="AG52" s="128"/>
    </row>
    <row r="53" spans="1:33" ht="65.099999999999994" customHeight="1">
      <c r="A53" s="81" t="s">
        <v>192</v>
      </c>
      <c r="B53" s="93">
        <v>49</v>
      </c>
      <c r="C53" s="93">
        <v>5</v>
      </c>
      <c r="D53" s="93">
        <v>8</v>
      </c>
      <c r="E53" s="81" t="s">
        <v>313</v>
      </c>
      <c r="F53" s="81" t="s">
        <v>314</v>
      </c>
      <c r="G53" s="81" t="s">
        <v>315</v>
      </c>
      <c r="H53" s="81" t="s">
        <v>316</v>
      </c>
      <c r="I53" s="93">
        <v>10</v>
      </c>
      <c r="J53" s="81" t="s">
        <v>317</v>
      </c>
      <c r="K53" s="97" t="s">
        <v>318</v>
      </c>
      <c r="L53" s="97" t="s">
        <v>159</v>
      </c>
      <c r="M53" s="81" t="s">
        <v>319</v>
      </c>
      <c r="N53" s="99">
        <f t="shared" si="4"/>
        <v>5.1331018518518519E-2</v>
      </c>
      <c r="O53" s="81" t="s">
        <v>297</v>
      </c>
      <c r="P53" s="101">
        <f t="shared" si="5"/>
        <v>185</v>
      </c>
      <c r="Q53" s="101">
        <v>7</v>
      </c>
      <c r="R53" s="105">
        <f t="shared" si="3"/>
        <v>1739</v>
      </c>
      <c r="S53" s="93" t="s">
        <v>42</v>
      </c>
      <c r="T53" s="101" t="s">
        <v>43</v>
      </c>
      <c r="U53" s="101" t="s">
        <v>43</v>
      </c>
      <c r="V53" s="93" t="s">
        <v>43</v>
      </c>
      <c r="W53" s="115">
        <v>1.8518518518518519E-3</v>
      </c>
      <c r="X53" s="115">
        <v>1.5046296296296296E-3</v>
      </c>
      <c r="Y53" s="115">
        <v>1.1574074074074073E-3</v>
      </c>
      <c r="Z53" s="101"/>
      <c r="AA53" s="101"/>
      <c r="AB53" s="101"/>
      <c r="AC53" s="101"/>
      <c r="AD53" s="92" t="s">
        <v>1334</v>
      </c>
      <c r="AE53" s="101"/>
      <c r="AF53" s="118"/>
      <c r="AG53" s="128"/>
    </row>
    <row r="54" spans="1:33" ht="65.099999999999994" customHeight="1">
      <c r="A54" s="81" t="s">
        <v>192</v>
      </c>
      <c r="B54" s="93">
        <v>50</v>
      </c>
      <c r="C54" s="93">
        <v>2</v>
      </c>
      <c r="D54" s="93">
        <v>7</v>
      </c>
      <c r="E54" s="81" t="s">
        <v>320</v>
      </c>
      <c r="F54" s="81" t="s">
        <v>288</v>
      </c>
      <c r="G54" s="81" t="s">
        <v>321</v>
      </c>
      <c r="H54" s="81" t="s">
        <v>290</v>
      </c>
      <c r="I54" s="93">
        <v>3</v>
      </c>
      <c r="J54" s="81" t="s">
        <v>291</v>
      </c>
      <c r="K54" s="97" t="s">
        <v>292</v>
      </c>
      <c r="L54" s="97" t="s">
        <v>136</v>
      </c>
      <c r="M54" s="81" t="s">
        <v>293</v>
      </c>
      <c r="N54" s="99">
        <f t="shared" si="4"/>
        <v>5.2141203703703703E-2</v>
      </c>
      <c r="O54" s="81" t="s">
        <v>297</v>
      </c>
      <c r="P54" s="101">
        <f t="shared" si="5"/>
        <v>189</v>
      </c>
      <c r="Q54" s="101">
        <v>4</v>
      </c>
      <c r="R54" s="105">
        <f t="shared" si="3"/>
        <v>1814.4</v>
      </c>
      <c r="S54" s="93" t="s">
        <v>42</v>
      </c>
      <c r="T54" s="101" t="s">
        <v>43</v>
      </c>
      <c r="U54" s="101" t="s">
        <v>43</v>
      </c>
      <c r="V54" s="93" t="s">
        <v>43</v>
      </c>
      <c r="W54" s="115">
        <v>9.837962962962962E-4</v>
      </c>
      <c r="X54" s="115">
        <v>8.6805555555555551E-4</v>
      </c>
      <c r="Y54" s="115">
        <v>8.1018518518518516E-4</v>
      </c>
      <c r="Z54" s="101"/>
      <c r="AA54" s="101"/>
      <c r="AB54" s="101"/>
      <c r="AC54" s="101"/>
      <c r="AD54" s="92" t="s">
        <v>1334</v>
      </c>
      <c r="AE54" s="101"/>
      <c r="AF54" s="118"/>
      <c r="AG54" s="128"/>
    </row>
    <row r="55" spans="1:33" ht="65.099999999999994" customHeight="1">
      <c r="A55" s="81" t="s">
        <v>192</v>
      </c>
      <c r="B55" s="93">
        <v>51</v>
      </c>
      <c r="C55" s="93">
        <v>1</v>
      </c>
      <c r="D55" s="93">
        <v>9</v>
      </c>
      <c r="E55" s="81" t="s">
        <v>322</v>
      </c>
      <c r="F55" s="81" t="s">
        <v>198</v>
      </c>
      <c r="G55" s="81" t="s">
        <v>323</v>
      </c>
      <c r="H55" s="81" t="s">
        <v>200</v>
      </c>
      <c r="I55" s="93">
        <v>1</v>
      </c>
      <c r="J55" s="81" t="s">
        <v>201</v>
      </c>
      <c r="K55" s="97" t="s">
        <v>38</v>
      </c>
      <c r="L55" s="97" t="s">
        <v>112</v>
      </c>
      <c r="M55" s="81" t="s">
        <v>202</v>
      </c>
      <c r="N55" s="99">
        <f t="shared" si="4"/>
        <v>5.271990740740741E-2</v>
      </c>
      <c r="O55" s="81" t="s">
        <v>324</v>
      </c>
      <c r="P55" s="101">
        <f t="shared" si="5"/>
        <v>193</v>
      </c>
      <c r="Q55" s="101">
        <v>4</v>
      </c>
      <c r="R55" s="105">
        <f t="shared" si="3"/>
        <v>1891.4</v>
      </c>
      <c r="S55" s="93" t="s">
        <v>42</v>
      </c>
      <c r="T55" s="101" t="s">
        <v>43</v>
      </c>
      <c r="U55" s="101" t="s">
        <v>43</v>
      </c>
      <c r="V55" s="93" t="s">
        <v>43</v>
      </c>
      <c r="W55" s="115">
        <v>6.9444444444444447E-4</v>
      </c>
      <c r="X55" s="115">
        <v>6.3657407407407413E-4</v>
      </c>
      <c r="Y55" s="115">
        <v>5.7870370370370367E-4</v>
      </c>
      <c r="Z55" s="101"/>
      <c r="AA55" s="101"/>
      <c r="AB55" s="101"/>
      <c r="AC55" s="101"/>
      <c r="AD55" s="92" t="s">
        <v>1334</v>
      </c>
      <c r="AE55" s="101"/>
      <c r="AF55" s="118"/>
      <c r="AG55" s="128"/>
    </row>
    <row r="56" spans="1:33" ht="65.099999999999994" customHeight="1">
      <c r="A56" s="81" t="s">
        <v>192</v>
      </c>
      <c r="B56" s="93">
        <v>52</v>
      </c>
      <c r="C56" s="93">
        <v>2</v>
      </c>
      <c r="D56" s="93">
        <v>9</v>
      </c>
      <c r="E56" s="81" t="s">
        <v>325</v>
      </c>
      <c r="F56" s="81" t="s">
        <v>173</v>
      </c>
      <c r="G56" s="81" t="s">
        <v>326</v>
      </c>
      <c r="H56" s="81" t="s">
        <v>327</v>
      </c>
      <c r="I56" s="93">
        <v>3</v>
      </c>
      <c r="J56" s="81" t="s">
        <v>176</v>
      </c>
      <c r="K56" s="97" t="s">
        <v>38</v>
      </c>
      <c r="L56" s="97" t="s">
        <v>328</v>
      </c>
      <c r="M56" s="81" t="s">
        <v>177</v>
      </c>
      <c r="N56" s="99">
        <f t="shared" si="4"/>
        <v>5.3819444444444448E-2</v>
      </c>
      <c r="O56" s="81" t="s">
        <v>324</v>
      </c>
      <c r="P56" s="101">
        <f t="shared" si="5"/>
        <v>198</v>
      </c>
      <c r="Q56" s="101">
        <v>5</v>
      </c>
      <c r="R56" s="105">
        <f t="shared" si="3"/>
        <v>1989.9</v>
      </c>
      <c r="S56" s="93" t="s">
        <v>42</v>
      </c>
      <c r="T56" s="101" t="s">
        <v>43</v>
      </c>
      <c r="U56" s="101" t="s">
        <v>43</v>
      </c>
      <c r="V56" s="93" t="s">
        <v>43</v>
      </c>
      <c r="W56" s="115">
        <v>1.2731481481481483E-3</v>
      </c>
      <c r="X56" s="115">
        <v>1.1574074074074073E-3</v>
      </c>
      <c r="Y56" s="115">
        <v>1.0995370370370371E-3</v>
      </c>
      <c r="Z56" s="101"/>
      <c r="AA56" s="101"/>
      <c r="AB56" s="101"/>
      <c r="AC56" s="101"/>
      <c r="AD56" s="92" t="s">
        <v>1334</v>
      </c>
      <c r="AE56" s="101"/>
      <c r="AF56" s="118"/>
      <c r="AG56" s="128"/>
    </row>
    <row r="57" spans="1:33" ht="65.099999999999994" customHeight="1">
      <c r="A57" s="81" t="s">
        <v>192</v>
      </c>
      <c r="B57" s="93">
        <v>53</v>
      </c>
      <c r="C57" s="93">
        <v>2</v>
      </c>
      <c r="D57" s="93">
        <v>5</v>
      </c>
      <c r="E57" s="81" t="s">
        <v>329</v>
      </c>
      <c r="F57" s="81" t="s">
        <v>66</v>
      </c>
      <c r="G57" s="81" t="s">
        <v>330</v>
      </c>
      <c r="H57" s="81" t="s">
        <v>80</v>
      </c>
      <c r="I57" s="93">
        <v>1</v>
      </c>
      <c r="J57" s="81" t="s">
        <v>331</v>
      </c>
      <c r="K57" s="97" t="s">
        <v>38</v>
      </c>
      <c r="L57" s="97" t="s">
        <v>117</v>
      </c>
      <c r="M57" s="81" t="s">
        <v>71</v>
      </c>
      <c r="N57" s="99">
        <f t="shared" si="4"/>
        <v>5.5208333333333338E-2</v>
      </c>
      <c r="O57" s="81" t="s">
        <v>332</v>
      </c>
      <c r="P57" s="101">
        <f t="shared" si="5"/>
        <v>201</v>
      </c>
      <c r="Q57" s="101">
        <v>3</v>
      </c>
      <c r="R57" s="105">
        <f t="shared" si="3"/>
        <v>2050.1999999999998</v>
      </c>
      <c r="S57" s="93" t="s">
        <v>42</v>
      </c>
      <c r="T57" s="101" t="s">
        <v>43</v>
      </c>
      <c r="U57" s="101" t="s">
        <v>43</v>
      </c>
      <c r="V57" s="93" t="s">
        <v>43</v>
      </c>
      <c r="W57" s="115">
        <v>1.6203703703703703E-3</v>
      </c>
      <c r="X57" s="115">
        <v>1.5046296296296296E-3</v>
      </c>
      <c r="Y57" s="115">
        <v>1.3888888888888889E-3</v>
      </c>
      <c r="Z57" s="101"/>
      <c r="AA57" s="101"/>
      <c r="AB57" s="101"/>
      <c r="AC57" s="101"/>
      <c r="AD57" s="92" t="s">
        <v>1334</v>
      </c>
      <c r="AE57" s="101"/>
      <c r="AF57" s="118"/>
      <c r="AG57" s="128"/>
    </row>
    <row r="58" spans="1:33" ht="65.099999999999994" customHeight="1" thickBot="1">
      <c r="A58" s="148" t="s">
        <v>192</v>
      </c>
      <c r="B58" s="144">
        <v>54</v>
      </c>
      <c r="C58" s="144">
        <v>1</v>
      </c>
      <c r="D58" s="144">
        <v>5</v>
      </c>
      <c r="E58" s="148" t="s">
        <v>333</v>
      </c>
      <c r="F58" s="148" t="s">
        <v>334</v>
      </c>
      <c r="G58" s="148" t="s">
        <v>335</v>
      </c>
      <c r="H58" s="148" t="s">
        <v>336</v>
      </c>
      <c r="I58" s="144">
        <v>1</v>
      </c>
      <c r="J58" s="148" t="s">
        <v>337</v>
      </c>
      <c r="K58" s="149" t="s">
        <v>38</v>
      </c>
      <c r="L58" s="149" t="s">
        <v>94</v>
      </c>
      <c r="M58" s="148" t="s">
        <v>338</v>
      </c>
      <c r="N58" s="145">
        <f t="shared" si="4"/>
        <v>5.5613425925925934E-2</v>
      </c>
      <c r="O58" s="148" t="s">
        <v>332</v>
      </c>
      <c r="P58" s="119">
        <f t="shared" si="5"/>
        <v>203</v>
      </c>
      <c r="Q58" s="119">
        <v>2</v>
      </c>
      <c r="R58" s="146">
        <f t="shared" si="3"/>
        <v>2090.9</v>
      </c>
      <c r="S58" s="144" t="s">
        <v>42</v>
      </c>
      <c r="T58" s="119" t="s">
        <v>43</v>
      </c>
      <c r="U58" s="119" t="s">
        <v>43</v>
      </c>
      <c r="V58" s="144" t="s">
        <v>43</v>
      </c>
      <c r="W58" s="147">
        <v>5.2083333333333333E-4</v>
      </c>
      <c r="X58" s="147">
        <v>4.6296296296296298E-4</v>
      </c>
      <c r="Y58" s="147">
        <v>4.0509259259259258E-4</v>
      </c>
      <c r="Z58" s="119"/>
      <c r="AA58" s="119"/>
      <c r="AB58" s="119"/>
      <c r="AC58" s="119"/>
      <c r="AD58" s="144" t="s">
        <v>1334</v>
      </c>
      <c r="AE58" s="119"/>
      <c r="AF58" s="120"/>
      <c r="AG58" s="128"/>
    </row>
    <row r="59" spans="1:33" ht="65.099999999999994" customHeight="1">
      <c r="A59" s="82" t="s">
        <v>339</v>
      </c>
      <c r="B59" s="92">
        <v>55</v>
      </c>
      <c r="C59" s="92">
        <v>1</v>
      </c>
      <c r="D59" s="92">
        <v>6</v>
      </c>
      <c r="E59" s="82" t="s">
        <v>340</v>
      </c>
      <c r="F59" s="82" t="s">
        <v>341</v>
      </c>
      <c r="G59" s="82" t="s">
        <v>342</v>
      </c>
      <c r="H59" s="82" t="s">
        <v>343</v>
      </c>
      <c r="I59" s="92">
        <v>2</v>
      </c>
      <c r="J59" s="82" t="s">
        <v>344</v>
      </c>
      <c r="K59" s="96" t="s">
        <v>38</v>
      </c>
      <c r="L59" s="96" t="s">
        <v>63</v>
      </c>
      <c r="M59" s="82" t="s">
        <v>345</v>
      </c>
      <c r="N59" s="98">
        <f t="shared" si="4"/>
        <v>5.6076388888888898E-2</v>
      </c>
      <c r="O59" s="82" t="s">
        <v>346</v>
      </c>
      <c r="P59" s="100">
        <f t="shared" si="5"/>
        <v>206</v>
      </c>
      <c r="Q59" s="100">
        <v>3</v>
      </c>
      <c r="R59" s="104">
        <f t="shared" si="3"/>
        <v>2152.6999999999998</v>
      </c>
      <c r="S59" s="92" t="s">
        <v>42</v>
      </c>
      <c r="T59" s="100" t="s">
        <v>43</v>
      </c>
      <c r="U59" s="100" t="s">
        <v>43</v>
      </c>
      <c r="V59" s="92" t="s">
        <v>43</v>
      </c>
      <c r="W59" s="114">
        <v>5.7870370370370367E-4</v>
      </c>
      <c r="X59" s="114">
        <v>5.2083333333333333E-4</v>
      </c>
      <c r="Y59" s="114">
        <v>4.6296296296296298E-4</v>
      </c>
      <c r="Z59" s="100"/>
      <c r="AA59" s="100"/>
      <c r="AB59" s="100"/>
      <c r="AC59" s="100"/>
      <c r="AD59" s="92" t="s">
        <v>1334</v>
      </c>
      <c r="AE59" s="100"/>
      <c r="AF59" s="117"/>
      <c r="AG59" s="128"/>
    </row>
    <row r="60" spans="1:33" ht="65.099999999999994" customHeight="1">
      <c r="A60" s="81" t="s">
        <v>339</v>
      </c>
      <c r="B60" s="93">
        <v>56</v>
      </c>
      <c r="C60" s="93">
        <v>2</v>
      </c>
      <c r="D60" s="93">
        <v>8</v>
      </c>
      <c r="E60" s="81" t="s">
        <v>347</v>
      </c>
      <c r="F60" s="81" t="s">
        <v>52</v>
      </c>
      <c r="G60" s="81" t="s">
        <v>53</v>
      </c>
      <c r="H60" s="81" t="s">
        <v>348</v>
      </c>
      <c r="I60" s="93">
        <v>3</v>
      </c>
      <c r="J60" s="81" t="s">
        <v>349</v>
      </c>
      <c r="K60" s="97" t="s">
        <v>38</v>
      </c>
      <c r="L60" s="97" t="s">
        <v>136</v>
      </c>
      <c r="M60" s="81" t="s">
        <v>57</v>
      </c>
      <c r="N60" s="99">
        <f t="shared" si="4"/>
        <v>5.6886574074074082E-2</v>
      </c>
      <c r="O60" s="81" t="s">
        <v>346</v>
      </c>
      <c r="P60" s="101">
        <f t="shared" si="5"/>
        <v>211</v>
      </c>
      <c r="Q60" s="101">
        <v>5</v>
      </c>
      <c r="R60" s="105">
        <f t="shared" si="3"/>
        <v>2257.6999999999998</v>
      </c>
      <c r="S60" s="93" t="s">
        <v>42</v>
      </c>
      <c r="T60" s="101" t="s">
        <v>43</v>
      </c>
      <c r="U60" s="101" t="s">
        <v>43</v>
      </c>
      <c r="V60" s="93" t="s">
        <v>43</v>
      </c>
      <c r="W60" s="115">
        <v>9.837962962962962E-4</v>
      </c>
      <c r="X60" s="115">
        <v>8.6805555555555551E-4</v>
      </c>
      <c r="Y60" s="115">
        <v>8.1018518518518516E-4</v>
      </c>
      <c r="Z60" s="101"/>
      <c r="AA60" s="101"/>
      <c r="AB60" s="101"/>
      <c r="AC60" s="101"/>
      <c r="AD60" s="92" t="s">
        <v>1334</v>
      </c>
      <c r="AE60" s="101"/>
      <c r="AF60" s="118"/>
      <c r="AG60" s="128"/>
    </row>
    <row r="61" spans="1:33" ht="65.099999999999994" customHeight="1">
      <c r="A61" s="81" t="s">
        <v>339</v>
      </c>
      <c r="B61" s="93">
        <v>57</v>
      </c>
      <c r="C61" s="93">
        <v>3</v>
      </c>
      <c r="D61" s="93">
        <v>7</v>
      </c>
      <c r="E61" s="81" t="s">
        <v>350</v>
      </c>
      <c r="F61" s="81" t="s">
        <v>351</v>
      </c>
      <c r="G61" s="81" t="s">
        <v>352</v>
      </c>
      <c r="H61" s="81" t="s">
        <v>353</v>
      </c>
      <c r="I61" s="93">
        <v>5</v>
      </c>
      <c r="J61" s="81" t="s">
        <v>354</v>
      </c>
      <c r="K61" s="97" t="s">
        <v>355</v>
      </c>
      <c r="L61" s="97" t="s">
        <v>117</v>
      </c>
      <c r="M61" s="81" t="s">
        <v>356</v>
      </c>
      <c r="N61" s="99">
        <f t="shared" si="4"/>
        <v>5.8275462962962973E-2</v>
      </c>
      <c r="O61" s="81" t="s">
        <v>346</v>
      </c>
      <c r="P61" s="101">
        <f t="shared" si="5"/>
        <v>216</v>
      </c>
      <c r="Q61" s="101">
        <v>5</v>
      </c>
      <c r="R61" s="105">
        <f t="shared" si="3"/>
        <v>2365.1999999999998</v>
      </c>
      <c r="S61" s="93" t="s">
        <v>42</v>
      </c>
      <c r="T61" s="101" t="s">
        <v>43</v>
      </c>
      <c r="U61" s="101" t="s">
        <v>43</v>
      </c>
      <c r="V61" s="93" t="s">
        <v>43</v>
      </c>
      <c r="W61" s="115">
        <v>1.9097222222222222E-3</v>
      </c>
      <c r="X61" s="115">
        <v>1.6203703703703703E-3</v>
      </c>
      <c r="Y61" s="115">
        <v>1.3888888888888889E-3</v>
      </c>
      <c r="Z61" s="101"/>
      <c r="AA61" s="101"/>
      <c r="AB61" s="101"/>
      <c r="AC61" s="101"/>
      <c r="AD61" s="92" t="s">
        <v>1334</v>
      </c>
      <c r="AE61" s="101"/>
      <c r="AF61" s="118"/>
      <c r="AG61" s="128"/>
    </row>
    <row r="62" spans="1:33" ht="65.099999999999994" customHeight="1">
      <c r="A62" s="81" t="s">
        <v>339</v>
      </c>
      <c r="B62" s="93">
        <v>58</v>
      </c>
      <c r="C62" s="93">
        <v>4</v>
      </c>
      <c r="D62" s="93">
        <v>9</v>
      </c>
      <c r="E62" s="81" t="s">
        <v>357</v>
      </c>
      <c r="F62" s="81" t="s">
        <v>358</v>
      </c>
      <c r="G62" s="81" t="s">
        <v>359</v>
      </c>
      <c r="H62" s="81" t="s">
        <v>360</v>
      </c>
      <c r="I62" s="93">
        <v>3</v>
      </c>
      <c r="J62" s="81" t="s">
        <v>361</v>
      </c>
      <c r="K62" s="97" t="s">
        <v>362</v>
      </c>
      <c r="L62" s="97" t="s">
        <v>238</v>
      </c>
      <c r="M62" s="81" t="s">
        <v>363</v>
      </c>
      <c r="N62" s="99">
        <f t="shared" si="4"/>
        <v>6.0127314814814828E-2</v>
      </c>
      <c r="O62" s="81" t="s">
        <v>346</v>
      </c>
      <c r="P62" s="101">
        <f t="shared" si="5"/>
        <v>223</v>
      </c>
      <c r="Q62" s="101">
        <v>7</v>
      </c>
      <c r="R62" s="105">
        <f t="shared" si="3"/>
        <v>2519.9</v>
      </c>
      <c r="S62" s="93" t="s">
        <v>42</v>
      </c>
      <c r="T62" s="101" t="s">
        <v>43</v>
      </c>
      <c r="U62" s="101" t="s">
        <v>43</v>
      </c>
      <c r="V62" s="93" t="s">
        <v>43</v>
      </c>
      <c r="W62" s="115">
        <v>2.5462962962962965E-3</v>
      </c>
      <c r="X62" s="115">
        <v>2.1412037037037038E-3</v>
      </c>
      <c r="Y62" s="115">
        <v>1.8518518518518519E-3</v>
      </c>
      <c r="Z62" s="101"/>
      <c r="AA62" s="101"/>
      <c r="AB62" s="101"/>
      <c r="AC62" s="101"/>
      <c r="AD62" s="92" t="s">
        <v>1334</v>
      </c>
      <c r="AE62" s="101"/>
      <c r="AF62" s="118"/>
      <c r="AG62" s="128"/>
    </row>
    <row r="63" spans="1:33" ht="65.099999999999994" customHeight="1">
      <c r="A63" s="81" t="s">
        <v>339</v>
      </c>
      <c r="B63" s="93">
        <v>59</v>
      </c>
      <c r="C63" s="93">
        <v>4</v>
      </c>
      <c r="D63" s="93">
        <v>8</v>
      </c>
      <c r="E63" s="81" t="s">
        <v>364</v>
      </c>
      <c r="F63" s="81" t="s">
        <v>365</v>
      </c>
      <c r="G63" s="81" t="s">
        <v>366</v>
      </c>
      <c r="H63" s="81" t="s">
        <v>367</v>
      </c>
      <c r="I63" s="93">
        <v>1</v>
      </c>
      <c r="J63" s="81" t="s">
        <v>368</v>
      </c>
      <c r="K63" s="97" t="s">
        <v>369</v>
      </c>
      <c r="L63" s="97" t="s">
        <v>328</v>
      </c>
      <c r="M63" s="81" t="s">
        <v>370</v>
      </c>
      <c r="N63" s="99">
        <f t="shared" si="4"/>
        <v>6.1226851851851866E-2</v>
      </c>
      <c r="O63" s="81" t="s">
        <v>371</v>
      </c>
      <c r="P63" s="101">
        <f t="shared" si="5"/>
        <v>230</v>
      </c>
      <c r="Q63" s="101">
        <v>7</v>
      </c>
      <c r="R63" s="105">
        <f t="shared" si="3"/>
        <v>2679.5</v>
      </c>
      <c r="S63" s="93" t="s">
        <v>42</v>
      </c>
      <c r="T63" s="101" t="s">
        <v>43</v>
      </c>
      <c r="U63" s="101" t="s">
        <v>43</v>
      </c>
      <c r="V63" s="93" t="s">
        <v>43</v>
      </c>
      <c r="W63" s="115">
        <v>1.5046296296296296E-3</v>
      </c>
      <c r="X63" s="115">
        <v>1.2731481481481483E-3</v>
      </c>
      <c r="Y63" s="115">
        <v>1.0995370370370371E-3</v>
      </c>
      <c r="Z63" s="101"/>
      <c r="AA63" s="101"/>
      <c r="AB63" s="101"/>
      <c r="AC63" s="101"/>
      <c r="AD63" s="92" t="s">
        <v>1334</v>
      </c>
      <c r="AE63" s="101"/>
      <c r="AF63" s="118"/>
      <c r="AG63" s="128"/>
    </row>
    <row r="64" spans="1:33" ht="65.099999999999994" customHeight="1">
      <c r="A64" s="81" t="s">
        <v>339</v>
      </c>
      <c r="B64" s="93">
        <v>60</v>
      </c>
      <c r="C64" s="93">
        <v>5</v>
      </c>
      <c r="D64" s="93">
        <v>9</v>
      </c>
      <c r="E64" s="81" t="s">
        <v>372</v>
      </c>
      <c r="F64" s="81" t="s">
        <v>373</v>
      </c>
      <c r="G64" s="81" t="s">
        <v>374</v>
      </c>
      <c r="H64" s="81" t="s">
        <v>375</v>
      </c>
      <c r="I64" s="93">
        <v>3</v>
      </c>
      <c r="J64" s="81" t="s">
        <v>376</v>
      </c>
      <c r="K64" s="97" t="s">
        <v>377</v>
      </c>
      <c r="L64" s="97" t="s">
        <v>233</v>
      </c>
      <c r="M64" s="81" t="s">
        <v>378</v>
      </c>
      <c r="N64" s="99">
        <f t="shared" si="4"/>
        <v>6.3310185185185205E-2</v>
      </c>
      <c r="O64" s="81" t="s">
        <v>371</v>
      </c>
      <c r="P64" s="101">
        <f t="shared" si="5"/>
        <v>237</v>
      </c>
      <c r="Q64" s="101">
        <v>7</v>
      </c>
      <c r="R64" s="105">
        <f t="shared" si="3"/>
        <v>2844</v>
      </c>
      <c r="S64" s="93" t="s">
        <v>42</v>
      </c>
      <c r="T64" s="101" t="s">
        <v>43</v>
      </c>
      <c r="U64" s="101" t="s">
        <v>43</v>
      </c>
      <c r="V64" s="93" t="s">
        <v>43</v>
      </c>
      <c r="W64" s="115">
        <v>3.3564814814814816E-3</v>
      </c>
      <c r="X64" s="115">
        <v>2.7199074074074074E-3</v>
      </c>
      <c r="Y64" s="115">
        <v>2.0833333333333333E-3</v>
      </c>
      <c r="Z64" s="101"/>
      <c r="AA64" s="101"/>
      <c r="AB64" s="101"/>
      <c r="AC64" s="101"/>
      <c r="AD64" s="92" t="s">
        <v>1334</v>
      </c>
      <c r="AE64" s="101" t="s">
        <v>1321</v>
      </c>
      <c r="AF64" s="118"/>
      <c r="AG64" s="128"/>
    </row>
    <row r="65" spans="1:33" ht="65.099999999999994" customHeight="1">
      <c r="A65" s="81" t="s">
        <v>339</v>
      </c>
      <c r="B65" s="93">
        <v>61</v>
      </c>
      <c r="C65" s="93">
        <v>5</v>
      </c>
      <c r="D65" s="93">
        <v>9</v>
      </c>
      <c r="E65" s="81" t="s">
        <v>379</v>
      </c>
      <c r="F65" s="81" t="s">
        <v>380</v>
      </c>
      <c r="G65" s="81" t="s">
        <v>381</v>
      </c>
      <c r="H65" s="81" t="s">
        <v>382</v>
      </c>
      <c r="I65" s="93">
        <v>1</v>
      </c>
      <c r="J65" s="81" t="s">
        <v>383</v>
      </c>
      <c r="K65" s="97" t="s">
        <v>384</v>
      </c>
      <c r="L65" s="97" t="s">
        <v>250</v>
      </c>
      <c r="M65" s="81" t="s">
        <v>385</v>
      </c>
      <c r="N65" s="99">
        <f t="shared" si="4"/>
        <v>6.4930555555555575E-2</v>
      </c>
      <c r="O65" s="81" t="s">
        <v>371</v>
      </c>
      <c r="P65" s="101">
        <f t="shared" si="5"/>
        <v>244</v>
      </c>
      <c r="Q65" s="101">
        <v>7</v>
      </c>
      <c r="R65" s="105">
        <f t="shared" si="3"/>
        <v>3013.4</v>
      </c>
      <c r="S65" s="93" t="s">
        <v>42</v>
      </c>
      <c r="T65" s="101" t="s">
        <v>43</v>
      </c>
      <c r="U65" s="101" t="s">
        <v>43</v>
      </c>
      <c r="V65" s="93" t="s">
        <v>43</v>
      </c>
      <c r="W65" s="115">
        <v>2.6041666666666665E-3</v>
      </c>
      <c r="X65" s="115">
        <v>2.1412037037037038E-3</v>
      </c>
      <c r="Y65" s="115">
        <v>1.6203703703703703E-3</v>
      </c>
      <c r="Z65" s="101"/>
      <c r="AA65" s="101"/>
      <c r="AB65" s="101"/>
      <c r="AC65" s="101"/>
      <c r="AD65" s="92" t="s">
        <v>1334</v>
      </c>
      <c r="AE65" s="101"/>
      <c r="AF65" s="118"/>
      <c r="AG65" s="128"/>
    </row>
    <row r="66" spans="1:33" ht="65.099999999999994" customHeight="1">
      <c r="A66" s="81" t="s">
        <v>339</v>
      </c>
      <c r="B66" s="93">
        <v>62</v>
      </c>
      <c r="C66" s="93">
        <v>4</v>
      </c>
      <c r="D66" s="93">
        <v>8</v>
      </c>
      <c r="E66" s="81" t="s">
        <v>386</v>
      </c>
      <c r="F66" s="81" t="s">
        <v>66</v>
      </c>
      <c r="G66" s="81" t="s">
        <v>387</v>
      </c>
      <c r="H66" s="81" t="s">
        <v>388</v>
      </c>
      <c r="I66" s="93">
        <v>1</v>
      </c>
      <c r="J66" s="81" t="s">
        <v>389</v>
      </c>
      <c r="K66" s="97" t="s">
        <v>38</v>
      </c>
      <c r="L66" s="97" t="s">
        <v>170</v>
      </c>
      <c r="M66" s="81" t="s">
        <v>71</v>
      </c>
      <c r="N66" s="99">
        <f t="shared" si="4"/>
        <v>6.666666666666668E-2</v>
      </c>
      <c r="O66" s="81" t="s">
        <v>371</v>
      </c>
      <c r="P66" s="101">
        <f t="shared" si="5"/>
        <v>251</v>
      </c>
      <c r="Q66" s="101">
        <v>7</v>
      </c>
      <c r="R66" s="105">
        <f t="shared" si="3"/>
        <v>3187.7</v>
      </c>
      <c r="S66" s="93" t="s">
        <v>42</v>
      </c>
      <c r="T66" s="101" t="s">
        <v>43</v>
      </c>
      <c r="U66" s="101" t="s">
        <v>43</v>
      </c>
      <c r="V66" s="93" t="s">
        <v>43</v>
      </c>
      <c r="W66" s="115">
        <v>2.3726851851851851E-3</v>
      </c>
      <c r="X66" s="115">
        <v>2.0254629629629629E-3</v>
      </c>
      <c r="Y66" s="115">
        <v>1.736111111111111E-3</v>
      </c>
      <c r="Z66" s="101"/>
      <c r="AA66" s="101"/>
      <c r="AB66" s="101"/>
      <c r="AC66" s="101"/>
      <c r="AD66" s="92" t="s">
        <v>1334</v>
      </c>
      <c r="AE66" s="101"/>
      <c r="AF66" s="118"/>
      <c r="AG66" s="128"/>
    </row>
    <row r="67" spans="1:33" ht="65.099999999999994" customHeight="1">
      <c r="A67" s="81" t="s">
        <v>339</v>
      </c>
      <c r="B67" s="93">
        <v>63</v>
      </c>
      <c r="C67" s="93">
        <v>6</v>
      </c>
      <c r="D67" s="93">
        <v>9</v>
      </c>
      <c r="E67" s="81" t="s">
        <v>390</v>
      </c>
      <c r="F67" s="81" t="s">
        <v>391</v>
      </c>
      <c r="G67" s="81" t="s">
        <v>392</v>
      </c>
      <c r="H67" s="81" t="s">
        <v>393</v>
      </c>
      <c r="I67" s="93">
        <v>4</v>
      </c>
      <c r="J67" s="81" t="s">
        <v>394</v>
      </c>
      <c r="K67" s="97" t="s">
        <v>395</v>
      </c>
      <c r="L67" s="97" t="s">
        <v>170</v>
      </c>
      <c r="M67" s="81" t="s">
        <v>396</v>
      </c>
      <c r="N67" s="99">
        <f t="shared" si="4"/>
        <v>6.8402777777777785E-2</v>
      </c>
      <c r="O67" s="81" t="s">
        <v>371</v>
      </c>
      <c r="P67" s="101">
        <f t="shared" si="5"/>
        <v>259</v>
      </c>
      <c r="Q67" s="101">
        <v>8</v>
      </c>
      <c r="R67" s="105">
        <f t="shared" si="3"/>
        <v>3392.9</v>
      </c>
      <c r="S67" s="93" t="s">
        <v>397</v>
      </c>
      <c r="T67" s="101">
        <v>3</v>
      </c>
      <c r="U67" s="101">
        <v>150</v>
      </c>
      <c r="V67" s="93" t="s">
        <v>398</v>
      </c>
      <c r="W67" s="115">
        <v>2.7777777777777779E-3</v>
      </c>
      <c r="X67" s="115">
        <v>2.2569444444444442E-3</v>
      </c>
      <c r="Y67" s="115">
        <v>1.736111111111111E-3</v>
      </c>
      <c r="Z67" s="101"/>
      <c r="AA67" s="101"/>
      <c r="AB67" s="101"/>
      <c r="AC67" s="101"/>
      <c r="AD67" s="92" t="s">
        <v>1334</v>
      </c>
      <c r="AE67" s="101"/>
      <c r="AF67" s="118"/>
      <c r="AG67" s="128"/>
    </row>
    <row r="68" spans="1:33" ht="65.099999999999994" customHeight="1">
      <c r="A68" s="81" t="s">
        <v>339</v>
      </c>
      <c r="B68" s="93">
        <v>64</v>
      </c>
      <c r="C68" s="93">
        <v>2</v>
      </c>
      <c r="D68" s="93">
        <v>9</v>
      </c>
      <c r="E68" s="81" t="s">
        <v>399</v>
      </c>
      <c r="F68" s="81" t="s">
        <v>400</v>
      </c>
      <c r="G68" s="81" t="s">
        <v>401</v>
      </c>
      <c r="H68" s="81" t="s">
        <v>402</v>
      </c>
      <c r="I68" s="93">
        <v>1</v>
      </c>
      <c r="J68" s="81" t="s">
        <v>403</v>
      </c>
      <c r="K68" s="97" t="s">
        <v>404</v>
      </c>
      <c r="L68" s="97" t="s">
        <v>208</v>
      </c>
      <c r="M68" s="81" t="s">
        <v>405</v>
      </c>
      <c r="N68" s="99">
        <f t="shared" si="4"/>
        <v>6.8923611111111116E-2</v>
      </c>
      <c r="O68" s="81" t="s">
        <v>371</v>
      </c>
      <c r="P68" s="101">
        <f t="shared" si="5"/>
        <v>264</v>
      </c>
      <c r="Q68" s="101">
        <v>5</v>
      </c>
      <c r="R68" s="105">
        <f t="shared" si="3"/>
        <v>3524.4</v>
      </c>
      <c r="S68" s="93" t="s">
        <v>406</v>
      </c>
      <c r="T68" s="101">
        <v>2</v>
      </c>
      <c r="U68" s="101">
        <v>45</v>
      </c>
      <c r="V68" s="93" t="s">
        <v>407</v>
      </c>
      <c r="W68" s="115">
        <v>5.7870370370370367E-4</v>
      </c>
      <c r="X68" s="115">
        <v>5.7870370370370367E-4</v>
      </c>
      <c r="Y68" s="115">
        <v>5.2083333333333333E-4</v>
      </c>
      <c r="Z68" s="101"/>
      <c r="AA68" s="101"/>
      <c r="AB68" s="101"/>
      <c r="AC68" s="101"/>
      <c r="AD68" s="92" t="s">
        <v>1334</v>
      </c>
      <c r="AE68" s="101"/>
      <c r="AF68" s="118"/>
      <c r="AG68" s="128"/>
    </row>
    <row r="69" spans="1:33" ht="65.099999999999994" customHeight="1">
      <c r="A69" s="81" t="s">
        <v>339</v>
      </c>
      <c r="B69" s="93">
        <v>65</v>
      </c>
      <c r="C69" s="93">
        <v>2</v>
      </c>
      <c r="D69" s="93">
        <v>8</v>
      </c>
      <c r="E69" s="81" t="s">
        <v>408</v>
      </c>
      <c r="F69" s="81" t="s">
        <v>52</v>
      </c>
      <c r="G69" s="81" t="s">
        <v>53</v>
      </c>
      <c r="H69" s="81" t="s">
        <v>348</v>
      </c>
      <c r="I69" s="93">
        <v>2</v>
      </c>
      <c r="J69" s="81" t="s">
        <v>409</v>
      </c>
      <c r="K69" s="97" t="s">
        <v>38</v>
      </c>
      <c r="L69" s="97" t="s">
        <v>121</v>
      </c>
      <c r="M69" s="81" t="s">
        <v>57</v>
      </c>
      <c r="N69" s="99">
        <f t="shared" si="4"/>
        <v>6.9849537037037043E-2</v>
      </c>
      <c r="O69" s="81" t="s">
        <v>371</v>
      </c>
      <c r="P69" s="101">
        <f t="shared" si="5"/>
        <v>269</v>
      </c>
      <c r="Q69" s="101">
        <v>5</v>
      </c>
      <c r="R69" s="105">
        <f t="shared" ref="R69:R100" si="6">ROUND($Q$3*P69*P69+$R$3*P69,2)</f>
        <v>3658.4</v>
      </c>
      <c r="S69" s="93" t="s">
        <v>42</v>
      </c>
      <c r="T69" s="101" t="s">
        <v>43</v>
      </c>
      <c r="U69" s="101" t="s">
        <v>43</v>
      </c>
      <c r="V69" s="93" t="s">
        <v>43</v>
      </c>
      <c r="W69" s="115">
        <v>1.0995370370370371E-3</v>
      </c>
      <c r="X69" s="115">
        <v>9.837962962962962E-4</v>
      </c>
      <c r="Y69" s="115">
        <v>9.2592592592592596E-4</v>
      </c>
      <c r="Z69" s="101"/>
      <c r="AA69" s="101"/>
      <c r="AB69" s="101"/>
      <c r="AC69" s="101"/>
      <c r="AD69" s="92" t="s">
        <v>1334</v>
      </c>
      <c r="AE69" s="101" t="s">
        <v>1322</v>
      </c>
      <c r="AF69" s="118"/>
      <c r="AG69" s="128"/>
    </row>
    <row r="70" spans="1:33" ht="65.099999999999994" customHeight="1">
      <c r="A70" s="81" t="s">
        <v>339</v>
      </c>
      <c r="B70" s="93">
        <v>66</v>
      </c>
      <c r="C70" s="93">
        <v>3</v>
      </c>
      <c r="D70" s="93">
        <v>8</v>
      </c>
      <c r="E70" s="81" t="s">
        <v>410</v>
      </c>
      <c r="F70" s="81" t="s">
        <v>66</v>
      </c>
      <c r="G70" s="81" t="s">
        <v>411</v>
      </c>
      <c r="H70" s="81" t="s">
        <v>412</v>
      </c>
      <c r="I70" s="93">
        <v>1</v>
      </c>
      <c r="J70" s="81" t="s">
        <v>413</v>
      </c>
      <c r="K70" s="97" t="s">
        <v>38</v>
      </c>
      <c r="L70" s="97" t="s">
        <v>117</v>
      </c>
      <c r="M70" s="81" t="s">
        <v>71</v>
      </c>
      <c r="N70" s="99">
        <f t="shared" ref="N70:N101" si="7">N69+(IFERROR(VALUE(LEFT(L70,FIND("분",L70)-1))*60,0)+IFERROR(VALUE(TRIM(MID(L70,IFERROR(FIND("분",L70),0)+1,IFERROR(FIND("초",L70),LEN(L70)+1)-IFERROR(FIND("분",L70),0)-1))),0))/86400</f>
        <v>7.1238425925925927E-2</v>
      </c>
      <c r="O70" s="81" t="s">
        <v>414</v>
      </c>
      <c r="P70" s="101">
        <f t="shared" ref="P70:P101" si="8">P69+Q70</f>
        <v>275</v>
      </c>
      <c r="Q70" s="101">
        <v>6</v>
      </c>
      <c r="R70" s="105">
        <f t="shared" si="6"/>
        <v>3822.5</v>
      </c>
      <c r="S70" s="93" t="s">
        <v>42</v>
      </c>
      <c r="T70" s="101" t="s">
        <v>43</v>
      </c>
      <c r="U70" s="101" t="s">
        <v>43</v>
      </c>
      <c r="V70" s="93" t="s">
        <v>43</v>
      </c>
      <c r="W70" s="115">
        <v>1.9097222222222222E-3</v>
      </c>
      <c r="X70" s="115">
        <v>1.6203703703703703E-3</v>
      </c>
      <c r="Y70" s="115">
        <v>1.3888888888888889E-3</v>
      </c>
      <c r="Z70" s="101"/>
      <c r="AA70" s="101"/>
      <c r="AB70" s="101"/>
      <c r="AC70" s="101"/>
      <c r="AD70" s="92" t="s">
        <v>1334</v>
      </c>
      <c r="AE70" s="101"/>
      <c r="AF70" s="118"/>
      <c r="AG70" s="128"/>
    </row>
    <row r="71" spans="1:33" ht="65.099999999999994" customHeight="1">
      <c r="A71" s="81" t="s">
        <v>339</v>
      </c>
      <c r="B71" s="93">
        <v>67</v>
      </c>
      <c r="C71" s="93">
        <v>1</v>
      </c>
      <c r="D71" s="93">
        <v>8</v>
      </c>
      <c r="E71" s="81" t="s">
        <v>415</v>
      </c>
      <c r="F71" s="81" t="s">
        <v>52</v>
      </c>
      <c r="G71" s="81" t="s">
        <v>53</v>
      </c>
      <c r="H71" s="81" t="s">
        <v>96</v>
      </c>
      <c r="I71" s="93">
        <v>2</v>
      </c>
      <c r="J71" s="81" t="s">
        <v>416</v>
      </c>
      <c r="K71" s="97" t="s">
        <v>38</v>
      </c>
      <c r="L71" s="97" t="s">
        <v>105</v>
      </c>
      <c r="M71" s="81" t="s">
        <v>57</v>
      </c>
      <c r="N71" s="99">
        <f t="shared" si="7"/>
        <v>7.2511574074074076E-2</v>
      </c>
      <c r="O71" s="81" t="s">
        <v>414</v>
      </c>
      <c r="P71" s="101">
        <f t="shared" si="8"/>
        <v>279</v>
      </c>
      <c r="Q71" s="101">
        <v>4</v>
      </c>
      <c r="R71" s="105">
        <f t="shared" si="6"/>
        <v>3933.9</v>
      </c>
      <c r="S71" s="93" t="s">
        <v>42</v>
      </c>
      <c r="T71" s="101" t="s">
        <v>43</v>
      </c>
      <c r="U71" s="101" t="s">
        <v>43</v>
      </c>
      <c r="V71" s="93" t="s">
        <v>43</v>
      </c>
      <c r="W71" s="115">
        <v>1.5046296296296296E-3</v>
      </c>
      <c r="X71" s="115">
        <v>1.3888888888888889E-3</v>
      </c>
      <c r="Y71" s="115">
        <v>1.2731481481481483E-3</v>
      </c>
      <c r="Z71" s="101"/>
      <c r="AA71" s="101"/>
      <c r="AB71" s="101"/>
      <c r="AC71" s="101"/>
      <c r="AD71" s="92" t="s">
        <v>1334</v>
      </c>
      <c r="AE71" s="101"/>
      <c r="AF71" s="118"/>
      <c r="AG71" s="128"/>
    </row>
    <row r="72" spans="1:33" ht="65.099999999999994" customHeight="1">
      <c r="A72" s="81" t="s">
        <v>339</v>
      </c>
      <c r="B72" s="93">
        <v>68</v>
      </c>
      <c r="C72" s="93">
        <v>2</v>
      </c>
      <c r="D72" s="93">
        <v>8</v>
      </c>
      <c r="E72" s="81" t="s">
        <v>417</v>
      </c>
      <c r="F72" s="81" t="s">
        <v>418</v>
      </c>
      <c r="G72" s="81" t="s">
        <v>419</v>
      </c>
      <c r="H72" s="81" t="s">
        <v>420</v>
      </c>
      <c r="I72" s="93">
        <v>3</v>
      </c>
      <c r="J72" s="81" t="s">
        <v>421</v>
      </c>
      <c r="K72" s="97" t="s">
        <v>422</v>
      </c>
      <c r="L72" s="97" t="s">
        <v>159</v>
      </c>
      <c r="M72" s="81" t="s">
        <v>423</v>
      </c>
      <c r="N72" s="99">
        <f t="shared" si="7"/>
        <v>7.3668981481481488E-2</v>
      </c>
      <c r="O72" s="81" t="s">
        <v>414</v>
      </c>
      <c r="P72" s="101">
        <f t="shared" si="8"/>
        <v>284</v>
      </c>
      <c r="Q72" s="101">
        <v>5</v>
      </c>
      <c r="R72" s="105">
        <f t="shared" si="6"/>
        <v>4075.4</v>
      </c>
      <c r="S72" s="93" t="s">
        <v>42</v>
      </c>
      <c r="T72" s="101" t="s">
        <v>43</v>
      </c>
      <c r="U72" s="101" t="s">
        <v>43</v>
      </c>
      <c r="V72" s="93" t="s">
        <v>43</v>
      </c>
      <c r="W72" s="115">
        <v>1.3310185185185185E-3</v>
      </c>
      <c r="X72" s="115">
        <v>1.2152777777777778E-3</v>
      </c>
      <c r="Y72" s="115">
        <v>1.1574074074074073E-3</v>
      </c>
      <c r="Z72" s="101"/>
      <c r="AA72" s="101"/>
      <c r="AB72" s="101"/>
      <c r="AC72" s="101"/>
      <c r="AD72" s="92" t="s">
        <v>1334</v>
      </c>
      <c r="AE72" s="101"/>
      <c r="AF72" s="118"/>
      <c r="AG72" s="128"/>
    </row>
    <row r="73" spans="1:33" ht="65.099999999999994" customHeight="1">
      <c r="A73" s="81" t="s">
        <v>339</v>
      </c>
      <c r="B73" s="93">
        <v>69</v>
      </c>
      <c r="C73" s="93">
        <v>2</v>
      </c>
      <c r="D73" s="93">
        <v>9</v>
      </c>
      <c r="E73" s="81" t="s">
        <v>424</v>
      </c>
      <c r="F73" s="81" t="s">
        <v>418</v>
      </c>
      <c r="G73" s="81" t="s">
        <v>425</v>
      </c>
      <c r="H73" s="81" t="s">
        <v>426</v>
      </c>
      <c r="I73" s="93">
        <v>4</v>
      </c>
      <c r="J73" s="81" t="s">
        <v>421</v>
      </c>
      <c r="K73" s="97" t="s">
        <v>422</v>
      </c>
      <c r="L73" s="97" t="s">
        <v>427</v>
      </c>
      <c r="M73" s="81" t="s">
        <v>423</v>
      </c>
      <c r="N73" s="99">
        <f t="shared" si="7"/>
        <v>7.5173611111111122E-2</v>
      </c>
      <c r="O73" s="81" t="s">
        <v>414</v>
      </c>
      <c r="P73" s="101">
        <f t="shared" si="8"/>
        <v>289</v>
      </c>
      <c r="Q73" s="101">
        <v>5</v>
      </c>
      <c r="R73" s="105">
        <f t="shared" si="6"/>
        <v>4219.3999999999996</v>
      </c>
      <c r="S73" s="93" t="s">
        <v>42</v>
      </c>
      <c r="T73" s="101" t="s">
        <v>43</v>
      </c>
      <c r="U73" s="101" t="s">
        <v>43</v>
      </c>
      <c r="V73" s="93" t="s">
        <v>43</v>
      </c>
      <c r="W73" s="115">
        <v>1.736111111111111E-3</v>
      </c>
      <c r="X73" s="115">
        <v>1.6203703703703703E-3</v>
      </c>
      <c r="Y73" s="115">
        <v>1.5046296296296296E-3</v>
      </c>
      <c r="Z73" s="101"/>
      <c r="AA73" s="101"/>
      <c r="AB73" s="101"/>
      <c r="AC73" s="101"/>
      <c r="AD73" s="92" t="s">
        <v>1334</v>
      </c>
      <c r="AE73" s="101"/>
      <c r="AF73" s="118"/>
      <c r="AG73" s="128"/>
    </row>
    <row r="74" spans="1:33" ht="65.099999999999994" customHeight="1">
      <c r="A74" s="81" t="s">
        <v>339</v>
      </c>
      <c r="B74" s="93">
        <v>70</v>
      </c>
      <c r="C74" s="93">
        <v>1</v>
      </c>
      <c r="D74" s="93">
        <v>9</v>
      </c>
      <c r="E74" s="81" t="s">
        <v>428</v>
      </c>
      <c r="F74" s="81" t="s">
        <v>429</v>
      </c>
      <c r="G74" s="81" t="s">
        <v>430</v>
      </c>
      <c r="H74" s="81" t="s">
        <v>431</v>
      </c>
      <c r="I74" s="93">
        <v>3</v>
      </c>
      <c r="J74" s="81" t="s">
        <v>432</v>
      </c>
      <c r="K74" s="97" t="s">
        <v>38</v>
      </c>
      <c r="L74" s="97" t="s">
        <v>117</v>
      </c>
      <c r="M74" s="81" t="s">
        <v>433</v>
      </c>
      <c r="N74" s="99">
        <f t="shared" si="7"/>
        <v>7.6562500000000006E-2</v>
      </c>
      <c r="O74" s="81" t="s">
        <v>414</v>
      </c>
      <c r="P74" s="101">
        <f t="shared" si="8"/>
        <v>293</v>
      </c>
      <c r="Q74" s="101">
        <v>4</v>
      </c>
      <c r="R74" s="105">
        <f t="shared" si="6"/>
        <v>4336.3999999999996</v>
      </c>
      <c r="S74" s="93" t="s">
        <v>42</v>
      </c>
      <c r="T74" s="101" t="s">
        <v>43</v>
      </c>
      <c r="U74" s="101" t="s">
        <v>43</v>
      </c>
      <c r="V74" s="93" t="s">
        <v>43</v>
      </c>
      <c r="W74" s="115">
        <v>1.6203703703703703E-3</v>
      </c>
      <c r="X74" s="115">
        <v>1.5046296296296296E-3</v>
      </c>
      <c r="Y74" s="115">
        <v>1.3888888888888889E-3</v>
      </c>
      <c r="Z74" s="101"/>
      <c r="AA74" s="101"/>
      <c r="AB74" s="101"/>
      <c r="AC74" s="101"/>
      <c r="AD74" s="92" t="s">
        <v>1334</v>
      </c>
      <c r="AE74" s="101" t="s">
        <v>1323</v>
      </c>
      <c r="AF74" s="118"/>
      <c r="AG74" s="128"/>
    </row>
    <row r="75" spans="1:33" ht="65.099999999999994" customHeight="1">
      <c r="A75" s="81" t="s">
        <v>339</v>
      </c>
      <c r="B75" s="93">
        <v>71</v>
      </c>
      <c r="C75" s="93">
        <v>1</v>
      </c>
      <c r="D75" s="93">
        <v>8</v>
      </c>
      <c r="E75" s="81" t="s">
        <v>434</v>
      </c>
      <c r="F75" s="81" t="s">
        <v>435</v>
      </c>
      <c r="G75" s="81" t="s">
        <v>436</v>
      </c>
      <c r="H75" s="81" t="s">
        <v>437</v>
      </c>
      <c r="I75" s="93">
        <v>2</v>
      </c>
      <c r="J75" s="81" t="s">
        <v>438</v>
      </c>
      <c r="K75" s="97" t="s">
        <v>38</v>
      </c>
      <c r="L75" s="97" t="s">
        <v>159</v>
      </c>
      <c r="M75" s="81" t="s">
        <v>439</v>
      </c>
      <c r="N75" s="99">
        <f t="shared" si="7"/>
        <v>7.7719907407407418E-2</v>
      </c>
      <c r="O75" s="81" t="s">
        <v>414</v>
      </c>
      <c r="P75" s="101">
        <f t="shared" si="8"/>
        <v>297</v>
      </c>
      <c r="Q75" s="101">
        <v>4</v>
      </c>
      <c r="R75" s="105">
        <f t="shared" si="6"/>
        <v>4455</v>
      </c>
      <c r="S75" s="93" t="s">
        <v>42</v>
      </c>
      <c r="T75" s="101" t="s">
        <v>43</v>
      </c>
      <c r="U75" s="101" t="s">
        <v>43</v>
      </c>
      <c r="V75" s="93" t="s">
        <v>43</v>
      </c>
      <c r="W75" s="115">
        <v>1.3310185185185185E-3</v>
      </c>
      <c r="X75" s="115">
        <v>1.2152777777777778E-3</v>
      </c>
      <c r="Y75" s="115">
        <v>1.1574074074074073E-3</v>
      </c>
      <c r="Z75" s="101"/>
      <c r="AA75" s="101"/>
      <c r="AB75" s="101"/>
      <c r="AC75" s="101"/>
      <c r="AD75" s="92" t="s">
        <v>1334</v>
      </c>
      <c r="AE75" s="101"/>
      <c r="AF75" s="118"/>
      <c r="AG75" s="128"/>
    </row>
    <row r="76" spans="1:33" ht="65.099999999999994" customHeight="1">
      <c r="A76" s="81" t="s">
        <v>339</v>
      </c>
      <c r="B76" s="93">
        <v>72</v>
      </c>
      <c r="C76" s="93">
        <v>1</v>
      </c>
      <c r="D76" s="93">
        <v>8</v>
      </c>
      <c r="E76" s="81" t="s">
        <v>440</v>
      </c>
      <c r="F76" s="81" t="s">
        <v>441</v>
      </c>
      <c r="G76" s="81" t="s">
        <v>442</v>
      </c>
      <c r="H76" s="81" t="s">
        <v>443</v>
      </c>
      <c r="I76" s="93">
        <v>2</v>
      </c>
      <c r="J76" s="81" t="s">
        <v>444</v>
      </c>
      <c r="K76" s="97" t="s">
        <v>38</v>
      </c>
      <c r="L76" s="97" t="s">
        <v>121</v>
      </c>
      <c r="M76" s="81" t="s">
        <v>445</v>
      </c>
      <c r="N76" s="99">
        <f t="shared" si="7"/>
        <v>7.8645833333333345E-2</v>
      </c>
      <c r="O76" s="81" t="s">
        <v>446</v>
      </c>
      <c r="P76" s="101">
        <f t="shared" si="8"/>
        <v>301</v>
      </c>
      <c r="Q76" s="101">
        <v>4</v>
      </c>
      <c r="R76" s="105">
        <f t="shared" si="6"/>
        <v>4575.2</v>
      </c>
      <c r="S76" s="93" t="s">
        <v>42</v>
      </c>
      <c r="T76" s="101" t="s">
        <v>43</v>
      </c>
      <c r="U76" s="101" t="s">
        <v>43</v>
      </c>
      <c r="V76" s="93" t="s">
        <v>43</v>
      </c>
      <c r="W76" s="115">
        <v>1.0995370370370371E-3</v>
      </c>
      <c r="X76" s="115">
        <v>9.837962962962962E-4</v>
      </c>
      <c r="Y76" s="115">
        <v>9.2592592592592596E-4</v>
      </c>
      <c r="Z76" s="101"/>
      <c r="AA76" s="101"/>
      <c r="AB76" s="101"/>
      <c r="AC76" s="101"/>
      <c r="AD76" s="92" t="s">
        <v>1334</v>
      </c>
      <c r="AE76" s="101"/>
      <c r="AF76" s="118"/>
      <c r="AG76" s="128"/>
    </row>
    <row r="77" spans="1:33" ht="65.099999999999994" customHeight="1">
      <c r="A77" s="81" t="s">
        <v>339</v>
      </c>
      <c r="B77" s="93">
        <v>73</v>
      </c>
      <c r="C77" s="93">
        <v>4</v>
      </c>
      <c r="D77" s="93">
        <v>7</v>
      </c>
      <c r="E77" s="81" t="s">
        <v>447</v>
      </c>
      <c r="F77" s="81" t="s">
        <v>66</v>
      </c>
      <c r="G77" s="81" t="s">
        <v>448</v>
      </c>
      <c r="H77" s="81" t="s">
        <v>388</v>
      </c>
      <c r="I77" s="93">
        <v>1</v>
      </c>
      <c r="J77" s="81" t="s">
        <v>449</v>
      </c>
      <c r="K77" s="97" t="s">
        <v>38</v>
      </c>
      <c r="L77" s="97" t="s">
        <v>250</v>
      </c>
      <c r="M77" s="81" t="s">
        <v>71</v>
      </c>
      <c r="N77" s="99">
        <f t="shared" si="7"/>
        <v>8.0266203703703715E-2</v>
      </c>
      <c r="O77" s="81" t="s">
        <v>446</v>
      </c>
      <c r="P77" s="101">
        <f t="shared" si="8"/>
        <v>307</v>
      </c>
      <c r="Q77" s="101">
        <v>6</v>
      </c>
      <c r="R77" s="105">
        <f t="shared" si="6"/>
        <v>4758.5</v>
      </c>
      <c r="S77" s="93" t="s">
        <v>42</v>
      </c>
      <c r="T77" s="101" t="s">
        <v>43</v>
      </c>
      <c r="U77" s="101" t="s">
        <v>43</v>
      </c>
      <c r="V77" s="93" t="s">
        <v>43</v>
      </c>
      <c r="W77" s="115">
        <v>2.1990740740740742E-3</v>
      </c>
      <c r="X77" s="115">
        <v>1.9097222222222222E-3</v>
      </c>
      <c r="Y77" s="115">
        <v>1.6203703703703703E-3</v>
      </c>
      <c r="Z77" s="101"/>
      <c r="AA77" s="101"/>
      <c r="AB77" s="101"/>
      <c r="AC77" s="101"/>
      <c r="AD77" s="92" t="s">
        <v>1334</v>
      </c>
      <c r="AE77" s="101"/>
      <c r="AF77" s="118"/>
      <c r="AG77" s="128"/>
    </row>
    <row r="78" spans="1:33" ht="65.099999999999994" customHeight="1">
      <c r="A78" s="81" t="s">
        <v>339</v>
      </c>
      <c r="B78" s="93">
        <v>74</v>
      </c>
      <c r="C78" s="93">
        <v>4</v>
      </c>
      <c r="D78" s="93">
        <v>7</v>
      </c>
      <c r="E78" s="81" t="s">
        <v>450</v>
      </c>
      <c r="F78" s="81" t="s">
        <v>451</v>
      </c>
      <c r="G78" s="81" t="s">
        <v>452</v>
      </c>
      <c r="H78" s="81" t="s">
        <v>453</v>
      </c>
      <c r="I78" s="93">
        <v>4</v>
      </c>
      <c r="J78" s="81" t="s">
        <v>454</v>
      </c>
      <c r="K78" s="97" t="s">
        <v>455</v>
      </c>
      <c r="L78" s="97" t="s">
        <v>233</v>
      </c>
      <c r="M78" s="81" t="s">
        <v>456</v>
      </c>
      <c r="N78" s="99">
        <f t="shared" si="7"/>
        <v>8.2349537037037054E-2</v>
      </c>
      <c r="O78" s="81" t="s">
        <v>446</v>
      </c>
      <c r="P78" s="101">
        <f t="shared" si="8"/>
        <v>313</v>
      </c>
      <c r="Q78" s="101">
        <v>6</v>
      </c>
      <c r="R78" s="105">
        <f t="shared" si="6"/>
        <v>4945.3999999999996</v>
      </c>
      <c r="S78" s="93" t="s">
        <v>42</v>
      </c>
      <c r="T78" s="101" t="s">
        <v>43</v>
      </c>
      <c r="U78" s="101" t="s">
        <v>43</v>
      </c>
      <c r="V78" s="93" t="s">
        <v>43</v>
      </c>
      <c r="W78" s="115">
        <v>2.8356481481481483E-3</v>
      </c>
      <c r="X78" s="115">
        <v>2.4305555555555556E-3</v>
      </c>
      <c r="Y78" s="115">
        <v>2.0833333333333333E-3</v>
      </c>
      <c r="Z78" s="101"/>
      <c r="AA78" s="101"/>
      <c r="AB78" s="101"/>
      <c r="AC78" s="101"/>
      <c r="AD78" s="92" t="s">
        <v>1334</v>
      </c>
      <c r="AE78" s="101" t="s">
        <v>1324</v>
      </c>
      <c r="AF78" s="118"/>
      <c r="AG78" s="128"/>
    </row>
    <row r="79" spans="1:33" ht="65.099999999999994" customHeight="1">
      <c r="A79" s="81" t="s">
        <v>339</v>
      </c>
      <c r="B79" s="93">
        <v>75</v>
      </c>
      <c r="C79" s="93">
        <v>5</v>
      </c>
      <c r="D79" s="93">
        <v>7</v>
      </c>
      <c r="E79" s="81" t="s">
        <v>457</v>
      </c>
      <c r="F79" s="81" t="s">
        <v>458</v>
      </c>
      <c r="G79" s="81" t="s">
        <v>459</v>
      </c>
      <c r="H79" s="81" t="s">
        <v>460</v>
      </c>
      <c r="I79" s="93">
        <v>6</v>
      </c>
      <c r="J79" s="81" t="s">
        <v>461</v>
      </c>
      <c r="K79" s="97" t="s">
        <v>462</v>
      </c>
      <c r="L79" s="97" t="s">
        <v>463</v>
      </c>
      <c r="M79" s="81" t="s">
        <v>464</v>
      </c>
      <c r="N79" s="99">
        <f t="shared" si="7"/>
        <v>8.4664351851851866E-2</v>
      </c>
      <c r="O79" s="81" t="s">
        <v>446</v>
      </c>
      <c r="P79" s="101">
        <f t="shared" si="8"/>
        <v>320</v>
      </c>
      <c r="Q79" s="101">
        <v>7</v>
      </c>
      <c r="R79" s="105">
        <f t="shared" si="6"/>
        <v>5168</v>
      </c>
      <c r="S79" s="93" t="s">
        <v>42</v>
      </c>
      <c r="T79" s="101" t="s">
        <v>43</v>
      </c>
      <c r="U79" s="101" t="s">
        <v>43</v>
      </c>
      <c r="V79" s="93" t="s">
        <v>43</v>
      </c>
      <c r="W79" s="115">
        <v>3.7037037037037038E-3</v>
      </c>
      <c r="X79" s="115">
        <v>3.0092592592592593E-3</v>
      </c>
      <c r="Y79" s="115">
        <v>2.3148148148148147E-3</v>
      </c>
      <c r="Z79" s="101"/>
      <c r="AA79" s="101"/>
      <c r="AB79" s="101"/>
      <c r="AC79" s="101"/>
      <c r="AD79" s="92" t="s">
        <v>1334</v>
      </c>
      <c r="AE79" s="101"/>
      <c r="AF79" s="118"/>
      <c r="AG79" s="128"/>
    </row>
    <row r="80" spans="1:33" ht="65.099999999999994" customHeight="1">
      <c r="A80" s="81" t="s">
        <v>339</v>
      </c>
      <c r="B80" s="93">
        <v>76</v>
      </c>
      <c r="C80" s="93">
        <v>6</v>
      </c>
      <c r="D80" s="93">
        <v>7</v>
      </c>
      <c r="E80" s="81" t="s">
        <v>465</v>
      </c>
      <c r="F80" s="81" t="s">
        <v>466</v>
      </c>
      <c r="G80" s="81" t="s">
        <v>467</v>
      </c>
      <c r="H80" s="81" t="s">
        <v>468</v>
      </c>
      <c r="I80" s="93">
        <v>5</v>
      </c>
      <c r="J80" s="81" t="s">
        <v>469</v>
      </c>
      <c r="K80" s="97" t="s">
        <v>470</v>
      </c>
      <c r="L80" s="97" t="s">
        <v>471</v>
      </c>
      <c r="M80" s="81" t="s">
        <v>472</v>
      </c>
      <c r="N80" s="99">
        <f t="shared" si="7"/>
        <v>8.6863425925925941E-2</v>
      </c>
      <c r="O80" s="81" t="s">
        <v>446</v>
      </c>
      <c r="P80" s="101">
        <f t="shared" si="8"/>
        <v>327</v>
      </c>
      <c r="Q80" s="101">
        <v>7</v>
      </c>
      <c r="R80" s="105">
        <f t="shared" si="6"/>
        <v>5395.5</v>
      </c>
      <c r="S80" s="93" t="s">
        <v>42</v>
      </c>
      <c r="T80" s="101" t="s">
        <v>43</v>
      </c>
      <c r="U80" s="101" t="s">
        <v>43</v>
      </c>
      <c r="V80" s="93" t="s">
        <v>43</v>
      </c>
      <c r="W80" s="115">
        <v>3.5300925925925925E-3</v>
      </c>
      <c r="X80" s="115">
        <v>2.8935185185185184E-3</v>
      </c>
      <c r="Y80" s="115">
        <v>2.1990740740740742E-3</v>
      </c>
      <c r="Z80" s="101"/>
      <c r="AA80" s="101"/>
      <c r="AB80" s="101"/>
      <c r="AC80" s="101"/>
      <c r="AD80" s="92" t="s">
        <v>1334</v>
      </c>
      <c r="AE80" s="101" t="s">
        <v>1325</v>
      </c>
      <c r="AF80" s="118"/>
      <c r="AG80" s="128"/>
    </row>
    <row r="81" spans="1:33" ht="65.099999999999994" customHeight="1">
      <c r="A81" s="81" t="s">
        <v>339</v>
      </c>
      <c r="B81" s="93">
        <v>77</v>
      </c>
      <c r="C81" s="93">
        <v>2</v>
      </c>
      <c r="D81" s="93">
        <v>6</v>
      </c>
      <c r="E81" s="81" t="s">
        <v>473</v>
      </c>
      <c r="F81" s="81" t="s">
        <v>474</v>
      </c>
      <c r="G81" s="81" t="s">
        <v>475</v>
      </c>
      <c r="H81" s="81" t="s">
        <v>476</v>
      </c>
      <c r="I81" s="93">
        <v>3</v>
      </c>
      <c r="J81" s="81" t="s">
        <v>477</v>
      </c>
      <c r="K81" s="97" t="s">
        <v>38</v>
      </c>
      <c r="L81" s="97" t="s">
        <v>136</v>
      </c>
      <c r="M81" s="81" t="s">
        <v>478</v>
      </c>
      <c r="N81" s="99">
        <f t="shared" si="7"/>
        <v>8.7673611111111133E-2</v>
      </c>
      <c r="O81" s="81" t="s">
        <v>446</v>
      </c>
      <c r="P81" s="101">
        <f t="shared" si="8"/>
        <v>331</v>
      </c>
      <c r="Q81" s="101">
        <v>4</v>
      </c>
      <c r="R81" s="105">
        <f t="shared" si="6"/>
        <v>5527.7</v>
      </c>
      <c r="S81" s="93" t="s">
        <v>42</v>
      </c>
      <c r="T81" s="101" t="s">
        <v>43</v>
      </c>
      <c r="U81" s="101" t="s">
        <v>43</v>
      </c>
      <c r="V81" s="93" t="s">
        <v>43</v>
      </c>
      <c r="W81" s="115">
        <v>9.837962962962962E-4</v>
      </c>
      <c r="X81" s="115">
        <v>8.6805555555555551E-4</v>
      </c>
      <c r="Y81" s="115">
        <v>8.1018518518518516E-4</v>
      </c>
      <c r="Z81" s="101"/>
      <c r="AA81" s="101"/>
      <c r="AB81" s="101"/>
      <c r="AC81" s="101"/>
      <c r="AD81" s="92" t="s">
        <v>1334</v>
      </c>
      <c r="AE81" s="101"/>
      <c r="AF81" s="118"/>
      <c r="AG81" s="128"/>
    </row>
    <row r="82" spans="1:33" ht="65.099999999999994" customHeight="1">
      <c r="A82" s="81" t="s">
        <v>339</v>
      </c>
      <c r="B82" s="93">
        <v>78</v>
      </c>
      <c r="C82" s="93">
        <v>3</v>
      </c>
      <c r="D82" s="93">
        <v>7</v>
      </c>
      <c r="E82" s="81" t="s">
        <v>479</v>
      </c>
      <c r="F82" s="81" t="s">
        <v>480</v>
      </c>
      <c r="G82" s="81" t="s">
        <v>481</v>
      </c>
      <c r="H82" s="81" t="s">
        <v>482</v>
      </c>
      <c r="I82" s="93">
        <v>5</v>
      </c>
      <c r="J82" s="81" t="s">
        <v>483</v>
      </c>
      <c r="K82" s="97" t="s">
        <v>484</v>
      </c>
      <c r="L82" s="97" t="s">
        <v>121</v>
      </c>
      <c r="M82" s="81" t="s">
        <v>485</v>
      </c>
      <c r="N82" s="99">
        <f t="shared" si="7"/>
        <v>8.859953703703706E-2</v>
      </c>
      <c r="O82" s="81" t="s">
        <v>446</v>
      </c>
      <c r="P82" s="101">
        <f t="shared" si="8"/>
        <v>336</v>
      </c>
      <c r="Q82" s="101">
        <v>5</v>
      </c>
      <c r="R82" s="105">
        <f t="shared" si="6"/>
        <v>5695.2</v>
      </c>
      <c r="S82" s="93" t="s">
        <v>486</v>
      </c>
      <c r="T82" s="101">
        <v>2</v>
      </c>
      <c r="U82" s="101">
        <v>80</v>
      </c>
      <c r="V82" s="93" t="s">
        <v>487</v>
      </c>
      <c r="W82" s="115">
        <v>1.2731481481481483E-3</v>
      </c>
      <c r="X82" s="115">
        <v>1.0995370370370371E-3</v>
      </c>
      <c r="Y82" s="115">
        <v>9.2592592592592596E-4</v>
      </c>
      <c r="Z82" s="101"/>
      <c r="AA82" s="101"/>
      <c r="AB82" s="101"/>
      <c r="AC82" s="101"/>
      <c r="AD82" s="92" t="s">
        <v>1334</v>
      </c>
      <c r="AE82" s="101"/>
      <c r="AF82" s="118"/>
      <c r="AG82" s="128"/>
    </row>
    <row r="83" spans="1:33" ht="65.099999999999994" customHeight="1">
      <c r="A83" s="81" t="s">
        <v>339</v>
      </c>
      <c r="B83" s="93">
        <v>79</v>
      </c>
      <c r="C83" s="93">
        <v>4</v>
      </c>
      <c r="D83" s="93">
        <v>7</v>
      </c>
      <c r="E83" s="81" t="s">
        <v>488</v>
      </c>
      <c r="F83" s="81" t="s">
        <v>489</v>
      </c>
      <c r="G83" s="81" t="s">
        <v>490</v>
      </c>
      <c r="H83" s="81" t="s">
        <v>491</v>
      </c>
      <c r="I83" s="93">
        <v>3</v>
      </c>
      <c r="J83" s="81" t="s">
        <v>492</v>
      </c>
      <c r="K83" s="97" t="s">
        <v>493</v>
      </c>
      <c r="L83" s="97" t="s">
        <v>39</v>
      </c>
      <c r="M83" s="81" t="s">
        <v>494</v>
      </c>
      <c r="N83" s="99">
        <f t="shared" si="7"/>
        <v>8.9641203703703723E-2</v>
      </c>
      <c r="O83" s="81" t="s">
        <v>446</v>
      </c>
      <c r="P83" s="101">
        <f t="shared" si="8"/>
        <v>342</v>
      </c>
      <c r="Q83" s="101">
        <v>6</v>
      </c>
      <c r="R83" s="105">
        <f t="shared" si="6"/>
        <v>5899.5</v>
      </c>
      <c r="S83" s="93" t="s">
        <v>486</v>
      </c>
      <c r="T83" s="101">
        <v>3</v>
      </c>
      <c r="U83" s="101">
        <v>90</v>
      </c>
      <c r="V83" s="93" t="s">
        <v>495</v>
      </c>
      <c r="W83" s="115">
        <v>1.4467592592592592E-3</v>
      </c>
      <c r="X83" s="115">
        <v>1.2152777777777778E-3</v>
      </c>
      <c r="Y83" s="115">
        <v>1.0416666666666667E-3</v>
      </c>
      <c r="Z83" s="101"/>
      <c r="AA83" s="101"/>
      <c r="AB83" s="101"/>
      <c r="AC83" s="101"/>
      <c r="AD83" s="92" t="s">
        <v>1334</v>
      </c>
      <c r="AE83" s="101"/>
      <c r="AF83" s="118"/>
      <c r="AG83" s="128"/>
    </row>
    <row r="84" spans="1:33" ht="65.099999999999994" customHeight="1">
      <c r="A84" s="81" t="s">
        <v>339</v>
      </c>
      <c r="B84" s="93">
        <v>80</v>
      </c>
      <c r="C84" s="93">
        <v>5</v>
      </c>
      <c r="D84" s="93">
        <v>8</v>
      </c>
      <c r="E84" s="81" t="s">
        <v>496</v>
      </c>
      <c r="F84" s="81" t="s">
        <v>497</v>
      </c>
      <c r="G84" s="81" t="s">
        <v>498</v>
      </c>
      <c r="H84" s="81" t="s">
        <v>499</v>
      </c>
      <c r="I84" s="93">
        <v>2</v>
      </c>
      <c r="J84" s="81" t="s">
        <v>500</v>
      </c>
      <c r="K84" s="97" t="s">
        <v>501</v>
      </c>
      <c r="L84" s="97" t="s">
        <v>159</v>
      </c>
      <c r="M84" s="81" t="s">
        <v>502</v>
      </c>
      <c r="N84" s="99">
        <f t="shared" si="7"/>
        <v>9.0798611111111135E-2</v>
      </c>
      <c r="O84" s="81" t="s">
        <v>446</v>
      </c>
      <c r="P84" s="101">
        <f t="shared" si="8"/>
        <v>349</v>
      </c>
      <c r="Q84" s="101">
        <v>7</v>
      </c>
      <c r="R84" s="105">
        <f t="shared" si="6"/>
        <v>6142.4</v>
      </c>
      <c r="S84" s="93" t="s">
        <v>486</v>
      </c>
      <c r="T84" s="101">
        <v>4</v>
      </c>
      <c r="U84" s="101">
        <v>100</v>
      </c>
      <c r="V84" s="93" t="s">
        <v>503</v>
      </c>
      <c r="W84" s="115">
        <v>1.8518518518518519E-3</v>
      </c>
      <c r="X84" s="115">
        <v>1.5046296296296296E-3</v>
      </c>
      <c r="Y84" s="115">
        <v>1.1574074074074073E-3</v>
      </c>
      <c r="Z84" s="101"/>
      <c r="AA84" s="101"/>
      <c r="AB84" s="101"/>
      <c r="AC84" s="101"/>
      <c r="AD84" s="92" t="s">
        <v>1334</v>
      </c>
      <c r="AE84" s="101"/>
      <c r="AF84" s="118"/>
      <c r="AG84" s="128"/>
    </row>
    <row r="85" spans="1:33" ht="65.099999999999994" customHeight="1">
      <c r="A85" s="81" t="s">
        <v>339</v>
      </c>
      <c r="B85" s="93">
        <v>81</v>
      </c>
      <c r="C85" s="93">
        <v>4</v>
      </c>
      <c r="D85" s="93">
        <v>9</v>
      </c>
      <c r="E85" s="81" t="s">
        <v>504</v>
      </c>
      <c r="F85" s="81" t="s">
        <v>505</v>
      </c>
      <c r="G85" s="81" t="s">
        <v>506</v>
      </c>
      <c r="H85" s="81" t="s">
        <v>507</v>
      </c>
      <c r="I85" s="93">
        <v>5</v>
      </c>
      <c r="J85" s="81" t="s">
        <v>508</v>
      </c>
      <c r="K85" s="97" t="s">
        <v>509</v>
      </c>
      <c r="L85" s="97" t="s">
        <v>136</v>
      </c>
      <c r="M85" s="81" t="s">
        <v>510</v>
      </c>
      <c r="N85" s="99">
        <f t="shared" si="7"/>
        <v>9.1608796296296327E-2</v>
      </c>
      <c r="O85" s="81" t="s">
        <v>446</v>
      </c>
      <c r="P85" s="101">
        <f t="shared" si="8"/>
        <v>356</v>
      </c>
      <c r="Q85" s="101">
        <v>7</v>
      </c>
      <c r="R85" s="105">
        <f t="shared" si="6"/>
        <v>6390.2</v>
      </c>
      <c r="S85" s="93" t="s">
        <v>486</v>
      </c>
      <c r="T85" s="101">
        <v>3</v>
      </c>
      <c r="U85" s="101">
        <v>70</v>
      </c>
      <c r="V85" s="93" t="s">
        <v>511</v>
      </c>
      <c r="W85" s="115">
        <v>1.0995370370370371E-3</v>
      </c>
      <c r="X85" s="115">
        <v>9.837962962962962E-4</v>
      </c>
      <c r="Y85" s="115">
        <v>8.1018518518518516E-4</v>
      </c>
      <c r="Z85" s="101"/>
      <c r="AA85" s="101"/>
      <c r="AB85" s="101"/>
      <c r="AC85" s="101"/>
      <c r="AD85" s="92" t="s">
        <v>1334</v>
      </c>
      <c r="AE85" s="101"/>
      <c r="AF85" s="118"/>
      <c r="AG85" s="128"/>
    </row>
    <row r="86" spans="1:33" ht="65.099999999999994" customHeight="1">
      <c r="A86" s="81" t="s">
        <v>339</v>
      </c>
      <c r="B86" s="93">
        <v>82</v>
      </c>
      <c r="C86" s="93">
        <v>5</v>
      </c>
      <c r="D86" s="93">
        <v>9</v>
      </c>
      <c r="E86" s="81" t="s">
        <v>512</v>
      </c>
      <c r="F86" s="81" t="s">
        <v>513</v>
      </c>
      <c r="G86" s="81" t="s">
        <v>514</v>
      </c>
      <c r="H86" s="81" t="s">
        <v>515</v>
      </c>
      <c r="I86" s="93">
        <v>4</v>
      </c>
      <c r="J86" s="81" t="s">
        <v>516</v>
      </c>
      <c r="K86" s="97" t="s">
        <v>517</v>
      </c>
      <c r="L86" s="97" t="s">
        <v>39</v>
      </c>
      <c r="M86" s="81" t="s">
        <v>518</v>
      </c>
      <c r="N86" s="99">
        <f t="shared" si="7"/>
        <v>9.265046296296299E-2</v>
      </c>
      <c r="O86" s="81" t="s">
        <v>446</v>
      </c>
      <c r="P86" s="101">
        <f t="shared" si="8"/>
        <v>363</v>
      </c>
      <c r="Q86" s="101">
        <v>7</v>
      </c>
      <c r="R86" s="105">
        <f t="shared" si="6"/>
        <v>6642.9</v>
      </c>
      <c r="S86" s="93" t="s">
        <v>42</v>
      </c>
      <c r="T86" s="101" t="s">
        <v>43</v>
      </c>
      <c r="U86" s="101" t="s">
        <v>43</v>
      </c>
      <c r="V86" s="93" t="s">
        <v>43</v>
      </c>
      <c r="W86" s="115">
        <v>1.6782407407407408E-3</v>
      </c>
      <c r="X86" s="115">
        <v>1.3888888888888889E-3</v>
      </c>
      <c r="Y86" s="115">
        <v>1.0416666666666667E-3</v>
      </c>
      <c r="Z86" s="101"/>
      <c r="AA86" s="101"/>
      <c r="AB86" s="101"/>
      <c r="AC86" s="101"/>
      <c r="AD86" s="92" t="s">
        <v>1334</v>
      </c>
      <c r="AE86" s="101"/>
      <c r="AF86" s="118"/>
      <c r="AG86" s="128"/>
    </row>
    <row r="87" spans="1:33" ht="65.099999999999994" customHeight="1">
      <c r="A87" s="81" t="s">
        <v>339</v>
      </c>
      <c r="B87" s="93">
        <v>83</v>
      </c>
      <c r="C87" s="93">
        <v>5</v>
      </c>
      <c r="D87" s="93">
        <v>9</v>
      </c>
      <c r="E87" s="81" t="s">
        <v>519</v>
      </c>
      <c r="F87" s="81" t="s">
        <v>520</v>
      </c>
      <c r="G87" s="81" t="s">
        <v>521</v>
      </c>
      <c r="H87" s="81" t="s">
        <v>522</v>
      </c>
      <c r="I87" s="93">
        <v>3</v>
      </c>
      <c r="J87" s="81" t="s">
        <v>523</v>
      </c>
      <c r="K87" s="97" t="s">
        <v>524</v>
      </c>
      <c r="L87" s="97" t="s">
        <v>121</v>
      </c>
      <c r="M87" s="81" t="s">
        <v>525</v>
      </c>
      <c r="N87" s="99">
        <f t="shared" si="7"/>
        <v>9.3576388888888917E-2</v>
      </c>
      <c r="O87" s="81" t="s">
        <v>446</v>
      </c>
      <c r="P87" s="101">
        <f t="shared" si="8"/>
        <v>370</v>
      </c>
      <c r="Q87" s="101">
        <v>7</v>
      </c>
      <c r="R87" s="105">
        <f t="shared" si="6"/>
        <v>6900.5</v>
      </c>
      <c r="S87" s="93" t="s">
        <v>42</v>
      </c>
      <c r="T87" s="101" t="s">
        <v>43</v>
      </c>
      <c r="U87" s="101" t="s">
        <v>43</v>
      </c>
      <c r="V87" s="93" t="s">
        <v>43</v>
      </c>
      <c r="W87" s="115">
        <v>1.5046296296296296E-3</v>
      </c>
      <c r="X87" s="115">
        <v>1.2152777777777778E-3</v>
      </c>
      <c r="Y87" s="115">
        <v>9.2592592592592596E-4</v>
      </c>
      <c r="Z87" s="101"/>
      <c r="AA87" s="101"/>
      <c r="AB87" s="101"/>
      <c r="AC87" s="101"/>
      <c r="AD87" s="92" t="s">
        <v>1334</v>
      </c>
      <c r="AE87" s="101"/>
      <c r="AF87" s="118"/>
      <c r="AG87" s="128"/>
    </row>
    <row r="88" spans="1:33" ht="65.099999999999994" customHeight="1">
      <c r="A88" s="81" t="s">
        <v>339</v>
      </c>
      <c r="B88" s="93">
        <v>84</v>
      </c>
      <c r="C88" s="93">
        <v>6</v>
      </c>
      <c r="D88" s="93">
        <v>9</v>
      </c>
      <c r="E88" s="81" t="s">
        <v>526</v>
      </c>
      <c r="F88" s="81" t="s">
        <v>527</v>
      </c>
      <c r="G88" s="81" t="s">
        <v>528</v>
      </c>
      <c r="H88" s="81" t="s">
        <v>529</v>
      </c>
      <c r="I88" s="93">
        <v>3</v>
      </c>
      <c r="J88" s="81" t="s">
        <v>530</v>
      </c>
      <c r="K88" s="97" t="s">
        <v>531</v>
      </c>
      <c r="L88" s="97" t="s">
        <v>532</v>
      </c>
      <c r="M88" s="81" t="s">
        <v>533</v>
      </c>
      <c r="N88" s="99">
        <f t="shared" si="7"/>
        <v>9.658564814814817E-2</v>
      </c>
      <c r="O88" s="81" t="s">
        <v>446</v>
      </c>
      <c r="P88" s="101">
        <f t="shared" si="8"/>
        <v>378</v>
      </c>
      <c r="Q88" s="101">
        <v>8</v>
      </c>
      <c r="R88" s="105">
        <f t="shared" si="6"/>
        <v>7200.9</v>
      </c>
      <c r="S88" s="93" t="s">
        <v>534</v>
      </c>
      <c r="T88" s="101">
        <v>6</v>
      </c>
      <c r="U88" s="101">
        <v>260</v>
      </c>
      <c r="V88" s="93" t="s">
        <v>535</v>
      </c>
      <c r="W88" s="115">
        <v>4.8611111111111112E-3</v>
      </c>
      <c r="X88" s="115">
        <v>3.9351851851851848E-3</v>
      </c>
      <c r="Y88" s="115">
        <v>3.0092592592592593E-3</v>
      </c>
      <c r="Z88" s="101"/>
      <c r="AA88" s="101"/>
      <c r="AB88" s="101"/>
      <c r="AC88" s="101"/>
      <c r="AD88" s="92" t="s">
        <v>1334</v>
      </c>
      <c r="AE88" s="101"/>
      <c r="AF88" s="118"/>
      <c r="AG88" s="128"/>
    </row>
    <row r="89" spans="1:33" ht="65.099999999999994" customHeight="1">
      <c r="A89" s="81" t="s">
        <v>339</v>
      </c>
      <c r="B89" s="93">
        <v>85</v>
      </c>
      <c r="C89" s="93">
        <v>3</v>
      </c>
      <c r="D89" s="93">
        <v>8</v>
      </c>
      <c r="E89" s="81" t="s">
        <v>536</v>
      </c>
      <c r="F89" s="81" t="s">
        <v>537</v>
      </c>
      <c r="G89" s="81" t="s">
        <v>538</v>
      </c>
      <c r="H89" s="81" t="s">
        <v>539</v>
      </c>
      <c r="I89" s="93">
        <v>2</v>
      </c>
      <c r="J89" s="81" t="s">
        <v>540</v>
      </c>
      <c r="K89" s="97" t="s">
        <v>38</v>
      </c>
      <c r="L89" s="97" t="s">
        <v>56</v>
      </c>
      <c r="M89" s="81" t="s">
        <v>541</v>
      </c>
      <c r="N89" s="99">
        <f t="shared" si="7"/>
        <v>9.7280092592592612E-2</v>
      </c>
      <c r="O89" s="81" t="s">
        <v>446</v>
      </c>
      <c r="P89" s="101">
        <f t="shared" si="8"/>
        <v>384</v>
      </c>
      <c r="Q89" s="101">
        <v>6</v>
      </c>
      <c r="R89" s="105">
        <f t="shared" si="6"/>
        <v>7430.4</v>
      </c>
      <c r="S89" s="93" t="s">
        <v>42</v>
      </c>
      <c r="T89" s="101" t="s">
        <v>43</v>
      </c>
      <c r="U89" s="101" t="s">
        <v>43</v>
      </c>
      <c r="V89" s="93" t="s">
        <v>43</v>
      </c>
      <c r="W89" s="115">
        <v>9.837962962962962E-4</v>
      </c>
      <c r="X89" s="115">
        <v>8.1018518518518516E-4</v>
      </c>
      <c r="Y89" s="115">
        <v>6.9444444444444447E-4</v>
      </c>
      <c r="Z89" s="101"/>
      <c r="AA89" s="101"/>
      <c r="AB89" s="101"/>
      <c r="AC89" s="101"/>
      <c r="AD89" s="92" t="s">
        <v>1334</v>
      </c>
      <c r="AE89" s="101"/>
      <c r="AF89" s="118"/>
      <c r="AG89" s="128"/>
    </row>
    <row r="90" spans="1:33" ht="65.099999999999994" customHeight="1">
      <c r="A90" s="81" t="s">
        <v>339</v>
      </c>
      <c r="B90" s="93">
        <v>86</v>
      </c>
      <c r="C90" s="93">
        <v>1</v>
      </c>
      <c r="D90" s="93">
        <v>7</v>
      </c>
      <c r="E90" s="81" t="s">
        <v>542</v>
      </c>
      <c r="F90" s="81" t="s">
        <v>543</v>
      </c>
      <c r="G90" s="81" t="s">
        <v>544</v>
      </c>
      <c r="H90" s="81" t="s">
        <v>545</v>
      </c>
      <c r="I90" s="93">
        <v>2</v>
      </c>
      <c r="J90" s="81" t="s">
        <v>546</v>
      </c>
      <c r="K90" s="97" t="s">
        <v>547</v>
      </c>
      <c r="L90" s="97" t="s">
        <v>121</v>
      </c>
      <c r="M90" s="81" t="s">
        <v>548</v>
      </c>
      <c r="N90" s="99">
        <f t="shared" si="7"/>
        <v>9.820601851851854E-2</v>
      </c>
      <c r="O90" s="81" t="s">
        <v>446</v>
      </c>
      <c r="P90" s="101">
        <f t="shared" si="8"/>
        <v>387</v>
      </c>
      <c r="Q90" s="101">
        <v>3</v>
      </c>
      <c r="R90" s="105">
        <f t="shared" si="6"/>
        <v>7546.5</v>
      </c>
      <c r="S90" s="93" t="s">
        <v>42</v>
      </c>
      <c r="T90" s="101" t="s">
        <v>43</v>
      </c>
      <c r="U90" s="101" t="s">
        <v>43</v>
      </c>
      <c r="V90" s="93" t="s">
        <v>43</v>
      </c>
      <c r="W90" s="115">
        <v>1.0995370370370371E-3</v>
      </c>
      <c r="X90" s="115">
        <v>9.837962962962962E-4</v>
      </c>
      <c r="Y90" s="115">
        <v>9.2592592592592596E-4</v>
      </c>
      <c r="Z90" s="101"/>
      <c r="AA90" s="101"/>
      <c r="AB90" s="101"/>
      <c r="AC90" s="101"/>
      <c r="AD90" s="92" t="s">
        <v>1334</v>
      </c>
      <c r="AE90" s="101" t="s">
        <v>1324</v>
      </c>
      <c r="AF90" s="118"/>
      <c r="AG90" s="128"/>
    </row>
    <row r="91" spans="1:33" ht="65.099999999999994" customHeight="1">
      <c r="A91" s="81" t="s">
        <v>339</v>
      </c>
      <c r="B91" s="93">
        <v>87</v>
      </c>
      <c r="C91" s="93">
        <v>1</v>
      </c>
      <c r="D91" s="93">
        <v>7</v>
      </c>
      <c r="E91" s="81" t="s">
        <v>549</v>
      </c>
      <c r="F91" s="81" t="s">
        <v>550</v>
      </c>
      <c r="G91" s="81" t="s">
        <v>551</v>
      </c>
      <c r="H91" s="81" t="s">
        <v>552</v>
      </c>
      <c r="I91" s="93">
        <v>2</v>
      </c>
      <c r="J91" s="81" t="s">
        <v>553</v>
      </c>
      <c r="K91" s="97" t="s">
        <v>38</v>
      </c>
      <c r="L91" s="97" t="s">
        <v>112</v>
      </c>
      <c r="M91" s="81" t="s">
        <v>554</v>
      </c>
      <c r="N91" s="99">
        <f t="shared" si="7"/>
        <v>9.8784722222222246E-2</v>
      </c>
      <c r="O91" s="81" t="s">
        <v>555</v>
      </c>
      <c r="P91" s="101">
        <f t="shared" si="8"/>
        <v>390</v>
      </c>
      <c r="Q91" s="101">
        <v>3</v>
      </c>
      <c r="R91" s="105">
        <f t="shared" si="6"/>
        <v>7663.5</v>
      </c>
      <c r="S91" s="93" t="s">
        <v>42</v>
      </c>
      <c r="T91" s="101" t="s">
        <v>43</v>
      </c>
      <c r="U91" s="101" t="s">
        <v>43</v>
      </c>
      <c r="V91" s="93" t="s">
        <v>43</v>
      </c>
      <c r="W91" s="115">
        <v>6.9444444444444447E-4</v>
      </c>
      <c r="X91" s="115">
        <v>6.3657407407407413E-4</v>
      </c>
      <c r="Y91" s="115">
        <v>5.7870370370370367E-4</v>
      </c>
      <c r="Z91" s="101"/>
      <c r="AA91" s="101"/>
      <c r="AB91" s="101"/>
      <c r="AC91" s="101"/>
      <c r="AD91" s="92" t="s">
        <v>1334</v>
      </c>
      <c r="AE91" s="101"/>
      <c r="AF91" s="118"/>
      <c r="AG91" s="128"/>
    </row>
    <row r="92" spans="1:33" ht="65.099999999999994" customHeight="1">
      <c r="A92" s="81" t="s">
        <v>339</v>
      </c>
      <c r="B92" s="93">
        <v>88</v>
      </c>
      <c r="C92" s="93">
        <v>4</v>
      </c>
      <c r="D92" s="93">
        <v>8</v>
      </c>
      <c r="E92" s="81" t="s">
        <v>556</v>
      </c>
      <c r="F92" s="81" t="s">
        <v>557</v>
      </c>
      <c r="G92" s="81" t="s">
        <v>558</v>
      </c>
      <c r="H92" s="81" t="s">
        <v>559</v>
      </c>
      <c r="I92" s="93">
        <v>5</v>
      </c>
      <c r="J92" s="81" t="s">
        <v>560</v>
      </c>
      <c r="K92" s="97" t="s">
        <v>561</v>
      </c>
      <c r="L92" s="97" t="s">
        <v>121</v>
      </c>
      <c r="M92" s="81" t="s">
        <v>562</v>
      </c>
      <c r="N92" s="99">
        <f t="shared" si="7"/>
        <v>9.9710648148148173E-2</v>
      </c>
      <c r="O92" s="81" t="s">
        <v>555</v>
      </c>
      <c r="P92" s="101">
        <f t="shared" si="8"/>
        <v>397</v>
      </c>
      <c r="Q92" s="101">
        <v>7</v>
      </c>
      <c r="R92" s="105">
        <f t="shared" si="6"/>
        <v>7940</v>
      </c>
      <c r="S92" s="93" t="s">
        <v>42</v>
      </c>
      <c r="T92" s="101" t="s">
        <v>43</v>
      </c>
      <c r="U92" s="101" t="s">
        <v>43</v>
      </c>
      <c r="V92" s="93" t="s">
        <v>43</v>
      </c>
      <c r="W92" s="115">
        <v>1.2731481481481483E-3</v>
      </c>
      <c r="X92" s="115">
        <v>1.0995370370370371E-3</v>
      </c>
      <c r="Y92" s="115">
        <v>9.2592592592592596E-4</v>
      </c>
      <c r="Z92" s="101"/>
      <c r="AA92" s="101"/>
      <c r="AB92" s="101"/>
      <c r="AC92" s="101"/>
      <c r="AD92" s="92" t="s">
        <v>1334</v>
      </c>
      <c r="AE92" s="101"/>
      <c r="AF92" s="118"/>
      <c r="AG92" s="128"/>
    </row>
    <row r="93" spans="1:33" ht="65.099999999999994" customHeight="1">
      <c r="A93" s="81" t="s">
        <v>339</v>
      </c>
      <c r="B93" s="93">
        <v>89</v>
      </c>
      <c r="C93" s="93">
        <v>6</v>
      </c>
      <c r="D93" s="93">
        <v>9</v>
      </c>
      <c r="E93" s="81" t="s">
        <v>563</v>
      </c>
      <c r="F93" s="81" t="s">
        <v>564</v>
      </c>
      <c r="G93" s="81" t="s">
        <v>565</v>
      </c>
      <c r="H93" s="81" t="s">
        <v>566</v>
      </c>
      <c r="I93" s="93">
        <v>4</v>
      </c>
      <c r="J93" s="81" t="s">
        <v>567</v>
      </c>
      <c r="K93" s="97" t="s">
        <v>568</v>
      </c>
      <c r="L93" s="97" t="s">
        <v>39</v>
      </c>
      <c r="M93" s="81" t="s">
        <v>569</v>
      </c>
      <c r="N93" s="99">
        <f t="shared" si="7"/>
        <v>0.10075231481481484</v>
      </c>
      <c r="O93" s="81" t="s">
        <v>555</v>
      </c>
      <c r="P93" s="101">
        <f t="shared" si="8"/>
        <v>405</v>
      </c>
      <c r="Q93" s="101">
        <v>8</v>
      </c>
      <c r="R93" s="105">
        <f t="shared" si="6"/>
        <v>8262</v>
      </c>
      <c r="S93" s="93" t="s">
        <v>570</v>
      </c>
      <c r="T93" s="101">
        <v>5</v>
      </c>
      <c r="U93" s="101">
        <v>90</v>
      </c>
      <c r="V93" s="93" t="s">
        <v>571</v>
      </c>
      <c r="W93" s="115">
        <v>1.6782407407407408E-3</v>
      </c>
      <c r="X93" s="115">
        <v>1.3888888888888889E-3</v>
      </c>
      <c r="Y93" s="115">
        <v>1.0416666666666667E-3</v>
      </c>
      <c r="Z93" s="101"/>
      <c r="AA93" s="101"/>
      <c r="AB93" s="101"/>
      <c r="AC93" s="101"/>
      <c r="AD93" s="92" t="s">
        <v>1334</v>
      </c>
      <c r="AE93" s="101"/>
      <c r="AF93" s="118"/>
      <c r="AG93" s="128"/>
    </row>
    <row r="94" spans="1:33" ht="65.099999999999994" customHeight="1">
      <c r="A94" s="81" t="s">
        <v>339</v>
      </c>
      <c r="B94" s="93">
        <v>90</v>
      </c>
      <c r="C94" s="93">
        <v>6</v>
      </c>
      <c r="D94" s="93">
        <v>9</v>
      </c>
      <c r="E94" s="81" t="s">
        <v>572</v>
      </c>
      <c r="F94" s="81" t="s">
        <v>573</v>
      </c>
      <c r="G94" s="81" t="s">
        <v>574</v>
      </c>
      <c r="H94" s="81" t="s">
        <v>575</v>
      </c>
      <c r="I94" s="93">
        <v>2</v>
      </c>
      <c r="J94" s="81" t="s">
        <v>576</v>
      </c>
      <c r="K94" s="97" t="s">
        <v>577</v>
      </c>
      <c r="L94" s="97" t="s">
        <v>94</v>
      </c>
      <c r="M94" s="81" t="s">
        <v>578</v>
      </c>
      <c r="N94" s="99">
        <f t="shared" si="7"/>
        <v>0.10115740740740743</v>
      </c>
      <c r="O94" s="81" t="s">
        <v>555</v>
      </c>
      <c r="P94" s="101">
        <f t="shared" si="8"/>
        <v>413</v>
      </c>
      <c r="Q94" s="101">
        <v>8</v>
      </c>
      <c r="R94" s="105">
        <f t="shared" si="6"/>
        <v>8590.4</v>
      </c>
      <c r="S94" s="93" t="str">
        <f t="shared" ref="S94:S97" si="9">"일반 몬스터"</f>
        <v>일반 몬스터</v>
      </c>
      <c r="T94" s="101">
        <v>5</v>
      </c>
      <c r="U94" s="101">
        <f t="shared" ref="U94:U97" si="10">35</f>
        <v>35</v>
      </c>
      <c r="V94" s="93" t="s">
        <v>579</v>
      </c>
      <c r="W94" s="115">
        <v>6.9444444444444447E-4</v>
      </c>
      <c r="X94" s="115">
        <v>5.7870370370370367E-4</v>
      </c>
      <c r="Y94" s="115">
        <v>4.0509259259259258E-4</v>
      </c>
      <c r="Z94" s="101" t="str">
        <f t="shared" ref="Z94:Z142" si="11">""</f>
        <v/>
      </c>
      <c r="AA94" s="101"/>
      <c r="AB94" s="101" t="str">
        <f t="shared" ref="AB94:AB142" si="12">""</f>
        <v/>
      </c>
      <c r="AC94" s="101"/>
      <c r="AD94" s="92" t="s">
        <v>1334</v>
      </c>
      <c r="AE94" s="101"/>
      <c r="AF94" s="118"/>
      <c r="AG94" s="128"/>
    </row>
    <row r="95" spans="1:33" ht="65.099999999999994" customHeight="1">
      <c r="A95" s="81" t="s">
        <v>339</v>
      </c>
      <c r="B95" s="93">
        <v>91</v>
      </c>
      <c r="C95" s="93">
        <v>3</v>
      </c>
      <c r="D95" s="93">
        <v>8</v>
      </c>
      <c r="E95" s="81" t="s">
        <v>580</v>
      </c>
      <c r="F95" s="81" t="s">
        <v>581</v>
      </c>
      <c r="G95" s="81" t="s">
        <v>582</v>
      </c>
      <c r="H95" s="81" t="s">
        <v>583</v>
      </c>
      <c r="I95" s="93">
        <v>3</v>
      </c>
      <c r="J95" s="81" t="s">
        <v>584</v>
      </c>
      <c r="K95" s="97" t="s">
        <v>38</v>
      </c>
      <c r="L95" s="97" t="s">
        <v>121</v>
      </c>
      <c r="M95" s="81" t="s">
        <v>585</v>
      </c>
      <c r="N95" s="99">
        <f t="shared" si="7"/>
        <v>0.10208333333333336</v>
      </c>
      <c r="O95" s="81" t="s">
        <v>586</v>
      </c>
      <c r="P95" s="101">
        <f t="shared" si="8"/>
        <v>417</v>
      </c>
      <c r="Q95" s="101">
        <v>4</v>
      </c>
      <c r="R95" s="105">
        <f t="shared" si="6"/>
        <v>8757</v>
      </c>
      <c r="S95" s="93" t="str">
        <f>"비전투"</f>
        <v>비전투</v>
      </c>
      <c r="T95" s="101" t="s">
        <v>43</v>
      </c>
      <c r="U95" s="101" t="str">
        <f>"—"</f>
        <v>—</v>
      </c>
      <c r="V95" s="93" t="s">
        <v>43</v>
      </c>
      <c r="W95" s="115">
        <v>1.2731481481481483E-3</v>
      </c>
      <c r="X95" s="115">
        <v>1.0995370370370371E-3</v>
      </c>
      <c r="Y95" s="115">
        <v>9.2592592592592596E-4</v>
      </c>
      <c r="Z95" s="101"/>
      <c r="AA95" s="101"/>
      <c r="AB95" s="101"/>
      <c r="AC95" s="101"/>
      <c r="AD95" s="151">
        <v>-0.05</v>
      </c>
      <c r="AE95" s="101"/>
      <c r="AF95" s="118"/>
      <c r="AG95" s="128"/>
    </row>
    <row r="96" spans="1:33" ht="65.099999999999994" customHeight="1">
      <c r="A96" s="81" t="s">
        <v>339</v>
      </c>
      <c r="B96" s="130">
        <v>92</v>
      </c>
      <c r="C96" s="130">
        <v>5</v>
      </c>
      <c r="D96" s="130">
        <v>9</v>
      </c>
      <c r="E96" s="131" t="s">
        <v>587</v>
      </c>
      <c r="F96" s="132" t="s">
        <v>588</v>
      </c>
      <c r="G96" s="132" t="s">
        <v>589</v>
      </c>
      <c r="H96" s="132" t="s">
        <v>590</v>
      </c>
      <c r="I96" s="130">
        <v>3</v>
      </c>
      <c r="J96" s="132" t="s">
        <v>591</v>
      </c>
      <c r="K96" s="133" t="s">
        <v>592</v>
      </c>
      <c r="L96" s="133" t="s">
        <v>39</v>
      </c>
      <c r="M96" s="132" t="s">
        <v>593</v>
      </c>
      <c r="N96" s="134">
        <f t="shared" si="7"/>
        <v>0.10312500000000002</v>
      </c>
      <c r="O96" s="131" t="s">
        <v>586</v>
      </c>
      <c r="P96" s="121">
        <f t="shared" si="8"/>
        <v>425</v>
      </c>
      <c r="Q96" s="121">
        <v>8</v>
      </c>
      <c r="R96" s="135">
        <f t="shared" si="6"/>
        <v>9095</v>
      </c>
      <c r="S96" s="136" t="s">
        <v>1305</v>
      </c>
      <c r="T96" s="121">
        <v>5</v>
      </c>
      <c r="U96" s="121">
        <v>90</v>
      </c>
      <c r="V96" s="136" t="s">
        <v>594</v>
      </c>
      <c r="W96" s="137">
        <v>6.1342592592592594E-3</v>
      </c>
      <c r="X96" s="137">
        <v>4.9768518518518521E-3</v>
      </c>
      <c r="Y96" s="137">
        <v>3.8194444444444443E-3</v>
      </c>
      <c r="Z96" s="121">
        <v>750</v>
      </c>
      <c r="AA96" s="121">
        <v>3</v>
      </c>
      <c r="AB96" s="121">
        <v>210</v>
      </c>
      <c r="AC96" s="121">
        <v>120</v>
      </c>
      <c r="AD96" s="150" t="s">
        <v>1334</v>
      </c>
      <c r="AE96" s="122"/>
      <c r="AF96" s="123" t="s">
        <v>1311</v>
      </c>
      <c r="AG96" s="128"/>
    </row>
    <row r="97" spans="1:33" ht="65.099999999999994" customHeight="1">
      <c r="A97" s="81" t="s">
        <v>339</v>
      </c>
      <c r="B97" s="93">
        <v>93</v>
      </c>
      <c r="C97" s="93">
        <v>4</v>
      </c>
      <c r="D97" s="93">
        <v>9</v>
      </c>
      <c r="E97" s="81" t="s">
        <v>595</v>
      </c>
      <c r="F97" s="81" t="s">
        <v>596</v>
      </c>
      <c r="G97" s="81" t="s">
        <v>597</v>
      </c>
      <c r="H97" s="81" t="s">
        <v>598</v>
      </c>
      <c r="I97" s="93">
        <v>3</v>
      </c>
      <c r="J97" s="81" t="s">
        <v>599</v>
      </c>
      <c r="K97" s="97" t="s">
        <v>600</v>
      </c>
      <c r="L97" s="97" t="s">
        <v>170</v>
      </c>
      <c r="M97" s="81" t="s">
        <v>601</v>
      </c>
      <c r="N97" s="99">
        <f t="shared" si="7"/>
        <v>0.10486111111111113</v>
      </c>
      <c r="O97" s="81" t="s">
        <v>586</v>
      </c>
      <c r="P97" s="101">
        <f t="shared" si="8"/>
        <v>432</v>
      </c>
      <c r="Q97" s="101">
        <v>7</v>
      </c>
      <c r="R97" s="105">
        <f t="shared" si="6"/>
        <v>9396</v>
      </c>
      <c r="S97" s="93" t="str">
        <f t="shared" si="9"/>
        <v>일반 몬스터</v>
      </c>
      <c r="T97" s="101">
        <v>5</v>
      </c>
      <c r="U97" s="101">
        <f t="shared" si="10"/>
        <v>35</v>
      </c>
      <c r="V97" s="93" t="s">
        <v>602</v>
      </c>
      <c r="W97" s="115"/>
      <c r="X97" s="115"/>
      <c r="Y97" s="115"/>
      <c r="Z97" s="101" t="str">
        <f t="shared" si="11"/>
        <v/>
      </c>
      <c r="AA97" s="101"/>
      <c r="AB97" s="101" t="str">
        <f t="shared" si="12"/>
        <v/>
      </c>
      <c r="AC97" s="101"/>
      <c r="AD97" s="92" t="s">
        <v>1334</v>
      </c>
      <c r="AE97" s="101" t="s">
        <v>1326</v>
      </c>
      <c r="AF97" s="118"/>
      <c r="AG97" s="128"/>
    </row>
    <row r="98" spans="1:33" ht="65.099999999999994" customHeight="1">
      <c r="A98" s="81" t="s">
        <v>339</v>
      </c>
      <c r="B98" s="93">
        <v>94</v>
      </c>
      <c r="C98" s="93">
        <v>6</v>
      </c>
      <c r="D98" s="93">
        <v>9</v>
      </c>
      <c r="E98" s="81" t="s">
        <v>603</v>
      </c>
      <c r="F98" s="81" t="s">
        <v>604</v>
      </c>
      <c r="G98" s="81" t="s">
        <v>605</v>
      </c>
      <c r="H98" s="81" t="s">
        <v>606</v>
      </c>
      <c r="I98" s="93">
        <v>3</v>
      </c>
      <c r="J98" s="81" t="s">
        <v>607</v>
      </c>
      <c r="K98" s="97" t="s">
        <v>608</v>
      </c>
      <c r="L98" s="97" t="s">
        <v>39</v>
      </c>
      <c r="M98" s="81" t="s">
        <v>609</v>
      </c>
      <c r="N98" s="99">
        <f t="shared" si="7"/>
        <v>0.10590277777777779</v>
      </c>
      <c r="O98" s="81" t="s">
        <v>586</v>
      </c>
      <c r="P98" s="101">
        <f t="shared" si="8"/>
        <v>439</v>
      </c>
      <c r="Q98" s="101">
        <v>7</v>
      </c>
      <c r="R98" s="105">
        <f t="shared" si="6"/>
        <v>9701.9</v>
      </c>
      <c r="S98" s="93" t="s">
        <v>1305</v>
      </c>
      <c r="T98" s="101">
        <v>6</v>
      </c>
      <c r="U98" s="101">
        <v>90</v>
      </c>
      <c r="V98" s="93" t="s">
        <v>610</v>
      </c>
      <c r="W98" s="115"/>
      <c r="X98" s="115"/>
      <c r="Y98" s="115"/>
      <c r="Z98" s="101"/>
      <c r="AA98" s="101"/>
      <c r="AB98" s="101"/>
      <c r="AC98" s="101"/>
      <c r="AD98" s="151">
        <v>-0.05</v>
      </c>
      <c r="AE98" s="101"/>
      <c r="AF98" s="118"/>
      <c r="AG98" s="128"/>
    </row>
    <row r="99" spans="1:33" ht="65.099999999999994" customHeight="1">
      <c r="A99" s="81" t="s">
        <v>339</v>
      </c>
      <c r="B99" s="93">
        <v>95</v>
      </c>
      <c r="C99" s="93">
        <v>1</v>
      </c>
      <c r="D99" s="93">
        <v>8</v>
      </c>
      <c r="E99" s="81" t="s">
        <v>611</v>
      </c>
      <c r="F99" s="81" t="s">
        <v>612</v>
      </c>
      <c r="G99" s="81" t="s">
        <v>613</v>
      </c>
      <c r="H99" s="81" t="s">
        <v>614</v>
      </c>
      <c r="I99" s="93">
        <v>4</v>
      </c>
      <c r="J99" s="81" t="s">
        <v>615</v>
      </c>
      <c r="K99" s="97" t="s">
        <v>38</v>
      </c>
      <c r="L99" s="97" t="s">
        <v>56</v>
      </c>
      <c r="M99" s="81" t="s">
        <v>616</v>
      </c>
      <c r="N99" s="99">
        <f>N98+(IFERROR(VALUE(LEFT(L99,FIND("분",L99)-1))*60,0)+IFERROR(VALUE(TRIM(MID(L99,IFERROR(FIND("분",L99),0)+1,IFERROR(FIND("초",L99),LEN(L99)+1)-IFERROR(FIND("분",L99),0)-1))),0))/86400</f>
        <v>0.10659722222222223</v>
      </c>
      <c r="O99" s="81" t="s">
        <v>586</v>
      </c>
      <c r="P99" s="101">
        <f t="shared" si="8"/>
        <v>443</v>
      </c>
      <c r="Q99" s="101">
        <v>4</v>
      </c>
      <c r="R99" s="105">
        <f t="shared" si="6"/>
        <v>9878.9</v>
      </c>
      <c r="S99" s="93" t="s">
        <v>42</v>
      </c>
      <c r="T99" s="101" t="s">
        <v>43</v>
      </c>
      <c r="U99" s="101" t="s">
        <v>43</v>
      </c>
      <c r="V99" s="93" t="s">
        <v>43</v>
      </c>
      <c r="W99" s="115">
        <v>8.1018518518518516E-4</v>
      </c>
      <c r="X99" s="115">
        <v>7.5231481481481482E-4</v>
      </c>
      <c r="Y99" s="115">
        <v>6.9444444444444447E-4</v>
      </c>
      <c r="Z99" s="101"/>
      <c r="AA99" s="101"/>
      <c r="AB99" s="101"/>
      <c r="AC99" s="101"/>
      <c r="AD99" s="92" t="s">
        <v>1334</v>
      </c>
      <c r="AE99" s="101"/>
      <c r="AF99" s="118"/>
      <c r="AG99" s="128"/>
    </row>
    <row r="100" spans="1:33" ht="65.099999999999994" customHeight="1">
      <c r="A100" s="81" t="s">
        <v>339</v>
      </c>
      <c r="B100" s="93">
        <v>96</v>
      </c>
      <c r="C100" s="93">
        <v>4</v>
      </c>
      <c r="D100" s="93">
        <v>6</v>
      </c>
      <c r="E100" s="81" t="s">
        <v>617</v>
      </c>
      <c r="F100" s="81" t="s">
        <v>618</v>
      </c>
      <c r="G100" s="81" t="s">
        <v>619</v>
      </c>
      <c r="H100" s="81" t="s">
        <v>620</v>
      </c>
      <c r="I100" s="93">
        <v>7</v>
      </c>
      <c r="J100" s="81" t="s">
        <v>621</v>
      </c>
      <c r="K100" s="97" t="s">
        <v>622</v>
      </c>
      <c r="L100" s="97" t="s">
        <v>623</v>
      </c>
      <c r="M100" s="81" t="s">
        <v>624</v>
      </c>
      <c r="N100" s="99">
        <f>N99+(IFERROR(VALUE(LEFT(L100,FIND("분",L100)-1))*60,0)+IFERROR(VALUE(TRIM(MID(L100,IFERROR(FIND("분",L100),0)+1,IFERROR(FIND("초",L100),LEN(L100)+1)-IFERROR(FIND("분",L100),0)-1))),0))/86400</f>
        <v>0.10937500000000001</v>
      </c>
      <c r="O100" s="81" t="s">
        <v>625</v>
      </c>
      <c r="P100" s="101">
        <f t="shared" si="8"/>
        <v>449</v>
      </c>
      <c r="Q100" s="101">
        <v>6</v>
      </c>
      <c r="R100" s="105">
        <f t="shared" si="6"/>
        <v>10147.4</v>
      </c>
      <c r="S100" s="93" t="s">
        <v>42</v>
      </c>
      <c r="T100" s="101" t="s">
        <v>43</v>
      </c>
      <c r="U100" s="101" t="s">
        <v>43</v>
      </c>
      <c r="V100" s="93" t="s">
        <v>43</v>
      </c>
      <c r="W100" s="115">
        <v>3.7615740740740739E-3</v>
      </c>
      <c r="X100" s="115">
        <v>3.2407407407407406E-3</v>
      </c>
      <c r="Y100" s="115">
        <v>2.7777777777777779E-3</v>
      </c>
      <c r="Z100" s="101"/>
      <c r="AA100" s="101"/>
      <c r="AB100" s="101"/>
      <c r="AC100" s="101"/>
      <c r="AD100" s="92" t="s">
        <v>1334</v>
      </c>
      <c r="AE100" s="100" t="s">
        <v>1327</v>
      </c>
      <c r="AF100" s="117"/>
      <c r="AG100" s="128"/>
    </row>
    <row r="101" spans="1:33" ht="65.099999999999994" customHeight="1">
      <c r="A101" s="81" t="s">
        <v>339</v>
      </c>
      <c r="B101" s="93">
        <v>97</v>
      </c>
      <c r="C101" s="93">
        <v>6</v>
      </c>
      <c r="D101" s="93">
        <v>9</v>
      </c>
      <c r="E101" s="81" t="s">
        <v>626</v>
      </c>
      <c r="F101" s="81" t="s">
        <v>627</v>
      </c>
      <c r="G101" s="81" t="s">
        <v>628</v>
      </c>
      <c r="H101" s="81" t="s">
        <v>629</v>
      </c>
      <c r="I101" s="93">
        <v>3</v>
      </c>
      <c r="J101" s="81" t="s">
        <v>630</v>
      </c>
      <c r="K101" s="97" t="s">
        <v>631</v>
      </c>
      <c r="L101" s="97" t="s">
        <v>39</v>
      </c>
      <c r="M101" s="81" t="s">
        <v>632</v>
      </c>
      <c r="N101" s="99">
        <f t="shared" si="7"/>
        <v>0.11041666666666668</v>
      </c>
      <c r="O101" s="81" t="s">
        <v>633</v>
      </c>
      <c r="P101" s="101">
        <f t="shared" si="8"/>
        <v>457</v>
      </c>
      <c r="Q101" s="101">
        <v>8</v>
      </c>
      <c r="R101" s="105">
        <f t="shared" ref="R101:R132" si="13">ROUND($Q$3*P101*P101+$R$3*P101,2)</f>
        <v>10511</v>
      </c>
      <c r="S101" s="93" t="s">
        <v>42</v>
      </c>
      <c r="T101" s="101" t="s">
        <v>43</v>
      </c>
      <c r="U101" s="101" t="s">
        <v>43</v>
      </c>
      <c r="V101" s="93" t="s">
        <v>43</v>
      </c>
      <c r="W101" s="115">
        <v>1.6782407407407408E-3</v>
      </c>
      <c r="X101" s="115">
        <v>1.3888888888888889E-3</v>
      </c>
      <c r="Y101" s="115">
        <v>1.0416666666666667E-3</v>
      </c>
      <c r="Z101" s="101"/>
      <c r="AA101" s="101"/>
      <c r="AB101" s="101"/>
      <c r="AC101" s="101"/>
      <c r="AD101" s="92" t="s">
        <v>1334</v>
      </c>
      <c r="AE101" s="101"/>
      <c r="AF101" s="118"/>
      <c r="AG101" s="128"/>
    </row>
    <row r="102" spans="1:33" ht="65.099999999999994" customHeight="1">
      <c r="A102" s="81" t="s">
        <v>339</v>
      </c>
      <c r="B102" s="93">
        <v>98</v>
      </c>
      <c r="C102" s="93">
        <v>7</v>
      </c>
      <c r="D102" s="93">
        <v>9</v>
      </c>
      <c r="E102" s="81" t="s">
        <v>634</v>
      </c>
      <c r="F102" s="81" t="s">
        <v>635</v>
      </c>
      <c r="G102" s="81" t="s">
        <v>636</v>
      </c>
      <c r="H102" s="81" t="s">
        <v>637</v>
      </c>
      <c r="I102" s="93">
        <v>2</v>
      </c>
      <c r="J102" s="81" t="s">
        <v>638</v>
      </c>
      <c r="K102" s="97" t="s">
        <v>639</v>
      </c>
      <c r="L102" s="97" t="s">
        <v>112</v>
      </c>
      <c r="M102" s="81" t="s">
        <v>640</v>
      </c>
      <c r="N102" s="99">
        <f t="shared" ref="N102:N123" si="14">N101+(IFERROR(VALUE(LEFT(L102,FIND("분",L102)-1))*60,0)+IFERROR(VALUE(TRIM(MID(L102,IFERROR(FIND("분",L102),0)+1,IFERROR(FIND("초",L102),LEN(L102)+1)-IFERROR(FIND("분",L102),0)-1))),0))/86400</f>
        <v>0.11099537037037038</v>
      </c>
      <c r="O102" s="81" t="s">
        <v>633</v>
      </c>
      <c r="P102" s="101">
        <f t="shared" ref="P102:P133" si="15">P101+Q102</f>
        <v>466</v>
      </c>
      <c r="Q102" s="101">
        <v>9</v>
      </c>
      <c r="R102" s="105">
        <f t="shared" si="13"/>
        <v>10927.7</v>
      </c>
      <c r="S102" s="93" t="s">
        <v>534</v>
      </c>
      <c r="T102" s="101">
        <v>7</v>
      </c>
      <c r="U102" s="101">
        <v>50</v>
      </c>
      <c r="V102" s="93" t="s">
        <v>641</v>
      </c>
      <c r="W102" s="115">
        <v>1.0995370370370371E-3</v>
      </c>
      <c r="X102" s="115">
        <v>8.6805555555555551E-4</v>
      </c>
      <c r="Y102" s="115">
        <v>5.7870370370370367E-4</v>
      </c>
      <c r="Z102" s="101"/>
      <c r="AA102" s="101"/>
      <c r="AB102" s="101"/>
      <c r="AC102" s="101"/>
      <c r="AD102" s="92" t="s">
        <v>1334</v>
      </c>
      <c r="AE102" s="101"/>
      <c r="AF102" s="118"/>
      <c r="AG102" s="128"/>
    </row>
    <row r="103" spans="1:33" ht="65.099999999999994" customHeight="1">
      <c r="A103" s="81" t="s">
        <v>339</v>
      </c>
      <c r="B103" s="93">
        <v>99</v>
      </c>
      <c r="C103" s="93">
        <v>1</v>
      </c>
      <c r="D103" s="93">
        <v>9</v>
      </c>
      <c r="E103" s="81" t="s">
        <v>642</v>
      </c>
      <c r="F103" s="81" t="s">
        <v>643</v>
      </c>
      <c r="G103" s="81" t="s">
        <v>644</v>
      </c>
      <c r="H103" s="81" t="s">
        <v>645</v>
      </c>
      <c r="I103" s="93">
        <v>3</v>
      </c>
      <c r="J103" s="81" t="s">
        <v>646</v>
      </c>
      <c r="K103" s="97" t="s">
        <v>38</v>
      </c>
      <c r="L103" s="97" t="s">
        <v>56</v>
      </c>
      <c r="M103" s="81" t="s">
        <v>647</v>
      </c>
      <c r="N103" s="99">
        <f t="shared" si="14"/>
        <v>0.11168981481481483</v>
      </c>
      <c r="O103" s="81" t="s">
        <v>648</v>
      </c>
      <c r="P103" s="101">
        <f t="shared" si="15"/>
        <v>469</v>
      </c>
      <c r="Q103" s="101">
        <v>3</v>
      </c>
      <c r="R103" s="105">
        <f t="shared" si="13"/>
        <v>11068.4</v>
      </c>
      <c r="S103" s="93" t="s">
        <v>42</v>
      </c>
      <c r="T103" s="101" t="s">
        <v>43</v>
      </c>
      <c r="U103" s="101" t="s">
        <v>43</v>
      </c>
      <c r="V103" s="93" t="s">
        <v>43</v>
      </c>
      <c r="W103" s="115">
        <v>8.1018518518518516E-4</v>
      </c>
      <c r="X103" s="115">
        <v>7.5231481481481482E-4</v>
      </c>
      <c r="Y103" s="115">
        <v>6.9444444444444447E-4</v>
      </c>
      <c r="Z103" s="101"/>
      <c r="AA103" s="101"/>
      <c r="AB103" s="101"/>
      <c r="AC103" s="101"/>
      <c r="AD103" s="92" t="s">
        <v>1334</v>
      </c>
      <c r="AE103" s="101" t="s">
        <v>1324</v>
      </c>
      <c r="AF103" s="118"/>
      <c r="AG103" s="128"/>
    </row>
    <row r="104" spans="1:33" ht="65.099999999999994" customHeight="1">
      <c r="A104" s="81" t="s">
        <v>339</v>
      </c>
      <c r="B104" s="130">
        <v>100</v>
      </c>
      <c r="C104" s="130">
        <v>7</v>
      </c>
      <c r="D104" s="130">
        <v>10</v>
      </c>
      <c r="E104" s="131" t="s">
        <v>649</v>
      </c>
      <c r="F104" s="132" t="s">
        <v>650</v>
      </c>
      <c r="G104" s="132" t="s">
        <v>651</v>
      </c>
      <c r="H104" s="132" t="s">
        <v>652</v>
      </c>
      <c r="I104" s="130">
        <v>4</v>
      </c>
      <c r="J104" s="132" t="s">
        <v>653</v>
      </c>
      <c r="K104" s="133" t="s">
        <v>654</v>
      </c>
      <c r="L104" s="133" t="s">
        <v>117</v>
      </c>
      <c r="M104" s="132" t="s">
        <v>655</v>
      </c>
      <c r="N104" s="134">
        <f t="shared" si="14"/>
        <v>0.11307870370370371</v>
      </c>
      <c r="O104" s="131" t="s">
        <v>648</v>
      </c>
      <c r="P104" s="121">
        <f t="shared" si="15"/>
        <v>479</v>
      </c>
      <c r="Q104" s="121">
        <v>10</v>
      </c>
      <c r="R104" s="135">
        <f t="shared" si="13"/>
        <v>11543.9</v>
      </c>
      <c r="S104" s="136" t="s">
        <v>1305</v>
      </c>
      <c r="T104" s="121">
        <v>7</v>
      </c>
      <c r="U104" s="121">
        <v>120</v>
      </c>
      <c r="V104" s="136" t="s">
        <v>656</v>
      </c>
      <c r="W104" s="137">
        <v>9.2592592592592587E-3</v>
      </c>
      <c r="X104" s="137">
        <v>7.060185185185185E-3</v>
      </c>
      <c r="Y104" s="137">
        <v>4.8611111111111112E-3</v>
      </c>
      <c r="Z104" s="121">
        <v>900</v>
      </c>
      <c r="AA104" s="121">
        <v>3</v>
      </c>
      <c r="AB104" s="121">
        <v>210</v>
      </c>
      <c r="AC104" s="121">
        <v>210</v>
      </c>
      <c r="AD104" s="152">
        <v>-0.05</v>
      </c>
      <c r="AE104" s="122"/>
      <c r="AF104" s="123" t="s">
        <v>1312</v>
      </c>
      <c r="AG104" s="128"/>
    </row>
    <row r="105" spans="1:33" ht="65.099999999999994" customHeight="1">
      <c r="A105" s="81" t="s">
        <v>339</v>
      </c>
      <c r="B105" s="93">
        <v>101</v>
      </c>
      <c r="C105" s="93">
        <v>7</v>
      </c>
      <c r="D105" s="93">
        <v>10</v>
      </c>
      <c r="E105" s="81" t="s">
        <v>657</v>
      </c>
      <c r="F105" s="81" t="s">
        <v>658</v>
      </c>
      <c r="G105" s="81" t="s">
        <v>659</v>
      </c>
      <c r="H105" s="81" t="s">
        <v>660</v>
      </c>
      <c r="I105" s="93">
        <v>3</v>
      </c>
      <c r="J105" s="81" t="s">
        <v>661</v>
      </c>
      <c r="K105" s="97" t="s">
        <v>662</v>
      </c>
      <c r="L105" s="97" t="s">
        <v>56</v>
      </c>
      <c r="M105" s="81" t="s">
        <v>663</v>
      </c>
      <c r="N105" s="99">
        <f t="shared" si="14"/>
        <v>0.11377314814814815</v>
      </c>
      <c r="O105" s="81" t="s">
        <v>648</v>
      </c>
      <c r="P105" s="101">
        <f t="shared" si="15"/>
        <v>487</v>
      </c>
      <c r="Q105" s="101">
        <v>8</v>
      </c>
      <c r="R105" s="105">
        <f t="shared" si="13"/>
        <v>11931.5</v>
      </c>
      <c r="S105" s="93" t="s">
        <v>1305</v>
      </c>
      <c r="T105" s="101">
        <v>7</v>
      </c>
      <c r="U105" s="101">
        <v>60</v>
      </c>
      <c r="V105" s="93" t="s">
        <v>664</v>
      </c>
      <c r="W105" s="115"/>
      <c r="X105" s="115"/>
      <c r="Y105" s="115"/>
      <c r="Z105" s="101"/>
      <c r="AA105" s="101"/>
      <c r="AB105" s="101"/>
      <c r="AC105" s="101"/>
      <c r="AD105" s="92" t="s">
        <v>1334</v>
      </c>
      <c r="AE105" s="101" t="s">
        <v>1328</v>
      </c>
      <c r="AF105" s="118"/>
      <c r="AG105" s="128"/>
    </row>
    <row r="106" spans="1:33" ht="65.099999999999994" customHeight="1">
      <c r="A106" s="81" t="s">
        <v>339</v>
      </c>
      <c r="B106" s="93">
        <v>102</v>
      </c>
      <c r="C106" s="93">
        <v>8</v>
      </c>
      <c r="D106" s="93">
        <v>10</v>
      </c>
      <c r="E106" s="81" t="s">
        <v>665</v>
      </c>
      <c r="F106" s="81" t="s">
        <v>666</v>
      </c>
      <c r="G106" s="81" t="s">
        <v>667</v>
      </c>
      <c r="H106" s="81" t="s">
        <v>668</v>
      </c>
      <c r="I106" s="93">
        <v>5</v>
      </c>
      <c r="J106" s="81" t="s">
        <v>669</v>
      </c>
      <c r="K106" s="97" t="s">
        <v>670</v>
      </c>
      <c r="L106" s="97" t="s">
        <v>56</v>
      </c>
      <c r="M106" s="81" t="s">
        <v>671</v>
      </c>
      <c r="N106" s="99">
        <f t="shared" si="14"/>
        <v>0.11446759259259259</v>
      </c>
      <c r="O106" s="81" t="s">
        <v>648</v>
      </c>
      <c r="P106" s="101">
        <f t="shared" si="15"/>
        <v>495</v>
      </c>
      <c r="Q106" s="101">
        <v>8</v>
      </c>
      <c r="R106" s="105">
        <f t="shared" si="13"/>
        <v>12325.5</v>
      </c>
      <c r="S106" s="93" t="s">
        <v>1305</v>
      </c>
      <c r="T106" s="101">
        <v>8</v>
      </c>
      <c r="U106" s="101">
        <v>60</v>
      </c>
      <c r="V106" s="93" t="s">
        <v>672</v>
      </c>
      <c r="W106" s="115"/>
      <c r="X106" s="115"/>
      <c r="Y106" s="115"/>
      <c r="Z106" s="101"/>
      <c r="AA106" s="101"/>
      <c r="AB106" s="101"/>
      <c r="AC106" s="101"/>
      <c r="AD106" s="92" t="s">
        <v>1334</v>
      </c>
      <c r="AE106" s="101"/>
      <c r="AF106" s="118"/>
      <c r="AG106" s="128"/>
    </row>
    <row r="107" spans="1:33" ht="65.099999999999994" customHeight="1">
      <c r="A107" s="81" t="s">
        <v>339</v>
      </c>
      <c r="B107" s="93">
        <v>103</v>
      </c>
      <c r="C107" s="93">
        <v>7</v>
      </c>
      <c r="D107" s="93">
        <v>10</v>
      </c>
      <c r="E107" s="81" t="s">
        <v>673</v>
      </c>
      <c r="F107" s="81" t="s">
        <v>674</v>
      </c>
      <c r="G107" s="81" t="s">
        <v>675</v>
      </c>
      <c r="H107" s="81" t="s">
        <v>676</v>
      </c>
      <c r="I107" s="93">
        <v>4</v>
      </c>
      <c r="J107" s="81" t="s">
        <v>677</v>
      </c>
      <c r="K107" s="97" t="s">
        <v>678</v>
      </c>
      <c r="L107" s="97" t="s">
        <v>82</v>
      </c>
      <c r="M107" s="81" t="s">
        <v>679</v>
      </c>
      <c r="N107" s="99">
        <f t="shared" si="14"/>
        <v>0.11533564814814815</v>
      </c>
      <c r="O107" s="81" t="s">
        <v>648</v>
      </c>
      <c r="P107" s="101">
        <f t="shared" si="15"/>
        <v>502</v>
      </c>
      <c r="Q107" s="101">
        <v>7</v>
      </c>
      <c r="R107" s="105">
        <f t="shared" si="13"/>
        <v>12675.5</v>
      </c>
      <c r="S107" s="93" t="s">
        <v>1305</v>
      </c>
      <c r="T107" s="101">
        <v>8</v>
      </c>
      <c r="U107" s="101">
        <v>75</v>
      </c>
      <c r="V107" s="93" t="s">
        <v>680</v>
      </c>
      <c r="W107" s="115"/>
      <c r="X107" s="115"/>
      <c r="Y107" s="115"/>
      <c r="Z107" s="101"/>
      <c r="AA107" s="101"/>
      <c r="AB107" s="101"/>
      <c r="AC107" s="101"/>
      <c r="AD107" s="92" t="s">
        <v>1334</v>
      </c>
      <c r="AE107" s="101" t="s">
        <v>1327</v>
      </c>
      <c r="AF107" s="118"/>
      <c r="AG107" s="128"/>
    </row>
    <row r="108" spans="1:33" ht="65.099999999999994" customHeight="1">
      <c r="A108" s="81" t="s">
        <v>339</v>
      </c>
      <c r="B108" s="93">
        <v>104</v>
      </c>
      <c r="C108" s="93">
        <v>8</v>
      </c>
      <c r="D108" s="93">
        <v>10</v>
      </c>
      <c r="E108" s="81" t="s">
        <v>681</v>
      </c>
      <c r="F108" s="81" t="s">
        <v>682</v>
      </c>
      <c r="G108" s="81" t="s">
        <v>683</v>
      </c>
      <c r="H108" s="81" t="s">
        <v>684</v>
      </c>
      <c r="I108" s="93">
        <v>4</v>
      </c>
      <c r="J108" s="81" t="s">
        <v>685</v>
      </c>
      <c r="K108" s="97" t="s">
        <v>686</v>
      </c>
      <c r="L108" s="97" t="s">
        <v>82</v>
      </c>
      <c r="M108" s="81" t="s">
        <v>687</v>
      </c>
      <c r="N108" s="99">
        <f t="shared" si="14"/>
        <v>0.1162037037037037</v>
      </c>
      <c r="O108" s="81" t="s">
        <v>648</v>
      </c>
      <c r="P108" s="101">
        <f t="shared" si="15"/>
        <v>509</v>
      </c>
      <c r="Q108" s="101">
        <v>7</v>
      </c>
      <c r="R108" s="105">
        <f t="shared" si="13"/>
        <v>13030.4</v>
      </c>
      <c r="S108" s="93" t="s">
        <v>1305</v>
      </c>
      <c r="T108" s="101">
        <v>8</v>
      </c>
      <c r="U108" s="101">
        <v>75</v>
      </c>
      <c r="V108" s="93" t="s">
        <v>688</v>
      </c>
      <c r="W108" s="115"/>
      <c r="X108" s="115"/>
      <c r="Y108" s="115"/>
      <c r="Z108" s="101"/>
      <c r="AA108" s="101"/>
      <c r="AB108" s="101"/>
      <c r="AC108" s="101"/>
      <c r="AD108" s="92" t="s">
        <v>1334</v>
      </c>
      <c r="AE108" s="101"/>
      <c r="AF108" s="118"/>
      <c r="AG108" s="128"/>
    </row>
    <row r="109" spans="1:33" ht="65.099999999999994" customHeight="1">
      <c r="A109" s="81" t="s">
        <v>339</v>
      </c>
      <c r="B109" s="93">
        <v>105</v>
      </c>
      <c r="C109" s="93">
        <v>8</v>
      </c>
      <c r="D109" s="93">
        <v>10</v>
      </c>
      <c r="E109" s="81" t="s">
        <v>689</v>
      </c>
      <c r="F109" s="81" t="s">
        <v>690</v>
      </c>
      <c r="G109" s="81" t="s">
        <v>691</v>
      </c>
      <c r="H109" s="81" t="s">
        <v>692</v>
      </c>
      <c r="I109" s="93">
        <v>2</v>
      </c>
      <c r="J109" s="81" t="s">
        <v>693</v>
      </c>
      <c r="K109" s="97" t="s">
        <v>694</v>
      </c>
      <c r="L109" s="97" t="s">
        <v>70</v>
      </c>
      <c r="M109" s="81" t="s">
        <v>695</v>
      </c>
      <c r="N109" s="99">
        <f t="shared" si="14"/>
        <v>0.11655092592592592</v>
      </c>
      <c r="O109" s="81" t="s">
        <v>648</v>
      </c>
      <c r="P109" s="101">
        <f t="shared" si="15"/>
        <v>516</v>
      </c>
      <c r="Q109" s="101">
        <v>7</v>
      </c>
      <c r="R109" s="105">
        <f t="shared" si="13"/>
        <v>13390.2</v>
      </c>
      <c r="S109" s="93" t="s">
        <v>1305</v>
      </c>
      <c r="T109" s="101">
        <v>8</v>
      </c>
      <c r="U109" s="101">
        <v>30</v>
      </c>
      <c r="V109" s="93" t="s">
        <v>696</v>
      </c>
      <c r="W109" s="115"/>
      <c r="X109" s="115"/>
      <c r="Y109" s="115"/>
      <c r="Z109" s="101"/>
      <c r="AA109" s="101"/>
      <c r="AB109" s="101"/>
      <c r="AC109" s="101"/>
      <c r="AD109" s="92" t="s">
        <v>1334</v>
      </c>
      <c r="AE109" s="101"/>
      <c r="AF109" s="118"/>
      <c r="AG109" s="128"/>
    </row>
    <row r="110" spans="1:33" ht="65.099999999999994" customHeight="1">
      <c r="A110" s="81" t="s">
        <v>339</v>
      </c>
      <c r="B110" s="93">
        <v>106</v>
      </c>
      <c r="C110" s="93">
        <v>1</v>
      </c>
      <c r="D110" s="93">
        <v>7</v>
      </c>
      <c r="E110" s="81" t="s">
        <v>697</v>
      </c>
      <c r="F110" s="81" t="s">
        <v>698</v>
      </c>
      <c r="G110" s="81" t="s">
        <v>699</v>
      </c>
      <c r="H110" s="81" t="s">
        <v>700</v>
      </c>
      <c r="I110" s="93">
        <v>3</v>
      </c>
      <c r="J110" s="81" t="s">
        <v>701</v>
      </c>
      <c r="K110" s="97" t="s">
        <v>38</v>
      </c>
      <c r="L110" s="97" t="s">
        <v>121</v>
      </c>
      <c r="M110" s="81" t="s">
        <v>702</v>
      </c>
      <c r="N110" s="99">
        <f t="shared" si="14"/>
        <v>0.11747685185185185</v>
      </c>
      <c r="O110" s="81" t="s">
        <v>703</v>
      </c>
      <c r="P110" s="101">
        <f t="shared" si="15"/>
        <v>519</v>
      </c>
      <c r="Q110" s="101">
        <v>3</v>
      </c>
      <c r="R110" s="105">
        <f t="shared" si="13"/>
        <v>13545.9</v>
      </c>
      <c r="S110" s="93" t="s">
        <v>42</v>
      </c>
      <c r="T110" s="101" t="s">
        <v>43</v>
      </c>
      <c r="U110" s="101" t="s">
        <v>43</v>
      </c>
      <c r="V110" s="93" t="s">
        <v>43</v>
      </c>
      <c r="W110" s="115">
        <v>1.0995370370370371E-3</v>
      </c>
      <c r="X110" s="115">
        <v>9.837962962962962E-4</v>
      </c>
      <c r="Y110" s="115">
        <v>9.2592592592592596E-4</v>
      </c>
      <c r="Z110" s="101"/>
      <c r="AA110" s="101"/>
      <c r="AB110" s="101"/>
      <c r="AC110" s="101"/>
      <c r="AD110" s="92" t="s">
        <v>1334</v>
      </c>
      <c r="AE110" s="101"/>
      <c r="AF110" s="118"/>
      <c r="AG110" s="128"/>
    </row>
    <row r="111" spans="1:33" ht="65.099999999999994" customHeight="1">
      <c r="A111" s="81" t="s">
        <v>339</v>
      </c>
      <c r="B111" s="93">
        <v>107</v>
      </c>
      <c r="C111" s="93">
        <v>3</v>
      </c>
      <c r="D111" s="93">
        <v>5</v>
      </c>
      <c r="E111" s="81" t="s">
        <v>704</v>
      </c>
      <c r="F111" s="81" t="s">
        <v>705</v>
      </c>
      <c r="G111" s="81" t="s">
        <v>706</v>
      </c>
      <c r="H111" s="81" t="s">
        <v>707</v>
      </c>
      <c r="I111" s="93">
        <v>5</v>
      </c>
      <c r="J111" s="81" t="s">
        <v>708</v>
      </c>
      <c r="K111" s="97" t="s">
        <v>709</v>
      </c>
      <c r="L111" s="97" t="s">
        <v>117</v>
      </c>
      <c r="M111" s="81" t="s">
        <v>710</v>
      </c>
      <c r="N111" s="99">
        <f t="shared" si="14"/>
        <v>0.11886574074074073</v>
      </c>
      <c r="O111" s="81" t="s">
        <v>703</v>
      </c>
      <c r="P111" s="101">
        <f t="shared" si="15"/>
        <v>523</v>
      </c>
      <c r="Q111" s="101">
        <v>4</v>
      </c>
      <c r="R111" s="105">
        <f t="shared" si="13"/>
        <v>13754.9</v>
      </c>
      <c r="S111" s="93" t="s">
        <v>42</v>
      </c>
      <c r="T111" s="101" t="s">
        <v>43</v>
      </c>
      <c r="U111" s="101" t="s">
        <v>43</v>
      </c>
      <c r="V111" s="93" t="s">
        <v>43</v>
      </c>
      <c r="W111" s="115">
        <v>1.9097222222222222E-3</v>
      </c>
      <c r="X111" s="115">
        <v>1.6203703703703703E-3</v>
      </c>
      <c r="Y111" s="115">
        <v>1.3888888888888889E-3</v>
      </c>
      <c r="Z111" s="101"/>
      <c r="AA111" s="101"/>
      <c r="AB111" s="101"/>
      <c r="AC111" s="101"/>
      <c r="AD111" s="92" t="s">
        <v>1334</v>
      </c>
      <c r="AE111" s="101"/>
      <c r="AF111" s="118"/>
      <c r="AG111" s="128"/>
    </row>
    <row r="112" spans="1:33" ht="65.099999999999994" customHeight="1">
      <c r="A112" s="81" t="s">
        <v>339</v>
      </c>
      <c r="B112" s="93">
        <v>108</v>
      </c>
      <c r="C112" s="93">
        <v>2</v>
      </c>
      <c r="D112" s="93">
        <v>9</v>
      </c>
      <c r="E112" s="81" t="s">
        <v>711</v>
      </c>
      <c r="F112" s="81" t="s">
        <v>712</v>
      </c>
      <c r="G112" s="81" t="s">
        <v>713</v>
      </c>
      <c r="H112" s="81" t="s">
        <v>714</v>
      </c>
      <c r="I112" s="93">
        <v>5</v>
      </c>
      <c r="J112" s="81" t="s">
        <v>715</v>
      </c>
      <c r="K112" s="97" t="s">
        <v>38</v>
      </c>
      <c r="L112" s="97" t="s">
        <v>39</v>
      </c>
      <c r="M112" s="81" t="s">
        <v>716</v>
      </c>
      <c r="N112" s="99">
        <f t="shared" si="14"/>
        <v>0.11990740740740739</v>
      </c>
      <c r="O112" s="81" t="s">
        <v>703</v>
      </c>
      <c r="P112" s="101">
        <f t="shared" si="15"/>
        <v>528</v>
      </c>
      <c r="Q112" s="101">
        <v>5</v>
      </c>
      <c r="R112" s="105">
        <f t="shared" si="13"/>
        <v>14018.4</v>
      </c>
      <c r="S112" s="93" t="s">
        <v>42</v>
      </c>
      <c r="T112" s="101" t="s">
        <v>43</v>
      </c>
      <c r="U112" s="101" t="s">
        <v>43</v>
      </c>
      <c r="V112" s="93" t="s">
        <v>43</v>
      </c>
      <c r="W112" s="115">
        <v>1.2152777777777778E-3</v>
      </c>
      <c r="X112" s="115">
        <v>1.0995370370370371E-3</v>
      </c>
      <c r="Y112" s="115">
        <v>1.0416666666666667E-3</v>
      </c>
      <c r="Z112" s="101"/>
      <c r="AA112" s="101"/>
      <c r="AB112" s="101"/>
      <c r="AC112" s="101"/>
      <c r="AD112" s="92" t="s">
        <v>1334</v>
      </c>
      <c r="AE112" s="101"/>
      <c r="AF112" s="118"/>
      <c r="AG112" s="128"/>
    </row>
    <row r="113" spans="1:33" ht="65.099999999999994" customHeight="1">
      <c r="A113" s="81" t="s">
        <v>339</v>
      </c>
      <c r="B113" s="93">
        <v>109</v>
      </c>
      <c r="C113" s="93">
        <v>3</v>
      </c>
      <c r="D113" s="93">
        <v>9</v>
      </c>
      <c r="E113" s="81" t="s">
        <v>717</v>
      </c>
      <c r="F113" s="81" t="s">
        <v>718</v>
      </c>
      <c r="G113" s="81" t="s">
        <v>719</v>
      </c>
      <c r="H113" s="81" t="s">
        <v>720</v>
      </c>
      <c r="I113" s="93">
        <v>5</v>
      </c>
      <c r="J113" s="81" t="s">
        <v>721</v>
      </c>
      <c r="K113" s="97" t="s">
        <v>38</v>
      </c>
      <c r="L113" s="97" t="s">
        <v>159</v>
      </c>
      <c r="M113" s="81" t="s">
        <v>722</v>
      </c>
      <c r="N113" s="99">
        <f t="shared" si="14"/>
        <v>0.12106481481481481</v>
      </c>
      <c r="O113" s="81" t="s">
        <v>703</v>
      </c>
      <c r="P113" s="101">
        <f t="shared" si="15"/>
        <v>533</v>
      </c>
      <c r="Q113" s="101">
        <v>5</v>
      </c>
      <c r="R113" s="105">
        <f t="shared" si="13"/>
        <v>14284.4</v>
      </c>
      <c r="S113" s="93" t="s">
        <v>42</v>
      </c>
      <c r="T113" s="101" t="s">
        <v>43</v>
      </c>
      <c r="U113" s="101" t="s">
        <v>43</v>
      </c>
      <c r="V113" s="93" t="s">
        <v>43</v>
      </c>
      <c r="W113" s="115">
        <v>1.5625000000000001E-3</v>
      </c>
      <c r="X113" s="115">
        <v>1.3310185185185185E-3</v>
      </c>
      <c r="Y113" s="115">
        <v>1.1574074074074073E-3</v>
      </c>
      <c r="Z113" s="101"/>
      <c r="AA113" s="101"/>
      <c r="AB113" s="101"/>
      <c r="AC113" s="101"/>
      <c r="AD113" s="92" t="s">
        <v>1334</v>
      </c>
      <c r="AE113" s="101"/>
      <c r="AF113" s="118"/>
      <c r="AG113" s="128"/>
    </row>
    <row r="114" spans="1:33" ht="65.099999999999994" customHeight="1">
      <c r="A114" s="81" t="s">
        <v>339</v>
      </c>
      <c r="B114" s="130">
        <v>110</v>
      </c>
      <c r="C114" s="130">
        <v>6</v>
      </c>
      <c r="D114" s="130">
        <v>10</v>
      </c>
      <c r="E114" s="131" t="s">
        <v>723</v>
      </c>
      <c r="F114" s="132" t="s">
        <v>724</v>
      </c>
      <c r="G114" s="132" t="s">
        <v>725</v>
      </c>
      <c r="H114" s="132" t="s">
        <v>726</v>
      </c>
      <c r="I114" s="130">
        <v>4</v>
      </c>
      <c r="J114" s="132" t="s">
        <v>727</v>
      </c>
      <c r="K114" s="133" t="s">
        <v>1335</v>
      </c>
      <c r="L114" s="133" t="s">
        <v>117</v>
      </c>
      <c r="M114" s="132" t="s">
        <v>728</v>
      </c>
      <c r="N114" s="134">
        <f t="shared" si="14"/>
        <v>0.12245370370370369</v>
      </c>
      <c r="O114" s="131" t="s">
        <v>729</v>
      </c>
      <c r="P114" s="121">
        <f t="shared" si="15"/>
        <v>541</v>
      </c>
      <c r="Q114" s="121">
        <v>8</v>
      </c>
      <c r="R114" s="135">
        <f t="shared" si="13"/>
        <v>14715.2</v>
      </c>
      <c r="S114" s="136" t="s">
        <v>1305</v>
      </c>
      <c r="T114" s="121">
        <v>6</v>
      </c>
      <c r="U114" s="121">
        <v>120</v>
      </c>
      <c r="V114" s="136" t="s">
        <v>730</v>
      </c>
      <c r="W114" s="137">
        <v>9.8958333333333329E-3</v>
      </c>
      <c r="X114" s="137">
        <v>7.5810185185185182E-3</v>
      </c>
      <c r="Y114" s="137">
        <v>5.208333333333333E-3</v>
      </c>
      <c r="Z114" s="121">
        <v>1050</v>
      </c>
      <c r="AA114" s="121">
        <v>3</v>
      </c>
      <c r="AB114" s="121">
        <v>120</v>
      </c>
      <c r="AC114" s="121">
        <v>330</v>
      </c>
      <c r="AD114" s="150" t="s">
        <v>1334</v>
      </c>
      <c r="AE114" s="122"/>
      <c r="AF114" s="123" t="s">
        <v>1318</v>
      </c>
      <c r="AG114" s="128"/>
    </row>
    <row r="115" spans="1:33" ht="65.099999999999994" customHeight="1">
      <c r="A115" s="81" t="s">
        <v>339</v>
      </c>
      <c r="B115" s="93">
        <v>111</v>
      </c>
      <c r="C115" s="93">
        <v>7</v>
      </c>
      <c r="D115" s="93">
        <v>10</v>
      </c>
      <c r="E115" s="81" t="s">
        <v>731</v>
      </c>
      <c r="F115" s="81" t="s">
        <v>732</v>
      </c>
      <c r="G115" s="81" t="s">
        <v>733</v>
      </c>
      <c r="H115" s="81" t="s">
        <v>734</v>
      </c>
      <c r="I115" s="93">
        <v>6</v>
      </c>
      <c r="J115" s="81" t="s">
        <v>735</v>
      </c>
      <c r="K115" s="97" t="s">
        <v>736</v>
      </c>
      <c r="L115" s="97" t="s">
        <v>117</v>
      </c>
      <c r="M115" s="81" t="s">
        <v>737</v>
      </c>
      <c r="N115" s="99">
        <f t="shared" si="14"/>
        <v>0.12384259259259257</v>
      </c>
      <c r="O115" s="81" t="s">
        <v>729</v>
      </c>
      <c r="P115" s="101">
        <f t="shared" si="15"/>
        <v>550</v>
      </c>
      <c r="Q115" s="101">
        <v>9</v>
      </c>
      <c r="R115" s="105">
        <f t="shared" si="13"/>
        <v>15207.5</v>
      </c>
      <c r="S115" s="93" t="s">
        <v>1305</v>
      </c>
      <c r="T115" s="101">
        <v>7</v>
      </c>
      <c r="U115" s="101">
        <v>120</v>
      </c>
      <c r="V115" s="93" t="s">
        <v>738</v>
      </c>
      <c r="W115" s="115"/>
      <c r="X115" s="115"/>
      <c r="Y115" s="115"/>
      <c r="Z115" s="101" t="str">
        <f t="shared" si="11"/>
        <v/>
      </c>
      <c r="AA115" s="101"/>
      <c r="AB115" s="101" t="str">
        <f t="shared" si="12"/>
        <v/>
      </c>
      <c r="AC115" s="101"/>
      <c r="AD115" s="92" t="s">
        <v>1334</v>
      </c>
      <c r="AE115" s="101"/>
      <c r="AF115" s="118"/>
      <c r="AG115" s="128"/>
    </row>
    <row r="116" spans="1:33" ht="65.099999999999994" customHeight="1">
      <c r="A116" s="81" t="s">
        <v>339</v>
      </c>
      <c r="B116" s="93">
        <v>112</v>
      </c>
      <c r="C116" s="93">
        <v>7</v>
      </c>
      <c r="D116" s="93">
        <v>10</v>
      </c>
      <c r="E116" s="81" t="s">
        <v>739</v>
      </c>
      <c r="F116" s="81" t="s">
        <v>740</v>
      </c>
      <c r="G116" s="81" t="s">
        <v>741</v>
      </c>
      <c r="H116" s="81" t="s">
        <v>742</v>
      </c>
      <c r="I116" s="93">
        <v>4</v>
      </c>
      <c r="J116" s="81" t="s">
        <v>743</v>
      </c>
      <c r="K116" s="97" t="s">
        <v>744</v>
      </c>
      <c r="L116" s="97" t="s">
        <v>117</v>
      </c>
      <c r="M116" s="81" t="s">
        <v>745</v>
      </c>
      <c r="N116" s="99">
        <f t="shared" si="14"/>
        <v>0.12523148148148147</v>
      </c>
      <c r="O116" s="81" t="s">
        <v>729</v>
      </c>
      <c r="P116" s="101">
        <f t="shared" si="15"/>
        <v>558</v>
      </c>
      <c r="Q116" s="101">
        <v>8</v>
      </c>
      <c r="R116" s="105">
        <f t="shared" si="13"/>
        <v>15651.9</v>
      </c>
      <c r="S116" s="93" t="s">
        <v>1305</v>
      </c>
      <c r="T116" s="101">
        <v>7</v>
      </c>
      <c r="U116" s="101">
        <v>120</v>
      </c>
      <c r="V116" s="93" t="s">
        <v>746</v>
      </c>
      <c r="W116" s="115"/>
      <c r="X116" s="115"/>
      <c r="Y116" s="115"/>
      <c r="Z116" s="101"/>
      <c r="AA116" s="101"/>
      <c r="AB116" s="101"/>
      <c r="AC116" s="101"/>
      <c r="AD116" s="92" t="s">
        <v>1334</v>
      </c>
      <c r="AE116" s="101"/>
      <c r="AF116" s="118"/>
      <c r="AG116" s="128"/>
    </row>
    <row r="117" spans="1:33" ht="65.099999999999994" customHeight="1" thickBot="1">
      <c r="A117" s="148" t="s">
        <v>339</v>
      </c>
      <c r="B117" s="144">
        <v>113</v>
      </c>
      <c r="C117" s="144">
        <v>8</v>
      </c>
      <c r="D117" s="144">
        <v>10</v>
      </c>
      <c r="E117" s="148" t="s">
        <v>747</v>
      </c>
      <c r="F117" s="148" t="s">
        <v>748</v>
      </c>
      <c r="G117" s="148" t="s">
        <v>749</v>
      </c>
      <c r="H117" s="148" t="s">
        <v>750</v>
      </c>
      <c r="I117" s="144">
        <v>5</v>
      </c>
      <c r="J117" s="148" t="s">
        <v>751</v>
      </c>
      <c r="K117" s="149" t="s">
        <v>752</v>
      </c>
      <c r="L117" s="149" t="s">
        <v>39</v>
      </c>
      <c r="M117" s="148" t="s">
        <v>753</v>
      </c>
      <c r="N117" s="145">
        <f t="shared" si="14"/>
        <v>0.12627314814814813</v>
      </c>
      <c r="O117" s="148" t="s">
        <v>729</v>
      </c>
      <c r="P117" s="119">
        <f t="shared" si="15"/>
        <v>567</v>
      </c>
      <c r="Q117" s="119">
        <v>9</v>
      </c>
      <c r="R117" s="146">
        <f t="shared" si="13"/>
        <v>16159.5</v>
      </c>
      <c r="S117" s="144" t="s">
        <v>1305</v>
      </c>
      <c r="T117" s="119">
        <v>8</v>
      </c>
      <c r="U117" s="119">
        <v>90</v>
      </c>
      <c r="V117" s="144" t="s">
        <v>754</v>
      </c>
      <c r="W117" s="147"/>
      <c r="X117" s="147"/>
      <c r="Y117" s="147"/>
      <c r="Z117" s="119"/>
      <c r="AA117" s="119"/>
      <c r="AB117" s="119"/>
      <c r="AC117" s="119"/>
      <c r="AD117" s="144" t="s">
        <v>1334</v>
      </c>
      <c r="AE117" s="119" t="s">
        <v>1329</v>
      </c>
      <c r="AF117" s="120"/>
      <c r="AG117" s="128"/>
    </row>
    <row r="118" spans="1:33" ht="65.099999999999994" customHeight="1">
      <c r="A118" s="82" t="s">
        <v>755</v>
      </c>
      <c r="B118" s="92">
        <v>114</v>
      </c>
      <c r="C118" s="92">
        <v>1</v>
      </c>
      <c r="D118" s="92">
        <v>7</v>
      </c>
      <c r="E118" s="82" t="s">
        <v>756</v>
      </c>
      <c r="F118" s="82" t="s">
        <v>757</v>
      </c>
      <c r="G118" s="82" t="s">
        <v>758</v>
      </c>
      <c r="H118" s="82" t="s">
        <v>759</v>
      </c>
      <c r="I118" s="92">
        <v>2</v>
      </c>
      <c r="J118" s="82" t="s">
        <v>760</v>
      </c>
      <c r="K118" s="96" t="s">
        <v>38</v>
      </c>
      <c r="L118" s="96" t="s">
        <v>159</v>
      </c>
      <c r="M118" s="82" t="s">
        <v>761</v>
      </c>
      <c r="N118" s="98">
        <f t="shared" si="14"/>
        <v>0.12743055555555555</v>
      </c>
      <c r="O118" s="82" t="s">
        <v>762</v>
      </c>
      <c r="P118" s="100">
        <f t="shared" si="15"/>
        <v>570</v>
      </c>
      <c r="Q118" s="100">
        <v>3</v>
      </c>
      <c r="R118" s="104">
        <f t="shared" si="13"/>
        <v>16330.5</v>
      </c>
      <c r="S118" s="92" t="s">
        <v>42</v>
      </c>
      <c r="T118" s="100" t="s">
        <v>43</v>
      </c>
      <c r="U118" s="100" t="s">
        <v>43</v>
      </c>
      <c r="V118" s="92" t="s">
        <v>43</v>
      </c>
      <c r="W118" s="114">
        <v>1.3310185185185185E-3</v>
      </c>
      <c r="X118" s="114">
        <v>1.2152777777777778E-3</v>
      </c>
      <c r="Y118" s="114">
        <v>1.1574074074074073E-3</v>
      </c>
      <c r="Z118" s="100"/>
      <c r="AA118" s="100"/>
      <c r="AB118" s="100"/>
      <c r="AC118" s="100"/>
      <c r="AD118" s="92" t="s">
        <v>1334</v>
      </c>
      <c r="AE118" s="100"/>
      <c r="AF118" s="117"/>
      <c r="AG118" s="128"/>
    </row>
    <row r="119" spans="1:33" ht="65.099999999999994" customHeight="1">
      <c r="A119" s="81" t="s">
        <v>755</v>
      </c>
      <c r="B119" s="93">
        <v>115</v>
      </c>
      <c r="C119" s="93">
        <v>2</v>
      </c>
      <c r="D119" s="93">
        <v>5</v>
      </c>
      <c r="E119" s="81" t="s">
        <v>763</v>
      </c>
      <c r="F119" s="81" t="s">
        <v>764</v>
      </c>
      <c r="G119" s="81" t="s">
        <v>765</v>
      </c>
      <c r="H119" s="81" t="s">
        <v>766</v>
      </c>
      <c r="I119" s="93">
        <v>5</v>
      </c>
      <c r="J119" s="81" t="s">
        <v>767</v>
      </c>
      <c r="K119" s="97" t="s">
        <v>768</v>
      </c>
      <c r="L119" s="97" t="s">
        <v>159</v>
      </c>
      <c r="M119" s="81" t="s">
        <v>769</v>
      </c>
      <c r="N119" s="99">
        <f t="shared" si="14"/>
        <v>0.12858796296296296</v>
      </c>
      <c r="O119" s="81" t="s">
        <v>762</v>
      </c>
      <c r="P119" s="101">
        <f t="shared" si="15"/>
        <v>573</v>
      </c>
      <c r="Q119" s="101">
        <v>3</v>
      </c>
      <c r="R119" s="105">
        <f t="shared" si="13"/>
        <v>16502.400000000001</v>
      </c>
      <c r="S119" s="93" t="s">
        <v>42</v>
      </c>
      <c r="T119" s="101" t="s">
        <v>43</v>
      </c>
      <c r="U119" s="101" t="s">
        <v>43</v>
      </c>
      <c r="V119" s="93" t="s">
        <v>43</v>
      </c>
      <c r="W119" s="115">
        <v>1.3310185185185185E-3</v>
      </c>
      <c r="X119" s="115">
        <v>1.2152777777777778E-3</v>
      </c>
      <c r="Y119" s="115">
        <v>1.1574074074074073E-3</v>
      </c>
      <c r="Z119" s="101"/>
      <c r="AA119" s="101"/>
      <c r="AB119" s="101"/>
      <c r="AC119" s="101"/>
      <c r="AD119" s="92" t="s">
        <v>1334</v>
      </c>
      <c r="AE119" s="101"/>
      <c r="AF119" s="118"/>
      <c r="AG119" s="128"/>
    </row>
    <row r="120" spans="1:33" ht="65.099999999999994" customHeight="1">
      <c r="A120" s="81" t="s">
        <v>755</v>
      </c>
      <c r="B120" s="93">
        <v>116</v>
      </c>
      <c r="C120" s="93">
        <v>2</v>
      </c>
      <c r="D120" s="93">
        <v>5</v>
      </c>
      <c r="E120" s="81" t="s">
        <v>770</v>
      </c>
      <c r="F120" s="81" t="s">
        <v>771</v>
      </c>
      <c r="G120" s="81" t="s">
        <v>772</v>
      </c>
      <c r="H120" s="81" t="s">
        <v>773</v>
      </c>
      <c r="I120" s="93">
        <v>4</v>
      </c>
      <c r="J120" s="81" t="s">
        <v>774</v>
      </c>
      <c r="K120" s="97" t="s">
        <v>38</v>
      </c>
      <c r="L120" s="97" t="s">
        <v>117</v>
      </c>
      <c r="M120" s="81" t="s">
        <v>775</v>
      </c>
      <c r="N120" s="99">
        <f t="shared" si="14"/>
        <v>0.12997685185185184</v>
      </c>
      <c r="O120" s="81" t="s">
        <v>762</v>
      </c>
      <c r="P120" s="101">
        <f t="shared" si="15"/>
        <v>576</v>
      </c>
      <c r="Q120" s="101">
        <v>3</v>
      </c>
      <c r="R120" s="105">
        <f t="shared" si="13"/>
        <v>16675.2</v>
      </c>
      <c r="S120" s="93" t="s">
        <v>42</v>
      </c>
      <c r="T120" s="101" t="s">
        <v>43</v>
      </c>
      <c r="U120" s="101" t="s">
        <v>43</v>
      </c>
      <c r="V120" s="93" t="s">
        <v>43</v>
      </c>
      <c r="W120" s="115">
        <v>1.6203703703703703E-3</v>
      </c>
      <c r="X120" s="115">
        <v>1.5046296296296296E-3</v>
      </c>
      <c r="Y120" s="115">
        <v>1.3888888888888889E-3</v>
      </c>
      <c r="Z120" s="101"/>
      <c r="AA120" s="101"/>
      <c r="AB120" s="101"/>
      <c r="AC120" s="101"/>
      <c r="AD120" s="92" t="s">
        <v>1334</v>
      </c>
      <c r="AE120" s="101"/>
      <c r="AF120" s="118"/>
      <c r="AG120" s="128"/>
    </row>
    <row r="121" spans="1:33" ht="65.099999999999994" customHeight="1">
      <c r="A121" s="81" t="s">
        <v>755</v>
      </c>
      <c r="B121" s="93">
        <v>117</v>
      </c>
      <c r="C121" s="93">
        <v>3</v>
      </c>
      <c r="D121" s="93">
        <v>6</v>
      </c>
      <c r="E121" s="81" t="s">
        <v>776</v>
      </c>
      <c r="F121" s="81" t="s">
        <v>777</v>
      </c>
      <c r="G121" s="81" t="s">
        <v>778</v>
      </c>
      <c r="H121" s="81" t="s">
        <v>779</v>
      </c>
      <c r="I121" s="93">
        <v>1</v>
      </c>
      <c r="J121" s="81" t="s">
        <v>780</v>
      </c>
      <c r="K121" s="97" t="s">
        <v>781</v>
      </c>
      <c r="L121" s="97" t="s">
        <v>427</v>
      </c>
      <c r="M121" s="81" t="s">
        <v>782</v>
      </c>
      <c r="N121" s="99">
        <f t="shared" si="14"/>
        <v>0.13148148148148148</v>
      </c>
      <c r="O121" s="81" t="s">
        <v>783</v>
      </c>
      <c r="P121" s="101">
        <f t="shared" si="15"/>
        <v>581</v>
      </c>
      <c r="Q121" s="101">
        <v>5</v>
      </c>
      <c r="R121" s="105">
        <f t="shared" si="13"/>
        <v>16965.2</v>
      </c>
      <c r="S121" s="93" t="s">
        <v>42</v>
      </c>
      <c r="T121" s="101" t="s">
        <v>43</v>
      </c>
      <c r="U121" s="101" t="s">
        <v>43</v>
      </c>
      <c r="V121" s="93" t="s">
        <v>43</v>
      </c>
      <c r="W121" s="115">
        <v>2.0833333333333333E-3</v>
      </c>
      <c r="X121" s="115">
        <v>1.736111111111111E-3</v>
      </c>
      <c r="Y121" s="115">
        <v>1.5046296296296296E-3</v>
      </c>
      <c r="Z121" s="101"/>
      <c r="AA121" s="101"/>
      <c r="AB121" s="101"/>
      <c r="AC121" s="101"/>
      <c r="AD121" s="92" t="s">
        <v>1334</v>
      </c>
      <c r="AE121" s="101"/>
      <c r="AF121" s="118"/>
      <c r="AG121" s="128"/>
    </row>
    <row r="122" spans="1:33" ht="65.099999999999994" customHeight="1">
      <c r="A122" s="81" t="s">
        <v>755</v>
      </c>
      <c r="B122" s="93">
        <v>118</v>
      </c>
      <c r="C122" s="93">
        <v>3</v>
      </c>
      <c r="D122" s="93">
        <v>6</v>
      </c>
      <c r="E122" s="81" t="s">
        <v>784</v>
      </c>
      <c r="F122" s="81" t="s">
        <v>785</v>
      </c>
      <c r="G122" s="81" t="s">
        <v>786</v>
      </c>
      <c r="H122" s="81" t="s">
        <v>787</v>
      </c>
      <c r="I122" s="93">
        <v>4</v>
      </c>
      <c r="J122" s="81" t="s">
        <v>788</v>
      </c>
      <c r="K122" s="97" t="s">
        <v>789</v>
      </c>
      <c r="L122" s="97" t="s">
        <v>170</v>
      </c>
      <c r="M122" s="81" t="s">
        <v>790</v>
      </c>
      <c r="N122" s="99">
        <f t="shared" si="14"/>
        <v>0.13321759259259258</v>
      </c>
      <c r="O122" s="81" t="s">
        <v>783</v>
      </c>
      <c r="P122" s="101">
        <f t="shared" si="15"/>
        <v>586</v>
      </c>
      <c r="Q122" s="101">
        <v>5</v>
      </c>
      <c r="R122" s="105">
        <f t="shared" si="13"/>
        <v>17257.7</v>
      </c>
      <c r="S122" s="93" t="s">
        <v>42</v>
      </c>
      <c r="T122" s="101" t="s">
        <v>43</v>
      </c>
      <c r="U122" s="101" t="s">
        <v>43</v>
      </c>
      <c r="V122" s="93" t="s">
        <v>43</v>
      </c>
      <c r="W122" s="115">
        <v>2.3726851851851851E-3</v>
      </c>
      <c r="X122" s="115">
        <v>2.0254629629629629E-3</v>
      </c>
      <c r="Y122" s="115">
        <v>1.736111111111111E-3</v>
      </c>
      <c r="Z122" s="101"/>
      <c r="AA122" s="101"/>
      <c r="AB122" s="101"/>
      <c r="AC122" s="101"/>
      <c r="AD122" s="92" t="s">
        <v>1334</v>
      </c>
      <c r="AE122" s="101"/>
      <c r="AF122" s="118"/>
      <c r="AG122" s="128"/>
    </row>
    <row r="123" spans="1:33" ht="65.099999999999994" customHeight="1">
      <c r="A123" s="81" t="s">
        <v>755</v>
      </c>
      <c r="B123" s="93">
        <v>119</v>
      </c>
      <c r="C123" s="93">
        <v>5</v>
      </c>
      <c r="D123" s="93">
        <v>8</v>
      </c>
      <c r="E123" s="81" t="s">
        <v>791</v>
      </c>
      <c r="F123" s="81" t="s">
        <v>792</v>
      </c>
      <c r="G123" s="81" t="s">
        <v>793</v>
      </c>
      <c r="H123" s="81" t="s">
        <v>794</v>
      </c>
      <c r="I123" s="93">
        <v>5</v>
      </c>
      <c r="J123" s="81" t="s">
        <v>795</v>
      </c>
      <c r="K123" s="97" t="s">
        <v>796</v>
      </c>
      <c r="L123" s="97" t="s">
        <v>117</v>
      </c>
      <c r="M123" s="81" t="s">
        <v>797</v>
      </c>
      <c r="N123" s="99">
        <f t="shared" si="14"/>
        <v>0.13460648148148147</v>
      </c>
      <c r="O123" s="81" t="s">
        <v>798</v>
      </c>
      <c r="P123" s="101">
        <f t="shared" si="15"/>
        <v>593</v>
      </c>
      <c r="Q123" s="101">
        <v>7</v>
      </c>
      <c r="R123" s="105">
        <f t="shared" si="13"/>
        <v>17671.400000000001</v>
      </c>
      <c r="S123" s="93" t="s">
        <v>42</v>
      </c>
      <c r="T123" s="101" t="s">
        <v>43</v>
      </c>
      <c r="U123" s="101" t="s">
        <v>43</v>
      </c>
      <c r="V123" s="93" t="s">
        <v>43</v>
      </c>
      <c r="W123" s="115">
        <v>2.2569444444444442E-3</v>
      </c>
      <c r="X123" s="115">
        <v>1.8518518518518519E-3</v>
      </c>
      <c r="Y123" s="115">
        <v>1.3888888888888889E-3</v>
      </c>
      <c r="Z123" s="101"/>
      <c r="AA123" s="101"/>
      <c r="AB123" s="101"/>
      <c r="AC123" s="101"/>
      <c r="AD123" s="92" t="s">
        <v>1334</v>
      </c>
      <c r="AE123" s="101"/>
      <c r="AF123" s="118"/>
      <c r="AG123" s="128"/>
    </row>
    <row r="124" spans="1:33" ht="65.099999999999994" customHeight="1">
      <c r="A124" s="81" t="s">
        <v>755</v>
      </c>
      <c r="B124" s="93">
        <v>120</v>
      </c>
      <c r="C124" s="93">
        <v>4</v>
      </c>
      <c r="D124" s="93">
        <v>7</v>
      </c>
      <c r="E124" s="81" t="s">
        <v>799</v>
      </c>
      <c r="F124" s="81" t="s">
        <v>800</v>
      </c>
      <c r="G124" s="81" t="s">
        <v>801</v>
      </c>
      <c r="H124" s="81" t="s">
        <v>802</v>
      </c>
      <c r="I124" s="93">
        <v>6</v>
      </c>
      <c r="J124" s="81" t="s">
        <v>803</v>
      </c>
      <c r="K124" s="97" t="s">
        <v>38</v>
      </c>
      <c r="L124" s="97" t="s">
        <v>804</v>
      </c>
      <c r="M124" s="81" t="s">
        <v>805</v>
      </c>
      <c r="N124" s="99">
        <f t="shared" ref="N124:N155" si="16">N123+(IFERROR(VALUE(LEFT(L124,FIND("분",L124)-1))*60,0)+IFERROR(VALUE(TRIM(MID(L124,IFERROR(FIND("분",L124),0)+1,IFERROR(FIND("초",L124),LEN(L124)+1)-IFERROR(FIND("분",L124),0)-1))),0))/86400</f>
        <v>0.13703703703703701</v>
      </c>
      <c r="O124" s="88" t="s">
        <v>798</v>
      </c>
      <c r="P124" s="101">
        <f t="shared" si="15"/>
        <v>599</v>
      </c>
      <c r="Q124" s="101">
        <v>6</v>
      </c>
      <c r="R124" s="105">
        <f t="shared" si="13"/>
        <v>18029.900000000001</v>
      </c>
      <c r="S124" s="93" t="s">
        <v>42</v>
      </c>
      <c r="T124" s="101" t="s">
        <v>43</v>
      </c>
      <c r="U124" s="101" t="s">
        <v>43</v>
      </c>
      <c r="V124" s="93" t="s">
        <v>43</v>
      </c>
      <c r="W124" s="115">
        <v>3.2986111111111111E-3</v>
      </c>
      <c r="X124" s="115">
        <v>2.8356481481481483E-3</v>
      </c>
      <c r="Y124" s="115">
        <v>2.4305555555555556E-3</v>
      </c>
      <c r="Z124" s="101" t="str">
        <f t="shared" si="11"/>
        <v/>
      </c>
      <c r="AA124" s="101"/>
      <c r="AB124" s="101" t="str">
        <f t="shared" si="12"/>
        <v/>
      </c>
      <c r="AC124" s="101"/>
      <c r="AD124" s="92" t="s">
        <v>1334</v>
      </c>
      <c r="AE124" s="101"/>
      <c r="AF124" s="124"/>
      <c r="AG124" s="129"/>
    </row>
    <row r="125" spans="1:33" ht="65.099999999999994" customHeight="1">
      <c r="A125" s="81" t="s">
        <v>755</v>
      </c>
      <c r="B125" s="93">
        <v>121</v>
      </c>
      <c r="C125" s="93">
        <v>6</v>
      </c>
      <c r="D125" s="93">
        <v>9</v>
      </c>
      <c r="E125" s="81" t="s">
        <v>806</v>
      </c>
      <c r="F125" s="81" t="s">
        <v>807</v>
      </c>
      <c r="G125" s="81" t="s">
        <v>808</v>
      </c>
      <c r="H125" s="81" t="s">
        <v>809</v>
      </c>
      <c r="I125" s="93">
        <v>5</v>
      </c>
      <c r="J125" s="81" t="s">
        <v>810</v>
      </c>
      <c r="K125" s="97" t="s">
        <v>811</v>
      </c>
      <c r="L125" s="97" t="s">
        <v>233</v>
      </c>
      <c r="M125" s="81" t="s">
        <v>812</v>
      </c>
      <c r="N125" s="99">
        <f t="shared" si="16"/>
        <v>0.13912037037037034</v>
      </c>
      <c r="O125" s="88" t="s">
        <v>798</v>
      </c>
      <c r="P125" s="101">
        <f t="shared" si="15"/>
        <v>607</v>
      </c>
      <c r="Q125" s="101">
        <v>8</v>
      </c>
      <c r="R125" s="105">
        <f t="shared" si="13"/>
        <v>18513.5</v>
      </c>
      <c r="S125" s="93" t="s">
        <v>397</v>
      </c>
      <c r="T125" s="101">
        <v>6</v>
      </c>
      <c r="U125" s="101">
        <v>180</v>
      </c>
      <c r="V125" s="93" t="s">
        <v>813</v>
      </c>
      <c r="W125" s="115">
        <v>3.3564814814814816E-3</v>
      </c>
      <c r="X125" s="115">
        <v>2.7199074074074074E-3</v>
      </c>
      <c r="Y125" s="115">
        <v>2.0833333333333333E-3</v>
      </c>
      <c r="Z125" s="101"/>
      <c r="AA125" s="101"/>
      <c r="AB125" s="101"/>
      <c r="AC125" s="101"/>
      <c r="AD125" s="92" t="s">
        <v>1334</v>
      </c>
      <c r="AE125" s="101"/>
      <c r="AF125" s="124"/>
      <c r="AG125" s="129"/>
    </row>
    <row r="126" spans="1:33" ht="65.099999999999994" customHeight="1">
      <c r="A126" s="88" t="s">
        <v>755</v>
      </c>
      <c r="B126" s="93">
        <v>122</v>
      </c>
      <c r="C126" s="93">
        <v>3</v>
      </c>
      <c r="D126" s="93">
        <v>8</v>
      </c>
      <c r="E126" s="88" t="s">
        <v>814</v>
      </c>
      <c r="F126" s="88" t="s">
        <v>815</v>
      </c>
      <c r="G126" s="88" t="s">
        <v>816</v>
      </c>
      <c r="H126" s="88" t="s">
        <v>817</v>
      </c>
      <c r="I126" s="93">
        <v>5</v>
      </c>
      <c r="J126" s="81" t="s">
        <v>818</v>
      </c>
      <c r="K126" s="93" t="s">
        <v>819</v>
      </c>
      <c r="L126" s="93" t="s">
        <v>463</v>
      </c>
      <c r="M126" s="88" t="s">
        <v>820</v>
      </c>
      <c r="N126" s="99">
        <f t="shared" si="16"/>
        <v>0.14143518518518516</v>
      </c>
      <c r="O126" s="88" t="s">
        <v>798</v>
      </c>
      <c r="P126" s="101">
        <f t="shared" si="15"/>
        <v>613</v>
      </c>
      <c r="Q126" s="101">
        <v>6</v>
      </c>
      <c r="R126" s="105">
        <f t="shared" si="13"/>
        <v>18880.400000000001</v>
      </c>
      <c r="S126" s="93" t="s">
        <v>42</v>
      </c>
      <c r="T126" s="101" t="s">
        <v>43</v>
      </c>
      <c r="U126" s="101" t="s">
        <v>43</v>
      </c>
      <c r="V126" s="93" t="s">
        <v>43</v>
      </c>
      <c r="W126" s="115">
        <v>3.1250000000000002E-3</v>
      </c>
      <c r="X126" s="115">
        <v>2.662037037037037E-3</v>
      </c>
      <c r="Y126" s="115">
        <v>2.3148148148148147E-3</v>
      </c>
      <c r="Z126" s="101"/>
      <c r="AA126" s="101"/>
      <c r="AB126" s="101"/>
      <c r="AC126" s="101"/>
      <c r="AD126" s="92" t="s">
        <v>1334</v>
      </c>
      <c r="AE126" s="101"/>
      <c r="AF126" s="124"/>
      <c r="AG126" s="129"/>
    </row>
    <row r="127" spans="1:33" ht="65.099999999999994" customHeight="1">
      <c r="A127" s="88" t="s">
        <v>755</v>
      </c>
      <c r="B127" s="93">
        <v>123</v>
      </c>
      <c r="C127" s="93">
        <v>5</v>
      </c>
      <c r="D127" s="93">
        <v>7</v>
      </c>
      <c r="E127" s="88" t="s">
        <v>821</v>
      </c>
      <c r="F127" s="88" t="s">
        <v>822</v>
      </c>
      <c r="G127" s="88" t="s">
        <v>823</v>
      </c>
      <c r="H127" s="88" t="s">
        <v>824</v>
      </c>
      <c r="I127" s="93">
        <v>4</v>
      </c>
      <c r="J127" s="88" t="s">
        <v>825</v>
      </c>
      <c r="K127" s="93" t="s">
        <v>826</v>
      </c>
      <c r="L127" s="93" t="s">
        <v>463</v>
      </c>
      <c r="M127" s="88" t="s">
        <v>827</v>
      </c>
      <c r="N127" s="99">
        <f t="shared" si="16"/>
        <v>0.14374999999999999</v>
      </c>
      <c r="O127" s="88" t="s">
        <v>798</v>
      </c>
      <c r="P127" s="101">
        <f t="shared" si="15"/>
        <v>620</v>
      </c>
      <c r="Q127" s="101">
        <v>7</v>
      </c>
      <c r="R127" s="105">
        <f t="shared" si="13"/>
        <v>19313</v>
      </c>
      <c r="S127" s="93" t="s">
        <v>42</v>
      </c>
      <c r="T127" s="101" t="s">
        <v>43</v>
      </c>
      <c r="U127" s="101" t="s">
        <v>43</v>
      </c>
      <c r="V127" s="93" t="s">
        <v>43</v>
      </c>
      <c r="W127" s="115">
        <v>3.7037037037037038E-3</v>
      </c>
      <c r="X127" s="115">
        <v>3.0092592592592593E-3</v>
      </c>
      <c r="Y127" s="115">
        <v>2.3148148148148147E-3</v>
      </c>
      <c r="Z127" s="101" t="str">
        <f t="shared" si="11"/>
        <v/>
      </c>
      <c r="AA127" s="101"/>
      <c r="AB127" s="101" t="str">
        <f t="shared" si="12"/>
        <v/>
      </c>
      <c r="AC127" s="101"/>
      <c r="AD127" s="151">
        <v>-0.05</v>
      </c>
      <c r="AE127" s="101"/>
      <c r="AF127" s="124"/>
      <c r="AG127" s="129"/>
    </row>
    <row r="128" spans="1:33" ht="65.099999999999994" customHeight="1">
      <c r="A128" s="88" t="s">
        <v>755</v>
      </c>
      <c r="B128" s="93">
        <v>124</v>
      </c>
      <c r="C128" s="93">
        <v>4</v>
      </c>
      <c r="D128" s="93">
        <v>7</v>
      </c>
      <c r="E128" s="88" t="s">
        <v>828</v>
      </c>
      <c r="F128" s="88" t="s">
        <v>365</v>
      </c>
      <c r="G128" s="88" t="s">
        <v>829</v>
      </c>
      <c r="H128" s="88" t="s">
        <v>367</v>
      </c>
      <c r="I128" s="93">
        <v>1</v>
      </c>
      <c r="J128" s="88" t="s">
        <v>368</v>
      </c>
      <c r="K128" s="93" t="s">
        <v>369</v>
      </c>
      <c r="L128" s="93" t="s">
        <v>159</v>
      </c>
      <c r="M128" s="88" t="s">
        <v>370</v>
      </c>
      <c r="N128" s="99">
        <f t="shared" si="16"/>
        <v>0.1449074074074074</v>
      </c>
      <c r="O128" s="88" t="s">
        <v>830</v>
      </c>
      <c r="P128" s="101">
        <f t="shared" si="15"/>
        <v>626</v>
      </c>
      <c r="Q128" s="101">
        <v>6</v>
      </c>
      <c r="R128" s="105">
        <f t="shared" si="13"/>
        <v>19687.7</v>
      </c>
      <c r="S128" s="93" t="s">
        <v>42</v>
      </c>
      <c r="T128" s="101" t="s">
        <v>43</v>
      </c>
      <c r="U128" s="101" t="s">
        <v>43</v>
      </c>
      <c r="V128" s="93" t="s">
        <v>43</v>
      </c>
      <c r="W128" s="115">
        <v>1.5625000000000001E-3</v>
      </c>
      <c r="X128" s="115">
        <v>1.3310185185185185E-3</v>
      </c>
      <c r="Y128" s="115">
        <v>1.1574074074074073E-3</v>
      </c>
      <c r="Z128" s="101"/>
      <c r="AA128" s="101"/>
      <c r="AB128" s="101"/>
      <c r="AC128" s="101"/>
      <c r="AD128" s="92" t="s">
        <v>1334</v>
      </c>
      <c r="AE128" s="101"/>
      <c r="AF128" s="124"/>
      <c r="AG128" s="129"/>
    </row>
    <row r="129" spans="1:33" ht="65.099999999999994" customHeight="1">
      <c r="A129" s="88" t="s">
        <v>755</v>
      </c>
      <c r="B129" s="93">
        <v>125</v>
      </c>
      <c r="C129" s="93">
        <v>3</v>
      </c>
      <c r="D129" s="93">
        <v>8</v>
      </c>
      <c r="E129" s="88" t="s">
        <v>831</v>
      </c>
      <c r="F129" s="88" t="s">
        <v>173</v>
      </c>
      <c r="G129" s="88" t="s">
        <v>832</v>
      </c>
      <c r="H129" s="88" t="s">
        <v>833</v>
      </c>
      <c r="I129" s="93">
        <v>6</v>
      </c>
      <c r="J129" s="88" t="s">
        <v>176</v>
      </c>
      <c r="K129" s="93" t="s">
        <v>38</v>
      </c>
      <c r="L129" s="93" t="s">
        <v>471</v>
      </c>
      <c r="M129" s="88" t="s">
        <v>177</v>
      </c>
      <c r="N129" s="99">
        <f t="shared" si="16"/>
        <v>0.14710648148148148</v>
      </c>
      <c r="O129" s="88" t="s">
        <v>830</v>
      </c>
      <c r="P129" s="101">
        <f t="shared" si="15"/>
        <v>632</v>
      </c>
      <c r="Q129" s="101">
        <v>6</v>
      </c>
      <c r="R129" s="105">
        <f t="shared" si="13"/>
        <v>20066</v>
      </c>
      <c r="S129" s="93" t="s">
        <v>42</v>
      </c>
      <c r="T129" s="101" t="s">
        <v>43</v>
      </c>
      <c r="U129" s="101" t="s">
        <v>43</v>
      </c>
      <c r="V129" s="93" t="s">
        <v>43</v>
      </c>
      <c r="W129" s="115">
        <v>3.0092592592592593E-3</v>
      </c>
      <c r="X129" s="115">
        <v>2.5462962962962965E-3</v>
      </c>
      <c r="Y129" s="115">
        <v>2.1990740740740742E-3</v>
      </c>
      <c r="Z129" s="101"/>
      <c r="AA129" s="101"/>
      <c r="AB129" s="101"/>
      <c r="AC129" s="101"/>
      <c r="AD129" s="92" t="s">
        <v>1334</v>
      </c>
      <c r="AE129" s="101"/>
      <c r="AF129" s="124"/>
      <c r="AG129" s="129"/>
    </row>
    <row r="130" spans="1:33" ht="65.099999999999994" customHeight="1">
      <c r="A130" s="88" t="s">
        <v>755</v>
      </c>
      <c r="B130" s="93">
        <v>126</v>
      </c>
      <c r="C130" s="93">
        <v>5</v>
      </c>
      <c r="D130" s="93">
        <v>9</v>
      </c>
      <c r="E130" s="88" t="s">
        <v>834</v>
      </c>
      <c r="F130" s="88" t="s">
        <v>835</v>
      </c>
      <c r="G130" s="88" t="s">
        <v>836</v>
      </c>
      <c r="H130" s="88" t="s">
        <v>837</v>
      </c>
      <c r="I130" s="93">
        <v>6</v>
      </c>
      <c r="J130" s="88" t="s">
        <v>838</v>
      </c>
      <c r="K130" s="93" t="s">
        <v>839</v>
      </c>
      <c r="L130" s="93" t="s">
        <v>170</v>
      </c>
      <c r="M130" s="88" t="s">
        <v>840</v>
      </c>
      <c r="N130" s="99">
        <f t="shared" si="16"/>
        <v>0.14884259259259258</v>
      </c>
      <c r="O130" s="88" t="s">
        <v>830</v>
      </c>
      <c r="P130" s="101">
        <f t="shared" si="15"/>
        <v>639</v>
      </c>
      <c r="Q130" s="101">
        <v>7</v>
      </c>
      <c r="R130" s="105">
        <f t="shared" si="13"/>
        <v>20511.900000000001</v>
      </c>
      <c r="S130" s="93" t="s">
        <v>42</v>
      </c>
      <c r="T130" s="101" t="s">
        <v>43</v>
      </c>
      <c r="U130" s="101" t="s">
        <v>43</v>
      </c>
      <c r="V130" s="93" t="s">
        <v>43</v>
      </c>
      <c r="W130" s="115">
        <v>2.7777777777777779E-3</v>
      </c>
      <c r="X130" s="115">
        <v>2.2569444444444442E-3</v>
      </c>
      <c r="Y130" s="115">
        <v>1.736111111111111E-3</v>
      </c>
      <c r="Z130" s="101"/>
      <c r="AA130" s="101"/>
      <c r="AB130" s="101"/>
      <c r="AC130" s="101"/>
      <c r="AD130" s="92" t="s">
        <v>1334</v>
      </c>
      <c r="AE130" s="101"/>
      <c r="AF130" s="124"/>
      <c r="AG130" s="129"/>
    </row>
    <row r="131" spans="1:33" ht="65.099999999999994" customHeight="1">
      <c r="A131" s="88" t="s">
        <v>755</v>
      </c>
      <c r="B131" s="93">
        <v>127</v>
      </c>
      <c r="C131" s="93">
        <v>6</v>
      </c>
      <c r="D131" s="93">
        <v>8</v>
      </c>
      <c r="E131" s="88" t="s">
        <v>841</v>
      </c>
      <c r="F131" s="88" t="s">
        <v>842</v>
      </c>
      <c r="G131" s="88" t="s">
        <v>843</v>
      </c>
      <c r="H131" s="88" t="s">
        <v>844</v>
      </c>
      <c r="I131" s="93">
        <v>5</v>
      </c>
      <c r="J131" s="88" t="s">
        <v>845</v>
      </c>
      <c r="K131" s="93" t="s">
        <v>846</v>
      </c>
      <c r="L131" s="93" t="s">
        <v>117</v>
      </c>
      <c r="M131" s="88" t="s">
        <v>847</v>
      </c>
      <c r="N131" s="99">
        <f t="shared" si="16"/>
        <v>0.15023148148148147</v>
      </c>
      <c r="O131" s="88" t="s">
        <v>830</v>
      </c>
      <c r="P131" s="101">
        <f t="shared" si="15"/>
        <v>647</v>
      </c>
      <c r="Q131" s="101">
        <v>8</v>
      </c>
      <c r="R131" s="105">
        <f t="shared" si="13"/>
        <v>21027.5</v>
      </c>
      <c r="S131" s="93" t="s">
        <v>42</v>
      </c>
      <c r="T131" s="101" t="s">
        <v>43</v>
      </c>
      <c r="U131" s="101" t="s">
        <v>43</v>
      </c>
      <c r="V131" s="93" t="s">
        <v>43</v>
      </c>
      <c r="W131" s="115">
        <v>2.2569444444444442E-3</v>
      </c>
      <c r="X131" s="115">
        <v>1.8518518518518519E-3</v>
      </c>
      <c r="Y131" s="115">
        <v>1.3888888888888889E-3</v>
      </c>
      <c r="Z131" s="101"/>
      <c r="AA131" s="101"/>
      <c r="AB131" s="101"/>
      <c r="AC131" s="101"/>
      <c r="AD131" s="151">
        <v>-0.05</v>
      </c>
      <c r="AE131" s="101"/>
      <c r="AF131" s="124"/>
      <c r="AG131" s="129"/>
    </row>
    <row r="132" spans="1:33" ht="65.099999999999994" customHeight="1">
      <c r="A132" s="88" t="s">
        <v>755</v>
      </c>
      <c r="B132" s="93">
        <v>128</v>
      </c>
      <c r="C132" s="93">
        <v>3</v>
      </c>
      <c r="D132" s="93">
        <v>10</v>
      </c>
      <c r="E132" s="88" t="s">
        <v>848</v>
      </c>
      <c r="F132" s="88" t="s">
        <v>849</v>
      </c>
      <c r="G132" s="88" t="s">
        <v>850</v>
      </c>
      <c r="H132" s="88" t="s">
        <v>851</v>
      </c>
      <c r="I132" s="93">
        <v>2</v>
      </c>
      <c r="J132" s="88" t="s">
        <v>852</v>
      </c>
      <c r="K132" s="93" t="s">
        <v>38</v>
      </c>
      <c r="L132" s="93" t="s">
        <v>136</v>
      </c>
      <c r="M132" s="88" t="s">
        <v>853</v>
      </c>
      <c r="N132" s="99">
        <f t="shared" si="16"/>
        <v>0.15104166666666666</v>
      </c>
      <c r="O132" s="88" t="s">
        <v>830</v>
      </c>
      <c r="P132" s="101">
        <f t="shared" si="15"/>
        <v>654</v>
      </c>
      <c r="Q132" s="101">
        <v>7</v>
      </c>
      <c r="R132" s="105">
        <f t="shared" si="13"/>
        <v>21483.9</v>
      </c>
      <c r="S132" s="93" t="s">
        <v>42</v>
      </c>
      <c r="T132" s="101" t="s">
        <v>43</v>
      </c>
      <c r="U132" s="101" t="s">
        <v>43</v>
      </c>
      <c r="V132" s="93" t="s">
        <v>43</v>
      </c>
      <c r="W132" s="115">
        <v>1.0995370370370371E-3</v>
      </c>
      <c r="X132" s="115">
        <v>9.837962962962962E-4</v>
      </c>
      <c r="Y132" s="115">
        <v>8.1018518518518516E-4</v>
      </c>
      <c r="Z132" s="101"/>
      <c r="AA132" s="101"/>
      <c r="AB132" s="101"/>
      <c r="AC132" s="101"/>
      <c r="AD132" s="92" t="s">
        <v>1334</v>
      </c>
      <c r="AE132" s="101"/>
      <c r="AF132" s="124"/>
      <c r="AG132" s="129"/>
    </row>
    <row r="133" spans="1:33" ht="65.099999999999994" customHeight="1">
      <c r="A133" s="88" t="s">
        <v>755</v>
      </c>
      <c r="B133" s="93">
        <v>129</v>
      </c>
      <c r="C133" s="93">
        <v>6</v>
      </c>
      <c r="D133" s="93">
        <v>9</v>
      </c>
      <c r="E133" s="88" t="s">
        <v>854</v>
      </c>
      <c r="F133" s="88" t="s">
        <v>855</v>
      </c>
      <c r="G133" s="88" t="s">
        <v>856</v>
      </c>
      <c r="H133" s="88" t="s">
        <v>857</v>
      </c>
      <c r="I133" s="93">
        <v>1</v>
      </c>
      <c r="J133" s="88" t="s">
        <v>858</v>
      </c>
      <c r="K133" s="93" t="s">
        <v>859</v>
      </c>
      <c r="L133" s="93" t="s">
        <v>94</v>
      </c>
      <c r="M133" s="88" t="s">
        <v>578</v>
      </c>
      <c r="N133" s="99">
        <f t="shared" si="16"/>
        <v>0.15144675925925924</v>
      </c>
      <c r="O133" s="88" t="s">
        <v>830</v>
      </c>
      <c r="P133" s="101">
        <f t="shared" si="15"/>
        <v>662</v>
      </c>
      <c r="Q133" s="101">
        <v>8</v>
      </c>
      <c r="R133" s="105">
        <f t="shared" ref="R133:R164" si="17">ROUND($Q$3*P133*P133+$R$3*P133,2)</f>
        <v>22011.5</v>
      </c>
      <c r="S133" s="93" t="s">
        <v>486</v>
      </c>
      <c r="T133" s="101">
        <v>6</v>
      </c>
      <c r="U133" s="101">
        <v>35</v>
      </c>
      <c r="V133" s="93" t="s">
        <v>860</v>
      </c>
      <c r="W133" s="115">
        <v>6.9444444444444447E-4</v>
      </c>
      <c r="X133" s="115">
        <v>5.7870370370370367E-4</v>
      </c>
      <c r="Y133" s="115">
        <v>4.0509259259259258E-4</v>
      </c>
      <c r="Z133" s="101"/>
      <c r="AA133" s="101"/>
      <c r="AB133" s="101"/>
      <c r="AC133" s="101"/>
      <c r="AD133" s="92" t="s">
        <v>1334</v>
      </c>
      <c r="AE133" s="101"/>
      <c r="AF133" s="124"/>
      <c r="AG133" s="129"/>
    </row>
    <row r="134" spans="1:33" ht="65.099999999999994" customHeight="1">
      <c r="A134" s="88" t="s">
        <v>755</v>
      </c>
      <c r="B134" s="93">
        <v>130</v>
      </c>
      <c r="C134" s="93">
        <v>6</v>
      </c>
      <c r="D134" s="93">
        <v>7</v>
      </c>
      <c r="E134" s="88" t="s">
        <v>861</v>
      </c>
      <c r="F134" s="88" t="s">
        <v>822</v>
      </c>
      <c r="G134" s="88" t="s">
        <v>862</v>
      </c>
      <c r="H134" s="88" t="s">
        <v>863</v>
      </c>
      <c r="I134" s="93">
        <v>5</v>
      </c>
      <c r="J134" s="88" t="s">
        <v>825</v>
      </c>
      <c r="K134" s="93" t="s">
        <v>826</v>
      </c>
      <c r="L134" s="93" t="s">
        <v>623</v>
      </c>
      <c r="M134" s="88" t="s">
        <v>827</v>
      </c>
      <c r="N134" s="99">
        <f t="shared" si="16"/>
        <v>0.15422453703703701</v>
      </c>
      <c r="O134" s="88" t="s">
        <v>830</v>
      </c>
      <c r="P134" s="101">
        <f t="shared" ref="P134:P165" si="18">P133+Q134</f>
        <v>669</v>
      </c>
      <c r="Q134" s="101">
        <v>7</v>
      </c>
      <c r="R134" s="105">
        <f t="shared" si="17"/>
        <v>22478.400000000001</v>
      </c>
      <c r="S134" s="93" t="s">
        <v>42</v>
      </c>
      <c r="T134" s="101" t="s">
        <v>43</v>
      </c>
      <c r="U134" s="101" t="s">
        <v>43</v>
      </c>
      <c r="V134" s="93" t="s">
        <v>43</v>
      </c>
      <c r="W134" s="115">
        <v>4.4560185185185189E-3</v>
      </c>
      <c r="X134" s="115">
        <v>3.6458333333333334E-3</v>
      </c>
      <c r="Y134" s="115">
        <v>2.7777777777777779E-3</v>
      </c>
      <c r="Z134" s="101"/>
      <c r="AA134" s="101"/>
      <c r="AB134" s="101"/>
      <c r="AC134" s="101"/>
      <c r="AD134" s="92" t="s">
        <v>1334</v>
      </c>
      <c r="AE134" s="100"/>
      <c r="AF134" s="126"/>
      <c r="AG134" s="129"/>
    </row>
    <row r="135" spans="1:33" ht="65.099999999999994" customHeight="1">
      <c r="A135" s="88" t="s">
        <v>755</v>
      </c>
      <c r="B135" s="93">
        <v>131</v>
      </c>
      <c r="C135" s="93">
        <v>4</v>
      </c>
      <c r="D135" s="93">
        <v>7</v>
      </c>
      <c r="E135" s="88" t="s">
        <v>864</v>
      </c>
      <c r="F135" s="88" t="s">
        <v>865</v>
      </c>
      <c r="G135" s="88" t="s">
        <v>866</v>
      </c>
      <c r="H135" s="88" t="s">
        <v>867</v>
      </c>
      <c r="I135" s="93">
        <v>5</v>
      </c>
      <c r="J135" s="88" t="s">
        <v>868</v>
      </c>
      <c r="K135" s="93" t="s">
        <v>869</v>
      </c>
      <c r="L135" s="93" t="s">
        <v>804</v>
      </c>
      <c r="M135" s="88" t="s">
        <v>870</v>
      </c>
      <c r="N135" s="99">
        <f t="shared" si="16"/>
        <v>0.15665509259259255</v>
      </c>
      <c r="O135" s="88" t="s">
        <v>830</v>
      </c>
      <c r="P135" s="101">
        <f t="shared" si="18"/>
        <v>675</v>
      </c>
      <c r="Q135" s="101">
        <v>6</v>
      </c>
      <c r="R135" s="105">
        <f t="shared" si="17"/>
        <v>22882.5</v>
      </c>
      <c r="S135" s="93" t="s">
        <v>42</v>
      </c>
      <c r="T135" s="101" t="s">
        <v>43</v>
      </c>
      <c r="U135" s="101" t="s">
        <v>43</v>
      </c>
      <c r="V135" s="93" t="s">
        <v>43</v>
      </c>
      <c r="W135" s="115">
        <v>3.2986111111111111E-3</v>
      </c>
      <c r="X135" s="115">
        <v>2.8356481481481483E-3</v>
      </c>
      <c r="Y135" s="115">
        <v>2.4305555555555556E-3</v>
      </c>
      <c r="Z135" s="101"/>
      <c r="AA135" s="101"/>
      <c r="AB135" s="101"/>
      <c r="AC135" s="101"/>
      <c r="AD135" s="151">
        <v>-0.05</v>
      </c>
      <c r="AE135" s="101"/>
      <c r="AF135" s="124"/>
      <c r="AG135" s="129"/>
    </row>
    <row r="136" spans="1:33" ht="65.099999999999994" customHeight="1">
      <c r="A136" s="88" t="s">
        <v>755</v>
      </c>
      <c r="B136" s="93">
        <v>132</v>
      </c>
      <c r="C136" s="93">
        <v>4</v>
      </c>
      <c r="D136" s="93">
        <v>7</v>
      </c>
      <c r="E136" s="88" t="s">
        <v>871</v>
      </c>
      <c r="F136" s="88" t="s">
        <v>365</v>
      </c>
      <c r="G136" s="88" t="s">
        <v>872</v>
      </c>
      <c r="H136" s="88" t="s">
        <v>873</v>
      </c>
      <c r="I136" s="93">
        <v>1</v>
      </c>
      <c r="J136" s="88" t="s">
        <v>368</v>
      </c>
      <c r="K136" s="93" t="s">
        <v>369</v>
      </c>
      <c r="L136" s="93" t="s">
        <v>105</v>
      </c>
      <c r="M136" s="88" t="s">
        <v>370</v>
      </c>
      <c r="N136" s="99">
        <f t="shared" si="16"/>
        <v>0.15792824074074069</v>
      </c>
      <c r="O136" s="88" t="s">
        <v>874</v>
      </c>
      <c r="P136" s="101">
        <f t="shared" si="18"/>
        <v>681</v>
      </c>
      <c r="Q136" s="101">
        <v>6</v>
      </c>
      <c r="R136" s="105">
        <f t="shared" si="17"/>
        <v>23290.2</v>
      </c>
      <c r="S136" s="93" t="s">
        <v>42</v>
      </c>
      <c r="T136" s="101" t="s">
        <v>43</v>
      </c>
      <c r="U136" s="101" t="s">
        <v>43</v>
      </c>
      <c r="V136" s="93" t="s">
        <v>43</v>
      </c>
      <c r="W136" s="115">
        <v>1.736111111111111E-3</v>
      </c>
      <c r="X136" s="115">
        <v>1.5046296296296296E-3</v>
      </c>
      <c r="Y136" s="115">
        <v>1.2731481481481483E-3</v>
      </c>
      <c r="Z136" s="101"/>
      <c r="AA136" s="101"/>
      <c r="AB136" s="101"/>
      <c r="AC136" s="101"/>
      <c r="AD136" s="92" t="s">
        <v>1334</v>
      </c>
      <c r="AE136" s="101"/>
      <c r="AF136" s="124"/>
      <c r="AG136" s="129"/>
    </row>
    <row r="137" spans="1:33" ht="65.099999999999994" customHeight="1">
      <c r="A137" s="88" t="s">
        <v>755</v>
      </c>
      <c r="B137" s="93">
        <v>133</v>
      </c>
      <c r="C137" s="93">
        <v>5</v>
      </c>
      <c r="D137" s="93">
        <v>7</v>
      </c>
      <c r="E137" s="88" t="s">
        <v>875</v>
      </c>
      <c r="F137" s="88" t="s">
        <v>876</v>
      </c>
      <c r="G137" s="88" t="s">
        <v>877</v>
      </c>
      <c r="H137" s="88" t="s">
        <v>878</v>
      </c>
      <c r="I137" s="93">
        <v>4</v>
      </c>
      <c r="J137" s="88" t="s">
        <v>879</v>
      </c>
      <c r="K137" s="93" t="s">
        <v>880</v>
      </c>
      <c r="L137" s="93" t="s">
        <v>471</v>
      </c>
      <c r="M137" s="88" t="s">
        <v>881</v>
      </c>
      <c r="N137" s="99">
        <f t="shared" si="16"/>
        <v>0.16012731481481476</v>
      </c>
      <c r="O137" s="88" t="s">
        <v>874</v>
      </c>
      <c r="P137" s="101">
        <f t="shared" si="18"/>
        <v>688</v>
      </c>
      <c r="Q137" s="101">
        <v>7</v>
      </c>
      <c r="R137" s="105">
        <f t="shared" si="17"/>
        <v>23770.400000000001</v>
      </c>
      <c r="S137" s="93" t="s">
        <v>42</v>
      </c>
      <c r="T137" s="101" t="s">
        <v>43</v>
      </c>
      <c r="U137" s="101" t="s">
        <v>43</v>
      </c>
      <c r="V137" s="93" t="s">
        <v>43</v>
      </c>
      <c r="W137" s="115">
        <v>3.5300925925925925E-3</v>
      </c>
      <c r="X137" s="115">
        <v>2.8935185185185184E-3</v>
      </c>
      <c r="Y137" s="115">
        <v>2.1990740740740742E-3</v>
      </c>
      <c r="Z137" s="101"/>
      <c r="AA137" s="101"/>
      <c r="AB137" s="101"/>
      <c r="AC137" s="101"/>
      <c r="AD137" s="92" t="s">
        <v>1334</v>
      </c>
      <c r="AE137" s="101"/>
      <c r="AF137" s="124"/>
      <c r="AG137" s="129"/>
    </row>
    <row r="138" spans="1:33" ht="65.099999999999994" customHeight="1">
      <c r="A138" s="88" t="s">
        <v>755</v>
      </c>
      <c r="B138" s="93">
        <v>134</v>
      </c>
      <c r="C138" s="93">
        <v>4</v>
      </c>
      <c r="D138" s="93">
        <v>7</v>
      </c>
      <c r="E138" s="88" t="s">
        <v>882</v>
      </c>
      <c r="F138" s="88" t="s">
        <v>85</v>
      </c>
      <c r="G138" s="88" t="s">
        <v>883</v>
      </c>
      <c r="H138" s="88" t="s">
        <v>884</v>
      </c>
      <c r="I138" s="93">
        <v>6</v>
      </c>
      <c r="J138" s="88" t="s">
        <v>885</v>
      </c>
      <c r="K138" s="93" t="s">
        <v>38</v>
      </c>
      <c r="L138" s="93" t="s">
        <v>804</v>
      </c>
      <c r="M138" s="88" t="s">
        <v>89</v>
      </c>
      <c r="N138" s="99">
        <f t="shared" si="16"/>
        <v>0.16255787037037031</v>
      </c>
      <c r="O138" s="88" t="s">
        <v>874</v>
      </c>
      <c r="P138" s="101">
        <f t="shared" si="18"/>
        <v>694</v>
      </c>
      <c r="Q138" s="101">
        <v>6</v>
      </c>
      <c r="R138" s="105">
        <f t="shared" si="17"/>
        <v>24185.9</v>
      </c>
      <c r="S138" s="93" t="s">
        <v>42</v>
      </c>
      <c r="T138" s="101" t="s">
        <v>43</v>
      </c>
      <c r="U138" s="101" t="s">
        <v>43</v>
      </c>
      <c r="V138" s="93" t="s">
        <v>43</v>
      </c>
      <c r="W138" s="115">
        <v>3.2986111111111111E-3</v>
      </c>
      <c r="X138" s="115">
        <v>2.8356481481481483E-3</v>
      </c>
      <c r="Y138" s="115">
        <v>2.4305555555555556E-3</v>
      </c>
      <c r="Z138" s="101"/>
      <c r="AA138" s="101"/>
      <c r="AB138" s="101"/>
      <c r="AC138" s="101"/>
      <c r="AD138" s="92" t="s">
        <v>1334</v>
      </c>
      <c r="AE138" s="101"/>
      <c r="AF138" s="124"/>
      <c r="AG138" s="129"/>
    </row>
    <row r="139" spans="1:33" ht="65.099999999999994" customHeight="1">
      <c r="A139" s="88" t="s">
        <v>755</v>
      </c>
      <c r="B139" s="93">
        <v>135</v>
      </c>
      <c r="C139" s="93">
        <v>2</v>
      </c>
      <c r="D139" s="93">
        <v>8</v>
      </c>
      <c r="E139" s="88" t="s">
        <v>886</v>
      </c>
      <c r="F139" s="88" t="s">
        <v>785</v>
      </c>
      <c r="G139" s="88" t="s">
        <v>887</v>
      </c>
      <c r="H139" s="88" t="s">
        <v>888</v>
      </c>
      <c r="I139" s="93">
        <v>2</v>
      </c>
      <c r="J139" s="88" t="s">
        <v>788</v>
      </c>
      <c r="K139" s="93" t="s">
        <v>789</v>
      </c>
      <c r="L139" s="93" t="s">
        <v>121</v>
      </c>
      <c r="M139" s="88" t="s">
        <v>790</v>
      </c>
      <c r="N139" s="99">
        <f t="shared" si="16"/>
        <v>0.16348379629629622</v>
      </c>
      <c r="O139" s="88" t="s">
        <v>874</v>
      </c>
      <c r="P139" s="101">
        <f t="shared" si="18"/>
        <v>699</v>
      </c>
      <c r="Q139" s="101">
        <v>5</v>
      </c>
      <c r="R139" s="105">
        <f t="shared" si="17"/>
        <v>24534.9</v>
      </c>
      <c r="S139" s="93" t="s">
        <v>42</v>
      </c>
      <c r="T139" s="101" t="s">
        <v>43</v>
      </c>
      <c r="U139" s="101" t="s">
        <v>43</v>
      </c>
      <c r="V139" s="93" t="s">
        <v>43</v>
      </c>
      <c r="W139" s="115">
        <v>1.0995370370370371E-3</v>
      </c>
      <c r="X139" s="115">
        <v>9.837962962962962E-4</v>
      </c>
      <c r="Y139" s="115">
        <v>9.2592592592592596E-4</v>
      </c>
      <c r="Z139" s="101"/>
      <c r="AA139" s="101"/>
      <c r="AB139" s="101"/>
      <c r="AC139" s="101"/>
      <c r="AD139" s="92" t="s">
        <v>1334</v>
      </c>
      <c r="AE139" s="101"/>
      <c r="AF139" s="124"/>
      <c r="AG139" s="129"/>
    </row>
    <row r="140" spans="1:33" ht="65.099999999999994" customHeight="1">
      <c r="A140" s="88" t="s">
        <v>755</v>
      </c>
      <c r="B140" s="93">
        <v>136</v>
      </c>
      <c r="C140" s="93">
        <v>4</v>
      </c>
      <c r="D140" s="93">
        <v>10</v>
      </c>
      <c r="E140" s="88" t="s">
        <v>889</v>
      </c>
      <c r="F140" s="88" t="s">
        <v>890</v>
      </c>
      <c r="G140" s="88" t="s">
        <v>891</v>
      </c>
      <c r="H140" s="88" t="s">
        <v>892</v>
      </c>
      <c r="I140" s="93">
        <v>5</v>
      </c>
      <c r="J140" s="88" t="s">
        <v>893</v>
      </c>
      <c r="K140" s="93" t="s">
        <v>894</v>
      </c>
      <c r="L140" s="93" t="s">
        <v>56</v>
      </c>
      <c r="M140" s="88" t="s">
        <v>895</v>
      </c>
      <c r="N140" s="99">
        <f t="shared" si="16"/>
        <v>0.16417824074074067</v>
      </c>
      <c r="O140" s="88" t="s">
        <v>896</v>
      </c>
      <c r="P140" s="101">
        <f t="shared" si="18"/>
        <v>706</v>
      </c>
      <c r="Q140" s="101">
        <v>7</v>
      </c>
      <c r="R140" s="105">
        <f t="shared" si="17"/>
        <v>25027.7</v>
      </c>
      <c r="S140" s="93" t="s">
        <v>42</v>
      </c>
      <c r="T140" s="101" t="s">
        <v>43</v>
      </c>
      <c r="U140" s="101" t="s">
        <v>43</v>
      </c>
      <c r="V140" s="93" t="s">
        <v>43</v>
      </c>
      <c r="W140" s="115">
        <v>9.837962962962962E-4</v>
      </c>
      <c r="X140" s="115">
        <v>8.1018518518518516E-4</v>
      </c>
      <c r="Y140" s="115">
        <v>6.9444444444444447E-4</v>
      </c>
      <c r="Z140" s="101" t="str">
        <f t="shared" si="11"/>
        <v/>
      </c>
      <c r="AA140" s="101"/>
      <c r="AB140" s="101" t="str">
        <f t="shared" si="12"/>
        <v/>
      </c>
      <c r="AC140" s="101"/>
      <c r="AD140" s="92" t="s">
        <v>1334</v>
      </c>
      <c r="AE140" s="101"/>
      <c r="AF140" s="124"/>
      <c r="AG140" s="129"/>
    </row>
    <row r="141" spans="1:33" ht="65.099999999999994" customHeight="1">
      <c r="A141" s="88" t="s">
        <v>755</v>
      </c>
      <c r="B141" s="93">
        <v>137</v>
      </c>
      <c r="C141" s="93">
        <v>5</v>
      </c>
      <c r="D141" s="93">
        <v>9</v>
      </c>
      <c r="E141" s="88" t="s">
        <v>897</v>
      </c>
      <c r="F141" s="88" t="s">
        <v>898</v>
      </c>
      <c r="G141" s="88" t="s">
        <v>899</v>
      </c>
      <c r="H141" s="88" t="s">
        <v>900</v>
      </c>
      <c r="I141" s="93">
        <v>3</v>
      </c>
      <c r="J141" s="88" t="s">
        <v>901</v>
      </c>
      <c r="K141" s="93" t="s">
        <v>902</v>
      </c>
      <c r="L141" s="93" t="s">
        <v>159</v>
      </c>
      <c r="M141" s="88" t="s">
        <v>903</v>
      </c>
      <c r="N141" s="99">
        <f t="shared" si="16"/>
        <v>0.16533564814814808</v>
      </c>
      <c r="O141" s="88" t="s">
        <v>896</v>
      </c>
      <c r="P141" s="101">
        <f t="shared" si="18"/>
        <v>713</v>
      </c>
      <c r="Q141" s="101">
        <v>7</v>
      </c>
      <c r="R141" s="105">
        <f t="shared" si="17"/>
        <v>25525.4</v>
      </c>
      <c r="S141" s="93" t="s">
        <v>42</v>
      </c>
      <c r="T141" s="101" t="s">
        <v>43</v>
      </c>
      <c r="U141" s="101" t="s">
        <v>43</v>
      </c>
      <c r="V141" s="93" t="s">
        <v>43</v>
      </c>
      <c r="W141" s="115">
        <v>1.8518518518518519E-3</v>
      </c>
      <c r="X141" s="115">
        <v>1.5046296296296296E-3</v>
      </c>
      <c r="Y141" s="115">
        <v>1.1574074074074073E-3</v>
      </c>
      <c r="Z141" s="101"/>
      <c r="AA141" s="101"/>
      <c r="AB141" s="101"/>
      <c r="AC141" s="101"/>
      <c r="AD141" s="92" t="s">
        <v>1334</v>
      </c>
      <c r="AE141" s="101"/>
      <c r="AF141" s="124"/>
      <c r="AG141" s="129"/>
    </row>
    <row r="142" spans="1:33" ht="65.099999999999994" customHeight="1">
      <c r="A142" s="88" t="s">
        <v>755</v>
      </c>
      <c r="B142" s="130">
        <v>138</v>
      </c>
      <c r="C142" s="130">
        <v>8</v>
      </c>
      <c r="D142" s="130">
        <v>10</v>
      </c>
      <c r="E142" s="138" t="s">
        <v>904</v>
      </c>
      <c r="F142" s="139" t="s">
        <v>905</v>
      </c>
      <c r="G142" s="139" t="s">
        <v>906</v>
      </c>
      <c r="H142" s="139" t="s">
        <v>907</v>
      </c>
      <c r="I142" s="130">
        <v>3</v>
      </c>
      <c r="J142" s="139" t="s">
        <v>908</v>
      </c>
      <c r="K142" s="130" t="s">
        <v>1336</v>
      </c>
      <c r="L142" s="130" t="s">
        <v>117</v>
      </c>
      <c r="M142" s="139" t="s">
        <v>909</v>
      </c>
      <c r="N142" s="134">
        <f t="shared" si="16"/>
        <v>0.16672453703703696</v>
      </c>
      <c r="O142" s="138" t="s">
        <v>896</v>
      </c>
      <c r="P142" s="121">
        <f t="shared" si="18"/>
        <v>724</v>
      </c>
      <c r="Q142" s="121">
        <v>11</v>
      </c>
      <c r="R142" s="135">
        <f t="shared" si="17"/>
        <v>26317.4</v>
      </c>
      <c r="S142" s="136" t="s">
        <v>1305</v>
      </c>
      <c r="T142" s="121">
        <v>8</v>
      </c>
      <c r="U142" s="121">
        <v>120</v>
      </c>
      <c r="V142" s="136" t="s">
        <v>910</v>
      </c>
      <c r="W142" s="137">
        <v>1.3020833333333334E-2</v>
      </c>
      <c r="X142" s="137">
        <v>9.4907407407407406E-3</v>
      </c>
      <c r="Y142" s="137">
        <v>5.9027777777777776E-3</v>
      </c>
      <c r="Z142" s="121" t="str">
        <f t="shared" si="11"/>
        <v/>
      </c>
      <c r="AA142" s="121">
        <v>1</v>
      </c>
      <c r="AB142" s="121" t="str">
        <f t="shared" si="12"/>
        <v/>
      </c>
      <c r="AC142" s="121">
        <v>210</v>
      </c>
      <c r="AD142" s="136"/>
      <c r="AE142" s="122"/>
      <c r="AF142" s="127" t="s">
        <v>1313</v>
      </c>
      <c r="AG142" s="129"/>
    </row>
    <row r="143" spans="1:33" ht="65.099999999999994" customHeight="1">
      <c r="A143" s="88" t="s">
        <v>755</v>
      </c>
      <c r="B143" s="93">
        <v>139</v>
      </c>
      <c r="C143" s="93">
        <v>8</v>
      </c>
      <c r="D143" s="93">
        <v>10</v>
      </c>
      <c r="E143" s="88" t="s">
        <v>911</v>
      </c>
      <c r="F143" s="88" t="s">
        <v>912</v>
      </c>
      <c r="G143" s="88" t="s">
        <v>913</v>
      </c>
      <c r="H143" s="88" t="s">
        <v>914</v>
      </c>
      <c r="I143" s="93">
        <v>3</v>
      </c>
      <c r="J143" s="88" t="s">
        <v>915</v>
      </c>
      <c r="K143" s="93" t="s">
        <v>916</v>
      </c>
      <c r="L143" s="93" t="s">
        <v>39</v>
      </c>
      <c r="M143" s="88" t="s">
        <v>917</v>
      </c>
      <c r="N143" s="99">
        <f t="shared" si="16"/>
        <v>0.16776620370370363</v>
      </c>
      <c r="O143" s="88" t="s">
        <v>896</v>
      </c>
      <c r="P143" s="101">
        <f t="shared" si="18"/>
        <v>735</v>
      </c>
      <c r="Q143" s="101">
        <v>11</v>
      </c>
      <c r="R143" s="105">
        <f t="shared" si="17"/>
        <v>27121.5</v>
      </c>
      <c r="S143" s="93" t="s">
        <v>1305</v>
      </c>
      <c r="T143" s="101">
        <v>8</v>
      </c>
      <c r="U143" s="101">
        <v>90</v>
      </c>
      <c r="V143" s="93" t="s">
        <v>918</v>
      </c>
      <c r="W143" s="115"/>
      <c r="X143" s="115"/>
      <c r="Y143" s="115"/>
      <c r="Z143" s="101"/>
      <c r="AA143" s="101"/>
      <c r="AB143" s="101"/>
      <c r="AC143" s="101"/>
      <c r="AD143" s="93"/>
      <c r="AE143" s="101"/>
      <c r="AF143" s="124"/>
      <c r="AG143" s="129"/>
    </row>
    <row r="144" spans="1:33" ht="65.099999999999994" customHeight="1">
      <c r="A144" s="88" t="s">
        <v>755</v>
      </c>
      <c r="B144" s="93">
        <v>140</v>
      </c>
      <c r="C144" s="93">
        <v>8</v>
      </c>
      <c r="D144" s="93">
        <v>10</v>
      </c>
      <c r="E144" s="88" t="s">
        <v>919</v>
      </c>
      <c r="F144" s="88" t="s">
        <v>920</v>
      </c>
      <c r="G144" s="88" t="s">
        <v>921</v>
      </c>
      <c r="H144" s="88" t="s">
        <v>922</v>
      </c>
      <c r="I144" s="93">
        <v>3</v>
      </c>
      <c r="J144" s="88" t="s">
        <v>923</v>
      </c>
      <c r="K144" s="93" t="s">
        <v>924</v>
      </c>
      <c r="L144" s="93" t="s">
        <v>56</v>
      </c>
      <c r="M144" s="88" t="s">
        <v>925</v>
      </c>
      <c r="N144" s="99">
        <f t="shared" si="16"/>
        <v>0.16846064814814807</v>
      </c>
      <c r="O144" s="88" t="s">
        <v>896</v>
      </c>
      <c r="P144" s="101">
        <f t="shared" si="18"/>
        <v>746</v>
      </c>
      <c r="Q144" s="101">
        <v>11</v>
      </c>
      <c r="R144" s="105">
        <f t="shared" si="17"/>
        <v>27937.7</v>
      </c>
      <c r="S144" s="93" t="s">
        <v>1305</v>
      </c>
      <c r="T144" s="101">
        <v>8</v>
      </c>
      <c r="U144" s="101">
        <v>60</v>
      </c>
      <c r="V144" s="93" t="s">
        <v>926</v>
      </c>
      <c r="W144" s="115"/>
      <c r="X144" s="115"/>
      <c r="Y144" s="115"/>
      <c r="Z144" s="101"/>
      <c r="AA144" s="101"/>
      <c r="AB144" s="101"/>
      <c r="AC144" s="101"/>
      <c r="AD144" s="151">
        <v>-0.1</v>
      </c>
      <c r="AE144" s="101"/>
      <c r="AF144" s="124"/>
      <c r="AG144" s="129"/>
    </row>
    <row r="145" spans="1:33" ht="65.099999999999994" customHeight="1">
      <c r="A145" s="88" t="s">
        <v>755</v>
      </c>
      <c r="B145" s="130">
        <v>141</v>
      </c>
      <c r="C145" s="130">
        <v>9</v>
      </c>
      <c r="D145" s="130">
        <v>10</v>
      </c>
      <c r="E145" s="139" t="s">
        <v>927</v>
      </c>
      <c r="F145" s="139" t="s">
        <v>928</v>
      </c>
      <c r="G145" s="139" t="s">
        <v>929</v>
      </c>
      <c r="H145" s="139" t="s">
        <v>930</v>
      </c>
      <c r="I145" s="130">
        <v>6</v>
      </c>
      <c r="J145" s="139" t="s">
        <v>931</v>
      </c>
      <c r="K145" s="130" t="s">
        <v>1337</v>
      </c>
      <c r="L145" s="130" t="s">
        <v>233</v>
      </c>
      <c r="M145" s="139" t="s">
        <v>932</v>
      </c>
      <c r="N145" s="134">
        <f t="shared" si="16"/>
        <v>0.17054398148148139</v>
      </c>
      <c r="O145" s="139" t="s">
        <v>896</v>
      </c>
      <c r="P145" s="122">
        <f t="shared" si="18"/>
        <v>757</v>
      </c>
      <c r="Q145" s="122">
        <v>11</v>
      </c>
      <c r="R145" s="140">
        <f t="shared" si="17"/>
        <v>28766</v>
      </c>
      <c r="S145" s="130" t="s">
        <v>1305</v>
      </c>
      <c r="T145" s="122">
        <v>9</v>
      </c>
      <c r="U145" s="122">
        <v>180</v>
      </c>
      <c r="V145" s="130" t="s">
        <v>933</v>
      </c>
      <c r="W145" s="141"/>
      <c r="X145" s="141"/>
      <c r="Y145" s="141"/>
      <c r="Z145" s="122"/>
      <c r="AA145" s="122"/>
      <c r="AB145" s="122"/>
      <c r="AC145" s="122"/>
      <c r="AD145" s="130"/>
      <c r="AE145" s="122" t="s">
        <v>1319</v>
      </c>
      <c r="AF145" s="127" t="s">
        <v>1314</v>
      </c>
      <c r="AG145" s="129"/>
    </row>
    <row r="146" spans="1:33" ht="65.099999999999994" customHeight="1">
      <c r="A146" s="88" t="s">
        <v>755</v>
      </c>
      <c r="B146" s="93">
        <v>142</v>
      </c>
      <c r="C146" s="93">
        <v>10</v>
      </c>
      <c r="D146" s="93">
        <v>10</v>
      </c>
      <c r="E146" s="88" t="s">
        <v>934</v>
      </c>
      <c r="F146" s="88" t="s">
        <v>935</v>
      </c>
      <c r="G146" s="88" t="s">
        <v>936</v>
      </c>
      <c r="H146" s="88" t="s">
        <v>937</v>
      </c>
      <c r="I146" s="93">
        <v>6</v>
      </c>
      <c r="J146" s="88" t="s">
        <v>938</v>
      </c>
      <c r="K146" s="93" t="s">
        <v>939</v>
      </c>
      <c r="L146" s="93" t="s">
        <v>56</v>
      </c>
      <c r="M146" s="88" t="s">
        <v>940</v>
      </c>
      <c r="N146" s="99">
        <f t="shared" si="16"/>
        <v>0.17123842592592584</v>
      </c>
      <c r="O146" s="88" t="s">
        <v>896</v>
      </c>
      <c r="P146" s="101">
        <f t="shared" si="18"/>
        <v>769</v>
      </c>
      <c r="Q146" s="101">
        <v>12</v>
      </c>
      <c r="R146" s="105">
        <f t="shared" si="17"/>
        <v>29683.4</v>
      </c>
      <c r="S146" s="93" t="s">
        <v>1305</v>
      </c>
      <c r="T146" s="101">
        <v>9</v>
      </c>
      <c r="U146" s="101">
        <v>60</v>
      </c>
      <c r="V146" s="93" t="s">
        <v>941</v>
      </c>
      <c r="W146" s="115"/>
      <c r="X146" s="115"/>
      <c r="Y146" s="115"/>
      <c r="Z146" s="101"/>
      <c r="AA146" s="101"/>
      <c r="AB146" s="101"/>
      <c r="AC146" s="101"/>
      <c r="AD146" s="151">
        <v>-0.1</v>
      </c>
      <c r="AE146" s="101"/>
      <c r="AF146" s="124"/>
      <c r="AG146" s="129"/>
    </row>
    <row r="147" spans="1:33" ht="65.099999999999994" customHeight="1">
      <c r="A147" s="88" t="s">
        <v>755</v>
      </c>
      <c r="B147" s="93">
        <v>143</v>
      </c>
      <c r="C147" s="93">
        <v>7</v>
      </c>
      <c r="D147" s="93">
        <v>10</v>
      </c>
      <c r="E147" s="88" t="s">
        <v>942</v>
      </c>
      <c r="F147" s="88" t="s">
        <v>943</v>
      </c>
      <c r="G147" s="88" t="s">
        <v>944</v>
      </c>
      <c r="H147" s="88" t="s">
        <v>945</v>
      </c>
      <c r="I147" s="93">
        <v>5</v>
      </c>
      <c r="J147" s="88" t="s">
        <v>946</v>
      </c>
      <c r="K147" s="93" t="s">
        <v>947</v>
      </c>
      <c r="L147" s="93" t="s">
        <v>250</v>
      </c>
      <c r="M147" s="88" t="s">
        <v>948</v>
      </c>
      <c r="N147" s="99">
        <f t="shared" si="16"/>
        <v>0.17285879629629622</v>
      </c>
      <c r="O147" s="88" t="s">
        <v>896</v>
      </c>
      <c r="P147" s="101">
        <f t="shared" si="18"/>
        <v>779</v>
      </c>
      <c r="Q147" s="101">
        <v>10</v>
      </c>
      <c r="R147" s="105">
        <f t="shared" si="17"/>
        <v>30458.9</v>
      </c>
      <c r="S147" s="93" t="s">
        <v>42</v>
      </c>
      <c r="T147" s="101" t="s">
        <v>43</v>
      </c>
      <c r="U147" s="101" t="s">
        <v>43</v>
      </c>
      <c r="V147" s="93" t="s">
        <v>43</v>
      </c>
      <c r="W147" s="115">
        <v>3.1250000000000002E-3</v>
      </c>
      <c r="X147" s="115">
        <v>2.3726851851851851E-3</v>
      </c>
      <c r="Y147" s="115">
        <v>1.6203703703703703E-3</v>
      </c>
      <c r="Z147" s="101"/>
      <c r="AA147" s="101"/>
      <c r="AB147" s="101"/>
      <c r="AC147" s="101"/>
      <c r="AD147" s="93"/>
      <c r="AE147" s="101"/>
      <c r="AF147" s="124"/>
      <c r="AG147" s="129"/>
    </row>
    <row r="148" spans="1:33" ht="65.099999999999994" customHeight="1">
      <c r="A148" s="88" t="s">
        <v>755</v>
      </c>
      <c r="B148" s="93">
        <v>144</v>
      </c>
      <c r="C148" s="93">
        <v>1</v>
      </c>
      <c r="D148" s="93">
        <v>10</v>
      </c>
      <c r="E148" s="88" t="s">
        <v>949</v>
      </c>
      <c r="F148" s="88" t="s">
        <v>950</v>
      </c>
      <c r="G148" s="88" t="s">
        <v>951</v>
      </c>
      <c r="H148" s="88" t="s">
        <v>952</v>
      </c>
      <c r="I148" s="93">
        <v>1</v>
      </c>
      <c r="J148" s="88" t="s">
        <v>953</v>
      </c>
      <c r="K148" s="93" t="s">
        <v>954</v>
      </c>
      <c r="L148" s="93" t="s">
        <v>39</v>
      </c>
      <c r="M148" s="88" t="s">
        <v>955</v>
      </c>
      <c r="N148" s="99">
        <f t="shared" si="16"/>
        <v>0.17390046296296288</v>
      </c>
      <c r="O148" s="88" t="s">
        <v>896</v>
      </c>
      <c r="P148" s="101">
        <f t="shared" si="18"/>
        <v>784</v>
      </c>
      <c r="Q148" s="101">
        <v>5</v>
      </c>
      <c r="R148" s="105">
        <f t="shared" si="17"/>
        <v>30850.400000000001</v>
      </c>
      <c r="S148" s="93" t="s">
        <v>42</v>
      </c>
      <c r="T148" s="101" t="s">
        <v>43</v>
      </c>
      <c r="U148" s="101" t="s">
        <v>43</v>
      </c>
      <c r="V148" s="93" t="s">
        <v>43</v>
      </c>
      <c r="W148" s="115">
        <v>1.2152777777777778E-3</v>
      </c>
      <c r="X148" s="115">
        <v>1.0995370370370371E-3</v>
      </c>
      <c r="Y148" s="115">
        <v>1.0416666666666667E-3</v>
      </c>
      <c r="Z148" s="101"/>
      <c r="AA148" s="101"/>
      <c r="AB148" s="101"/>
      <c r="AC148" s="101"/>
      <c r="AD148" s="93"/>
      <c r="AE148" s="101"/>
      <c r="AF148" s="124"/>
      <c r="AG148" s="129"/>
    </row>
    <row r="149" spans="1:33" ht="65.099999999999994" customHeight="1">
      <c r="A149" s="88" t="s">
        <v>755</v>
      </c>
      <c r="B149" s="93">
        <v>145</v>
      </c>
      <c r="C149" s="93">
        <v>2</v>
      </c>
      <c r="D149" s="93">
        <v>10</v>
      </c>
      <c r="E149" s="88" t="s">
        <v>956</v>
      </c>
      <c r="F149" s="88" t="s">
        <v>957</v>
      </c>
      <c r="G149" s="88" t="s">
        <v>958</v>
      </c>
      <c r="H149" s="88" t="s">
        <v>959</v>
      </c>
      <c r="I149" s="93">
        <v>3</v>
      </c>
      <c r="J149" s="88" t="s">
        <v>960</v>
      </c>
      <c r="K149" s="93" t="s">
        <v>961</v>
      </c>
      <c r="L149" s="93" t="s">
        <v>250</v>
      </c>
      <c r="M149" s="88" t="s">
        <v>962</v>
      </c>
      <c r="N149" s="99">
        <f t="shared" si="16"/>
        <v>0.17552083333333326</v>
      </c>
      <c r="O149" s="88" t="s">
        <v>896</v>
      </c>
      <c r="P149" s="101">
        <f t="shared" si="18"/>
        <v>790</v>
      </c>
      <c r="Q149" s="101">
        <v>6</v>
      </c>
      <c r="R149" s="105">
        <f t="shared" si="17"/>
        <v>31323.5</v>
      </c>
      <c r="S149" s="93" t="s">
        <v>42</v>
      </c>
      <c r="T149" s="101" t="s">
        <v>43</v>
      </c>
      <c r="U149" s="101" t="s">
        <v>43</v>
      </c>
      <c r="V149" s="93" t="s">
        <v>43</v>
      </c>
      <c r="W149" s="115">
        <v>1.9097222222222222E-3</v>
      </c>
      <c r="X149" s="115">
        <v>1.736111111111111E-3</v>
      </c>
      <c r="Y149" s="115">
        <v>1.6203703703703703E-3</v>
      </c>
      <c r="Z149" s="101"/>
      <c r="AA149" s="101"/>
      <c r="AB149" s="101"/>
      <c r="AC149" s="101"/>
      <c r="AD149" s="93"/>
      <c r="AE149" s="101"/>
      <c r="AF149" s="124"/>
      <c r="AG149" s="129"/>
    </row>
    <row r="150" spans="1:33" ht="65.099999999999994" customHeight="1">
      <c r="A150" s="88" t="s">
        <v>755</v>
      </c>
      <c r="B150" s="93">
        <v>146</v>
      </c>
      <c r="C150" s="93">
        <v>6</v>
      </c>
      <c r="D150" s="93">
        <v>9</v>
      </c>
      <c r="E150" s="88" t="s">
        <v>963</v>
      </c>
      <c r="F150" s="88" t="s">
        <v>964</v>
      </c>
      <c r="G150" s="88" t="s">
        <v>965</v>
      </c>
      <c r="H150" s="88" t="s">
        <v>966</v>
      </c>
      <c r="I150" s="93">
        <v>1</v>
      </c>
      <c r="J150" s="88" t="s">
        <v>967</v>
      </c>
      <c r="K150" s="93" t="s">
        <v>968</v>
      </c>
      <c r="L150" s="93" t="s">
        <v>233</v>
      </c>
      <c r="M150" s="88" t="s">
        <v>969</v>
      </c>
      <c r="N150" s="99">
        <f t="shared" si="16"/>
        <v>0.17760416666666659</v>
      </c>
      <c r="O150" s="88" t="s">
        <v>970</v>
      </c>
      <c r="P150" s="101">
        <f t="shared" si="18"/>
        <v>798</v>
      </c>
      <c r="Q150" s="101">
        <v>8</v>
      </c>
      <c r="R150" s="105">
        <f t="shared" si="17"/>
        <v>31959.9</v>
      </c>
      <c r="S150" s="93" t="s">
        <v>42</v>
      </c>
      <c r="T150" s="101" t="s">
        <v>43</v>
      </c>
      <c r="U150" s="101" t="s">
        <v>43</v>
      </c>
      <c r="V150" s="93" t="s">
        <v>43</v>
      </c>
      <c r="W150" s="115">
        <v>3.3564814814814816E-3</v>
      </c>
      <c r="X150" s="115">
        <v>2.7199074074074074E-3</v>
      </c>
      <c r="Y150" s="115">
        <v>2.0833333333333333E-3</v>
      </c>
      <c r="Z150" s="101"/>
      <c r="AA150" s="101"/>
      <c r="AB150" s="101"/>
      <c r="AC150" s="101"/>
      <c r="AD150" s="151">
        <v>-0.5</v>
      </c>
      <c r="AE150" s="101"/>
      <c r="AF150" s="124"/>
      <c r="AG150" s="129"/>
    </row>
    <row r="151" spans="1:33" ht="65.099999999999994" customHeight="1" thickBot="1">
      <c r="A151" s="143" t="s">
        <v>755</v>
      </c>
      <c r="B151" s="144">
        <v>147</v>
      </c>
      <c r="C151" s="144">
        <v>1</v>
      </c>
      <c r="D151" s="144">
        <v>8</v>
      </c>
      <c r="E151" s="143" t="s">
        <v>971</v>
      </c>
      <c r="F151" s="143" t="s">
        <v>543</v>
      </c>
      <c r="G151" s="143" t="s">
        <v>972</v>
      </c>
      <c r="H151" s="143" t="s">
        <v>973</v>
      </c>
      <c r="I151" s="144">
        <v>3</v>
      </c>
      <c r="J151" s="143" t="s">
        <v>546</v>
      </c>
      <c r="K151" s="144" t="s">
        <v>547</v>
      </c>
      <c r="L151" s="144" t="s">
        <v>105</v>
      </c>
      <c r="M151" s="143" t="s">
        <v>548</v>
      </c>
      <c r="N151" s="145">
        <f t="shared" si="16"/>
        <v>0.17887731481481473</v>
      </c>
      <c r="O151" s="143" t="s">
        <v>970</v>
      </c>
      <c r="P151" s="119">
        <f t="shared" si="18"/>
        <v>802</v>
      </c>
      <c r="Q151" s="119">
        <v>4</v>
      </c>
      <c r="R151" s="146">
        <f t="shared" si="17"/>
        <v>32280.5</v>
      </c>
      <c r="S151" s="144" t="s">
        <v>42</v>
      </c>
      <c r="T151" s="119" t="s">
        <v>43</v>
      </c>
      <c r="U151" s="119" t="s">
        <v>43</v>
      </c>
      <c r="V151" s="144" t="s">
        <v>43</v>
      </c>
      <c r="W151" s="147">
        <v>1.5046296296296296E-3</v>
      </c>
      <c r="X151" s="147">
        <v>1.3888888888888889E-3</v>
      </c>
      <c r="Y151" s="147">
        <v>1.2731481481481483E-3</v>
      </c>
      <c r="Z151" s="119"/>
      <c r="AA151" s="119"/>
      <c r="AB151" s="119"/>
      <c r="AC151" s="119"/>
      <c r="AD151" s="144"/>
      <c r="AE151" s="119" t="s">
        <v>1330</v>
      </c>
      <c r="AF151" s="125"/>
      <c r="AG151" s="129"/>
    </row>
    <row r="152" spans="1:33" ht="65.099999999999994" customHeight="1">
      <c r="A152" s="142" t="s">
        <v>974</v>
      </c>
      <c r="B152" s="92">
        <v>148</v>
      </c>
      <c r="C152" s="92">
        <v>1</v>
      </c>
      <c r="D152" s="92">
        <v>8</v>
      </c>
      <c r="E152" s="142" t="s">
        <v>975</v>
      </c>
      <c r="F152" s="142" t="s">
        <v>976</v>
      </c>
      <c r="G152" s="142" t="s">
        <v>977</v>
      </c>
      <c r="H152" s="142" t="s">
        <v>978</v>
      </c>
      <c r="I152" s="92">
        <v>2</v>
      </c>
      <c r="J152" s="142" t="s">
        <v>979</v>
      </c>
      <c r="K152" s="92" t="s">
        <v>38</v>
      </c>
      <c r="L152" s="92" t="s">
        <v>159</v>
      </c>
      <c r="M152" s="142" t="s">
        <v>980</v>
      </c>
      <c r="N152" s="98">
        <f t="shared" si="16"/>
        <v>0.18003472222222214</v>
      </c>
      <c r="O152" s="142" t="s">
        <v>981</v>
      </c>
      <c r="P152" s="100">
        <f t="shared" si="18"/>
        <v>806</v>
      </c>
      <c r="Q152" s="100">
        <v>4</v>
      </c>
      <c r="R152" s="104">
        <f t="shared" si="17"/>
        <v>32602.7</v>
      </c>
      <c r="S152" s="92" t="s">
        <v>42</v>
      </c>
      <c r="T152" s="100" t="s">
        <v>43</v>
      </c>
      <c r="U152" s="100" t="s">
        <v>43</v>
      </c>
      <c r="V152" s="92" t="s">
        <v>43</v>
      </c>
      <c r="W152" s="114">
        <v>1.3310185185185185E-3</v>
      </c>
      <c r="X152" s="114">
        <v>1.2152777777777778E-3</v>
      </c>
      <c r="Y152" s="114">
        <v>1.1574074074074073E-3</v>
      </c>
      <c r="Z152" s="100"/>
      <c r="AA152" s="100"/>
      <c r="AB152" s="100"/>
      <c r="AC152" s="100"/>
      <c r="AD152" s="92"/>
      <c r="AE152" s="100"/>
      <c r="AF152" s="126"/>
      <c r="AG152" s="129"/>
    </row>
    <row r="153" spans="1:33" ht="65.099999999999994" customHeight="1">
      <c r="A153" s="88" t="s">
        <v>974</v>
      </c>
      <c r="B153" s="93">
        <v>149</v>
      </c>
      <c r="C153" s="93">
        <v>1</v>
      </c>
      <c r="D153" s="93">
        <v>9</v>
      </c>
      <c r="E153" s="88" t="s">
        <v>982</v>
      </c>
      <c r="F153" s="88" t="s">
        <v>983</v>
      </c>
      <c r="G153" s="88" t="s">
        <v>984</v>
      </c>
      <c r="H153" s="88" t="s">
        <v>985</v>
      </c>
      <c r="I153" s="93">
        <v>4</v>
      </c>
      <c r="J153" s="88" t="s">
        <v>986</v>
      </c>
      <c r="K153" s="93" t="s">
        <v>38</v>
      </c>
      <c r="L153" s="93" t="s">
        <v>250</v>
      </c>
      <c r="M153" s="88" t="s">
        <v>987</v>
      </c>
      <c r="N153" s="99">
        <f t="shared" si="16"/>
        <v>0.18165509259259252</v>
      </c>
      <c r="O153" s="88" t="s">
        <v>981</v>
      </c>
      <c r="P153" s="101">
        <f t="shared" si="18"/>
        <v>810</v>
      </c>
      <c r="Q153" s="101">
        <v>4</v>
      </c>
      <c r="R153" s="105">
        <f t="shared" si="17"/>
        <v>32926.5</v>
      </c>
      <c r="S153" s="93" t="s">
        <v>42</v>
      </c>
      <c r="T153" s="101" t="s">
        <v>43</v>
      </c>
      <c r="U153" s="101" t="s">
        <v>43</v>
      </c>
      <c r="V153" s="93" t="s">
        <v>43</v>
      </c>
      <c r="W153" s="115">
        <v>1.9097222222222222E-3</v>
      </c>
      <c r="X153" s="115">
        <v>1.736111111111111E-3</v>
      </c>
      <c r="Y153" s="115">
        <v>1.6203703703703703E-3</v>
      </c>
      <c r="Z153" s="101"/>
      <c r="AA153" s="101"/>
      <c r="AB153" s="101"/>
      <c r="AC153" s="101"/>
      <c r="AD153" s="93"/>
      <c r="AE153" s="101"/>
      <c r="AF153" s="124"/>
      <c r="AG153" s="129"/>
    </row>
    <row r="154" spans="1:33" ht="65.099999999999994" customHeight="1">
      <c r="A154" s="89" t="s">
        <v>974</v>
      </c>
      <c r="B154" s="94">
        <v>150</v>
      </c>
      <c r="C154" s="94">
        <v>5</v>
      </c>
      <c r="D154" s="94">
        <v>9</v>
      </c>
      <c r="E154" s="89" t="s">
        <v>988</v>
      </c>
      <c r="F154" s="89" t="s">
        <v>66</v>
      </c>
      <c r="G154" s="89" t="s">
        <v>989</v>
      </c>
      <c r="H154" s="89" t="s">
        <v>990</v>
      </c>
      <c r="I154" s="94">
        <v>1</v>
      </c>
      <c r="J154" s="89" t="s">
        <v>991</v>
      </c>
      <c r="K154" s="94" t="s">
        <v>38</v>
      </c>
      <c r="L154" s="94" t="s">
        <v>233</v>
      </c>
      <c r="M154" s="89" t="s">
        <v>71</v>
      </c>
      <c r="N154" s="99">
        <f t="shared" si="16"/>
        <v>0.18373842592592585</v>
      </c>
      <c r="O154" s="89" t="s">
        <v>981</v>
      </c>
      <c r="P154" s="101">
        <f t="shared" si="18"/>
        <v>817</v>
      </c>
      <c r="Q154" s="101">
        <v>7</v>
      </c>
      <c r="R154" s="105">
        <f t="shared" si="17"/>
        <v>33497</v>
      </c>
      <c r="S154" s="93" t="s">
        <v>42</v>
      </c>
      <c r="T154" s="101" t="s">
        <v>43</v>
      </c>
      <c r="U154" s="101" t="s">
        <v>43</v>
      </c>
      <c r="V154" s="93" t="s">
        <v>43</v>
      </c>
      <c r="W154" s="115">
        <v>3.3564814814814816E-3</v>
      </c>
      <c r="X154" s="115">
        <v>2.7199074074074074E-3</v>
      </c>
      <c r="Y154" s="115">
        <v>2.0833333333333333E-3</v>
      </c>
      <c r="Z154" s="101"/>
      <c r="AA154" s="101"/>
      <c r="AB154" s="101"/>
      <c r="AC154" s="101"/>
      <c r="AD154" s="93"/>
      <c r="AE154" s="101" t="s">
        <v>1324</v>
      </c>
      <c r="AF154" s="124"/>
      <c r="AG154" s="129"/>
    </row>
    <row r="155" spans="1:33" ht="65.099999999999994" customHeight="1">
      <c r="A155" s="89" t="s">
        <v>974</v>
      </c>
      <c r="B155" s="94">
        <v>151</v>
      </c>
      <c r="C155" s="94">
        <v>6</v>
      </c>
      <c r="D155" s="94">
        <v>10</v>
      </c>
      <c r="E155" s="89" t="s">
        <v>992</v>
      </c>
      <c r="F155" s="89" t="s">
        <v>993</v>
      </c>
      <c r="G155" s="89" t="s">
        <v>994</v>
      </c>
      <c r="H155" s="89" t="s">
        <v>995</v>
      </c>
      <c r="I155" s="94">
        <v>3</v>
      </c>
      <c r="J155" s="89" t="s">
        <v>996</v>
      </c>
      <c r="K155" s="94" t="s">
        <v>997</v>
      </c>
      <c r="L155" s="94" t="s">
        <v>427</v>
      </c>
      <c r="M155" s="89" t="s">
        <v>998</v>
      </c>
      <c r="N155" s="99">
        <f t="shared" si="16"/>
        <v>0.18524305555555548</v>
      </c>
      <c r="O155" s="89" t="s">
        <v>999</v>
      </c>
      <c r="P155" s="101">
        <f t="shared" si="18"/>
        <v>826</v>
      </c>
      <c r="Q155" s="101">
        <v>9</v>
      </c>
      <c r="R155" s="105">
        <f t="shared" si="17"/>
        <v>34237.699999999997</v>
      </c>
      <c r="S155" s="93" t="s">
        <v>42</v>
      </c>
      <c r="T155" s="101" t="s">
        <v>43</v>
      </c>
      <c r="U155" s="101" t="s">
        <v>43</v>
      </c>
      <c r="V155" s="93" t="s">
        <v>43</v>
      </c>
      <c r="W155" s="115">
        <v>2.4305555555555556E-3</v>
      </c>
      <c r="X155" s="115">
        <v>1.9675925925925924E-3</v>
      </c>
      <c r="Y155" s="115">
        <v>1.5046296296296296E-3</v>
      </c>
      <c r="Z155" s="101"/>
      <c r="AA155" s="101"/>
      <c r="AB155" s="101"/>
      <c r="AC155" s="101"/>
      <c r="AD155" s="93"/>
      <c r="AE155" s="101"/>
      <c r="AF155" s="124"/>
      <c r="AG155" s="129"/>
    </row>
    <row r="156" spans="1:33" ht="65.099999999999994" customHeight="1">
      <c r="A156" s="89" t="s">
        <v>974</v>
      </c>
      <c r="B156" s="94">
        <v>152</v>
      </c>
      <c r="C156" s="94">
        <v>5</v>
      </c>
      <c r="D156" s="94">
        <v>9</v>
      </c>
      <c r="E156" s="89" t="s">
        <v>1000</v>
      </c>
      <c r="F156" s="89" t="s">
        <v>1001</v>
      </c>
      <c r="G156" s="89" t="s">
        <v>1002</v>
      </c>
      <c r="H156" s="89" t="s">
        <v>1003</v>
      </c>
      <c r="I156" s="94">
        <v>8</v>
      </c>
      <c r="J156" s="89" t="s">
        <v>1004</v>
      </c>
      <c r="K156" s="94" t="s">
        <v>1005</v>
      </c>
      <c r="L156" s="94" t="s">
        <v>1006</v>
      </c>
      <c r="M156" s="89" t="s">
        <v>1007</v>
      </c>
      <c r="N156" s="99">
        <f t="shared" ref="N156:N178" si="19">N155+(IFERROR(VALUE(LEFT(L156,FIND("분",L156)-1))*60,0)+IFERROR(VALUE(TRIM(MID(L156,IFERROR(FIND("분",L156),0)+1,IFERROR(FIND("초",L156),LEN(L156)+1)-IFERROR(FIND("분",L156),0)-1))),0))/86400</f>
        <v>0.18778935185185178</v>
      </c>
      <c r="O156" s="89" t="s">
        <v>999</v>
      </c>
      <c r="P156" s="101">
        <f t="shared" si="18"/>
        <v>833</v>
      </c>
      <c r="Q156" s="101">
        <v>7</v>
      </c>
      <c r="R156" s="105">
        <f t="shared" si="17"/>
        <v>34819.4</v>
      </c>
      <c r="S156" s="93" t="s">
        <v>42</v>
      </c>
      <c r="T156" s="101" t="s">
        <v>43</v>
      </c>
      <c r="U156" s="101" t="s">
        <v>43</v>
      </c>
      <c r="V156" s="93" t="s">
        <v>43</v>
      </c>
      <c r="W156" s="115">
        <v>4.1087962962962962E-3</v>
      </c>
      <c r="X156" s="115">
        <v>3.3564814814814816E-3</v>
      </c>
      <c r="Y156" s="115">
        <v>2.5462962962962965E-3</v>
      </c>
      <c r="Z156" s="101"/>
      <c r="AA156" s="101"/>
      <c r="AB156" s="101"/>
      <c r="AC156" s="101"/>
      <c r="AD156" s="93"/>
      <c r="AE156" s="101"/>
      <c r="AF156" s="124"/>
      <c r="AG156" s="129"/>
    </row>
    <row r="157" spans="1:33" ht="65.099999999999994" customHeight="1">
      <c r="A157" s="89" t="s">
        <v>974</v>
      </c>
      <c r="B157" s="94">
        <v>153</v>
      </c>
      <c r="C157" s="94">
        <v>2</v>
      </c>
      <c r="D157" s="94">
        <v>10</v>
      </c>
      <c r="E157" s="89" t="s">
        <v>1008</v>
      </c>
      <c r="F157" s="89" t="s">
        <v>1009</v>
      </c>
      <c r="G157" s="89" t="s">
        <v>1010</v>
      </c>
      <c r="H157" s="89" t="s">
        <v>1011</v>
      </c>
      <c r="I157" s="94">
        <v>5</v>
      </c>
      <c r="J157" s="89" t="s">
        <v>1012</v>
      </c>
      <c r="K157" s="94" t="s">
        <v>38</v>
      </c>
      <c r="L157" s="94" t="s">
        <v>804</v>
      </c>
      <c r="M157" s="89" t="s">
        <v>1013</v>
      </c>
      <c r="N157" s="99">
        <f t="shared" si="19"/>
        <v>0.19021990740740732</v>
      </c>
      <c r="O157" s="89" t="s">
        <v>999</v>
      </c>
      <c r="P157" s="101">
        <f t="shared" si="18"/>
        <v>839</v>
      </c>
      <c r="Q157" s="101">
        <v>6</v>
      </c>
      <c r="R157" s="105">
        <f t="shared" si="17"/>
        <v>35321.9</v>
      </c>
      <c r="S157" s="93" t="s">
        <v>42</v>
      </c>
      <c r="T157" s="101" t="s">
        <v>43</v>
      </c>
      <c r="U157" s="101" t="s">
        <v>43</v>
      </c>
      <c r="V157" s="93" t="s">
        <v>43</v>
      </c>
      <c r="W157" s="115">
        <v>2.8356481481481483E-3</v>
      </c>
      <c r="X157" s="115">
        <v>2.6041666666666665E-3</v>
      </c>
      <c r="Y157" s="115">
        <v>2.4305555555555556E-3</v>
      </c>
      <c r="Z157" s="101"/>
      <c r="AA157" s="101"/>
      <c r="AB157" s="101"/>
      <c r="AC157" s="101"/>
      <c r="AD157" s="93"/>
      <c r="AE157" s="101"/>
      <c r="AF157" s="124"/>
      <c r="AG157" s="129"/>
    </row>
    <row r="158" spans="1:33" ht="65.099999999999994" customHeight="1">
      <c r="A158" s="89" t="s">
        <v>974</v>
      </c>
      <c r="B158" s="94">
        <v>154</v>
      </c>
      <c r="C158" s="94">
        <v>7</v>
      </c>
      <c r="D158" s="94">
        <v>10</v>
      </c>
      <c r="E158" s="89" t="s">
        <v>1014</v>
      </c>
      <c r="F158" s="89" t="s">
        <v>1015</v>
      </c>
      <c r="G158" s="89" t="s">
        <v>1016</v>
      </c>
      <c r="H158" s="89" t="s">
        <v>1017</v>
      </c>
      <c r="I158" s="94">
        <v>6</v>
      </c>
      <c r="J158" s="89" t="s">
        <v>1018</v>
      </c>
      <c r="K158" s="94" t="s">
        <v>1019</v>
      </c>
      <c r="L158" s="94" t="s">
        <v>532</v>
      </c>
      <c r="M158" s="89" t="s">
        <v>1020</v>
      </c>
      <c r="N158" s="99">
        <f t="shared" si="19"/>
        <v>0.19322916666666659</v>
      </c>
      <c r="O158" s="89" t="s">
        <v>999</v>
      </c>
      <c r="P158" s="101">
        <f t="shared" si="18"/>
        <v>849</v>
      </c>
      <c r="Q158" s="101">
        <v>10</v>
      </c>
      <c r="R158" s="105">
        <f t="shared" si="17"/>
        <v>36167.4</v>
      </c>
      <c r="S158" s="93" t="s">
        <v>42</v>
      </c>
      <c r="T158" s="101" t="s">
        <v>43</v>
      </c>
      <c r="U158" s="101" t="s">
        <v>43</v>
      </c>
      <c r="V158" s="93" t="s">
        <v>43</v>
      </c>
      <c r="W158" s="115">
        <v>5.7291666666666663E-3</v>
      </c>
      <c r="X158" s="115">
        <v>4.3981481481481484E-3</v>
      </c>
      <c r="Y158" s="115">
        <v>3.0092592592592593E-3</v>
      </c>
      <c r="Z158" s="101"/>
      <c r="AA158" s="101"/>
      <c r="AB158" s="101"/>
      <c r="AC158" s="101"/>
      <c r="AD158" s="93"/>
      <c r="AE158" s="101"/>
      <c r="AF158" s="124"/>
      <c r="AG158" s="129"/>
    </row>
    <row r="159" spans="1:33" ht="65.099999999999994" customHeight="1">
      <c r="A159" s="89" t="s">
        <v>974</v>
      </c>
      <c r="B159" s="94">
        <v>155</v>
      </c>
      <c r="C159" s="94">
        <v>7</v>
      </c>
      <c r="D159" s="94">
        <v>9</v>
      </c>
      <c r="E159" s="89" t="s">
        <v>1021</v>
      </c>
      <c r="F159" s="89" t="s">
        <v>1022</v>
      </c>
      <c r="G159" s="89" t="s">
        <v>1023</v>
      </c>
      <c r="H159" s="89" t="s">
        <v>1024</v>
      </c>
      <c r="I159" s="94">
        <v>6</v>
      </c>
      <c r="J159" s="89" t="s">
        <v>1025</v>
      </c>
      <c r="K159" s="94" t="s">
        <v>1026</v>
      </c>
      <c r="L159" s="94" t="s">
        <v>471</v>
      </c>
      <c r="M159" s="89" t="s">
        <v>1027</v>
      </c>
      <c r="N159" s="99">
        <f t="shared" si="19"/>
        <v>0.19542824074074067</v>
      </c>
      <c r="O159" s="89" t="s">
        <v>999</v>
      </c>
      <c r="P159" s="101">
        <f t="shared" si="18"/>
        <v>858</v>
      </c>
      <c r="Q159" s="101">
        <v>9</v>
      </c>
      <c r="R159" s="105">
        <f t="shared" si="17"/>
        <v>36936.9</v>
      </c>
      <c r="S159" s="93" t="s">
        <v>42</v>
      </c>
      <c r="T159" s="101" t="s">
        <v>43</v>
      </c>
      <c r="U159" s="101" t="s">
        <v>43</v>
      </c>
      <c r="V159" s="93" t="s">
        <v>43</v>
      </c>
      <c r="W159" s="115">
        <v>4.2245370370370371E-3</v>
      </c>
      <c r="X159" s="115">
        <v>3.2407407407407406E-3</v>
      </c>
      <c r="Y159" s="115">
        <v>2.1990740740740742E-3</v>
      </c>
      <c r="Z159" s="101"/>
      <c r="AA159" s="101"/>
      <c r="AB159" s="101"/>
      <c r="AC159" s="101"/>
      <c r="AD159" s="93"/>
      <c r="AE159" s="101"/>
      <c r="AF159" s="124"/>
      <c r="AG159" s="129"/>
    </row>
    <row r="160" spans="1:33" ht="65.099999999999994" customHeight="1">
      <c r="A160" s="89" t="s">
        <v>974</v>
      </c>
      <c r="B160" s="94">
        <v>156</v>
      </c>
      <c r="C160" s="94">
        <v>9</v>
      </c>
      <c r="D160" s="94">
        <v>10</v>
      </c>
      <c r="E160" s="90" t="s">
        <v>1028</v>
      </c>
      <c r="F160" s="89" t="s">
        <v>1029</v>
      </c>
      <c r="G160" s="89" t="s">
        <v>1030</v>
      </c>
      <c r="H160" s="89" t="s">
        <v>1031</v>
      </c>
      <c r="I160" s="94">
        <v>6</v>
      </c>
      <c r="J160" s="89" t="s">
        <v>1032</v>
      </c>
      <c r="K160" s="94" t="s">
        <v>1033</v>
      </c>
      <c r="L160" s="94" t="s">
        <v>463</v>
      </c>
      <c r="M160" s="89" t="s">
        <v>1034</v>
      </c>
      <c r="N160" s="99">
        <f t="shared" si="19"/>
        <v>0.19774305555555549</v>
      </c>
      <c r="O160" s="90" t="s">
        <v>999</v>
      </c>
      <c r="P160" s="102">
        <f t="shared" si="18"/>
        <v>869</v>
      </c>
      <c r="Q160" s="102">
        <v>11</v>
      </c>
      <c r="R160" s="106">
        <f t="shared" si="17"/>
        <v>37888.400000000001</v>
      </c>
      <c r="S160" s="108" t="s">
        <v>1035</v>
      </c>
      <c r="T160" s="102">
        <v>8</v>
      </c>
      <c r="U160" s="102">
        <v>200</v>
      </c>
      <c r="V160" s="108" t="s">
        <v>1036</v>
      </c>
      <c r="W160" s="115">
        <v>5.1504629629629626E-3</v>
      </c>
      <c r="X160" s="115">
        <v>3.7037037037037038E-3</v>
      </c>
      <c r="Y160" s="115">
        <v>2.3148148148148147E-3</v>
      </c>
      <c r="Z160" s="101"/>
      <c r="AA160" s="101"/>
      <c r="AB160" s="101"/>
      <c r="AC160" s="101"/>
      <c r="AD160" s="93"/>
      <c r="AE160" s="101"/>
      <c r="AF160" s="124" t="s">
        <v>1315</v>
      </c>
      <c r="AG160" s="129"/>
    </row>
    <row r="161" spans="1:33" ht="65.099999999999994" customHeight="1">
      <c r="A161" s="89" t="s">
        <v>974</v>
      </c>
      <c r="B161" s="94">
        <v>157</v>
      </c>
      <c r="C161" s="94">
        <v>4</v>
      </c>
      <c r="D161" s="94">
        <v>10</v>
      </c>
      <c r="E161" s="89" t="s">
        <v>1037</v>
      </c>
      <c r="F161" s="89" t="s">
        <v>1038</v>
      </c>
      <c r="G161" s="89" t="s">
        <v>1039</v>
      </c>
      <c r="H161" s="89" t="s">
        <v>1040</v>
      </c>
      <c r="I161" s="94">
        <v>6</v>
      </c>
      <c r="J161" s="89" t="s">
        <v>1041</v>
      </c>
      <c r="K161" s="94" t="s">
        <v>1042</v>
      </c>
      <c r="L161" s="94" t="s">
        <v>159</v>
      </c>
      <c r="M161" s="89" t="s">
        <v>1043</v>
      </c>
      <c r="N161" s="99">
        <f t="shared" si="19"/>
        <v>0.1989004629629629</v>
      </c>
      <c r="O161" s="89" t="s">
        <v>1044</v>
      </c>
      <c r="P161" s="101">
        <f t="shared" si="18"/>
        <v>876</v>
      </c>
      <c r="Q161" s="101">
        <v>7</v>
      </c>
      <c r="R161" s="105">
        <f t="shared" si="17"/>
        <v>38500.199999999997</v>
      </c>
      <c r="S161" s="93" t="s">
        <v>42</v>
      </c>
      <c r="T161" s="101" t="s">
        <v>43</v>
      </c>
      <c r="U161" s="101" t="s">
        <v>43</v>
      </c>
      <c r="V161" s="93" t="s">
        <v>43</v>
      </c>
      <c r="W161" s="115">
        <v>1.5625000000000001E-3</v>
      </c>
      <c r="X161" s="115">
        <v>1.3310185185185185E-3</v>
      </c>
      <c r="Y161" s="115">
        <v>1.1574074074074073E-3</v>
      </c>
      <c r="Z161" s="101"/>
      <c r="AA161" s="101"/>
      <c r="AB161" s="101"/>
      <c r="AC161" s="101"/>
      <c r="AD161" s="93"/>
      <c r="AE161" s="101"/>
      <c r="AF161" s="124"/>
      <c r="AG161" s="129"/>
    </row>
    <row r="162" spans="1:33" ht="65.099999999999994" customHeight="1">
      <c r="A162" s="89" t="s">
        <v>974</v>
      </c>
      <c r="B162" s="94">
        <v>158</v>
      </c>
      <c r="C162" s="94">
        <v>2</v>
      </c>
      <c r="D162" s="94">
        <v>10</v>
      </c>
      <c r="E162" s="89" t="s">
        <v>1045</v>
      </c>
      <c r="F162" s="89" t="s">
        <v>1046</v>
      </c>
      <c r="G162" s="89" t="s">
        <v>1047</v>
      </c>
      <c r="H162" s="89" t="s">
        <v>1048</v>
      </c>
      <c r="I162" s="94">
        <v>5</v>
      </c>
      <c r="J162" s="89" t="s">
        <v>1049</v>
      </c>
      <c r="K162" s="94" t="s">
        <v>38</v>
      </c>
      <c r="L162" s="94" t="s">
        <v>117</v>
      </c>
      <c r="M162" s="89" t="s">
        <v>1050</v>
      </c>
      <c r="N162" s="99">
        <f t="shared" si="19"/>
        <v>0.20028935185185179</v>
      </c>
      <c r="O162" s="89" t="s">
        <v>1044</v>
      </c>
      <c r="P162" s="101">
        <f t="shared" si="18"/>
        <v>883</v>
      </c>
      <c r="Q162" s="101">
        <v>7</v>
      </c>
      <c r="R162" s="105">
        <f t="shared" si="17"/>
        <v>39116.9</v>
      </c>
      <c r="S162" s="93" t="s">
        <v>42</v>
      </c>
      <c r="T162" s="101" t="s">
        <v>43</v>
      </c>
      <c r="U162" s="101" t="s">
        <v>43</v>
      </c>
      <c r="V162" s="93" t="s">
        <v>43</v>
      </c>
      <c r="W162" s="115">
        <v>1.6203703703703703E-3</v>
      </c>
      <c r="X162" s="115">
        <v>1.5046296296296296E-3</v>
      </c>
      <c r="Y162" s="115">
        <v>1.3888888888888889E-3</v>
      </c>
      <c r="Z162" s="101"/>
      <c r="AA162" s="101"/>
      <c r="AB162" s="101"/>
      <c r="AC162" s="101"/>
      <c r="AD162" s="93"/>
      <c r="AE162" s="101"/>
      <c r="AF162" s="124"/>
      <c r="AG162" s="129"/>
    </row>
    <row r="163" spans="1:33" ht="65.099999999999994" customHeight="1">
      <c r="A163" s="89" t="s">
        <v>974</v>
      </c>
      <c r="B163" s="130">
        <v>159</v>
      </c>
      <c r="C163" s="130">
        <v>8</v>
      </c>
      <c r="D163" s="130">
        <v>10</v>
      </c>
      <c r="E163" s="138" t="s">
        <v>1051</v>
      </c>
      <c r="F163" s="139" t="s">
        <v>1052</v>
      </c>
      <c r="G163" s="139" t="s">
        <v>1053</v>
      </c>
      <c r="H163" s="139" t="s">
        <v>1054</v>
      </c>
      <c r="I163" s="130">
        <v>4</v>
      </c>
      <c r="J163" s="139" t="s">
        <v>1055</v>
      </c>
      <c r="K163" s="130" t="s">
        <v>1338</v>
      </c>
      <c r="L163" s="130" t="s">
        <v>170</v>
      </c>
      <c r="M163" s="139" t="s">
        <v>1056</v>
      </c>
      <c r="N163" s="134">
        <f t="shared" si="19"/>
        <v>0.20202546296296289</v>
      </c>
      <c r="O163" s="138" t="s">
        <v>1044</v>
      </c>
      <c r="P163" s="121">
        <f t="shared" si="18"/>
        <v>893</v>
      </c>
      <c r="Q163" s="121">
        <v>10</v>
      </c>
      <c r="R163" s="135">
        <f t="shared" si="17"/>
        <v>40006.400000000001</v>
      </c>
      <c r="S163" s="136" t="s">
        <v>1305</v>
      </c>
      <c r="T163" s="121">
        <v>8</v>
      </c>
      <c r="U163" s="121">
        <v>150</v>
      </c>
      <c r="V163" s="136" t="s">
        <v>1057</v>
      </c>
      <c r="W163" s="137">
        <v>1.4525462962962962E-2</v>
      </c>
      <c r="X163" s="137">
        <v>1.0590277777777778E-2</v>
      </c>
      <c r="Y163" s="137">
        <v>6.5972222222222222E-3</v>
      </c>
      <c r="Z163" s="121">
        <v>1500</v>
      </c>
      <c r="AA163" s="121">
        <v>1</v>
      </c>
      <c r="AB163" s="121">
        <v>180</v>
      </c>
      <c r="AC163" s="121">
        <v>390</v>
      </c>
      <c r="AD163" s="136"/>
      <c r="AE163" s="122"/>
      <c r="AF163" s="127" t="s">
        <v>1316</v>
      </c>
      <c r="AG163" s="129"/>
    </row>
    <row r="164" spans="1:33" ht="65.099999999999994" customHeight="1">
      <c r="A164" s="89" t="s">
        <v>974</v>
      </c>
      <c r="B164" s="94">
        <v>160</v>
      </c>
      <c r="C164" s="94">
        <v>8</v>
      </c>
      <c r="D164" s="94">
        <v>10</v>
      </c>
      <c r="E164" s="89" t="s">
        <v>1058</v>
      </c>
      <c r="F164" s="89" t="s">
        <v>1059</v>
      </c>
      <c r="G164" s="89" t="s">
        <v>1060</v>
      </c>
      <c r="H164" s="89" t="s">
        <v>1061</v>
      </c>
      <c r="I164" s="94">
        <v>6</v>
      </c>
      <c r="J164" s="89" t="s">
        <v>1062</v>
      </c>
      <c r="K164" s="94" t="s">
        <v>1063</v>
      </c>
      <c r="L164" s="94" t="s">
        <v>170</v>
      </c>
      <c r="M164" s="89" t="s">
        <v>1064</v>
      </c>
      <c r="N164" s="99">
        <f t="shared" si="19"/>
        <v>0.203761574074074</v>
      </c>
      <c r="O164" s="89" t="s">
        <v>1044</v>
      </c>
      <c r="P164" s="101">
        <f t="shared" si="18"/>
        <v>903</v>
      </c>
      <c r="Q164" s="101">
        <v>10</v>
      </c>
      <c r="R164" s="105">
        <f t="shared" si="17"/>
        <v>40905.9</v>
      </c>
      <c r="S164" s="93" t="s">
        <v>1305</v>
      </c>
      <c r="T164" s="101">
        <v>8</v>
      </c>
      <c r="U164" s="101">
        <v>150</v>
      </c>
      <c r="V164" s="93" t="s">
        <v>1065</v>
      </c>
      <c r="W164" s="115"/>
      <c r="X164" s="115"/>
      <c r="Y164" s="115"/>
      <c r="Z164" s="101"/>
      <c r="AA164" s="101"/>
      <c r="AB164" s="101"/>
      <c r="AC164" s="101"/>
      <c r="AD164" s="93"/>
      <c r="AE164" s="101"/>
      <c r="AF164" s="124"/>
      <c r="AG164" s="129"/>
    </row>
    <row r="165" spans="1:33" ht="65.099999999999994" customHeight="1">
      <c r="A165" s="89" t="s">
        <v>974</v>
      </c>
      <c r="B165" s="94">
        <v>161</v>
      </c>
      <c r="C165" s="94">
        <v>9</v>
      </c>
      <c r="D165" s="94">
        <v>10</v>
      </c>
      <c r="E165" s="89" t="s">
        <v>1066</v>
      </c>
      <c r="F165" s="89" t="s">
        <v>1067</v>
      </c>
      <c r="G165" s="89" t="s">
        <v>1068</v>
      </c>
      <c r="H165" s="89" t="s">
        <v>1069</v>
      </c>
      <c r="I165" s="94">
        <v>4</v>
      </c>
      <c r="J165" s="89" t="s">
        <v>1070</v>
      </c>
      <c r="K165" s="94" t="s">
        <v>1071</v>
      </c>
      <c r="L165" s="94" t="s">
        <v>233</v>
      </c>
      <c r="M165" s="89" t="s">
        <v>1072</v>
      </c>
      <c r="N165" s="99">
        <f t="shared" si="19"/>
        <v>0.20584490740740732</v>
      </c>
      <c r="O165" s="89" t="s">
        <v>1044</v>
      </c>
      <c r="P165" s="101">
        <f t="shared" si="18"/>
        <v>914</v>
      </c>
      <c r="Q165" s="101">
        <v>11</v>
      </c>
      <c r="R165" s="105">
        <f t="shared" ref="R165:R178" si="20">ROUND($Q$3*P165*P165+$R$3*P165,2)</f>
        <v>41906.9</v>
      </c>
      <c r="S165" s="93" t="s">
        <v>1305</v>
      </c>
      <c r="T165" s="101">
        <v>9</v>
      </c>
      <c r="U165" s="101">
        <v>180</v>
      </c>
      <c r="V165" s="93" t="s">
        <v>1073</v>
      </c>
      <c r="W165" s="115"/>
      <c r="X165" s="115"/>
      <c r="Y165" s="115"/>
      <c r="Z165" s="101"/>
      <c r="AA165" s="101"/>
      <c r="AB165" s="101"/>
      <c r="AC165" s="101"/>
      <c r="AD165" s="93"/>
      <c r="AE165" s="101"/>
      <c r="AF165" s="124"/>
      <c r="AG165" s="129"/>
    </row>
    <row r="166" spans="1:33" ht="65.099999999999994" customHeight="1">
      <c r="A166" s="89" t="s">
        <v>974</v>
      </c>
      <c r="B166" s="94">
        <v>162</v>
      </c>
      <c r="C166" s="94">
        <v>9</v>
      </c>
      <c r="D166" s="94">
        <v>10</v>
      </c>
      <c r="E166" s="89" t="s">
        <v>1074</v>
      </c>
      <c r="F166" s="89" t="s">
        <v>1075</v>
      </c>
      <c r="G166" s="89" t="s">
        <v>1076</v>
      </c>
      <c r="H166" s="89" t="s">
        <v>1077</v>
      </c>
      <c r="I166" s="94">
        <v>5</v>
      </c>
      <c r="J166" s="89" t="s">
        <v>1078</v>
      </c>
      <c r="K166" s="94" t="s">
        <v>1079</v>
      </c>
      <c r="L166" s="94" t="s">
        <v>39</v>
      </c>
      <c r="M166" s="89" t="s">
        <v>1080</v>
      </c>
      <c r="N166" s="99">
        <f t="shared" si="19"/>
        <v>0.20688657407407399</v>
      </c>
      <c r="O166" s="89" t="s">
        <v>1044</v>
      </c>
      <c r="P166" s="101">
        <f t="shared" ref="P166:P178" si="21">P165+Q166</f>
        <v>925</v>
      </c>
      <c r="Q166" s="101">
        <v>11</v>
      </c>
      <c r="R166" s="105">
        <f t="shared" si="20"/>
        <v>42920</v>
      </c>
      <c r="S166" s="93" t="s">
        <v>1305</v>
      </c>
      <c r="T166" s="101">
        <v>9</v>
      </c>
      <c r="U166" s="101">
        <v>90</v>
      </c>
      <c r="V166" s="93" t="s">
        <v>1081</v>
      </c>
      <c r="W166" s="115"/>
      <c r="X166" s="115"/>
      <c r="Y166" s="115"/>
      <c r="Z166" s="101"/>
      <c r="AA166" s="101"/>
      <c r="AB166" s="101"/>
      <c r="AC166" s="101"/>
      <c r="AD166" s="93"/>
      <c r="AE166" s="101"/>
      <c r="AF166" s="124"/>
      <c r="AG166" s="129"/>
    </row>
    <row r="167" spans="1:33" ht="65.099999999999994" customHeight="1">
      <c r="A167" s="89" t="s">
        <v>974</v>
      </c>
      <c r="B167" s="94">
        <v>163</v>
      </c>
      <c r="C167" s="94">
        <v>1</v>
      </c>
      <c r="D167" s="94">
        <v>10</v>
      </c>
      <c r="E167" s="89" t="s">
        <v>1082</v>
      </c>
      <c r="F167" s="89" t="s">
        <v>1083</v>
      </c>
      <c r="G167" s="89" t="s">
        <v>1084</v>
      </c>
      <c r="H167" s="89" t="s">
        <v>1085</v>
      </c>
      <c r="I167" s="94">
        <v>5</v>
      </c>
      <c r="J167" s="89" t="s">
        <v>1086</v>
      </c>
      <c r="K167" s="94" t="s">
        <v>38</v>
      </c>
      <c r="L167" s="94" t="s">
        <v>117</v>
      </c>
      <c r="M167" s="89" t="s">
        <v>1087</v>
      </c>
      <c r="N167" s="99">
        <f t="shared" si="19"/>
        <v>0.20827546296296287</v>
      </c>
      <c r="O167" s="89" t="s">
        <v>1044</v>
      </c>
      <c r="P167" s="101">
        <f t="shared" si="21"/>
        <v>932</v>
      </c>
      <c r="Q167" s="101">
        <v>7</v>
      </c>
      <c r="R167" s="105">
        <f t="shared" si="20"/>
        <v>43571</v>
      </c>
      <c r="S167" s="93" t="s">
        <v>42</v>
      </c>
      <c r="T167" s="101" t="s">
        <v>43</v>
      </c>
      <c r="U167" s="101" t="s">
        <v>43</v>
      </c>
      <c r="V167" s="93" t="s">
        <v>43</v>
      </c>
      <c r="W167" s="115">
        <v>1.6203703703703703E-3</v>
      </c>
      <c r="X167" s="115">
        <v>1.5046296296296296E-3</v>
      </c>
      <c r="Y167" s="115">
        <v>1.3888888888888889E-3</v>
      </c>
      <c r="Z167" s="101"/>
      <c r="AA167" s="101"/>
      <c r="AB167" s="101"/>
      <c r="AC167" s="101"/>
      <c r="AD167" s="93"/>
      <c r="AE167" s="101"/>
      <c r="AF167" s="124"/>
      <c r="AG167" s="129"/>
    </row>
    <row r="168" spans="1:33" ht="65.099999999999994" customHeight="1">
      <c r="A168" s="89" t="s">
        <v>974</v>
      </c>
      <c r="B168" s="94">
        <v>164</v>
      </c>
      <c r="C168" s="94">
        <v>6</v>
      </c>
      <c r="D168" s="94">
        <v>10</v>
      </c>
      <c r="E168" s="89" t="s">
        <v>1088</v>
      </c>
      <c r="F168" s="89" t="s">
        <v>1089</v>
      </c>
      <c r="G168" s="89" t="s">
        <v>1090</v>
      </c>
      <c r="H168" s="89" t="s">
        <v>1091</v>
      </c>
      <c r="I168" s="94">
        <v>1</v>
      </c>
      <c r="J168" s="89" t="s">
        <v>1092</v>
      </c>
      <c r="K168" s="94" t="s">
        <v>1093</v>
      </c>
      <c r="L168" s="94" t="s">
        <v>170</v>
      </c>
      <c r="M168" s="89" t="s">
        <v>1094</v>
      </c>
      <c r="N168" s="99">
        <f t="shared" si="19"/>
        <v>0.21001157407407398</v>
      </c>
      <c r="O168" s="89" t="s">
        <v>1095</v>
      </c>
      <c r="P168" s="101">
        <f t="shared" si="21"/>
        <v>941</v>
      </c>
      <c r="Q168" s="101">
        <v>9</v>
      </c>
      <c r="R168" s="105">
        <f t="shared" si="20"/>
        <v>44415.199999999997</v>
      </c>
      <c r="S168" s="93" t="s">
        <v>42</v>
      </c>
      <c r="T168" s="101" t="s">
        <v>43</v>
      </c>
      <c r="U168" s="101" t="s">
        <v>43</v>
      </c>
      <c r="V168" s="93" t="s">
        <v>43</v>
      </c>
      <c r="W168" s="115">
        <v>2.7777777777777779E-3</v>
      </c>
      <c r="X168" s="115">
        <v>2.2569444444444442E-3</v>
      </c>
      <c r="Y168" s="115">
        <v>1.736111111111111E-3</v>
      </c>
      <c r="Z168" s="101"/>
      <c r="AA168" s="101"/>
      <c r="AB168" s="101"/>
      <c r="AC168" s="101"/>
      <c r="AD168" s="93"/>
      <c r="AE168" s="101"/>
      <c r="AF168" s="124"/>
      <c r="AG168" s="129"/>
    </row>
    <row r="169" spans="1:33" ht="65.099999999999994" customHeight="1">
      <c r="A169" s="89" t="s">
        <v>974</v>
      </c>
      <c r="B169" s="94">
        <v>165</v>
      </c>
      <c r="C169" s="94">
        <v>1</v>
      </c>
      <c r="D169" s="94">
        <v>10</v>
      </c>
      <c r="E169" s="89" t="s">
        <v>1096</v>
      </c>
      <c r="F169" s="89" t="s">
        <v>1097</v>
      </c>
      <c r="G169" s="89" t="s">
        <v>1098</v>
      </c>
      <c r="H169" s="89" t="s">
        <v>1099</v>
      </c>
      <c r="I169" s="94">
        <v>6</v>
      </c>
      <c r="J169" s="89" t="s">
        <v>1100</v>
      </c>
      <c r="K169" s="94" t="s">
        <v>38</v>
      </c>
      <c r="L169" s="94" t="s">
        <v>471</v>
      </c>
      <c r="M169" s="89" t="s">
        <v>1101</v>
      </c>
      <c r="N169" s="99">
        <f t="shared" si="19"/>
        <v>0.21221064814814805</v>
      </c>
      <c r="O169" s="89" t="s">
        <v>1095</v>
      </c>
      <c r="P169" s="101">
        <f t="shared" si="21"/>
        <v>946</v>
      </c>
      <c r="Q169" s="101">
        <v>5</v>
      </c>
      <c r="R169" s="105">
        <f t="shared" si="20"/>
        <v>44887.7</v>
      </c>
      <c r="S169" s="93" t="s">
        <v>42</v>
      </c>
      <c r="T169" s="101" t="s">
        <v>43</v>
      </c>
      <c r="U169" s="101" t="s">
        <v>43</v>
      </c>
      <c r="V169" s="93" t="s">
        <v>43</v>
      </c>
      <c r="W169" s="115">
        <v>2.5462962962962965E-3</v>
      </c>
      <c r="X169" s="115">
        <v>2.3148148148148147E-3</v>
      </c>
      <c r="Y169" s="115">
        <v>2.1990740740740742E-3</v>
      </c>
      <c r="Z169" s="101"/>
      <c r="AA169" s="101"/>
      <c r="AB169" s="101"/>
      <c r="AC169" s="101"/>
      <c r="AD169" s="93"/>
      <c r="AE169" s="101"/>
      <c r="AF169" s="124"/>
      <c r="AG169" s="129"/>
    </row>
    <row r="170" spans="1:33" ht="65.099999999999994" customHeight="1">
      <c r="A170" s="89" t="s">
        <v>974</v>
      </c>
      <c r="B170" s="94">
        <v>166</v>
      </c>
      <c r="C170" s="94">
        <v>1</v>
      </c>
      <c r="D170" s="94">
        <v>10</v>
      </c>
      <c r="E170" s="89" t="s">
        <v>1102</v>
      </c>
      <c r="F170" s="89" t="s">
        <v>1103</v>
      </c>
      <c r="G170" s="89" t="s">
        <v>1104</v>
      </c>
      <c r="H170" s="89" t="s">
        <v>1105</v>
      </c>
      <c r="I170" s="94">
        <v>3</v>
      </c>
      <c r="J170" s="89" t="s">
        <v>1106</v>
      </c>
      <c r="K170" s="94" t="s">
        <v>38</v>
      </c>
      <c r="L170" s="94" t="s">
        <v>238</v>
      </c>
      <c r="M170" s="89" t="s">
        <v>1107</v>
      </c>
      <c r="N170" s="99">
        <f t="shared" si="19"/>
        <v>0.21406249999999991</v>
      </c>
      <c r="O170" s="89" t="s">
        <v>1095</v>
      </c>
      <c r="P170" s="101">
        <f t="shared" si="21"/>
        <v>951</v>
      </c>
      <c r="Q170" s="101">
        <v>5</v>
      </c>
      <c r="R170" s="105">
        <f t="shared" si="20"/>
        <v>45362.7</v>
      </c>
      <c r="S170" s="93" t="s">
        <v>42</v>
      </c>
      <c r="T170" s="101" t="s">
        <v>43</v>
      </c>
      <c r="U170" s="101" t="s">
        <v>43</v>
      </c>
      <c r="V170" s="93" t="s">
        <v>43</v>
      </c>
      <c r="W170" s="115">
        <v>2.1412037037037038E-3</v>
      </c>
      <c r="X170" s="115">
        <v>1.9675925925925924E-3</v>
      </c>
      <c r="Y170" s="115">
        <v>1.8518518518518519E-3</v>
      </c>
      <c r="Z170" s="101"/>
      <c r="AA170" s="101"/>
      <c r="AB170" s="101"/>
      <c r="AC170" s="101"/>
      <c r="AD170" s="93"/>
      <c r="AE170" s="101"/>
      <c r="AF170" s="124"/>
      <c r="AG170" s="129"/>
    </row>
    <row r="171" spans="1:33" ht="65.099999999999994" customHeight="1">
      <c r="A171" s="89" t="s">
        <v>974</v>
      </c>
      <c r="B171" s="94">
        <v>167</v>
      </c>
      <c r="C171" s="94">
        <v>1</v>
      </c>
      <c r="D171" s="94">
        <v>10</v>
      </c>
      <c r="E171" s="89" t="s">
        <v>1108</v>
      </c>
      <c r="F171" s="89" t="s">
        <v>1109</v>
      </c>
      <c r="G171" s="89" t="s">
        <v>1110</v>
      </c>
      <c r="H171" s="89" t="s">
        <v>1111</v>
      </c>
      <c r="I171" s="94">
        <v>3</v>
      </c>
      <c r="J171" s="89" t="s">
        <v>1112</v>
      </c>
      <c r="K171" s="94" t="s">
        <v>38</v>
      </c>
      <c r="L171" s="94" t="s">
        <v>170</v>
      </c>
      <c r="M171" s="89" t="s">
        <v>1113</v>
      </c>
      <c r="N171" s="99">
        <f t="shared" si="19"/>
        <v>0.21579861111111101</v>
      </c>
      <c r="O171" s="89" t="s">
        <v>1095</v>
      </c>
      <c r="P171" s="101">
        <f t="shared" si="21"/>
        <v>956</v>
      </c>
      <c r="Q171" s="101">
        <v>5</v>
      </c>
      <c r="R171" s="105">
        <f t="shared" si="20"/>
        <v>45840.2</v>
      </c>
      <c r="S171" s="93" t="s">
        <v>42</v>
      </c>
      <c r="T171" s="101" t="s">
        <v>43</v>
      </c>
      <c r="U171" s="101" t="s">
        <v>43</v>
      </c>
      <c r="V171" s="93" t="s">
        <v>43</v>
      </c>
      <c r="W171" s="115">
        <v>2.0254629629629629E-3</v>
      </c>
      <c r="X171" s="115">
        <v>1.8518518518518519E-3</v>
      </c>
      <c r="Y171" s="115">
        <v>1.736111111111111E-3</v>
      </c>
      <c r="Z171" s="101"/>
      <c r="AA171" s="101"/>
      <c r="AB171" s="101"/>
      <c r="AC171" s="101"/>
      <c r="AD171" s="93"/>
      <c r="AE171" s="101"/>
      <c r="AF171" s="124"/>
      <c r="AG171" s="129"/>
    </row>
    <row r="172" spans="1:33" ht="65.099999999999994" customHeight="1">
      <c r="A172" s="89" t="s">
        <v>974</v>
      </c>
      <c r="B172" s="94">
        <v>168</v>
      </c>
      <c r="C172" s="94">
        <v>4</v>
      </c>
      <c r="D172" s="94">
        <v>10</v>
      </c>
      <c r="E172" s="89" t="s">
        <v>1114</v>
      </c>
      <c r="F172" s="89" t="s">
        <v>1115</v>
      </c>
      <c r="G172" s="89" t="s">
        <v>1116</v>
      </c>
      <c r="H172" s="89" t="s">
        <v>1117</v>
      </c>
      <c r="I172" s="94">
        <v>5</v>
      </c>
      <c r="J172" s="89" t="s">
        <v>1118</v>
      </c>
      <c r="K172" s="94" t="s">
        <v>1119</v>
      </c>
      <c r="L172" s="94" t="s">
        <v>463</v>
      </c>
      <c r="M172" s="89" t="s">
        <v>1120</v>
      </c>
      <c r="N172" s="99">
        <f t="shared" si="19"/>
        <v>0.21811342592592584</v>
      </c>
      <c r="O172" s="89" t="s">
        <v>1095</v>
      </c>
      <c r="P172" s="101">
        <f t="shared" si="21"/>
        <v>963</v>
      </c>
      <c r="Q172" s="101">
        <v>7</v>
      </c>
      <c r="R172" s="105">
        <f t="shared" si="20"/>
        <v>46512.9</v>
      </c>
      <c r="S172" s="93" t="s">
        <v>42</v>
      </c>
      <c r="T172" s="101" t="s">
        <v>43</v>
      </c>
      <c r="U172" s="101" t="s">
        <v>43</v>
      </c>
      <c r="V172" s="93" t="s">
        <v>43</v>
      </c>
      <c r="W172" s="115">
        <v>3.1250000000000002E-3</v>
      </c>
      <c r="X172" s="115">
        <v>2.662037037037037E-3</v>
      </c>
      <c r="Y172" s="115">
        <v>2.3148148148148147E-3</v>
      </c>
      <c r="Z172" s="101"/>
      <c r="AA172" s="101"/>
      <c r="AB172" s="101"/>
      <c r="AC172" s="101"/>
      <c r="AD172" s="93"/>
      <c r="AE172" s="101"/>
      <c r="AF172" s="124"/>
      <c r="AG172" s="129"/>
    </row>
    <row r="173" spans="1:33" ht="65.099999999999994" customHeight="1">
      <c r="A173" s="89" t="s">
        <v>974</v>
      </c>
      <c r="B173" s="94">
        <v>169</v>
      </c>
      <c r="C173" s="94">
        <v>7</v>
      </c>
      <c r="D173" s="94">
        <v>10</v>
      </c>
      <c r="E173" s="89" t="s">
        <v>1121</v>
      </c>
      <c r="F173" s="89" t="s">
        <v>1122</v>
      </c>
      <c r="G173" s="89" t="s">
        <v>1123</v>
      </c>
      <c r="H173" s="89" t="s">
        <v>1124</v>
      </c>
      <c r="I173" s="94">
        <v>4</v>
      </c>
      <c r="J173" s="89" t="s">
        <v>1125</v>
      </c>
      <c r="K173" s="94" t="s">
        <v>1126</v>
      </c>
      <c r="L173" s="94" t="s">
        <v>233</v>
      </c>
      <c r="M173" s="89" t="s">
        <v>1127</v>
      </c>
      <c r="N173" s="99">
        <f t="shared" si="19"/>
        <v>0.22019675925925916</v>
      </c>
      <c r="O173" s="89" t="s">
        <v>1095</v>
      </c>
      <c r="P173" s="101">
        <f t="shared" si="21"/>
        <v>973</v>
      </c>
      <c r="Q173" s="101">
        <v>10</v>
      </c>
      <c r="R173" s="105">
        <f t="shared" si="20"/>
        <v>47482.400000000001</v>
      </c>
      <c r="S173" s="93" t="s">
        <v>42</v>
      </c>
      <c r="T173" s="101" t="s">
        <v>43</v>
      </c>
      <c r="U173" s="101" t="s">
        <v>43</v>
      </c>
      <c r="V173" s="93" t="s">
        <v>43</v>
      </c>
      <c r="W173" s="115">
        <v>3.9930555555555552E-3</v>
      </c>
      <c r="X173" s="115">
        <v>3.0671296296296297E-3</v>
      </c>
      <c r="Y173" s="115">
        <v>2.0833333333333333E-3</v>
      </c>
      <c r="Z173" s="101"/>
      <c r="AA173" s="101"/>
      <c r="AB173" s="101"/>
      <c r="AC173" s="101"/>
      <c r="AD173" s="93"/>
      <c r="AE173" s="101"/>
      <c r="AF173" s="124"/>
      <c r="AG173" s="129"/>
    </row>
    <row r="174" spans="1:33" ht="65.099999999999994" customHeight="1">
      <c r="A174" s="89" t="s">
        <v>974</v>
      </c>
      <c r="B174" s="94">
        <v>170</v>
      </c>
      <c r="C174" s="94">
        <v>6</v>
      </c>
      <c r="D174" s="94">
        <v>10</v>
      </c>
      <c r="E174" s="89" t="s">
        <v>1128</v>
      </c>
      <c r="F174" s="89" t="s">
        <v>1129</v>
      </c>
      <c r="G174" s="89" t="s">
        <v>1130</v>
      </c>
      <c r="H174" s="89" t="s">
        <v>1131</v>
      </c>
      <c r="I174" s="94">
        <v>6</v>
      </c>
      <c r="J174" s="89" t="s">
        <v>1132</v>
      </c>
      <c r="K174" s="94" t="s">
        <v>1133</v>
      </c>
      <c r="L174" s="94" t="s">
        <v>1006</v>
      </c>
      <c r="M174" s="89" t="s">
        <v>1134</v>
      </c>
      <c r="N174" s="99">
        <f t="shared" si="19"/>
        <v>0.22274305555555546</v>
      </c>
      <c r="O174" s="89" t="s">
        <v>1095</v>
      </c>
      <c r="P174" s="101">
        <f t="shared" si="21"/>
        <v>982</v>
      </c>
      <c r="Q174" s="101">
        <v>9</v>
      </c>
      <c r="R174" s="105">
        <f t="shared" si="20"/>
        <v>48363.5</v>
      </c>
      <c r="S174" s="93" t="s">
        <v>42</v>
      </c>
      <c r="T174" s="101" t="s">
        <v>43</v>
      </c>
      <c r="U174" s="101" t="s">
        <v>43</v>
      </c>
      <c r="V174" s="93" t="s">
        <v>43</v>
      </c>
      <c r="W174" s="115">
        <v>4.1087962962962962E-3</v>
      </c>
      <c r="X174" s="115">
        <v>3.3564814814814816E-3</v>
      </c>
      <c r="Y174" s="115">
        <v>2.5462962962962965E-3</v>
      </c>
      <c r="Z174" s="101"/>
      <c r="AA174" s="101"/>
      <c r="AB174" s="101"/>
      <c r="AC174" s="101"/>
      <c r="AD174" s="93"/>
      <c r="AE174" s="101"/>
      <c r="AF174" s="124"/>
      <c r="AG174" s="129"/>
    </row>
    <row r="175" spans="1:33" ht="65.099999999999994" customHeight="1">
      <c r="A175" s="89" t="s">
        <v>974</v>
      </c>
      <c r="B175" s="94">
        <v>171</v>
      </c>
      <c r="C175" s="94">
        <v>1</v>
      </c>
      <c r="D175" s="94">
        <v>10</v>
      </c>
      <c r="E175" s="89" t="s">
        <v>1135</v>
      </c>
      <c r="F175" s="89" t="s">
        <v>1136</v>
      </c>
      <c r="G175" s="89" t="s">
        <v>1137</v>
      </c>
      <c r="H175" s="89" t="s">
        <v>1138</v>
      </c>
      <c r="I175" s="94">
        <v>1</v>
      </c>
      <c r="J175" s="89" t="s">
        <v>1139</v>
      </c>
      <c r="K175" s="94" t="s">
        <v>38</v>
      </c>
      <c r="L175" s="94" t="s">
        <v>117</v>
      </c>
      <c r="M175" s="89" t="s">
        <v>1140</v>
      </c>
      <c r="N175" s="99">
        <f t="shared" si="19"/>
        <v>0.22413194444444434</v>
      </c>
      <c r="O175" s="89" t="s">
        <v>1141</v>
      </c>
      <c r="P175" s="101">
        <f t="shared" si="21"/>
        <v>987</v>
      </c>
      <c r="Q175" s="101">
        <v>5</v>
      </c>
      <c r="R175" s="105">
        <f t="shared" si="20"/>
        <v>48856.5</v>
      </c>
      <c r="S175" s="93" t="s">
        <v>42</v>
      </c>
      <c r="T175" s="101" t="s">
        <v>43</v>
      </c>
      <c r="U175" s="101" t="s">
        <v>43</v>
      </c>
      <c r="V175" s="93" t="s">
        <v>43</v>
      </c>
      <c r="W175" s="115">
        <v>1.6203703703703703E-3</v>
      </c>
      <c r="X175" s="115">
        <v>1.5046296296296296E-3</v>
      </c>
      <c r="Y175" s="115">
        <v>1.3888888888888889E-3</v>
      </c>
      <c r="Z175" s="101"/>
      <c r="AA175" s="101"/>
      <c r="AB175" s="101"/>
      <c r="AC175" s="101"/>
      <c r="AD175" s="93"/>
      <c r="AE175" s="101"/>
      <c r="AF175" s="124" t="s">
        <v>1317</v>
      </c>
      <c r="AG175" s="129"/>
    </row>
    <row r="176" spans="1:33" ht="65.099999999999994" customHeight="1">
      <c r="A176" s="89" t="s">
        <v>974</v>
      </c>
      <c r="B176" s="94">
        <v>172</v>
      </c>
      <c r="C176" s="94">
        <v>1</v>
      </c>
      <c r="D176" s="94">
        <v>10</v>
      </c>
      <c r="E176" s="89" t="s">
        <v>1142</v>
      </c>
      <c r="F176" s="89" t="s">
        <v>1143</v>
      </c>
      <c r="G176" s="89" t="s">
        <v>1144</v>
      </c>
      <c r="H176" s="89" t="s">
        <v>1145</v>
      </c>
      <c r="I176" s="94">
        <v>4</v>
      </c>
      <c r="J176" s="89" t="s">
        <v>1146</v>
      </c>
      <c r="K176" s="94" t="s">
        <v>38</v>
      </c>
      <c r="L176" s="94" t="s">
        <v>170</v>
      </c>
      <c r="M176" s="89" t="s">
        <v>1147</v>
      </c>
      <c r="N176" s="99">
        <f t="shared" si="19"/>
        <v>0.22586805555555545</v>
      </c>
      <c r="O176" s="89" t="s">
        <v>1141</v>
      </c>
      <c r="P176" s="101">
        <f t="shared" si="21"/>
        <v>992</v>
      </c>
      <c r="Q176" s="101">
        <v>5</v>
      </c>
      <c r="R176" s="105">
        <f t="shared" si="20"/>
        <v>49352</v>
      </c>
      <c r="S176" s="93" t="s">
        <v>42</v>
      </c>
      <c r="T176" s="101" t="s">
        <v>43</v>
      </c>
      <c r="U176" s="101" t="s">
        <v>43</v>
      </c>
      <c r="V176" s="93" t="s">
        <v>43</v>
      </c>
      <c r="W176" s="115">
        <v>2.0254629629629629E-3</v>
      </c>
      <c r="X176" s="115">
        <v>1.8518518518518519E-3</v>
      </c>
      <c r="Y176" s="115">
        <v>1.736111111111111E-3</v>
      </c>
      <c r="Z176" s="101"/>
      <c r="AA176" s="101"/>
      <c r="AB176" s="101"/>
      <c r="AC176" s="101"/>
      <c r="AD176" s="93"/>
      <c r="AE176" s="101"/>
      <c r="AF176" s="124"/>
      <c r="AG176" s="129"/>
    </row>
    <row r="177" spans="1:33" ht="65.099999999999994" customHeight="1">
      <c r="A177" s="89" t="s">
        <v>974</v>
      </c>
      <c r="B177" s="94">
        <v>173</v>
      </c>
      <c r="C177" s="94">
        <v>1</v>
      </c>
      <c r="D177" s="94">
        <v>9</v>
      </c>
      <c r="E177" s="89" t="s">
        <v>1148</v>
      </c>
      <c r="F177" s="89" t="s">
        <v>1143</v>
      </c>
      <c r="G177" s="89" t="s">
        <v>1149</v>
      </c>
      <c r="H177" s="89" t="s">
        <v>1150</v>
      </c>
      <c r="I177" s="94">
        <v>5</v>
      </c>
      <c r="J177" s="89" t="s">
        <v>1146</v>
      </c>
      <c r="K177" s="94" t="s">
        <v>38</v>
      </c>
      <c r="L177" s="94" t="s">
        <v>623</v>
      </c>
      <c r="M177" s="89" t="s">
        <v>1147</v>
      </c>
      <c r="N177" s="99">
        <f t="shared" si="19"/>
        <v>0.22864583333333321</v>
      </c>
      <c r="O177" s="89" t="s">
        <v>1141</v>
      </c>
      <c r="P177" s="101">
        <f t="shared" si="21"/>
        <v>996</v>
      </c>
      <c r="Q177" s="101">
        <v>4</v>
      </c>
      <c r="R177" s="105">
        <f t="shared" si="20"/>
        <v>49750.2</v>
      </c>
      <c r="S177" s="93" t="s">
        <v>42</v>
      </c>
      <c r="T177" s="101" t="s">
        <v>43</v>
      </c>
      <c r="U177" s="101" t="s">
        <v>43</v>
      </c>
      <c r="V177" s="93" t="s">
        <v>43</v>
      </c>
      <c r="W177" s="115">
        <v>3.2407407407407406E-3</v>
      </c>
      <c r="X177" s="115">
        <v>2.9513888888888888E-3</v>
      </c>
      <c r="Y177" s="115">
        <v>2.7777777777777779E-3</v>
      </c>
      <c r="Z177" s="101"/>
      <c r="AA177" s="101"/>
      <c r="AB177" s="101"/>
      <c r="AC177" s="101"/>
      <c r="AD177" s="93"/>
      <c r="AE177" s="101" t="s">
        <v>1331</v>
      </c>
      <c r="AF177" s="124"/>
      <c r="AG177" s="129"/>
    </row>
    <row r="178" spans="1:33" ht="65.099999999999994" customHeight="1">
      <c r="A178" s="89" t="s">
        <v>974</v>
      </c>
      <c r="B178" s="94">
        <v>174</v>
      </c>
      <c r="C178" s="94">
        <v>1</v>
      </c>
      <c r="D178" s="94">
        <v>9</v>
      </c>
      <c r="E178" s="89" t="s">
        <v>1151</v>
      </c>
      <c r="F178" s="89" t="s">
        <v>1152</v>
      </c>
      <c r="G178" s="89" t="s">
        <v>1153</v>
      </c>
      <c r="H178" s="89" t="s">
        <v>1154</v>
      </c>
      <c r="I178" s="94">
        <v>1</v>
      </c>
      <c r="J178" s="89" t="s">
        <v>1155</v>
      </c>
      <c r="K178" s="94" t="s">
        <v>38</v>
      </c>
      <c r="L178" s="94" t="s">
        <v>233</v>
      </c>
      <c r="M178" s="89" t="s">
        <v>1156</v>
      </c>
      <c r="N178" s="99">
        <f t="shared" si="19"/>
        <v>0.23072916666666654</v>
      </c>
      <c r="O178" s="89" t="s">
        <v>1141</v>
      </c>
      <c r="P178" s="101">
        <f t="shared" si="21"/>
        <v>1000</v>
      </c>
      <c r="Q178" s="101">
        <v>4</v>
      </c>
      <c r="R178" s="105">
        <f t="shared" si="20"/>
        <v>50150</v>
      </c>
      <c r="S178" s="93" t="s">
        <v>42</v>
      </c>
      <c r="T178" s="101" t="s">
        <v>43</v>
      </c>
      <c r="U178" s="101" t="s">
        <v>43</v>
      </c>
      <c r="V178" s="93" t="s">
        <v>43</v>
      </c>
      <c r="W178" s="115">
        <v>2.4305555555555556E-3</v>
      </c>
      <c r="X178" s="115">
        <v>2.1990740740740742E-3</v>
      </c>
      <c r="Y178" s="115">
        <v>2.0833333333333333E-3</v>
      </c>
      <c r="Z178" s="101"/>
      <c r="AA178" s="101"/>
      <c r="AB178" s="101"/>
      <c r="AC178" s="101"/>
      <c r="AD178" s="93"/>
      <c r="AE178" s="101"/>
      <c r="AF178" s="124"/>
      <c r="AG178" s="129"/>
    </row>
    <row r="179" spans="1:33">
      <c r="AF179" s="79"/>
      <c r="AG179" s="79"/>
    </row>
  </sheetData>
  <phoneticPr fontId="12" type="noConversion"/>
  <conditionalFormatting sqref="A4:A123">
    <cfRule type="colorScale" priority="113">
      <colorScale>
        <cfvo type="min"/>
        <cfvo type="max"/>
        <color rgb="FF9BCFD9"/>
        <color rgb="FFC6A5CB"/>
      </colorScale>
    </cfRule>
    <cfRule type="colorScale" priority="114">
      <colorScale>
        <cfvo type="min"/>
        <cfvo type="max"/>
        <color rgb="FF63BE7B"/>
        <color rgb="FFFCFCFF"/>
      </colorScale>
    </cfRule>
    <cfRule type="colorScale" priority="1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:I123">
    <cfRule type="dataBar" priority="109">
      <dataBar>
        <cfvo type="min"/>
        <cfvo type="max"/>
        <color rgb="FF315F97"/>
      </dataBar>
      <extLst>
        <ext xmlns:x14="http://schemas.microsoft.com/office/spreadsheetml/2009/9/main" uri="{B025F937-C7B1-47D3-B67F-A62EFF666E3E}">
          <x14:id>{9282DF2E-981F-4A15-AFFF-7957F15C6CEB}</x14:id>
        </ext>
      </extLst>
    </cfRule>
  </conditionalFormatting>
  <conditionalFormatting sqref="D1:D1048574">
    <cfRule type="iconSet" priority="102">
      <iconSet iconSet="4TrafficLights">
        <cfvo type="percent" val="0"/>
        <cfvo type="percent" val="25"/>
        <cfvo type="percent" val="50"/>
        <cfvo type="percent" val="75"/>
      </iconSet>
    </cfRule>
    <cfRule type="iconSet" priority="107">
      <iconSet iconSet="3Signs">
        <cfvo type="percent" val="0"/>
        <cfvo type="percent" val="33"/>
        <cfvo type="percent" val="67"/>
      </iconSet>
    </cfRule>
  </conditionalFormatting>
  <conditionalFormatting sqref="C1:C1048574">
    <cfRule type="iconSet" priority="10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I124:I153">
    <cfRule type="dataBar" priority="2">
      <dataBar>
        <cfvo type="min"/>
        <cfvo type="max"/>
        <color rgb="FF315F97"/>
      </dataBar>
      <extLst>
        <ext xmlns:x14="http://schemas.microsoft.com/office/spreadsheetml/2009/9/main" uri="{B025F937-C7B1-47D3-B67F-A62EFF666E3E}">
          <x14:id>{A3442C03-EDD5-4FD0-8F0F-B8AF1DC6810A}</x14:id>
        </ext>
      </extLst>
    </cfRule>
  </conditionalFormatting>
  <conditionalFormatting sqref="I5:I123">
    <cfRule type="dataBar" priority="119">
      <dataBar>
        <cfvo type="min"/>
        <cfvo type="max"/>
        <color rgb="FF315F97"/>
      </dataBar>
      <extLst>
        <ext xmlns:x14="http://schemas.microsoft.com/office/spreadsheetml/2009/9/main" uri="{B025F937-C7B1-47D3-B67F-A62EFF666E3E}">
          <x14:id>{08142C74-489B-4AD4-82B9-36601E0814DB}</x14:id>
        </ext>
      </extLst>
    </cfRule>
  </conditionalFormatting>
  <conditionalFormatting sqref="I124:I153">
    <cfRule type="dataBar" priority="120">
      <dataBar>
        <cfvo type="min"/>
        <cfvo type="max"/>
        <color rgb="FF315F97"/>
      </dataBar>
      <extLst>
        <ext xmlns:x14="http://schemas.microsoft.com/office/spreadsheetml/2009/9/main" uri="{B025F937-C7B1-47D3-B67F-A62EFF666E3E}">
          <x14:id>{E5178FC2-0365-4D85-8C68-ED8CD7F3D05E}</x14:id>
        </ext>
      </extLst>
    </cfRule>
  </conditionalFormatting>
  <conditionalFormatting sqref="I5:I123">
    <cfRule type="dataBar" priority="121">
      <dataBar>
        <cfvo type="min"/>
        <cfvo type="max"/>
        <color rgb="FF315F97"/>
      </dataBar>
      <extLst>
        <ext xmlns:x14="http://schemas.microsoft.com/office/spreadsheetml/2009/9/main" uri="{B025F937-C7B1-47D3-B67F-A62EFF666E3E}">
          <x14:id>{90E3DA20-DB1F-438C-96A8-9F072608D363}</x14:id>
        </ext>
      </extLst>
    </cfRule>
  </conditionalFormatting>
  <conditionalFormatting sqref="I124:I153">
    <cfRule type="dataBar" priority="122">
      <dataBar>
        <cfvo type="min"/>
        <cfvo type="max"/>
        <color rgb="FF315F97"/>
      </dataBar>
      <extLst>
        <ext xmlns:x14="http://schemas.microsoft.com/office/spreadsheetml/2009/9/main" uri="{B025F937-C7B1-47D3-B67F-A62EFF666E3E}">
          <x14:id>{701CFFA1-8296-455D-8A5E-353E135FB98A}</x14:id>
        </ext>
      </extLst>
    </cfRule>
  </conditionalFormatting>
  <conditionalFormatting sqref="I5:I123">
    <cfRule type="dataBar" priority="123">
      <dataBar>
        <cfvo type="min"/>
        <cfvo type="max"/>
        <color rgb="FF315F97"/>
      </dataBar>
      <extLst>
        <ext xmlns:x14="http://schemas.microsoft.com/office/spreadsheetml/2009/9/main" uri="{B025F937-C7B1-47D3-B67F-A62EFF666E3E}">
          <x14:id>{4A88F091-4320-4919-A1F5-526116C511B5}</x14:id>
        </ext>
      </extLst>
    </cfRule>
  </conditionalFormatting>
  <conditionalFormatting sqref="I124:I153">
    <cfRule type="dataBar" priority="124">
      <dataBar>
        <cfvo type="min"/>
        <cfvo type="max"/>
        <color rgb="FF315F97"/>
      </dataBar>
      <extLst>
        <ext xmlns:x14="http://schemas.microsoft.com/office/spreadsheetml/2009/9/main" uri="{B025F937-C7B1-47D3-B67F-A62EFF666E3E}">
          <x14:id>{B84E9321-CC9F-4F24-9A37-661E39FBBE81}</x14:id>
        </ext>
      </extLst>
    </cfRule>
  </conditionalFormatting>
  <conditionalFormatting sqref="I5:I17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{19A8610D-CD6C-4E45-B5EF-CEDC59DDFA4B}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82DF2E-981F-4A15-AFFF-7957F15C6CEB}">
            <x14:dataBar minLength="0" maxLength="100" gradient="0">
              <x14:cfvo type="autoMin"/>
              <x14:cfvo type="autoMax"/>
              <x14:negativeFillColor rgb="FFFF0000"/>
              <x14:axisColor rgb="FFFFFFFF"/>
            </x14:dataBar>
          </x14:cfRule>
          <xm:sqref>I5:I123</xm:sqref>
        </x14:conditionalFormatting>
        <x14:conditionalFormatting xmlns:xm="http://schemas.microsoft.com/office/excel/2006/main">
          <x14:cfRule type="dataBar" id="{A3442C03-EDD5-4FD0-8F0F-B8AF1DC6810A}">
            <x14:dataBar minLength="0" maxLength="100" gradient="0">
              <x14:cfvo type="autoMin"/>
              <x14:cfvo type="autoMax"/>
              <x14:negativeFillColor rgb="FFFF0000"/>
              <x14:axisColor rgb="FFFFFFFF"/>
            </x14:dataBar>
          </x14:cfRule>
          <xm:sqref>I124:I153</xm:sqref>
        </x14:conditionalFormatting>
        <x14:conditionalFormatting xmlns:xm="http://schemas.microsoft.com/office/excel/2006/main">
          <x14:cfRule type="dataBar" id="{08142C74-489B-4AD4-82B9-36601E0814DB}">
            <x14:dataBar minLength="0" maxLength="100" gradient="0">
              <x14:cfvo type="autoMin"/>
              <x14:cfvo type="autoMax"/>
              <x14:negativeFillColor rgb="FFFF0000"/>
              <x14:axisColor rgb="FFFFFFFF"/>
            </x14:dataBar>
          </x14:cfRule>
          <xm:sqref>I5:I123</xm:sqref>
        </x14:conditionalFormatting>
        <x14:conditionalFormatting xmlns:xm="http://schemas.microsoft.com/office/excel/2006/main">
          <x14:cfRule type="dataBar" id="{E5178FC2-0365-4D85-8C68-ED8CD7F3D05E}">
            <x14:dataBar minLength="0" maxLength="100" gradient="0">
              <x14:cfvo type="autoMin"/>
              <x14:cfvo type="autoMax"/>
              <x14:negativeFillColor rgb="FFFF0000"/>
              <x14:axisColor rgb="FFFFFFFF"/>
            </x14:dataBar>
          </x14:cfRule>
          <xm:sqref>I124:I153</xm:sqref>
        </x14:conditionalFormatting>
        <x14:conditionalFormatting xmlns:xm="http://schemas.microsoft.com/office/excel/2006/main">
          <x14:cfRule type="dataBar" id="{90E3DA20-DB1F-438C-96A8-9F072608D363}">
            <x14:dataBar minLength="0" maxLength="100" gradient="0">
              <x14:cfvo type="autoMin"/>
              <x14:cfvo type="autoMax"/>
              <x14:negativeFillColor rgb="FFFF0000"/>
              <x14:axisColor rgb="FFFFFFFF"/>
            </x14:dataBar>
          </x14:cfRule>
          <xm:sqref>I5:I123</xm:sqref>
        </x14:conditionalFormatting>
        <x14:conditionalFormatting xmlns:xm="http://schemas.microsoft.com/office/excel/2006/main">
          <x14:cfRule type="dataBar" id="{701CFFA1-8296-455D-8A5E-353E135FB98A}">
            <x14:dataBar minLength="0" maxLength="100" gradient="0">
              <x14:cfvo type="autoMin"/>
              <x14:cfvo type="autoMax"/>
              <x14:negativeFillColor rgb="FFFF0000"/>
              <x14:axisColor rgb="FFFFFFFF"/>
            </x14:dataBar>
          </x14:cfRule>
          <xm:sqref>I124:I153</xm:sqref>
        </x14:conditionalFormatting>
        <x14:conditionalFormatting xmlns:xm="http://schemas.microsoft.com/office/excel/2006/main">
          <x14:cfRule type="dataBar" id="{4A88F091-4320-4919-A1F5-526116C511B5}">
            <x14:dataBar minLength="0" maxLength="100" gradient="0">
              <x14:cfvo type="autoMin"/>
              <x14:cfvo type="autoMax"/>
              <x14:negativeFillColor rgb="FFFF0000"/>
              <x14:axisColor rgb="FFFFFFFF"/>
            </x14:dataBar>
          </x14:cfRule>
          <xm:sqref>I5:I123</xm:sqref>
        </x14:conditionalFormatting>
        <x14:conditionalFormatting xmlns:xm="http://schemas.microsoft.com/office/excel/2006/main">
          <x14:cfRule type="dataBar" id="{B84E9321-CC9F-4F24-9A37-661E39FBBE81}">
            <x14:dataBar minLength="0" maxLength="100" gradient="0">
              <x14:cfvo type="autoMin"/>
              <x14:cfvo type="autoMax"/>
              <x14:negativeFillColor rgb="FFFF0000"/>
              <x14:axisColor rgb="FFFFFFFF"/>
            </x14:dataBar>
          </x14:cfRule>
          <xm:sqref>I124:I153</xm:sqref>
        </x14:conditionalFormatting>
        <x14:conditionalFormatting xmlns:xm="http://schemas.microsoft.com/office/excel/2006/main">
          <x14:cfRule type="dataBar" id="{19A8610D-CD6C-4E45-B5EF-CEDC59DDFA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I5:I178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0"/>
  <sheetViews>
    <sheetView workbookViewId="0"/>
  </sheetViews>
  <sheetFormatPr defaultColWidth="9" defaultRowHeight="12"/>
  <cols>
    <col min="1" max="52" width="4.25" style="17" customWidth="1"/>
    <col min="53" max="16384" width="9" style="17"/>
  </cols>
  <sheetData>
    <row r="1" spans="1:22" ht="18" customHeight="1">
      <c r="A1" s="16"/>
    </row>
    <row r="2" spans="1:22" ht="18" customHeight="1">
      <c r="A2" s="18"/>
      <c r="B2" s="153" t="s">
        <v>1157</v>
      </c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P2" s="153"/>
      <c r="Q2" s="153"/>
      <c r="R2" s="153"/>
      <c r="S2" s="153"/>
      <c r="T2" s="153"/>
      <c r="U2" s="153"/>
      <c r="V2" s="153"/>
    </row>
    <row r="3" spans="1:22" ht="18" customHeight="1"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  <c r="P3" s="153"/>
      <c r="Q3" s="153"/>
      <c r="R3" s="153"/>
      <c r="S3" s="153"/>
      <c r="T3" s="153"/>
      <c r="U3" s="153"/>
      <c r="V3" s="153"/>
    </row>
    <row r="4" spans="1:22" ht="18" customHeight="1">
      <c r="B4" s="153" t="s">
        <v>1158</v>
      </c>
      <c r="C4" s="153"/>
      <c r="D4" s="153"/>
      <c r="E4" s="153"/>
      <c r="F4" s="153"/>
      <c r="G4" s="153"/>
      <c r="H4" s="153"/>
      <c r="I4" s="153"/>
      <c r="J4" s="153"/>
      <c r="K4" s="153"/>
      <c r="L4" s="153"/>
      <c r="M4" s="153"/>
      <c r="N4" s="153"/>
      <c r="O4" s="153"/>
      <c r="P4" s="153"/>
      <c r="Q4" s="153"/>
      <c r="R4" s="153"/>
      <c r="S4" s="153"/>
      <c r="T4" s="153"/>
      <c r="U4" s="153"/>
      <c r="V4" s="153"/>
    </row>
    <row r="5" spans="1:22" ht="18" customHeight="1">
      <c r="B5" s="153"/>
      <c r="C5" s="153"/>
      <c r="D5" s="153"/>
      <c r="E5" s="153"/>
      <c r="F5" s="153"/>
      <c r="G5" s="153"/>
      <c r="H5" s="153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53"/>
      <c r="T5" s="153"/>
      <c r="U5" s="153"/>
      <c r="V5" s="153"/>
    </row>
    <row r="6" spans="1:22" ht="18" customHeight="1"/>
    <row r="7" spans="1:22" ht="18" customHeight="1"/>
    <row r="8" spans="1:22" ht="18" customHeight="1"/>
    <row r="9" spans="1:22" ht="18" customHeight="1"/>
    <row r="10" spans="1:22" ht="18" customHeight="1"/>
    <row r="11" spans="1:22" ht="18" customHeight="1"/>
    <row r="12" spans="1:22" ht="18" customHeight="1"/>
    <row r="13" spans="1:22" ht="18" customHeight="1"/>
    <row r="14" spans="1:22" ht="18" customHeight="1"/>
    <row r="15" spans="1:22" ht="18" customHeight="1"/>
    <row r="16" spans="1:22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spans="1:1" ht="18" customHeight="1"/>
    <row r="50" spans="1:1" ht="18" customHeight="1"/>
    <row r="51" spans="1:1" ht="18" customHeight="1"/>
    <row r="52" spans="1:1" ht="18" customHeight="1"/>
    <row r="53" spans="1:1" ht="18" customHeight="1"/>
    <row r="54" spans="1:1" ht="18" customHeight="1"/>
    <row r="55" spans="1:1" ht="18" customHeight="1"/>
    <row r="56" spans="1:1" ht="18" customHeight="1">
      <c r="A56" s="19"/>
    </row>
    <row r="57" spans="1:1" ht="18" customHeight="1"/>
    <row r="58" spans="1:1" ht="18" customHeight="1"/>
    <row r="59" spans="1:1" ht="18" customHeight="1"/>
    <row r="60" spans="1:1" ht="18" customHeight="1"/>
    <row r="61" spans="1:1" ht="18" customHeight="1"/>
    <row r="62" spans="1:1" ht="18" customHeight="1"/>
    <row r="63" spans="1:1" ht="18" customHeight="1"/>
    <row r="64" spans="1:1" ht="18" customHeight="1"/>
    <row r="65" spans="2:26" ht="18" customHeight="1"/>
    <row r="66" spans="2:26" ht="18" customHeight="1"/>
    <row r="67" spans="2:26" ht="18" customHeight="1"/>
    <row r="68" spans="2:26" ht="18" customHeight="1"/>
    <row r="69" spans="2:26" ht="18" customHeight="1"/>
    <row r="70" spans="2:26" ht="18" customHeight="1">
      <c r="B70" s="153" t="s">
        <v>1159</v>
      </c>
      <c r="C70" s="153"/>
      <c r="D70" s="153"/>
      <c r="E70" s="153"/>
      <c r="F70" s="153"/>
      <c r="G70" s="153"/>
      <c r="H70" s="153"/>
      <c r="I70" s="153"/>
      <c r="J70" s="153"/>
      <c r="K70" s="153"/>
      <c r="L70" s="153"/>
      <c r="M70" s="153"/>
      <c r="N70" s="153"/>
      <c r="O70" s="153"/>
      <c r="P70" s="153"/>
      <c r="Q70" s="153"/>
      <c r="R70" s="153"/>
      <c r="S70" s="153"/>
      <c r="T70" s="153"/>
      <c r="U70" s="153"/>
      <c r="V70" s="153"/>
      <c r="W70" s="153"/>
      <c r="X70" s="153"/>
      <c r="Y70" s="153"/>
      <c r="Z70" s="153"/>
    </row>
    <row r="71" spans="2:26" ht="18" customHeight="1">
      <c r="B71" s="153"/>
      <c r="C71" s="153"/>
      <c r="D71" s="153"/>
      <c r="E71" s="153"/>
      <c r="F71" s="153"/>
      <c r="G71" s="153"/>
      <c r="H71" s="153"/>
      <c r="I71" s="153"/>
      <c r="J71" s="153"/>
      <c r="K71" s="153"/>
      <c r="L71" s="153"/>
      <c r="M71" s="153"/>
      <c r="N71" s="153"/>
      <c r="O71" s="153"/>
      <c r="P71" s="153"/>
      <c r="Q71" s="153"/>
      <c r="R71" s="153"/>
      <c r="S71" s="153"/>
      <c r="T71" s="153"/>
      <c r="U71" s="153"/>
      <c r="V71" s="153"/>
      <c r="W71" s="153"/>
      <c r="X71" s="153"/>
      <c r="Y71" s="153"/>
      <c r="Z71" s="153"/>
    </row>
    <row r="72" spans="2:26" ht="18" customHeight="1">
      <c r="B72" s="153"/>
      <c r="C72" s="153"/>
      <c r="D72" s="153"/>
      <c r="E72" s="153"/>
      <c r="F72" s="153"/>
      <c r="G72" s="153"/>
      <c r="H72" s="153"/>
      <c r="I72" s="153"/>
      <c r="J72" s="153"/>
      <c r="K72" s="153"/>
      <c r="L72" s="153"/>
      <c r="M72" s="153"/>
      <c r="N72" s="153"/>
      <c r="O72" s="153"/>
      <c r="P72" s="153"/>
      <c r="Q72" s="153"/>
      <c r="R72" s="153"/>
      <c r="S72" s="153"/>
      <c r="T72" s="153"/>
      <c r="U72" s="153"/>
      <c r="V72" s="153"/>
      <c r="W72" s="153"/>
      <c r="X72" s="153"/>
      <c r="Y72" s="153"/>
      <c r="Z72" s="153"/>
    </row>
    <row r="73" spans="2:26" ht="18" customHeight="1"/>
    <row r="74" spans="2:26" ht="18" customHeight="1"/>
    <row r="75" spans="2:26" ht="18" customHeight="1"/>
    <row r="76" spans="2:26" ht="18" customHeight="1"/>
    <row r="77" spans="2:26" ht="18" customHeight="1"/>
    <row r="78" spans="2:26" ht="18" customHeight="1"/>
    <row r="79" spans="2:26" ht="18" customHeight="1"/>
    <row r="80" spans="2:26" ht="18" customHeight="1"/>
  </sheetData>
  <mergeCells count="3">
    <mergeCell ref="B2:V3"/>
    <mergeCell ref="B4:V5"/>
    <mergeCell ref="B70:Z72"/>
  </mergeCells>
  <phoneticPr fontId="1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/>
  </sheetViews>
  <sheetFormatPr defaultColWidth="8.875" defaultRowHeight="14.25"/>
  <cols>
    <col min="1" max="1" width="23" customWidth="1"/>
    <col min="2" max="2" width="42" customWidth="1"/>
    <col min="3" max="3" width="22" customWidth="1"/>
    <col min="4" max="4" width="50" customWidth="1"/>
  </cols>
  <sheetData>
    <row r="1" spans="1:4">
      <c r="A1" s="154" t="s">
        <v>1160</v>
      </c>
      <c r="B1" s="154"/>
      <c r="C1" s="154"/>
      <c r="D1" s="154"/>
    </row>
    <row r="3" spans="1:4">
      <c r="A3" s="1" t="s">
        <v>1161</v>
      </c>
      <c r="B3" s="2" t="s">
        <v>1162</v>
      </c>
      <c r="C3" s="2" t="s">
        <v>1163</v>
      </c>
      <c r="D3" s="3" t="s">
        <v>1164</v>
      </c>
    </row>
    <row r="4" spans="1:4" ht="57.95" customHeight="1">
      <c r="A4" s="5" t="s">
        <v>1165</v>
      </c>
      <c r="B4" s="6" t="s">
        <v>1166</v>
      </c>
      <c r="C4" s="6" t="s">
        <v>1167</v>
      </c>
      <c r="D4" s="7" t="s">
        <v>1168</v>
      </c>
    </row>
    <row r="5" spans="1:4" ht="57.95" customHeight="1">
      <c r="A5" s="8" t="s">
        <v>1169</v>
      </c>
      <c r="B5" s="4" t="s">
        <v>1170</v>
      </c>
      <c r="C5" s="4" t="s">
        <v>1167</v>
      </c>
      <c r="D5" s="9" t="s">
        <v>1171</v>
      </c>
    </row>
    <row r="6" spans="1:4" ht="57.95" customHeight="1">
      <c r="A6" s="8" t="s">
        <v>1172</v>
      </c>
      <c r="B6" s="4" t="s">
        <v>1173</v>
      </c>
      <c r="C6" s="4" t="s">
        <v>1174</v>
      </c>
      <c r="D6" s="9" t="s">
        <v>1175</v>
      </c>
    </row>
    <row r="7" spans="1:4" ht="57.95" customHeight="1">
      <c r="A7" s="8" t="s">
        <v>1176</v>
      </c>
      <c r="B7" s="4" t="s">
        <v>1177</v>
      </c>
      <c r="C7" s="4" t="s">
        <v>1178</v>
      </c>
      <c r="D7" s="9" t="s">
        <v>1179</v>
      </c>
    </row>
    <row r="8" spans="1:4" ht="57.95" customHeight="1">
      <c r="A8" s="8" t="s">
        <v>1180</v>
      </c>
      <c r="B8" s="4" t="s">
        <v>1181</v>
      </c>
      <c r="C8" s="4" t="s">
        <v>1182</v>
      </c>
      <c r="D8" s="9" t="s">
        <v>1183</v>
      </c>
    </row>
    <row r="9" spans="1:4" ht="57.95" customHeight="1">
      <c r="A9" s="8" t="s">
        <v>1184</v>
      </c>
      <c r="B9" s="4" t="s">
        <v>1185</v>
      </c>
      <c r="C9" s="4" t="s">
        <v>1186</v>
      </c>
      <c r="D9" s="9" t="s">
        <v>1187</v>
      </c>
    </row>
    <row r="10" spans="1:4" ht="57.95" customHeight="1">
      <c r="A10" s="8" t="s">
        <v>1188</v>
      </c>
      <c r="B10" s="4" t="s">
        <v>1189</v>
      </c>
      <c r="C10" s="4" t="s">
        <v>1190</v>
      </c>
      <c r="D10" s="9" t="s">
        <v>1191</v>
      </c>
    </row>
    <row r="11" spans="1:4" ht="57.95" customHeight="1">
      <c r="A11" s="8" t="s">
        <v>1192</v>
      </c>
      <c r="B11" s="4" t="s">
        <v>1193</v>
      </c>
      <c r="C11" s="4" t="s">
        <v>1194</v>
      </c>
      <c r="D11" s="9" t="s">
        <v>1195</v>
      </c>
    </row>
    <row r="12" spans="1:4" ht="57.95" customHeight="1">
      <c r="A12" s="8" t="s">
        <v>1196</v>
      </c>
      <c r="B12" s="4" t="s">
        <v>1197</v>
      </c>
      <c r="C12" s="4" t="s">
        <v>1198</v>
      </c>
      <c r="D12" s="9" t="s">
        <v>1199</v>
      </c>
    </row>
    <row r="13" spans="1:4" ht="57.95" customHeight="1">
      <c r="A13" s="8" t="s">
        <v>1200</v>
      </c>
      <c r="B13" s="4" t="s">
        <v>1201</v>
      </c>
      <c r="C13" s="4" t="s">
        <v>1202</v>
      </c>
      <c r="D13" s="9" t="s">
        <v>1203</v>
      </c>
    </row>
    <row r="14" spans="1:4" ht="57.95" customHeight="1">
      <c r="A14" s="8" t="s">
        <v>1204</v>
      </c>
      <c r="B14" s="4" t="s">
        <v>1205</v>
      </c>
      <c r="C14" s="4" t="s">
        <v>1206</v>
      </c>
      <c r="D14" s="9" t="s">
        <v>1306</v>
      </c>
    </row>
    <row r="15" spans="1:4" ht="57.95" customHeight="1">
      <c r="A15" s="8" t="s">
        <v>1207</v>
      </c>
      <c r="B15" s="4" t="s">
        <v>1208</v>
      </c>
      <c r="C15" s="4" t="s">
        <v>1209</v>
      </c>
      <c r="D15" s="9" t="s">
        <v>1210</v>
      </c>
    </row>
    <row r="16" spans="1:4" ht="57.95" customHeight="1">
      <c r="A16" s="8" t="s">
        <v>1211</v>
      </c>
      <c r="B16" s="4" t="s">
        <v>1212</v>
      </c>
      <c r="C16" s="4" t="s">
        <v>1213</v>
      </c>
      <c r="D16" s="9" t="s">
        <v>1214</v>
      </c>
    </row>
    <row r="17" spans="1:4" ht="57.95" customHeight="1">
      <c r="A17" s="8" t="s">
        <v>1215</v>
      </c>
      <c r="B17" s="4" t="s">
        <v>1216</v>
      </c>
      <c r="C17" s="4" t="s">
        <v>1213</v>
      </c>
      <c r="D17" s="9" t="s">
        <v>1217</v>
      </c>
    </row>
    <row r="18" spans="1:4" ht="57.95" customHeight="1">
      <c r="A18" s="10" t="s">
        <v>1218</v>
      </c>
      <c r="B18" s="11" t="s">
        <v>1219</v>
      </c>
      <c r="C18" s="11" t="s">
        <v>1220</v>
      </c>
      <c r="D18" s="12" t="str">
        <f>"현재 문서에는 총 "&amp;COUNTA('밸런스 문서'!B5:B178)&amp;"개 콘텐츠를 기록"</f>
        <v>현재 문서에는 총 174개 콘텐츠를 기록</v>
      </c>
    </row>
    <row r="19" spans="1:4" ht="54" customHeight="1">
      <c r="A19" s="24" t="s">
        <v>1221</v>
      </c>
      <c r="B19" s="24" t="s">
        <v>1222</v>
      </c>
      <c r="C19" s="24" t="s">
        <v>1223</v>
      </c>
      <c r="D19" s="24" t="s">
        <v>1224</v>
      </c>
    </row>
    <row r="20" spans="1:4" ht="54" customHeight="1">
      <c r="A20" s="24" t="s">
        <v>1225</v>
      </c>
      <c r="B20" s="24" t="s">
        <v>1226</v>
      </c>
      <c r="C20" s="24" t="s">
        <v>1227</v>
      </c>
      <c r="D20" s="24" t="s">
        <v>1228</v>
      </c>
    </row>
    <row r="21" spans="1:4" ht="54" customHeight="1">
      <c r="A21" s="24" t="s">
        <v>1229</v>
      </c>
      <c r="B21" s="24" t="s">
        <v>1230</v>
      </c>
      <c r="C21" s="24" t="s">
        <v>1231</v>
      </c>
      <c r="D21" s="24" t="s">
        <v>1232</v>
      </c>
    </row>
    <row r="22" spans="1:4" ht="54" customHeight="1">
      <c r="A22" s="24" t="s">
        <v>1233</v>
      </c>
      <c r="B22" s="24" t="s">
        <v>1234</v>
      </c>
      <c r="C22" s="24" t="s">
        <v>1235</v>
      </c>
      <c r="D22" s="24" t="s">
        <v>1236</v>
      </c>
    </row>
    <row r="23" spans="1:4" ht="54" customHeight="1">
      <c r="A23" s="24" t="s">
        <v>1237</v>
      </c>
      <c r="B23" s="24" t="s">
        <v>1238</v>
      </c>
      <c r="C23" s="24" t="s">
        <v>1239</v>
      </c>
      <c r="D23" s="24" t="s">
        <v>1240</v>
      </c>
    </row>
    <row r="24" spans="1:4" ht="54" customHeight="1">
      <c r="A24" s="24" t="s">
        <v>28</v>
      </c>
      <c r="B24" s="24" t="s">
        <v>1241</v>
      </c>
      <c r="C24" s="24" t="s">
        <v>1242</v>
      </c>
      <c r="D24" s="24" t="s">
        <v>1243</v>
      </c>
    </row>
    <row r="25" spans="1:4" ht="54" customHeight="1">
      <c r="A25" s="24" t="s">
        <v>1244</v>
      </c>
      <c r="B25" s="24" t="s">
        <v>1245</v>
      </c>
      <c r="C25" s="24" t="s">
        <v>1194</v>
      </c>
      <c r="D25" s="24" t="s">
        <v>1246</v>
      </c>
    </row>
    <row r="26" spans="1:4" ht="54" customHeight="1">
      <c r="A26" s="24" t="s">
        <v>1247</v>
      </c>
      <c r="B26" s="24" t="s">
        <v>1248</v>
      </c>
      <c r="C26" s="24" t="s">
        <v>1249</v>
      </c>
      <c r="D26" s="24" t="s">
        <v>1307</v>
      </c>
    </row>
  </sheetData>
  <mergeCells count="1">
    <mergeCell ref="A1:D1"/>
  </mergeCells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8"/>
  <sheetViews>
    <sheetView workbookViewId="0"/>
  </sheetViews>
  <sheetFormatPr defaultColWidth="8.875" defaultRowHeight="14.25"/>
  <cols>
    <col min="1" max="5" width="20" customWidth="1"/>
    <col min="6" max="10" width="12" customWidth="1"/>
  </cols>
  <sheetData>
    <row r="1" spans="1:10">
      <c r="A1" s="154" t="s">
        <v>1250</v>
      </c>
      <c r="B1" s="154"/>
      <c r="C1" s="154"/>
      <c r="D1" s="154"/>
      <c r="E1" s="154"/>
      <c r="F1" s="154"/>
      <c r="G1" s="154"/>
      <c r="H1" s="154"/>
      <c r="I1" s="154"/>
      <c r="J1" s="154"/>
    </row>
    <row r="3" spans="1:10" ht="32.1" customHeight="1">
      <c r="A3" s="46" t="s">
        <v>1251</v>
      </c>
      <c r="B3" s="47">
        <f>COUNTA('밸런스 문서'!B5:B178)</f>
        <v>174</v>
      </c>
      <c r="C3" s="47" t="s">
        <v>1252</v>
      </c>
      <c r="D3" s="48">
        <f>AVERAGE('밸런스 문서'!C5:C178)</f>
        <v>3.5689655172413794</v>
      </c>
      <c r="E3" s="48" t="s">
        <v>1253</v>
      </c>
      <c r="F3" s="48">
        <f>AVERAGE('밸런스 문서'!D5:D178)</f>
        <v>7.8103448275862073</v>
      </c>
      <c r="G3" s="47" t="s">
        <v>1254</v>
      </c>
      <c r="H3" s="47">
        <f>COUNT('밸런스 문서'!Z5:Z178)</f>
        <v>4</v>
      </c>
      <c r="I3" s="47" t="s">
        <v>1308</v>
      </c>
      <c r="J3" s="61">
        <f>'밸런스 문서'!N178</f>
        <v>0.23072916666666654</v>
      </c>
    </row>
    <row r="4" spans="1:10" ht="15">
      <c r="A4" s="62" t="s">
        <v>4</v>
      </c>
      <c r="B4" s="63" t="s">
        <v>18</v>
      </c>
      <c r="C4" s="63" t="s">
        <v>1221</v>
      </c>
      <c r="D4" s="64" t="s">
        <v>16</v>
      </c>
    </row>
    <row r="5" spans="1:10">
      <c r="A5" s="65">
        <f>'밸런스 문서'!B5</f>
        <v>1</v>
      </c>
      <c r="B5" s="56">
        <f>'밸런스 문서'!P5</f>
        <v>4</v>
      </c>
      <c r="C5" s="49">
        <f>'밸런스 문서'!R5</f>
        <v>1.4</v>
      </c>
      <c r="D5" s="66">
        <f>'밸런스 문서'!N5</f>
        <v>1.0416666666666667E-3</v>
      </c>
      <c r="E5" s="3"/>
    </row>
    <row r="6" spans="1:10" ht="24.95" customHeight="1">
      <c r="A6" s="67">
        <f>'밸런스 문서'!B6</f>
        <v>2</v>
      </c>
      <c r="B6" s="58">
        <f>'밸런스 문서'!P6</f>
        <v>6</v>
      </c>
      <c r="C6" s="50">
        <f>'밸런스 문서'!R6</f>
        <v>2.7</v>
      </c>
      <c r="D6" s="68">
        <f>'밸런스 문서'!N6</f>
        <v>1.2731481481481483E-3</v>
      </c>
      <c r="E6" s="13"/>
    </row>
    <row r="7" spans="1:10" ht="24.95" customHeight="1">
      <c r="A7" s="69">
        <f>'밸런스 문서'!B7</f>
        <v>3</v>
      </c>
      <c r="B7" s="57">
        <f>'밸런스 문서'!P7</f>
        <v>9</v>
      </c>
      <c r="C7" s="51">
        <f>'밸런스 문서'!R7</f>
        <v>5.4</v>
      </c>
      <c r="D7" s="70">
        <f>'밸런스 문서'!N7</f>
        <v>1.9675925925925928E-3</v>
      </c>
      <c r="E7" s="14"/>
    </row>
    <row r="8" spans="1:10" ht="24.95" customHeight="1">
      <c r="A8" s="69">
        <f>'밸런스 문서'!B8</f>
        <v>4</v>
      </c>
      <c r="B8" s="57">
        <f>'밸런스 문서'!P8</f>
        <v>11</v>
      </c>
      <c r="C8" s="51">
        <f>'밸런스 문서'!R8</f>
        <v>7.7</v>
      </c>
      <c r="D8" s="70">
        <f>'밸런스 문서'!N8</f>
        <v>2.4305555555555556E-3</v>
      </c>
      <c r="E8" s="14"/>
    </row>
    <row r="9" spans="1:10" ht="24.95" customHeight="1">
      <c r="A9" s="69">
        <f>'밸런스 문서'!B9</f>
        <v>5</v>
      </c>
      <c r="B9" s="57">
        <f>'밸런스 문서'!P9</f>
        <v>13</v>
      </c>
      <c r="C9" s="51">
        <f>'밸런스 문서'!R9</f>
        <v>10.4</v>
      </c>
      <c r="D9" s="70">
        <f>'밸런스 문서'!N9</f>
        <v>2.7777777777777779E-3</v>
      </c>
      <c r="E9" s="14"/>
    </row>
    <row r="10" spans="1:10" ht="24.95" customHeight="1">
      <c r="A10" s="69">
        <f>'밸런스 문서'!B10</f>
        <v>6</v>
      </c>
      <c r="B10" s="59">
        <f>'밸런스 문서'!P10</f>
        <v>16</v>
      </c>
      <c r="C10" s="52">
        <f>'밸런스 문서'!R10</f>
        <v>15.2</v>
      </c>
      <c r="D10" s="71">
        <f>'밸런스 문서'!N10</f>
        <v>3.0092592592592593E-3</v>
      </c>
      <c r="E10" s="15"/>
    </row>
    <row r="11" spans="1:10">
      <c r="A11" s="72">
        <f>'밸런스 문서'!B11</f>
        <v>7</v>
      </c>
      <c r="B11" s="60">
        <f>'밸런스 문서'!P11</f>
        <v>19</v>
      </c>
      <c r="C11" s="53">
        <f>'밸런스 문서'!R11</f>
        <v>20.9</v>
      </c>
      <c r="D11" s="73">
        <f>'밸런스 문서'!N11</f>
        <v>3.8773148148148148E-3</v>
      </c>
    </row>
    <row r="12" spans="1:10">
      <c r="A12" s="72">
        <f>'밸런스 문서'!B12</f>
        <v>8</v>
      </c>
      <c r="B12" s="60">
        <f>'밸런스 문서'!P12</f>
        <v>23</v>
      </c>
      <c r="C12" s="53">
        <f>'밸런스 문서'!R12</f>
        <v>29.9</v>
      </c>
      <c r="D12" s="73">
        <f>'밸런스 문서'!N12</f>
        <v>4.9189814814814816E-3</v>
      </c>
    </row>
    <row r="13" spans="1:10">
      <c r="A13" s="72">
        <f>'밸런스 문서'!B13</f>
        <v>9</v>
      </c>
      <c r="B13" s="60">
        <f>'밸런스 문서'!P13</f>
        <v>25</v>
      </c>
      <c r="C13" s="53">
        <f>'밸런스 문서'!R13</f>
        <v>35</v>
      </c>
      <c r="D13" s="73">
        <f>'밸런스 문서'!N13</f>
        <v>5.324074074074074E-3</v>
      </c>
    </row>
    <row r="14" spans="1:10">
      <c r="A14" s="65">
        <f>'밸런스 문서'!B14</f>
        <v>10</v>
      </c>
      <c r="B14" s="56">
        <f>'밸런스 문서'!P14</f>
        <v>28</v>
      </c>
      <c r="C14" s="54">
        <f>'밸런스 문서'!R14</f>
        <v>43.4</v>
      </c>
      <c r="D14" s="73">
        <f>'밸런스 문서'!N14</f>
        <v>6.192129629629629E-3</v>
      </c>
    </row>
    <row r="15" spans="1:10">
      <c r="A15" s="74">
        <f>'밸런스 문서'!B15</f>
        <v>11</v>
      </c>
      <c r="B15" s="22">
        <f>'밸런스 문서'!P15</f>
        <v>31</v>
      </c>
      <c r="C15" s="55">
        <f>'밸런스 문서'!R15</f>
        <v>52.7</v>
      </c>
      <c r="D15" s="73">
        <f>'밸런스 문서'!N15</f>
        <v>7.2337962962962955E-3</v>
      </c>
    </row>
    <row r="16" spans="1:10">
      <c r="A16" s="74">
        <f>'밸런스 문서'!B16</f>
        <v>12</v>
      </c>
      <c r="B16" s="22">
        <f>'밸런스 문서'!P16</f>
        <v>35</v>
      </c>
      <c r="C16" s="55">
        <f>'밸런스 문서'!R16</f>
        <v>66.5</v>
      </c>
      <c r="D16" s="73">
        <f>'밸런스 문서'!N16</f>
        <v>8.5069444444444437E-3</v>
      </c>
    </row>
    <row r="17" spans="1:4">
      <c r="A17" s="74">
        <f>'밸런스 문서'!B17</f>
        <v>13</v>
      </c>
      <c r="B17" s="22">
        <f>'밸런스 문서'!P17</f>
        <v>37</v>
      </c>
      <c r="C17" s="55">
        <f>'밸런스 문서'!R17</f>
        <v>74</v>
      </c>
      <c r="D17" s="73">
        <f>'밸런스 문서'!N17</f>
        <v>9.0856481481481483E-3</v>
      </c>
    </row>
    <row r="18" spans="1:4">
      <c r="A18" s="74">
        <f>'밸런스 문서'!B18</f>
        <v>14</v>
      </c>
      <c r="B18" s="22">
        <f>'밸런스 문서'!P18</f>
        <v>40</v>
      </c>
      <c r="C18" s="55">
        <f>'밸런스 문서'!R18</f>
        <v>86</v>
      </c>
      <c r="D18" s="73">
        <f>'밸런스 문서'!N18</f>
        <v>1.0474537037037037E-2</v>
      </c>
    </row>
    <row r="19" spans="1:4">
      <c r="A19" s="74">
        <f>'밸런스 문서'!B19</f>
        <v>15</v>
      </c>
      <c r="B19" s="22">
        <f>'밸런스 문서'!P19</f>
        <v>43</v>
      </c>
      <c r="C19" s="55">
        <f>'밸런스 문서'!R19</f>
        <v>98.9</v>
      </c>
      <c r="D19" s="73">
        <f>'밸런스 문서'!N19</f>
        <v>1.1400462962962963E-2</v>
      </c>
    </row>
    <row r="20" spans="1:4">
      <c r="A20" s="74">
        <f>'밸런스 문서'!B20</f>
        <v>16</v>
      </c>
      <c r="B20" s="22">
        <f>'밸런스 문서'!P20</f>
        <v>46</v>
      </c>
      <c r="C20" s="55">
        <f>'밸런스 문서'!R20</f>
        <v>112.7</v>
      </c>
      <c r="D20" s="73">
        <f>'밸런스 문서'!N20</f>
        <v>1.1689814814814814E-2</v>
      </c>
    </row>
    <row r="21" spans="1:4">
      <c r="A21" s="74">
        <f>'밸런스 문서'!B21</f>
        <v>17</v>
      </c>
      <c r="B21" s="22">
        <f>'밸런스 문서'!P21</f>
        <v>51</v>
      </c>
      <c r="C21" s="55">
        <f>'밸런스 문서'!R21</f>
        <v>137.69999999999999</v>
      </c>
      <c r="D21" s="73">
        <f>'밸런스 문서'!N21</f>
        <v>1.2499999999999999E-2</v>
      </c>
    </row>
    <row r="22" spans="1:4">
      <c r="A22" s="74">
        <f>'밸런스 문서'!B22</f>
        <v>18</v>
      </c>
      <c r="B22" s="22">
        <f>'밸런스 문서'!P22</f>
        <v>58</v>
      </c>
      <c r="C22" s="55">
        <f>'밸런스 문서'!R22</f>
        <v>176.9</v>
      </c>
      <c r="D22" s="73">
        <f>'밸런스 문서'!N22</f>
        <v>1.3888888888888888E-2</v>
      </c>
    </row>
    <row r="23" spans="1:4">
      <c r="A23" s="74">
        <f>'밸런스 문서'!B23</f>
        <v>19</v>
      </c>
      <c r="B23" s="22">
        <f>'밸런스 문서'!P23</f>
        <v>65</v>
      </c>
      <c r="C23" s="55">
        <f>'밸런스 문서'!R23</f>
        <v>221</v>
      </c>
      <c r="D23" s="73">
        <f>'밸런스 문서'!N23</f>
        <v>1.4814814814814814E-2</v>
      </c>
    </row>
    <row r="24" spans="1:4">
      <c r="A24" s="74">
        <f>'밸런스 문서'!B24</f>
        <v>20</v>
      </c>
      <c r="B24" s="22">
        <f>'밸런스 문서'!P24</f>
        <v>71</v>
      </c>
      <c r="C24" s="55">
        <f>'밸런스 문서'!R24</f>
        <v>262.7</v>
      </c>
      <c r="D24" s="73">
        <f>'밸런스 문서'!N24</f>
        <v>1.5972222222222221E-2</v>
      </c>
    </row>
    <row r="25" spans="1:4">
      <c r="A25" s="74">
        <f>'밸런스 문서'!B25</f>
        <v>21</v>
      </c>
      <c r="B25" s="22">
        <f>'밸런스 문서'!P25</f>
        <v>74</v>
      </c>
      <c r="C25" s="55">
        <f>'밸런스 문서'!R25</f>
        <v>284.89999999999998</v>
      </c>
      <c r="D25" s="73">
        <f>'밸런스 문서'!N25</f>
        <v>1.6608796296296295E-2</v>
      </c>
    </row>
    <row r="26" spans="1:4">
      <c r="A26" s="74">
        <f>'밸런스 문서'!B26</f>
        <v>22</v>
      </c>
      <c r="B26" s="22">
        <f>'밸런스 문서'!P26</f>
        <v>76</v>
      </c>
      <c r="C26" s="55">
        <f>'밸런스 문서'!R26</f>
        <v>300.2</v>
      </c>
      <c r="D26" s="73">
        <f>'밸런스 문서'!N26</f>
        <v>1.741898148148148E-2</v>
      </c>
    </row>
    <row r="27" spans="1:4">
      <c r="A27" s="74">
        <f>'밸런스 문서'!B27</f>
        <v>23</v>
      </c>
      <c r="B27" s="22">
        <f>'밸런스 문서'!P27</f>
        <v>79</v>
      </c>
      <c r="C27" s="55">
        <f>'밸런스 문서'!R27</f>
        <v>323.89999999999998</v>
      </c>
      <c r="D27" s="73">
        <f>'밸런스 문서'!N27</f>
        <v>1.9155092592592592E-2</v>
      </c>
    </row>
    <row r="28" spans="1:4">
      <c r="A28" s="74">
        <f>'밸런스 문서'!B28</f>
        <v>24</v>
      </c>
      <c r="B28" s="22">
        <f>'밸런스 문서'!P28</f>
        <v>83</v>
      </c>
      <c r="C28" s="55">
        <f>'밸런스 문서'!R28</f>
        <v>356.9</v>
      </c>
      <c r="D28" s="73">
        <f>'밸런스 문서'!N28</f>
        <v>2.0196759259259258E-2</v>
      </c>
    </row>
    <row r="29" spans="1:4">
      <c r="A29" s="74">
        <f>'밸런스 문서'!B29</f>
        <v>25</v>
      </c>
      <c r="B29" s="22">
        <f>'밸런스 문서'!P29</f>
        <v>89</v>
      </c>
      <c r="C29" s="55">
        <f>'밸런스 문서'!R29</f>
        <v>409.4</v>
      </c>
      <c r="D29" s="73">
        <f>'밸런스 문서'!N29</f>
        <v>2.1585648148148145E-2</v>
      </c>
    </row>
    <row r="30" spans="1:4">
      <c r="A30" s="74">
        <f>'밸런스 문서'!B30</f>
        <v>26</v>
      </c>
      <c r="B30" s="22">
        <f>'밸런스 문서'!P30</f>
        <v>91</v>
      </c>
      <c r="C30" s="55">
        <f>'밸런스 문서'!R30</f>
        <v>427.7</v>
      </c>
      <c r="D30" s="73">
        <f>'밸런스 문서'!N30</f>
        <v>2.2337962962962959E-2</v>
      </c>
    </row>
    <row r="31" spans="1:4">
      <c r="A31" s="74">
        <f>'밸런스 문서'!B31</f>
        <v>27</v>
      </c>
      <c r="B31" s="22">
        <f>'밸런스 문서'!P31</f>
        <v>94</v>
      </c>
      <c r="C31" s="55">
        <f>'밸런스 문서'!R31</f>
        <v>455.9</v>
      </c>
      <c r="D31" s="73">
        <f>'밸런스 문서'!N31</f>
        <v>2.3611111111111107E-2</v>
      </c>
    </row>
    <row r="32" spans="1:4">
      <c r="A32" s="74">
        <f>'밸런스 문서'!B32</f>
        <v>28</v>
      </c>
      <c r="B32" s="22">
        <f>'밸런스 문서'!P32</f>
        <v>96</v>
      </c>
      <c r="C32" s="55">
        <f>'밸런스 문서'!R32</f>
        <v>475.2</v>
      </c>
      <c r="D32" s="73">
        <f>'밸런스 문서'!N32</f>
        <v>2.4479166666666663E-2</v>
      </c>
    </row>
    <row r="33" spans="1:4">
      <c r="A33" s="74">
        <f>'밸런스 문서'!B33</f>
        <v>29</v>
      </c>
      <c r="B33" s="22">
        <f>'밸런스 문서'!P33</f>
        <v>99</v>
      </c>
      <c r="C33" s="55">
        <f>'밸런스 문서'!R33</f>
        <v>504.9</v>
      </c>
      <c r="D33" s="73">
        <f>'밸런스 문서'!N33</f>
        <v>2.4884259259259255E-2</v>
      </c>
    </row>
    <row r="34" spans="1:4">
      <c r="A34" s="74">
        <f>'밸런스 문서'!B34</f>
        <v>30</v>
      </c>
      <c r="B34" s="22">
        <f>'밸런스 문서'!P34</f>
        <v>101</v>
      </c>
      <c r="C34" s="55">
        <f>'밸런스 문서'!R34</f>
        <v>525.20000000000005</v>
      </c>
      <c r="D34" s="73">
        <f>'밸런스 문서'!N34</f>
        <v>2.540509259259259E-2</v>
      </c>
    </row>
    <row r="35" spans="1:4">
      <c r="A35" s="74">
        <f>'밸런스 문서'!B35</f>
        <v>31</v>
      </c>
      <c r="B35" s="22">
        <f>'밸런스 문서'!P35</f>
        <v>104</v>
      </c>
      <c r="C35" s="55">
        <f>'밸런스 문서'!R35</f>
        <v>556.4</v>
      </c>
      <c r="D35" s="73">
        <f>'밸런스 문서'!N35</f>
        <v>2.6388888888888885E-2</v>
      </c>
    </row>
    <row r="36" spans="1:4">
      <c r="A36" s="74">
        <f>'밸런스 문서'!B36</f>
        <v>32</v>
      </c>
      <c r="B36" s="22">
        <f>'밸런스 문서'!P36</f>
        <v>111</v>
      </c>
      <c r="C36" s="55">
        <f>'밸런스 문서'!R36</f>
        <v>632.70000000000005</v>
      </c>
      <c r="D36" s="73">
        <f>'밸런스 문서'!N36</f>
        <v>2.7314814814814813E-2</v>
      </c>
    </row>
    <row r="37" spans="1:4">
      <c r="A37" s="74">
        <f>'밸런스 문서'!B37</f>
        <v>33</v>
      </c>
      <c r="B37" s="22">
        <f>'밸런스 문서'!P37</f>
        <v>113</v>
      </c>
      <c r="C37" s="55">
        <f>'밸런스 문서'!R37</f>
        <v>655.4</v>
      </c>
      <c r="D37" s="73">
        <f>'밸런스 문서'!N37</f>
        <v>2.7951388888888887E-2</v>
      </c>
    </row>
    <row r="38" spans="1:4">
      <c r="A38" s="74">
        <f>'밸런스 문서'!B38</f>
        <v>34</v>
      </c>
      <c r="B38" s="22">
        <f>'밸런스 문서'!P38</f>
        <v>117</v>
      </c>
      <c r="C38" s="55">
        <f>'밸런스 문서'!R38</f>
        <v>702</v>
      </c>
      <c r="D38" s="73">
        <f>'밸런스 문서'!N38</f>
        <v>3.003472222222222E-2</v>
      </c>
    </row>
    <row r="39" spans="1:4">
      <c r="A39" s="74">
        <f>'밸런스 문서'!B39</f>
        <v>35</v>
      </c>
      <c r="B39" s="22">
        <f>'밸런스 문서'!P39</f>
        <v>121</v>
      </c>
      <c r="C39" s="55">
        <f>'밸런스 문서'!R39</f>
        <v>750.2</v>
      </c>
      <c r="D39" s="73">
        <f>'밸런스 문서'!N39</f>
        <v>3.1886574074074074E-2</v>
      </c>
    </row>
    <row r="40" spans="1:4">
      <c r="A40" s="74">
        <f>'밸런스 문서'!B40</f>
        <v>36</v>
      </c>
      <c r="B40" s="22">
        <f>'밸런스 문서'!P40</f>
        <v>126</v>
      </c>
      <c r="C40" s="55">
        <f>'밸런스 문서'!R40</f>
        <v>812.7</v>
      </c>
      <c r="D40" s="73">
        <f>'밸런스 문서'!N40</f>
        <v>3.3622685185185186E-2</v>
      </c>
    </row>
    <row r="41" spans="1:4">
      <c r="A41" s="74">
        <f>'밸런스 문서'!B41</f>
        <v>37</v>
      </c>
      <c r="B41" s="22">
        <f>'밸런스 문서'!P41</f>
        <v>128</v>
      </c>
      <c r="C41" s="55">
        <f>'밸런스 문서'!R41</f>
        <v>838.4</v>
      </c>
      <c r="D41" s="73">
        <f>'밸런스 문서'!N41</f>
        <v>3.4664351851851856E-2</v>
      </c>
    </row>
    <row r="42" spans="1:4">
      <c r="A42" s="74">
        <f>'밸런스 문서'!B42</f>
        <v>38</v>
      </c>
      <c r="B42" s="22">
        <f>'밸런스 문서'!P42</f>
        <v>131</v>
      </c>
      <c r="C42" s="55">
        <f>'밸런스 문서'!R42</f>
        <v>877.7</v>
      </c>
      <c r="D42" s="73">
        <f>'밸런스 문서'!N42</f>
        <v>3.6284722222222225E-2</v>
      </c>
    </row>
    <row r="43" spans="1:4">
      <c r="A43" s="74">
        <f>'밸런스 문서'!B43</f>
        <v>39</v>
      </c>
      <c r="B43" s="22">
        <f>'밸런스 문서'!P43</f>
        <v>138</v>
      </c>
      <c r="C43" s="55">
        <f>'밸런스 문서'!R43</f>
        <v>972.9</v>
      </c>
      <c r="D43" s="73">
        <f>'밸런스 문서'!N43</f>
        <v>3.7673611111111116E-2</v>
      </c>
    </row>
    <row r="44" spans="1:4">
      <c r="A44" s="74">
        <f>'밸런스 문서'!B44</f>
        <v>40</v>
      </c>
      <c r="B44" s="22">
        <f>'밸런스 문서'!P44</f>
        <v>142</v>
      </c>
      <c r="C44" s="55">
        <f>'밸런스 문서'!R44</f>
        <v>1029.5</v>
      </c>
      <c r="D44" s="73">
        <f>'밸런스 문서'!N44</f>
        <v>3.8541666666666669E-2</v>
      </c>
    </row>
    <row r="45" spans="1:4">
      <c r="A45" s="74">
        <f>'밸런스 문서'!B45</f>
        <v>41</v>
      </c>
      <c r="B45" s="22">
        <f>'밸런스 문서'!P45</f>
        <v>149</v>
      </c>
      <c r="C45" s="55">
        <f>'밸런스 문서'!R45</f>
        <v>1132.4000000000001</v>
      </c>
      <c r="D45" s="73">
        <f>'밸런스 문서'!N45</f>
        <v>3.9930555555555559E-2</v>
      </c>
    </row>
    <row r="46" spans="1:4">
      <c r="A46" s="74">
        <f>'밸런스 문서'!B46</f>
        <v>42</v>
      </c>
      <c r="B46" s="22">
        <f>'밸런스 문서'!P46</f>
        <v>154</v>
      </c>
      <c r="C46" s="55">
        <f>'밸런스 문서'!R46</f>
        <v>1208.9000000000001</v>
      </c>
      <c r="D46" s="73">
        <f>'밸런스 문서'!N46</f>
        <v>4.189814814814815E-2</v>
      </c>
    </row>
    <row r="47" spans="1:4">
      <c r="A47" s="74">
        <f>'밸런스 문서'!B47</f>
        <v>43</v>
      </c>
      <c r="B47" s="22">
        <f>'밸런스 문서'!P47</f>
        <v>158</v>
      </c>
      <c r="C47" s="55">
        <f>'밸런스 문서'!R47</f>
        <v>1271.9000000000001</v>
      </c>
      <c r="D47" s="73">
        <f>'밸런스 문서'!N47</f>
        <v>4.2708333333333334E-2</v>
      </c>
    </row>
    <row r="48" spans="1:4">
      <c r="A48" s="74">
        <f>'밸런스 문서'!B48</f>
        <v>44</v>
      </c>
      <c r="B48" s="22">
        <f>'밸런스 문서'!P48</f>
        <v>160</v>
      </c>
      <c r="C48" s="55">
        <f>'밸런스 문서'!R48</f>
        <v>1304</v>
      </c>
      <c r="D48" s="73">
        <f>'밸런스 문서'!N48</f>
        <v>4.3750000000000004E-2</v>
      </c>
    </row>
    <row r="49" spans="1:4">
      <c r="A49" s="74">
        <f>'밸런스 문서'!B49</f>
        <v>45</v>
      </c>
      <c r="B49" s="22">
        <f>'밸런스 문서'!P49</f>
        <v>164</v>
      </c>
      <c r="C49" s="55">
        <f>'밸런스 문서'!R49</f>
        <v>1369.4</v>
      </c>
      <c r="D49" s="73">
        <f>'밸런스 문서'!N49</f>
        <v>4.4618055555555557E-2</v>
      </c>
    </row>
    <row r="50" spans="1:4">
      <c r="A50" s="74">
        <f>'밸런스 문서'!B50</f>
        <v>46</v>
      </c>
      <c r="B50" s="22">
        <f>'밸런스 문서'!P50</f>
        <v>168</v>
      </c>
      <c r="C50" s="55">
        <f>'밸런스 문서'!R50</f>
        <v>1436.4</v>
      </c>
      <c r="D50" s="73">
        <f>'밸런스 문서'!N50</f>
        <v>4.6238425925925926E-2</v>
      </c>
    </row>
    <row r="51" spans="1:4">
      <c r="A51" s="74">
        <f>'밸런스 문서'!B51</f>
        <v>47</v>
      </c>
      <c r="B51" s="22">
        <f>'밸런스 문서'!P51</f>
        <v>173</v>
      </c>
      <c r="C51" s="55">
        <f>'밸런스 문서'!R51</f>
        <v>1522.4</v>
      </c>
      <c r="D51" s="73">
        <f>'밸런스 문서'!N51</f>
        <v>4.8321759259259259E-2</v>
      </c>
    </row>
    <row r="52" spans="1:4">
      <c r="A52" s="74">
        <f>'밸런스 문서'!B52</f>
        <v>48</v>
      </c>
      <c r="B52" s="22">
        <f>'밸런스 문서'!P52</f>
        <v>178</v>
      </c>
      <c r="C52" s="55">
        <f>'밸런스 문서'!R52</f>
        <v>1610.9</v>
      </c>
      <c r="D52" s="73">
        <f>'밸런스 문서'!N52</f>
        <v>5.0173611111111113E-2</v>
      </c>
    </row>
    <row r="53" spans="1:4">
      <c r="A53" s="74">
        <f>'밸런스 문서'!B53</f>
        <v>49</v>
      </c>
      <c r="B53" s="22">
        <f>'밸런스 문서'!P53</f>
        <v>185</v>
      </c>
      <c r="C53" s="55">
        <f>'밸런스 문서'!R53</f>
        <v>1739</v>
      </c>
      <c r="D53" s="73">
        <f>'밸런스 문서'!N53</f>
        <v>5.1331018518518519E-2</v>
      </c>
    </row>
    <row r="54" spans="1:4">
      <c r="A54" s="74">
        <f>'밸런스 문서'!B54</f>
        <v>50</v>
      </c>
      <c r="B54" s="22">
        <f>'밸런스 문서'!P54</f>
        <v>189</v>
      </c>
      <c r="C54" s="55">
        <f>'밸런스 문서'!R54</f>
        <v>1814.4</v>
      </c>
      <c r="D54" s="73">
        <f>'밸런스 문서'!N54</f>
        <v>5.2141203703703703E-2</v>
      </c>
    </row>
    <row r="55" spans="1:4">
      <c r="A55" s="74">
        <f>'밸런스 문서'!B55</f>
        <v>51</v>
      </c>
      <c r="B55" s="22">
        <f>'밸런스 문서'!P55</f>
        <v>193</v>
      </c>
      <c r="C55" s="55">
        <f>'밸런스 문서'!R55</f>
        <v>1891.4</v>
      </c>
      <c r="D55" s="73">
        <f>'밸런스 문서'!N55</f>
        <v>5.271990740740741E-2</v>
      </c>
    </row>
    <row r="56" spans="1:4">
      <c r="A56" s="74">
        <f>'밸런스 문서'!B56</f>
        <v>52</v>
      </c>
      <c r="B56" s="22">
        <f>'밸런스 문서'!P56</f>
        <v>198</v>
      </c>
      <c r="C56" s="55">
        <f>'밸런스 문서'!R56</f>
        <v>1989.9</v>
      </c>
      <c r="D56" s="73">
        <f>'밸런스 문서'!N56</f>
        <v>5.3819444444444448E-2</v>
      </c>
    </row>
    <row r="57" spans="1:4">
      <c r="A57" s="74">
        <f>'밸런스 문서'!B57</f>
        <v>53</v>
      </c>
      <c r="B57" s="22">
        <f>'밸런스 문서'!P57</f>
        <v>201</v>
      </c>
      <c r="C57" s="55">
        <f>'밸런스 문서'!R57</f>
        <v>2050.1999999999998</v>
      </c>
      <c r="D57" s="73">
        <f>'밸런스 문서'!N57</f>
        <v>5.5208333333333338E-2</v>
      </c>
    </row>
    <row r="58" spans="1:4">
      <c r="A58" s="74">
        <f>'밸런스 문서'!B58</f>
        <v>54</v>
      </c>
      <c r="B58" s="22">
        <f>'밸런스 문서'!P58</f>
        <v>203</v>
      </c>
      <c r="C58" s="55">
        <f>'밸런스 문서'!R58</f>
        <v>2090.9</v>
      </c>
      <c r="D58" s="73">
        <f>'밸런스 문서'!N58</f>
        <v>5.5613425925925934E-2</v>
      </c>
    </row>
    <row r="59" spans="1:4">
      <c r="A59" s="74">
        <f>'밸런스 문서'!B59</f>
        <v>55</v>
      </c>
      <c r="B59" s="22">
        <f>'밸런스 문서'!P59</f>
        <v>206</v>
      </c>
      <c r="C59" s="55">
        <f>'밸런스 문서'!R59</f>
        <v>2152.6999999999998</v>
      </c>
      <c r="D59" s="73">
        <f>'밸런스 문서'!N59</f>
        <v>5.6076388888888898E-2</v>
      </c>
    </row>
    <row r="60" spans="1:4">
      <c r="A60" s="74">
        <f>'밸런스 문서'!B60</f>
        <v>56</v>
      </c>
      <c r="B60" s="22">
        <f>'밸런스 문서'!P60</f>
        <v>211</v>
      </c>
      <c r="C60" s="55">
        <f>'밸런스 문서'!R60</f>
        <v>2257.6999999999998</v>
      </c>
      <c r="D60" s="73">
        <f>'밸런스 문서'!N60</f>
        <v>5.6886574074074082E-2</v>
      </c>
    </row>
    <row r="61" spans="1:4">
      <c r="A61" s="74">
        <f>'밸런스 문서'!B61</f>
        <v>57</v>
      </c>
      <c r="B61" s="22">
        <f>'밸런스 문서'!P61</f>
        <v>216</v>
      </c>
      <c r="C61" s="55">
        <f>'밸런스 문서'!R61</f>
        <v>2365.1999999999998</v>
      </c>
      <c r="D61" s="73">
        <f>'밸런스 문서'!N61</f>
        <v>5.8275462962962973E-2</v>
      </c>
    </row>
    <row r="62" spans="1:4">
      <c r="A62" s="74">
        <f>'밸런스 문서'!B62</f>
        <v>58</v>
      </c>
      <c r="B62" s="22">
        <f>'밸런스 문서'!P62</f>
        <v>223</v>
      </c>
      <c r="C62" s="55">
        <f>'밸런스 문서'!R62</f>
        <v>2519.9</v>
      </c>
      <c r="D62" s="73">
        <f>'밸런스 문서'!N62</f>
        <v>6.0127314814814828E-2</v>
      </c>
    </row>
    <row r="63" spans="1:4">
      <c r="A63" s="74">
        <f>'밸런스 문서'!B63</f>
        <v>59</v>
      </c>
      <c r="B63" s="22">
        <f>'밸런스 문서'!P63</f>
        <v>230</v>
      </c>
      <c r="C63" s="55">
        <f>'밸런스 문서'!R63</f>
        <v>2679.5</v>
      </c>
      <c r="D63" s="73">
        <f>'밸런스 문서'!N63</f>
        <v>6.1226851851851866E-2</v>
      </c>
    </row>
    <row r="64" spans="1:4">
      <c r="A64" s="74">
        <f>'밸런스 문서'!B64</f>
        <v>60</v>
      </c>
      <c r="B64" s="22">
        <f>'밸런스 문서'!P64</f>
        <v>237</v>
      </c>
      <c r="C64" s="55">
        <f>'밸런스 문서'!R64</f>
        <v>2844</v>
      </c>
      <c r="D64" s="73">
        <f>'밸런스 문서'!N64</f>
        <v>6.3310185185185205E-2</v>
      </c>
    </row>
    <row r="65" spans="1:4">
      <c r="A65" s="74">
        <f>'밸런스 문서'!B65</f>
        <v>61</v>
      </c>
      <c r="B65" s="22">
        <f>'밸런스 문서'!P65</f>
        <v>244</v>
      </c>
      <c r="C65" s="55">
        <f>'밸런스 문서'!R65</f>
        <v>3013.4</v>
      </c>
      <c r="D65" s="73">
        <f>'밸런스 문서'!N65</f>
        <v>6.4930555555555575E-2</v>
      </c>
    </row>
    <row r="66" spans="1:4">
      <c r="A66" s="74">
        <f>'밸런스 문서'!B66</f>
        <v>62</v>
      </c>
      <c r="B66" s="22">
        <f>'밸런스 문서'!P66</f>
        <v>251</v>
      </c>
      <c r="C66" s="55">
        <f>'밸런스 문서'!R66</f>
        <v>3187.7</v>
      </c>
      <c r="D66" s="73">
        <f>'밸런스 문서'!N66</f>
        <v>6.666666666666668E-2</v>
      </c>
    </row>
    <row r="67" spans="1:4">
      <c r="A67" s="74">
        <f>'밸런스 문서'!B67</f>
        <v>63</v>
      </c>
      <c r="B67" s="22">
        <f>'밸런스 문서'!P67</f>
        <v>259</v>
      </c>
      <c r="C67" s="55">
        <f>'밸런스 문서'!R67</f>
        <v>3392.9</v>
      </c>
      <c r="D67" s="73">
        <f>'밸런스 문서'!N67</f>
        <v>6.8402777777777785E-2</v>
      </c>
    </row>
    <row r="68" spans="1:4">
      <c r="A68" s="74">
        <f>'밸런스 문서'!B68</f>
        <v>64</v>
      </c>
      <c r="B68" s="22">
        <f>'밸런스 문서'!P68</f>
        <v>264</v>
      </c>
      <c r="C68" s="55">
        <f>'밸런스 문서'!R68</f>
        <v>3524.4</v>
      </c>
      <c r="D68" s="73">
        <f>'밸런스 문서'!N68</f>
        <v>6.8923611111111116E-2</v>
      </c>
    </row>
    <row r="69" spans="1:4">
      <c r="A69" s="74">
        <f>'밸런스 문서'!B69</f>
        <v>65</v>
      </c>
      <c r="B69" s="22">
        <f>'밸런스 문서'!P69</f>
        <v>269</v>
      </c>
      <c r="C69" s="55">
        <f>'밸런스 문서'!R69</f>
        <v>3658.4</v>
      </c>
      <c r="D69" s="73">
        <f>'밸런스 문서'!N69</f>
        <v>6.9849537037037043E-2</v>
      </c>
    </row>
    <row r="70" spans="1:4">
      <c r="A70" s="74">
        <f>'밸런스 문서'!B70</f>
        <v>66</v>
      </c>
      <c r="B70" s="22">
        <f>'밸런스 문서'!P70</f>
        <v>275</v>
      </c>
      <c r="C70" s="55">
        <f>'밸런스 문서'!R70</f>
        <v>3822.5</v>
      </c>
      <c r="D70" s="73">
        <f>'밸런스 문서'!N70</f>
        <v>7.1238425925925927E-2</v>
      </c>
    </row>
    <row r="71" spans="1:4">
      <c r="A71" s="74">
        <f>'밸런스 문서'!B71</f>
        <v>67</v>
      </c>
      <c r="B71" s="22">
        <f>'밸런스 문서'!P71</f>
        <v>279</v>
      </c>
      <c r="C71" s="55">
        <f>'밸런스 문서'!R71</f>
        <v>3933.9</v>
      </c>
      <c r="D71" s="73">
        <f>'밸런스 문서'!N71</f>
        <v>7.2511574074074076E-2</v>
      </c>
    </row>
    <row r="72" spans="1:4">
      <c r="A72" s="74">
        <f>'밸런스 문서'!B72</f>
        <v>68</v>
      </c>
      <c r="B72" s="22">
        <f>'밸런스 문서'!P72</f>
        <v>284</v>
      </c>
      <c r="C72" s="55">
        <f>'밸런스 문서'!R72</f>
        <v>4075.4</v>
      </c>
      <c r="D72" s="73">
        <f>'밸런스 문서'!N72</f>
        <v>7.3668981481481488E-2</v>
      </c>
    </row>
    <row r="73" spans="1:4">
      <c r="A73" s="74">
        <f>'밸런스 문서'!B73</f>
        <v>69</v>
      </c>
      <c r="B73" s="22">
        <f>'밸런스 문서'!P73</f>
        <v>289</v>
      </c>
      <c r="C73" s="55">
        <f>'밸런스 문서'!R73</f>
        <v>4219.3999999999996</v>
      </c>
      <c r="D73" s="73">
        <f>'밸런스 문서'!N73</f>
        <v>7.5173611111111122E-2</v>
      </c>
    </row>
    <row r="74" spans="1:4">
      <c r="A74" s="74">
        <f>'밸런스 문서'!B74</f>
        <v>70</v>
      </c>
      <c r="B74" s="22">
        <f>'밸런스 문서'!P74</f>
        <v>293</v>
      </c>
      <c r="C74" s="55">
        <f>'밸런스 문서'!R74</f>
        <v>4336.3999999999996</v>
      </c>
      <c r="D74" s="73">
        <f>'밸런스 문서'!N74</f>
        <v>7.6562500000000006E-2</v>
      </c>
    </row>
    <row r="75" spans="1:4">
      <c r="A75" s="74">
        <f>'밸런스 문서'!B75</f>
        <v>71</v>
      </c>
      <c r="B75" s="22">
        <f>'밸런스 문서'!P75</f>
        <v>297</v>
      </c>
      <c r="C75" s="55">
        <f>'밸런스 문서'!R75</f>
        <v>4455</v>
      </c>
      <c r="D75" s="73">
        <f>'밸런스 문서'!N75</f>
        <v>7.7719907407407418E-2</v>
      </c>
    </row>
    <row r="76" spans="1:4">
      <c r="A76" s="74">
        <f>'밸런스 문서'!B76</f>
        <v>72</v>
      </c>
      <c r="B76" s="22">
        <f>'밸런스 문서'!P76</f>
        <v>301</v>
      </c>
      <c r="C76" s="55">
        <f>'밸런스 문서'!R76</f>
        <v>4575.2</v>
      </c>
      <c r="D76" s="73">
        <f>'밸런스 문서'!N76</f>
        <v>7.8645833333333345E-2</v>
      </c>
    </row>
    <row r="77" spans="1:4">
      <c r="A77" s="74">
        <f>'밸런스 문서'!B77</f>
        <v>73</v>
      </c>
      <c r="B77" s="22">
        <f>'밸런스 문서'!P77</f>
        <v>307</v>
      </c>
      <c r="C77" s="55">
        <f>'밸런스 문서'!R77</f>
        <v>4758.5</v>
      </c>
      <c r="D77" s="73">
        <f>'밸런스 문서'!N77</f>
        <v>8.0266203703703715E-2</v>
      </c>
    </row>
    <row r="78" spans="1:4">
      <c r="A78" s="74">
        <f>'밸런스 문서'!B78</f>
        <v>74</v>
      </c>
      <c r="B78" s="22">
        <f>'밸런스 문서'!P78</f>
        <v>313</v>
      </c>
      <c r="C78" s="55">
        <f>'밸런스 문서'!R78</f>
        <v>4945.3999999999996</v>
      </c>
      <c r="D78" s="73">
        <f>'밸런스 문서'!N78</f>
        <v>8.2349537037037054E-2</v>
      </c>
    </row>
    <row r="79" spans="1:4">
      <c r="A79" s="74">
        <f>'밸런스 문서'!B79</f>
        <v>75</v>
      </c>
      <c r="B79" s="22">
        <f>'밸런스 문서'!P79</f>
        <v>320</v>
      </c>
      <c r="C79" s="55">
        <f>'밸런스 문서'!R79</f>
        <v>5168</v>
      </c>
      <c r="D79" s="73">
        <f>'밸런스 문서'!N79</f>
        <v>8.4664351851851866E-2</v>
      </c>
    </row>
    <row r="80" spans="1:4">
      <c r="A80" s="74">
        <f>'밸런스 문서'!B80</f>
        <v>76</v>
      </c>
      <c r="B80" s="22">
        <f>'밸런스 문서'!P80</f>
        <v>327</v>
      </c>
      <c r="C80" s="55">
        <f>'밸런스 문서'!R80</f>
        <v>5395.5</v>
      </c>
      <c r="D80" s="73">
        <f>'밸런스 문서'!N80</f>
        <v>8.6863425925925941E-2</v>
      </c>
    </row>
    <row r="81" spans="1:4">
      <c r="A81" s="74">
        <f>'밸런스 문서'!B81</f>
        <v>77</v>
      </c>
      <c r="B81" s="22">
        <f>'밸런스 문서'!P81</f>
        <v>331</v>
      </c>
      <c r="C81" s="55">
        <f>'밸런스 문서'!R81</f>
        <v>5527.7</v>
      </c>
      <c r="D81" s="73">
        <f>'밸런스 문서'!N81</f>
        <v>8.7673611111111133E-2</v>
      </c>
    </row>
    <row r="82" spans="1:4">
      <c r="A82" s="74">
        <f>'밸런스 문서'!B82</f>
        <v>78</v>
      </c>
      <c r="B82" s="22">
        <f>'밸런스 문서'!P82</f>
        <v>336</v>
      </c>
      <c r="C82" s="55">
        <f>'밸런스 문서'!R82</f>
        <v>5695.2</v>
      </c>
      <c r="D82" s="73">
        <f>'밸런스 문서'!N82</f>
        <v>8.859953703703706E-2</v>
      </c>
    </row>
    <row r="83" spans="1:4">
      <c r="A83" s="74">
        <f>'밸런스 문서'!B83</f>
        <v>79</v>
      </c>
      <c r="B83" s="22">
        <f>'밸런스 문서'!P83</f>
        <v>342</v>
      </c>
      <c r="C83" s="55">
        <f>'밸런스 문서'!R83</f>
        <v>5899.5</v>
      </c>
      <c r="D83" s="73">
        <f>'밸런스 문서'!N83</f>
        <v>8.9641203703703723E-2</v>
      </c>
    </row>
    <row r="84" spans="1:4">
      <c r="A84" s="74">
        <f>'밸런스 문서'!B84</f>
        <v>80</v>
      </c>
      <c r="B84" s="22">
        <f>'밸런스 문서'!P84</f>
        <v>349</v>
      </c>
      <c r="C84" s="55">
        <f>'밸런스 문서'!R84</f>
        <v>6142.4</v>
      </c>
      <c r="D84" s="73">
        <f>'밸런스 문서'!N84</f>
        <v>9.0798611111111135E-2</v>
      </c>
    </row>
    <row r="85" spans="1:4">
      <c r="A85" s="74">
        <f>'밸런스 문서'!B85</f>
        <v>81</v>
      </c>
      <c r="B85" s="22">
        <f>'밸런스 문서'!P85</f>
        <v>356</v>
      </c>
      <c r="C85" s="55">
        <f>'밸런스 문서'!R85</f>
        <v>6390.2</v>
      </c>
      <c r="D85" s="73">
        <f>'밸런스 문서'!N85</f>
        <v>9.1608796296296327E-2</v>
      </c>
    </row>
    <row r="86" spans="1:4">
      <c r="A86" s="74">
        <f>'밸런스 문서'!B86</f>
        <v>82</v>
      </c>
      <c r="B86" s="22">
        <f>'밸런스 문서'!P86</f>
        <v>363</v>
      </c>
      <c r="C86" s="55">
        <f>'밸런스 문서'!R86</f>
        <v>6642.9</v>
      </c>
      <c r="D86" s="73">
        <f>'밸런스 문서'!N86</f>
        <v>9.265046296296299E-2</v>
      </c>
    </row>
    <row r="87" spans="1:4">
      <c r="A87" s="74">
        <f>'밸런스 문서'!B87</f>
        <v>83</v>
      </c>
      <c r="B87" s="22">
        <f>'밸런스 문서'!P87</f>
        <v>370</v>
      </c>
      <c r="C87" s="55">
        <f>'밸런스 문서'!R87</f>
        <v>6900.5</v>
      </c>
      <c r="D87" s="73">
        <f>'밸런스 문서'!N87</f>
        <v>9.3576388888888917E-2</v>
      </c>
    </row>
    <row r="88" spans="1:4">
      <c r="A88" s="74">
        <f>'밸런스 문서'!B88</f>
        <v>84</v>
      </c>
      <c r="B88" s="22">
        <f>'밸런스 문서'!P88</f>
        <v>378</v>
      </c>
      <c r="C88" s="55">
        <f>'밸런스 문서'!R88</f>
        <v>7200.9</v>
      </c>
      <c r="D88" s="73">
        <f>'밸런스 문서'!N88</f>
        <v>9.658564814814817E-2</v>
      </c>
    </row>
    <row r="89" spans="1:4">
      <c r="A89" s="74">
        <f>'밸런스 문서'!B89</f>
        <v>85</v>
      </c>
      <c r="B89" s="22">
        <f>'밸런스 문서'!P89</f>
        <v>384</v>
      </c>
      <c r="C89" s="55">
        <f>'밸런스 문서'!R89</f>
        <v>7430.4</v>
      </c>
      <c r="D89" s="73">
        <f>'밸런스 문서'!N89</f>
        <v>9.7280092592592612E-2</v>
      </c>
    </row>
    <row r="90" spans="1:4">
      <c r="A90" s="74">
        <f>'밸런스 문서'!B90</f>
        <v>86</v>
      </c>
      <c r="B90" s="22">
        <f>'밸런스 문서'!P90</f>
        <v>387</v>
      </c>
      <c r="C90" s="55">
        <f>'밸런스 문서'!R90</f>
        <v>7546.5</v>
      </c>
      <c r="D90" s="73">
        <f>'밸런스 문서'!N90</f>
        <v>9.820601851851854E-2</v>
      </c>
    </row>
    <row r="91" spans="1:4">
      <c r="A91" s="74">
        <f>'밸런스 문서'!B91</f>
        <v>87</v>
      </c>
      <c r="B91" s="22">
        <f>'밸런스 문서'!P91</f>
        <v>390</v>
      </c>
      <c r="C91" s="55">
        <f>'밸런스 문서'!R91</f>
        <v>7663.5</v>
      </c>
      <c r="D91" s="73">
        <f>'밸런스 문서'!N91</f>
        <v>9.8784722222222246E-2</v>
      </c>
    </row>
    <row r="92" spans="1:4">
      <c r="A92" s="74">
        <f>'밸런스 문서'!B92</f>
        <v>88</v>
      </c>
      <c r="B92" s="22">
        <f>'밸런스 문서'!P92</f>
        <v>397</v>
      </c>
      <c r="C92" s="55">
        <f>'밸런스 문서'!R92</f>
        <v>7940</v>
      </c>
      <c r="D92" s="73">
        <f>'밸런스 문서'!N92</f>
        <v>9.9710648148148173E-2</v>
      </c>
    </row>
    <row r="93" spans="1:4">
      <c r="A93" s="74">
        <f>'밸런스 문서'!B93</f>
        <v>89</v>
      </c>
      <c r="B93" s="22">
        <f>'밸런스 문서'!P93</f>
        <v>405</v>
      </c>
      <c r="C93" s="55">
        <f>'밸런스 문서'!R93</f>
        <v>8262</v>
      </c>
      <c r="D93" s="73">
        <f>'밸런스 문서'!N93</f>
        <v>0.10075231481481484</v>
      </c>
    </row>
    <row r="94" spans="1:4">
      <c r="A94" s="74">
        <f>'밸런스 문서'!B94</f>
        <v>90</v>
      </c>
      <c r="B94" s="22">
        <f>'밸런스 문서'!P94</f>
        <v>413</v>
      </c>
      <c r="C94" s="55">
        <f>'밸런스 문서'!R94</f>
        <v>8590.4</v>
      </c>
      <c r="D94" s="73">
        <f>'밸런스 문서'!N94</f>
        <v>0.10115740740740743</v>
      </c>
    </row>
    <row r="95" spans="1:4">
      <c r="A95" s="74">
        <f>'밸런스 문서'!B95</f>
        <v>91</v>
      </c>
      <c r="B95" s="22">
        <f>'밸런스 문서'!P95</f>
        <v>417</v>
      </c>
      <c r="C95" s="55">
        <f>'밸런스 문서'!R95</f>
        <v>8757</v>
      </c>
      <c r="D95" s="73">
        <f>'밸런스 문서'!N95</f>
        <v>0.10208333333333336</v>
      </c>
    </row>
    <row r="96" spans="1:4">
      <c r="A96" s="74">
        <f>'밸런스 문서'!B96</f>
        <v>92</v>
      </c>
      <c r="B96" s="22">
        <f>'밸런스 문서'!P96</f>
        <v>425</v>
      </c>
      <c r="C96" s="55">
        <f>'밸런스 문서'!R96</f>
        <v>9095</v>
      </c>
      <c r="D96" s="73">
        <f>'밸런스 문서'!N96</f>
        <v>0.10312500000000002</v>
      </c>
    </row>
    <row r="97" spans="1:4">
      <c r="A97" s="74">
        <f>'밸런스 문서'!B97</f>
        <v>93</v>
      </c>
      <c r="B97" s="22">
        <f>'밸런스 문서'!P97</f>
        <v>432</v>
      </c>
      <c r="C97" s="55">
        <f>'밸런스 문서'!R97</f>
        <v>9396</v>
      </c>
      <c r="D97" s="73">
        <f>'밸런스 문서'!N97</f>
        <v>0.10486111111111113</v>
      </c>
    </row>
    <row r="98" spans="1:4">
      <c r="A98" s="74">
        <f>'밸런스 문서'!B98</f>
        <v>94</v>
      </c>
      <c r="B98" s="22">
        <f>'밸런스 문서'!P98</f>
        <v>439</v>
      </c>
      <c r="C98" s="55">
        <f>'밸런스 문서'!R98</f>
        <v>9701.9</v>
      </c>
      <c r="D98" s="73">
        <f>'밸런스 문서'!N98</f>
        <v>0.10590277777777779</v>
      </c>
    </row>
    <row r="99" spans="1:4">
      <c r="A99" s="74">
        <f>'밸런스 문서'!B99</f>
        <v>95</v>
      </c>
      <c r="B99" s="22">
        <f>'밸런스 문서'!P99</f>
        <v>443</v>
      </c>
      <c r="C99" s="55">
        <f>'밸런스 문서'!R99</f>
        <v>9878.9</v>
      </c>
      <c r="D99" s="73">
        <f>'밸런스 문서'!N99</f>
        <v>0.10659722222222223</v>
      </c>
    </row>
    <row r="100" spans="1:4">
      <c r="A100" s="74">
        <f>'밸런스 문서'!B100</f>
        <v>96</v>
      </c>
      <c r="B100" s="22">
        <f>'밸런스 문서'!P100</f>
        <v>449</v>
      </c>
      <c r="C100" s="55">
        <f>'밸런스 문서'!R100</f>
        <v>10147.4</v>
      </c>
      <c r="D100" s="73">
        <f>'밸런스 문서'!N100</f>
        <v>0.10937500000000001</v>
      </c>
    </row>
    <row r="101" spans="1:4">
      <c r="A101" s="74">
        <f>'밸런스 문서'!B101</f>
        <v>97</v>
      </c>
      <c r="B101" s="22">
        <f>'밸런스 문서'!P101</f>
        <v>457</v>
      </c>
      <c r="C101" s="55">
        <f>'밸런스 문서'!R101</f>
        <v>10511</v>
      </c>
      <c r="D101" s="73">
        <f>'밸런스 문서'!N101</f>
        <v>0.11041666666666668</v>
      </c>
    </row>
    <row r="102" spans="1:4">
      <c r="A102" s="74">
        <f>'밸런스 문서'!B102</f>
        <v>98</v>
      </c>
      <c r="B102" s="22">
        <f>'밸런스 문서'!P102</f>
        <v>466</v>
      </c>
      <c r="C102" s="55">
        <f>'밸런스 문서'!R102</f>
        <v>10927.7</v>
      </c>
      <c r="D102" s="73">
        <f>'밸런스 문서'!N102</f>
        <v>0.11099537037037038</v>
      </c>
    </row>
    <row r="103" spans="1:4">
      <c r="A103" s="74">
        <f>'밸런스 문서'!B103</f>
        <v>99</v>
      </c>
      <c r="B103" s="22">
        <f>'밸런스 문서'!P103</f>
        <v>469</v>
      </c>
      <c r="C103" s="55">
        <f>'밸런스 문서'!R103</f>
        <v>11068.4</v>
      </c>
      <c r="D103" s="73">
        <f>'밸런스 문서'!N103</f>
        <v>0.11168981481481483</v>
      </c>
    </row>
    <row r="104" spans="1:4">
      <c r="A104" s="74">
        <f>'밸런스 문서'!B104</f>
        <v>100</v>
      </c>
      <c r="B104" s="22">
        <f>'밸런스 문서'!P104</f>
        <v>479</v>
      </c>
      <c r="C104" s="55">
        <f>'밸런스 문서'!R104</f>
        <v>11543.9</v>
      </c>
      <c r="D104" s="73">
        <f>'밸런스 문서'!N104</f>
        <v>0.11307870370370371</v>
      </c>
    </row>
    <row r="105" spans="1:4">
      <c r="A105" s="74">
        <f>'밸런스 문서'!B105</f>
        <v>101</v>
      </c>
      <c r="B105" s="22">
        <f>'밸런스 문서'!P105</f>
        <v>487</v>
      </c>
      <c r="C105" s="55">
        <f>'밸런스 문서'!R105</f>
        <v>11931.5</v>
      </c>
      <c r="D105" s="73">
        <f>'밸런스 문서'!N105</f>
        <v>0.11377314814814815</v>
      </c>
    </row>
    <row r="106" spans="1:4">
      <c r="A106" s="74">
        <f>'밸런스 문서'!B106</f>
        <v>102</v>
      </c>
      <c r="B106" s="22">
        <f>'밸런스 문서'!P106</f>
        <v>495</v>
      </c>
      <c r="C106" s="55">
        <f>'밸런스 문서'!R106</f>
        <v>12325.5</v>
      </c>
      <c r="D106" s="73">
        <f>'밸런스 문서'!N106</f>
        <v>0.11446759259259259</v>
      </c>
    </row>
    <row r="107" spans="1:4">
      <c r="A107" s="74">
        <f>'밸런스 문서'!B107</f>
        <v>103</v>
      </c>
      <c r="B107" s="22">
        <f>'밸런스 문서'!P107</f>
        <v>502</v>
      </c>
      <c r="C107" s="55">
        <f>'밸런스 문서'!R107</f>
        <v>12675.5</v>
      </c>
      <c r="D107" s="73">
        <f>'밸런스 문서'!N107</f>
        <v>0.11533564814814815</v>
      </c>
    </row>
    <row r="108" spans="1:4">
      <c r="A108" s="74">
        <f>'밸런스 문서'!B108</f>
        <v>104</v>
      </c>
      <c r="B108" s="22">
        <f>'밸런스 문서'!P108</f>
        <v>509</v>
      </c>
      <c r="C108" s="55">
        <f>'밸런스 문서'!R108</f>
        <v>13030.4</v>
      </c>
      <c r="D108" s="73">
        <f>'밸런스 문서'!N108</f>
        <v>0.1162037037037037</v>
      </c>
    </row>
    <row r="109" spans="1:4">
      <c r="A109" s="74">
        <f>'밸런스 문서'!B109</f>
        <v>105</v>
      </c>
      <c r="B109" s="22">
        <f>'밸런스 문서'!P109</f>
        <v>516</v>
      </c>
      <c r="C109" s="55">
        <f>'밸런스 문서'!R109</f>
        <v>13390.2</v>
      </c>
      <c r="D109" s="73">
        <f>'밸런스 문서'!N109</f>
        <v>0.11655092592592592</v>
      </c>
    </row>
    <row r="110" spans="1:4">
      <c r="A110" s="74">
        <f>'밸런스 문서'!B110</f>
        <v>106</v>
      </c>
      <c r="B110" s="22">
        <f>'밸런스 문서'!P110</f>
        <v>519</v>
      </c>
      <c r="C110" s="55">
        <f>'밸런스 문서'!R110</f>
        <v>13545.9</v>
      </c>
      <c r="D110" s="73">
        <f>'밸런스 문서'!N110</f>
        <v>0.11747685185185185</v>
      </c>
    </row>
    <row r="111" spans="1:4">
      <c r="A111" s="74">
        <f>'밸런스 문서'!B111</f>
        <v>107</v>
      </c>
      <c r="B111" s="22">
        <f>'밸런스 문서'!P111</f>
        <v>523</v>
      </c>
      <c r="C111" s="55">
        <f>'밸런스 문서'!R111</f>
        <v>13754.9</v>
      </c>
      <c r="D111" s="73">
        <f>'밸런스 문서'!N111</f>
        <v>0.11886574074074073</v>
      </c>
    </row>
    <row r="112" spans="1:4">
      <c r="A112" s="74">
        <f>'밸런스 문서'!B112</f>
        <v>108</v>
      </c>
      <c r="B112" s="22">
        <f>'밸런스 문서'!P112</f>
        <v>528</v>
      </c>
      <c r="C112" s="55">
        <f>'밸런스 문서'!R112</f>
        <v>14018.4</v>
      </c>
      <c r="D112" s="73">
        <f>'밸런스 문서'!N112</f>
        <v>0.11990740740740739</v>
      </c>
    </row>
    <row r="113" spans="1:4">
      <c r="A113" s="74">
        <f>'밸런스 문서'!B113</f>
        <v>109</v>
      </c>
      <c r="B113" s="22">
        <f>'밸런스 문서'!P113</f>
        <v>533</v>
      </c>
      <c r="C113" s="55">
        <f>'밸런스 문서'!R113</f>
        <v>14284.4</v>
      </c>
      <c r="D113" s="73">
        <f>'밸런스 문서'!N113</f>
        <v>0.12106481481481481</v>
      </c>
    </row>
    <row r="114" spans="1:4">
      <c r="A114" s="74">
        <f>'밸런스 문서'!B114</f>
        <v>110</v>
      </c>
      <c r="B114" s="22">
        <f>'밸런스 문서'!P114</f>
        <v>541</v>
      </c>
      <c r="C114" s="55">
        <f>'밸런스 문서'!R114</f>
        <v>14715.2</v>
      </c>
      <c r="D114" s="73">
        <f>'밸런스 문서'!N114</f>
        <v>0.12245370370370369</v>
      </c>
    </row>
    <row r="115" spans="1:4">
      <c r="A115" s="74">
        <f>'밸런스 문서'!B115</f>
        <v>111</v>
      </c>
      <c r="B115" s="22">
        <f>'밸런스 문서'!P115</f>
        <v>550</v>
      </c>
      <c r="C115" s="55">
        <f>'밸런스 문서'!R115</f>
        <v>15207.5</v>
      </c>
      <c r="D115" s="73">
        <f>'밸런스 문서'!N115</f>
        <v>0.12384259259259257</v>
      </c>
    </row>
    <row r="116" spans="1:4">
      <c r="A116" s="74">
        <f>'밸런스 문서'!B116</f>
        <v>112</v>
      </c>
      <c r="B116" s="22">
        <f>'밸런스 문서'!P116</f>
        <v>558</v>
      </c>
      <c r="C116" s="55">
        <f>'밸런스 문서'!R116</f>
        <v>15651.9</v>
      </c>
      <c r="D116" s="73">
        <f>'밸런스 문서'!N116</f>
        <v>0.12523148148148147</v>
      </c>
    </row>
    <row r="117" spans="1:4">
      <c r="A117" s="74">
        <f>'밸런스 문서'!B117</f>
        <v>113</v>
      </c>
      <c r="B117" s="22">
        <f>'밸런스 문서'!P117</f>
        <v>567</v>
      </c>
      <c r="C117" s="55">
        <f>'밸런스 문서'!R117</f>
        <v>16159.5</v>
      </c>
      <c r="D117" s="73">
        <f>'밸런스 문서'!N117</f>
        <v>0.12627314814814813</v>
      </c>
    </row>
    <row r="118" spans="1:4">
      <c r="A118" s="74">
        <f>'밸런스 문서'!B118</f>
        <v>114</v>
      </c>
      <c r="B118" s="22">
        <f>'밸런스 문서'!P118</f>
        <v>570</v>
      </c>
      <c r="C118" s="55">
        <f>'밸런스 문서'!R118</f>
        <v>16330.5</v>
      </c>
      <c r="D118" s="73">
        <f>'밸런스 문서'!N118</f>
        <v>0.12743055555555555</v>
      </c>
    </row>
    <row r="119" spans="1:4">
      <c r="A119" s="74">
        <f>'밸런스 문서'!B119</f>
        <v>115</v>
      </c>
      <c r="B119" s="22">
        <f>'밸런스 문서'!P119</f>
        <v>573</v>
      </c>
      <c r="C119" s="55">
        <f>'밸런스 문서'!R119</f>
        <v>16502.400000000001</v>
      </c>
      <c r="D119" s="73">
        <f>'밸런스 문서'!N119</f>
        <v>0.12858796296296296</v>
      </c>
    </row>
    <row r="120" spans="1:4">
      <c r="A120" s="74">
        <f>'밸런스 문서'!B120</f>
        <v>116</v>
      </c>
      <c r="B120" s="22">
        <f>'밸런스 문서'!P120</f>
        <v>576</v>
      </c>
      <c r="C120" s="55">
        <f>'밸런스 문서'!R120</f>
        <v>16675.2</v>
      </c>
      <c r="D120" s="73">
        <f>'밸런스 문서'!N120</f>
        <v>0.12997685185185184</v>
      </c>
    </row>
    <row r="121" spans="1:4">
      <c r="A121" s="74">
        <f>'밸런스 문서'!B121</f>
        <v>117</v>
      </c>
      <c r="B121" s="22">
        <f>'밸런스 문서'!P121</f>
        <v>581</v>
      </c>
      <c r="C121" s="55">
        <f>'밸런스 문서'!R121</f>
        <v>16965.2</v>
      </c>
      <c r="D121" s="73">
        <f>'밸런스 문서'!N121</f>
        <v>0.13148148148148148</v>
      </c>
    </row>
    <row r="122" spans="1:4">
      <c r="A122" s="74">
        <f>'밸런스 문서'!B122</f>
        <v>118</v>
      </c>
      <c r="B122" s="22">
        <f>'밸런스 문서'!P122</f>
        <v>586</v>
      </c>
      <c r="C122" s="55">
        <f>'밸런스 문서'!R122</f>
        <v>17257.7</v>
      </c>
      <c r="D122" s="73">
        <f>'밸런스 문서'!N122</f>
        <v>0.13321759259259258</v>
      </c>
    </row>
    <row r="123" spans="1:4">
      <c r="A123" s="74">
        <f>'밸런스 문서'!B123</f>
        <v>119</v>
      </c>
      <c r="B123" s="22">
        <f>'밸런스 문서'!P123</f>
        <v>593</v>
      </c>
      <c r="C123" s="55">
        <f>'밸런스 문서'!R123</f>
        <v>17671.400000000001</v>
      </c>
      <c r="D123" s="73">
        <f>'밸런스 문서'!N123</f>
        <v>0.13460648148148147</v>
      </c>
    </row>
    <row r="124" spans="1:4">
      <c r="A124" s="74">
        <f>'밸런스 문서'!B124</f>
        <v>120</v>
      </c>
      <c r="B124" s="22">
        <f>'밸런스 문서'!P124</f>
        <v>599</v>
      </c>
      <c r="C124" s="55">
        <f>'밸런스 문서'!R124</f>
        <v>18029.900000000001</v>
      </c>
      <c r="D124" s="73">
        <f>'밸런스 문서'!N124</f>
        <v>0.13703703703703701</v>
      </c>
    </row>
    <row r="125" spans="1:4">
      <c r="A125" s="74">
        <f>'밸런스 문서'!B125</f>
        <v>121</v>
      </c>
      <c r="B125" s="22">
        <f>'밸런스 문서'!P125</f>
        <v>607</v>
      </c>
      <c r="C125" s="55">
        <f>'밸런스 문서'!R125</f>
        <v>18513.5</v>
      </c>
      <c r="D125" s="73">
        <f>'밸런스 문서'!N125</f>
        <v>0.13912037037037034</v>
      </c>
    </row>
    <row r="126" spans="1:4">
      <c r="A126" s="74">
        <f>'밸런스 문서'!B126</f>
        <v>122</v>
      </c>
      <c r="B126" s="22">
        <f>'밸런스 문서'!P126</f>
        <v>613</v>
      </c>
      <c r="C126" s="55">
        <f>'밸런스 문서'!R126</f>
        <v>18880.400000000001</v>
      </c>
      <c r="D126" s="73">
        <f>'밸런스 문서'!N126</f>
        <v>0.14143518518518516</v>
      </c>
    </row>
    <row r="127" spans="1:4">
      <c r="A127" s="74">
        <f>'밸런스 문서'!B127</f>
        <v>123</v>
      </c>
      <c r="B127" s="22">
        <f>'밸런스 문서'!P127</f>
        <v>620</v>
      </c>
      <c r="C127" s="55">
        <f>'밸런스 문서'!R127</f>
        <v>19313</v>
      </c>
      <c r="D127" s="73">
        <f>'밸런스 문서'!N127</f>
        <v>0.14374999999999999</v>
      </c>
    </row>
    <row r="128" spans="1:4">
      <c r="A128" s="74">
        <f>'밸런스 문서'!B128</f>
        <v>124</v>
      </c>
      <c r="B128" s="22">
        <f>'밸런스 문서'!P128</f>
        <v>626</v>
      </c>
      <c r="C128" s="55">
        <f>'밸런스 문서'!R128</f>
        <v>19687.7</v>
      </c>
      <c r="D128" s="73">
        <f>'밸런스 문서'!N128</f>
        <v>0.1449074074074074</v>
      </c>
    </row>
    <row r="129" spans="1:4">
      <c r="A129" s="74">
        <f>'밸런스 문서'!B129</f>
        <v>125</v>
      </c>
      <c r="B129" s="22">
        <f>'밸런스 문서'!P129</f>
        <v>632</v>
      </c>
      <c r="C129" s="55">
        <f>'밸런스 문서'!R129</f>
        <v>20066</v>
      </c>
      <c r="D129" s="73">
        <f>'밸런스 문서'!N129</f>
        <v>0.14710648148148148</v>
      </c>
    </row>
    <row r="130" spans="1:4">
      <c r="A130" s="74">
        <f>'밸런스 문서'!B130</f>
        <v>126</v>
      </c>
      <c r="B130" s="22">
        <f>'밸런스 문서'!P130</f>
        <v>639</v>
      </c>
      <c r="C130" s="55">
        <f>'밸런스 문서'!R130</f>
        <v>20511.900000000001</v>
      </c>
      <c r="D130" s="73">
        <f>'밸런스 문서'!N130</f>
        <v>0.14884259259259258</v>
      </c>
    </row>
    <row r="131" spans="1:4">
      <c r="A131" s="74">
        <f>'밸런스 문서'!B131</f>
        <v>127</v>
      </c>
      <c r="B131" s="22">
        <f>'밸런스 문서'!P131</f>
        <v>647</v>
      </c>
      <c r="C131" s="55">
        <f>'밸런스 문서'!R131</f>
        <v>21027.5</v>
      </c>
      <c r="D131" s="73">
        <f>'밸런스 문서'!N131</f>
        <v>0.15023148148148147</v>
      </c>
    </row>
    <row r="132" spans="1:4">
      <c r="A132" s="74">
        <f>'밸런스 문서'!B132</f>
        <v>128</v>
      </c>
      <c r="B132" s="22">
        <f>'밸런스 문서'!P132</f>
        <v>654</v>
      </c>
      <c r="C132" s="55">
        <f>'밸런스 문서'!R132</f>
        <v>21483.9</v>
      </c>
      <c r="D132" s="73">
        <f>'밸런스 문서'!N132</f>
        <v>0.15104166666666666</v>
      </c>
    </row>
    <row r="133" spans="1:4">
      <c r="A133" s="74">
        <f>'밸런스 문서'!B133</f>
        <v>129</v>
      </c>
      <c r="B133" s="22">
        <f>'밸런스 문서'!P133</f>
        <v>662</v>
      </c>
      <c r="C133" s="55">
        <f>'밸런스 문서'!R133</f>
        <v>22011.5</v>
      </c>
      <c r="D133" s="73">
        <f>'밸런스 문서'!N133</f>
        <v>0.15144675925925924</v>
      </c>
    </row>
    <row r="134" spans="1:4">
      <c r="A134" s="72">
        <f>'밸런스 문서'!B134</f>
        <v>130</v>
      </c>
      <c r="B134" s="60">
        <f>'밸런스 문서'!P134</f>
        <v>669</v>
      </c>
      <c r="C134" s="53">
        <f>'밸런스 문서'!R134</f>
        <v>22478.400000000001</v>
      </c>
      <c r="D134" s="73">
        <f>'밸런스 문서'!N134</f>
        <v>0.15422453703703701</v>
      </c>
    </row>
    <row r="135" spans="1:4">
      <c r="A135" s="72">
        <f>'밸런스 문서'!B135</f>
        <v>131</v>
      </c>
      <c r="B135" s="60">
        <f>'밸런스 문서'!P135</f>
        <v>675</v>
      </c>
      <c r="C135" s="53">
        <f>'밸런스 문서'!R135</f>
        <v>22882.5</v>
      </c>
      <c r="D135" s="73">
        <f>'밸런스 문서'!N135</f>
        <v>0.15665509259259255</v>
      </c>
    </row>
    <row r="136" spans="1:4">
      <c r="A136" s="72">
        <f>'밸런스 문서'!B136</f>
        <v>132</v>
      </c>
      <c r="B136" s="60">
        <f>'밸런스 문서'!P136</f>
        <v>681</v>
      </c>
      <c r="C136" s="53">
        <f>'밸런스 문서'!R136</f>
        <v>23290.2</v>
      </c>
      <c r="D136" s="73">
        <f>'밸런스 문서'!N136</f>
        <v>0.15792824074074069</v>
      </c>
    </row>
    <row r="137" spans="1:4">
      <c r="A137" s="72">
        <f>'밸런스 문서'!B137</f>
        <v>133</v>
      </c>
      <c r="B137" s="60">
        <f>'밸런스 문서'!P137</f>
        <v>688</v>
      </c>
      <c r="C137" s="53">
        <f>'밸런스 문서'!R137</f>
        <v>23770.400000000001</v>
      </c>
      <c r="D137" s="73">
        <f>'밸런스 문서'!N137</f>
        <v>0.16012731481481476</v>
      </c>
    </row>
    <row r="138" spans="1:4">
      <c r="A138" s="72">
        <f>'밸런스 문서'!B138</f>
        <v>134</v>
      </c>
      <c r="B138" s="60">
        <f>'밸런스 문서'!P138</f>
        <v>694</v>
      </c>
      <c r="C138" s="53">
        <f>'밸런스 문서'!R138</f>
        <v>24185.9</v>
      </c>
      <c r="D138" s="73">
        <f>'밸런스 문서'!N138</f>
        <v>0.16255787037037031</v>
      </c>
    </row>
    <row r="139" spans="1:4">
      <c r="A139" s="72">
        <f>'밸런스 문서'!B139</f>
        <v>135</v>
      </c>
      <c r="B139" s="60">
        <f>'밸런스 문서'!P139</f>
        <v>699</v>
      </c>
      <c r="C139" s="53">
        <f>'밸런스 문서'!R139</f>
        <v>24534.9</v>
      </c>
      <c r="D139" s="73">
        <f>'밸런스 문서'!N139</f>
        <v>0.16348379629629622</v>
      </c>
    </row>
    <row r="140" spans="1:4">
      <c r="A140" s="72">
        <f>'밸런스 문서'!B140</f>
        <v>136</v>
      </c>
      <c r="B140" s="60">
        <f>'밸런스 문서'!P140</f>
        <v>706</v>
      </c>
      <c r="C140" s="53">
        <f>'밸런스 문서'!R140</f>
        <v>25027.7</v>
      </c>
      <c r="D140" s="73">
        <f>'밸런스 문서'!N140</f>
        <v>0.16417824074074067</v>
      </c>
    </row>
    <row r="141" spans="1:4">
      <c r="A141" s="72">
        <f>'밸런스 문서'!B141</f>
        <v>137</v>
      </c>
      <c r="B141" s="60">
        <f>'밸런스 문서'!P141</f>
        <v>713</v>
      </c>
      <c r="C141" s="53">
        <f>'밸런스 문서'!R141</f>
        <v>25525.4</v>
      </c>
      <c r="D141" s="73">
        <f>'밸런스 문서'!N141</f>
        <v>0.16533564814814808</v>
      </c>
    </row>
    <row r="142" spans="1:4">
      <c r="A142" s="72">
        <f>'밸런스 문서'!B142</f>
        <v>138</v>
      </c>
      <c r="B142" s="60">
        <f>'밸런스 문서'!P142</f>
        <v>724</v>
      </c>
      <c r="C142" s="53">
        <f>'밸런스 문서'!R142</f>
        <v>26317.4</v>
      </c>
      <c r="D142" s="73">
        <f>'밸런스 문서'!N142</f>
        <v>0.16672453703703696</v>
      </c>
    </row>
    <row r="143" spans="1:4">
      <c r="A143" s="72">
        <f>'밸런스 문서'!B143</f>
        <v>139</v>
      </c>
      <c r="B143" s="60">
        <f>'밸런스 문서'!P143</f>
        <v>735</v>
      </c>
      <c r="C143" s="53">
        <f>'밸런스 문서'!R143</f>
        <v>27121.5</v>
      </c>
      <c r="D143" s="73">
        <f>'밸런스 문서'!N143</f>
        <v>0.16776620370370363</v>
      </c>
    </row>
    <row r="144" spans="1:4">
      <c r="A144" s="72">
        <f>'밸런스 문서'!B144</f>
        <v>140</v>
      </c>
      <c r="B144" s="60">
        <f>'밸런스 문서'!P144</f>
        <v>746</v>
      </c>
      <c r="C144" s="53">
        <f>'밸런스 문서'!R144</f>
        <v>27937.7</v>
      </c>
      <c r="D144" s="73">
        <f>'밸런스 문서'!N144</f>
        <v>0.16846064814814807</v>
      </c>
    </row>
    <row r="145" spans="1:4">
      <c r="A145" s="72">
        <f>'밸런스 문서'!B145</f>
        <v>141</v>
      </c>
      <c r="B145" s="60">
        <f>'밸런스 문서'!P145</f>
        <v>757</v>
      </c>
      <c r="C145" s="53">
        <f>'밸런스 문서'!R145</f>
        <v>28766</v>
      </c>
      <c r="D145" s="73">
        <f>'밸런스 문서'!N145</f>
        <v>0.17054398148148139</v>
      </c>
    </row>
    <row r="146" spans="1:4">
      <c r="A146" s="72">
        <f>'밸런스 문서'!B146</f>
        <v>142</v>
      </c>
      <c r="B146" s="60">
        <f>'밸런스 문서'!P146</f>
        <v>769</v>
      </c>
      <c r="C146" s="53">
        <f>'밸런스 문서'!R146</f>
        <v>29683.4</v>
      </c>
      <c r="D146" s="73">
        <f>'밸런스 문서'!N146</f>
        <v>0.17123842592592584</v>
      </c>
    </row>
    <row r="147" spans="1:4">
      <c r="A147" s="72">
        <f>'밸런스 문서'!B147</f>
        <v>143</v>
      </c>
      <c r="B147" s="60">
        <f>'밸런스 문서'!P147</f>
        <v>779</v>
      </c>
      <c r="C147" s="53">
        <f>'밸런스 문서'!R147</f>
        <v>30458.9</v>
      </c>
      <c r="D147" s="73">
        <f>'밸런스 문서'!N147</f>
        <v>0.17285879629629622</v>
      </c>
    </row>
    <row r="148" spans="1:4">
      <c r="A148" s="72">
        <f>'밸런스 문서'!B148</f>
        <v>144</v>
      </c>
      <c r="B148" s="60">
        <f>'밸런스 문서'!P148</f>
        <v>784</v>
      </c>
      <c r="C148" s="53">
        <f>'밸런스 문서'!R148</f>
        <v>30850.400000000001</v>
      </c>
      <c r="D148" s="73">
        <f>'밸런스 문서'!N148</f>
        <v>0.17390046296296288</v>
      </c>
    </row>
    <row r="149" spans="1:4">
      <c r="A149" s="72">
        <f>'밸런스 문서'!B149</f>
        <v>145</v>
      </c>
      <c r="B149" s="60">
        <f>'밸런스 문서'!P149</f>
        <v>790</v>
      </c>
      <c r="C149" s="53">
        <f>'밸런스 문서'!R149</f>
        <v>31323.5</v>
      </c>
      <c r="D149" s="73">
        <f>'밸런스 문서'!N149</f>
        <v>0.17552083333333326</v>
      </c>
    </row>
    <row r="150" spans="1:4">
      <c r="A150" s="72">
        <f>'밸런스 문서'!B150</f>
        <v>146</v>
      </c>
      <c r="B150" s="60">
        <f>'밸런스 문서'!P150</f>
        <v>798</v>
      </c>
      <c r="C150" s="53">
        <f>'밸런스 문서'!R150</f>
        <v>31959.9</v>
      </c>
      <c r="D150" s="73">
        <f>'밸런스 문서'!N150</f>
        <v>0.17760416666666659</v>
      </c>
    </row>
    <row r="151" spans="1:4">
      <c r="A151" s="72">
        <f>'밸런스 문서'!B151</f>
        <v>147</v>
      </c>
      <c r="B151" s="60">
        <f>'밸런스 문서'!P151</f>
        <v>802</v>
      </c>
      <c r="C151" s="53">
        <f>'밸런스 문서'!R151</f>
        <v>32280.5</v>
      </c>
      <c r="D151" s="73">
        <f>'밸런스 문서'!N151</f>
        <v>0.17887731481481473</v>
      </c>
    </row>
    <row r="152" spans="1:4">
      <c r="A152" s="72">
        <f>'밸런스 문서'!B152</f>
        <v>148</v>
      </c>
      <c r="B152" s="60">
        <f>'밸런스 문서'!P152</f>
        <v>806</v>
      </c>
      <c r="C152" s="53">
        <f>'밸런스 문서'!R152</f>
        <v>32602.7</v>
      </c>
      <c r="D152" s="73">
        <f>'밸런스 문서'!N152</f>
        <v>0.18003472222222214</v>
      </c>
    </row>
    <row r="153" spans="1:4">
      <c r="A153" s="72">
        <f>'밸런스 문서'!B153</f>
        <v>149</v>
      </c>
      <c r="B153" s="60">
        <f>'밸런스 문서'!P153</f>
        <v>810</v>
      </c>
      <c r="C153" s="53">
        <f>'밸런스 문서'!R153</f>
        <v>32926.5</v>
      </c>
      <c r="D153" s="73">
        <f>'밸런스 문서'!N153</f>
        <v>0.18165509259259252</v>
      </c>
    </row>
    <row r="154" spans="1:4">
      <c r="A154" s="69">
        <f>'밸런스 문서'!B154</f>
        <v>150</v>
      </c>
      <c r="B154" s="25">
        <f>'밸런스 문서'!P154</f>
        <v>817</v>
      </c>
      <c r="C154" s="23">
        <f>'밸런스 문서'!R154</f>
        <v>33497</v>
      </c>
      <c r="D154" s="73">
        <f>'밸런스 문서'!N154</f>
        <v>0.18373842592592585</v>
      </c>
    </row>
    <row r="155" spans="1:4">
      <c r="A155" s="69">
        <f>'밸런스 문서'!B155</f>
        <v>151</v>
      </c>
      <c r="B155" s="25">
        <f>'밸런스 문서'!P155</f>
        <v>826</v>
      </c>
      <c r="C155" s="23">
        <f>'밸런스 문서'!R155</f>
        <v>34237.699999999997</v>
      </c>
      <c r="D155" s="73">
        <f>'밸런스 문서'!N155</f>
        <v>0.18524305555555548</v>
      </c>
    </row>
    <row r="156" spans="1:4">
      <c r="A156" s="69">
        <f>'밸런스 문서'!B156</f>
        <v>152</v>
      </c>
      <c r="B156" s="25">
        <f>'밸런스 문서'!P156</f>
        <v>833</v>
      </c>
      <c r="C156" s="23">
        <f>'밸런스 문서'!R156</f>
        <v>34819.4</v>
      </c>
      <c r="D156" s="73">
        <f>'밸런스 문서'!N156</f>
        <v>0.18778935185185178</v>
      </c>
    </row>
    <row r="157" spans="1:4">
      <c r="A157" s="69">
        <f>'밸런스 문서'!B157</f>
        <v>153</v>
      </c>
      <c r="B157" s="25">
        <f>'밸런스 문서'!P157</f>
        <v>839</v>
      </c>
      <c r="C157" s="23">
        <f>'밸런스 문서'!R157</f>
        <v>35321.9</v>
      </c>
      <c r="D157" s="73">
        <f>'밸런스 문서'!N157</f>
        <v>0.19021990740740732</v>
      </c>
    </row>
    <row r="158" spans="1:4">
      <c r="A158" s="69">
        <f>'밸런스 문서'!B158</f>
        <v>154</v>
      </c>
      <c r="B158" s="25">
        <f>'밸런스 문서'!P158</f>
        <v>849</v>
      </c>
      <c r="C158" s="23">
        <f>'밸런스 문서'!R158</f>
        <v>36167.4</v>
      </c>
      <c r="D158" s="73">
        <f>'밸런스 문서'!N158</f>
        <v>0.19322916666666659</v>
      </c>
    </row>
    <row r="159" spans="1:4">
      <c r="A159" s="69">
        <f>'밸런스 문서'!B159</f>
        <v>155</v>
      </c>
      <c r="B159" s="25">
        <f>'밸런스 문서'!P159</f>
        <v>858</v>
      </c>
      <c r="C159" s="23">
        <f>'밸런스 문서'!R159</f>
        <v>36936.9</v>
      </c>
      <c r="D159" s="73">
        <f>'밸런스 문서'!N159</f>
        <v>0.19542824074074067</v>
      </c>
    </row>
    <row r="160" spans="1:4">
      <c r="A160" s="69">
        <f>'밸런스 문서'!B160</f>
        <v>156</v>
      </c>
      <c r="B160" s="25">
        <f>'밸런스 문서'!P160</f>
        <v>869</v>
      </c>
      <c r="C160" s="23">
        <f>'밸런스 문서'!R160</f>
        <v>37888.400000000001</v>
      </c>
      <c r="D160" s="73">
        <f>'밸런스 문서'!N160</f>
        <v>0.19774305555555549</v>
      </c>
    </row>
    <row r="161" spans="1:4">
      <c r="A161" s="69">
        <f>'밸런스 문서'!B161</f>
        <v>157</v>
      </c>
      <c r="B161" s="25">
        <f>'밸런스 문서'!P161</f>
        <v>876</v>
      </c>
      <c r="C161" s="23">
        <f>'밸런스 문서'!R161</f>
        <v>38500.199999999997</v>
      </c>
      <c r="D161" s="73">
        <f>'밸런스 문서'!N161</f>
        <v>0.1989004629629629</v>
      </c>
    </row>
    <row r="162" spans="1:4">
      <c r="A162" s="69">
        <f>'밸런스 문서'!B162</f>
        <v>158</v>
      </c>
      <c r="B162" s="25">
        <f>'밸런스 문서'!P162</f>
        <v>883</v>
      </c>
      <c r="C162" s="23">
        <f>'밸런스 문서'!R162</f>
        <v>39116.9</v>
      </c>
      <c r="D162" s="73">
        <f>'밸런스 문서'!N162</f>
        <v>0.20028935185185179</v>
      </c>
    </row>
    <row r="163" spans="1:4">
      <c r="A163" s="69">
        <f>'밸런스 문서'!B163</f>
        <v>159</v>
      </c>
      <c r="B163" s="25">
        <f>'밸런스 문서'!P163</f>
        <v>893</v>
      </c>
      <c r="C163" s="23">
        <f>'밸런스 문서'!R163</f>
        <v>40006.400000000001</v>
      </c>
      <c r="D163" s="73">
        <f>'밸런스 문서'!N163</f>
        <v>0.20202546296296289</v>
      </c>
    </row>
    <row r="164" spans="1:4">
      <c r="A164" s="69">
        <f>'밸런스 문서'!B164</f>
        <v>160</v>
      </c>
      <c r="B164" s="25">
        <f>'밸런스 문서'!P164</f>
        <v>903</v>
      </c>
      <c r="C164" s="23">
        <f>'밸런스 문서'!R164</f>
        <v>40905.9</v>
      </c>
      <c r="D164" s="73">
        <f>'밸런스 문서'!N164</f>
        <v>0.203761574074074</v>
      </c>
    </row>
    <row r="165" spans="1:4">
      <c r="A165" s="69">
        <f>'밸런스 문서'!B165</f>
        <v>161</v>
      </c>
      <c r="B165" s="25">
        <f>'밸런스 문서'!P165</f>
        <v>914</v>
      </c>
      <c r="C165" s="23">
        <f>'밸런스 문서'!R165</f>
        <v>41906.9</v>
      </c>
      <c r="D165" s="73">
        <f>'밸런스 문서'!N165</f>
        <v>0.20584490740740732</v>
      </c>
    </row>
    <row r="166" spans="1:4">
      <c r="A166" s="69">
        <f>'밸런스 문서'!B166</f>
        <v>162</v>
      </c>
      <c r="B166" s="25">
        <f>'밸런스 문서'!P166</f>
        <v>925</v>
      </c>
      <c r="C166" s="23">
        <f>'밸런스 문서'!R166</f>
        <v>42920</v>
      </c>
      <c r="D166" s="73">
        <f>'밸런스 문서'!N166</f>
        <v>0.20688657407407399</v>
      </c>
    </row>
    <row r="167" spans="1:4">
      <c r="A167" s="69">
        <f>'밸런스 문서'!B167</f>
        <v>163</v>
      </c>
      <c r="B167" s="25">
        <f>'밸런스 문서'!P167</f>
        <v>932</v>
      </c>
      <c r="C167" s="23">
        <f>'밸런스 문서'!R167</f>
        <v>43571</v>
      </c>
      <c r="D167" s="73">
        <f>'밸런스 문서'!N167</f>
        <v>0.20827546296296287</v>
      </c>
    </row>
    <row r="168" spans="1:4">
      <c r="A168" s="69">
        <f>'밸런스 문서'!B168</f>
        <v>164</v>
      </c>
      <c r="B168" s="25">
        <f>'밸런스 문서'!P168</f>
        <v>941</v>
      </c>
      <c r="C168" s="23">
        <f>'밸런스 문서'!R168</f>
        <v>44415.199999999997</v>
      </c>
      <c r="D168" s="73">
        <f>'밸런스 문서'!N168</f>
        <v>0.21001157407407398</v>
      </c>
    </row>
    <row r="169" spans="1:4">
      <c r="A169" s="69">
        <f>'밸런스 문서'!B169</f>
        <v>165</v>
      </c>
      <c r="B169" s="25">
        <f>'밸런스 문서'!P169</f>
        <v>946</v>
      </c>
      <c r="C169" s="23">
        <f>'밸런스 문서'!R169</f>
        <v>44887.7</v>
      </c>
      <c r="D169" s="73">
        <f>'밸런스 문서'!N169</f>
        <v>0.21221064814814805</v>
      </c>
    </row>
    <row r="170" spans="1:4">
      <c r="A170" s="69">
        <f>'밸런스 문서'!B170</f>
        <v>166</v>
      </c>
      <c r="B170" s="25">
        <f>'밸런스 문서'!P170</f>
        <v>951</v>
      </c>
      <c r="C170" s="23">
        <f>'밸런스 문서'!R170</f>
        <v>45362.7</v>
      </c>
      <c r="D170" s="73">
        <f>'밸런스 문서'!N170</f>
        <v>0.21406249999999991</v>
      </c>
    </row>
    <row r="171" spans="1:4">
      <c r="A171" s="69">
        <f>'밸런스 문서'!B171</f>
        <v>167</v>
      </c>
      <c r="B171" s="25">
        <f>'밸런스 문서'!P171</f>
        <v>956</v>
      </c>
      <c r="C171" s="23">
        <f>'밸런스 문서'!R171</f>
        <v>45840.2</v>
      </c>
      <c r="D171" s="73">
        <f>'밸런스 문서'!N171</f>
        <v>0.21579861111111101</v>
      </c>
    </row>
    <row r="172" spans="1:4">
      <c r="A172" s="69">
        <f>'밸런스 문서'!B172</f>
        <v>168</v>
      </c>
      <c r="B172" s="25">
        <f>'밸런스 문서'!P172</f>
        <v>963</v>
      </c>
      <c r="C172" s="23">
        <f>'밸런스 문서'!R172</f>
        <v>46512.9</v>
      </c>
      <c r="D172" s="73">
        <f>'밸런스 문서'!N172</f>
        <v>0.21811342592592584</v>
      </c>
    </row>
    <row r="173" spans="1:4">
      <c r="A173" s="69">
        <f>'밸런스 문서'!B173</f>
        <v>169</v>
      </c>
      <c r="B173" s="25">
        <f>'밸런스 문서'!P173</f>
        <v>973</v>
      </c>
      <c r="C173" s="23">
        <f>'밸런스 문서'!R173</f>
        <v>47482.400000000001</v>
      </c>
      <c r="D173" s="73">
        <f>'밸런스 문서'!N173</f>
        <v>0.22019675925925916</v>
      </c>
    </row>
    <row r="174" spans="1:4">
      <c r="A174" s="69">
        <f>'밸런스 문서'!B174</f>
        <v>170</v>
      </c>
      <c r="B174" s="25">
        <f>'밸런스 문서'!P174</f>
        <v>982</v>
      </c>
      <c r="C174" s="23">
        <f>'밸런스 문서'!R174</f>
        <v>48363.5</v>
      </c>
      <c r="D174" s="73">
        <f>'밸런스 문서'!N174</f>
        <v>0.22274305555555546</v>
      </c>
    </row>
    <row r="175" spans="1:4">
      <c r="A175" s="69">
        <f>'밸런스 문서'!B175</f>
        <v>171</v>
      </c>
      <c r="B175" s="25">
        <f>'밸런스 문서'!P175</f>
        <v>987</v>
      </c>
      <c r="C175" s="23">
        <f>'밸런스 문서'!R175</f>
        <v>48856.5</v>
      </c>
      <c r="D175" s="73">
        <f>'밸런스 문서'!N175</f>
        <v>0.22413194444444434</v>
      </c>
    </row>
    <row r="176" spans="1:4">
      <c r="A176" s="69">
        <f>'밸런스 문서'!B176</f>
        <v>172</v>
      </c>
      <c r="B176" s="25">
        <f>'밸런스 문서'!P176</f>
        <v>992</v>
      </c>
      <c r="C176" s="23">
        <f>'밸런스 문서'!R176</f>
        <v>49352</v>
      </c>
      <c r="D176" s="73">
        <f>'밸런스 문서'!N176</f>
        <v>0.22586805555555545</v>
      </c>
    </row>
    <row r="177" spans="1:4">
      <c r="A177" s="69">
        <f>'밸런스 문서'!B177</f>
        <v>173</v>
      </c>
      <c r="B177" s="25">
        <f>'밸런스 문서'!P177</f>
        <v>996</v>
      </c>
      <c r="C177" s="23">
        <f>'밸런스 문서'!R177</f>
        <v>49750.2</v>
      </c>
      <c r="D177" s="73">
        <f>'밸런스 문서'!N177</f>
        <v>0.22864583333333321</v>
      </c>
    </row>
    <row r="178" spans="1:4">
      <c r="A178" s="75">
        <f>'밸런스 문서'!B178</f>
        <v>174</v>
      </c>
      <c r="B178" s="76">
        <f>'밸런스 문서'!P178</f>
        <v>1000</v>
      </c>
      <c r="C178" s="77">
        <f>'밸런스 문서'!R178</f>
        <v>50150</v>
      </c>
      <c r="D178" s="78">
        <f>'밸런스 문서'!N178</f>
        <v>0.23072916666666654</v>
      </c>
    </row>
  </sheetData>
  <mergeCells count="1">
    <mergeCell ref="A1:J1"/>
  </mergeCells>
  <phoneticPr fontId="1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"/>
  <sheetViews>
    <sheetView workbookViewId="0"/>
  </sheetViews>
  <sheetFormatPr defaultRowHeight="14.25"/>
  <cols>
    <col min="1" max="1" width="6" customWidth="1"/>
    <col min="2" max="2" width="22" customWidth="1"/>
    <col min="3" max="3" width="18" customWidth="1"/>
    <col min="4" max="4" width="34" customWidth="1"/>
    <col min="5" max="5" width="38" customWidth="1"/>
    <col min="6" max="6" width="22" customWidth="1"/>
    <col min="7" max="7" width="36" customWidth="1"/>
    <col min="8" max="14" width="14" customWidth="1"/>
    <col min="15" max="16" width="12" customWidth="1"/>
    <col min="17" max="17" width="36" customWidth="1"/>
    <col min="18" max="18" width="10" customWidth="1"/>
  </cols>
  <sheetData>
    <row r="1" spans="1:18" ht="30" customHeight="1">
      <c r="A1" s="155" t="s">
        <v>1255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</row>
    <row r="2" spans="1:18" ht="32.1" customHeight="1">
      <c r="A2" s="156" t="s">
        <v>1309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156"/>
    </row>
    <row r="4" spans="1:18" ht="48" customHeight="1">
      <c r="A4" s="26" t="s">
        <v>1256</v>
      </c>
      <c r="B4" s="27" t="s">
        <v>1257</v>
      </c>
      <c r="C4" s="27" t="s">
        <v>1258</v>
      </c>
      <c r="D4" s="27" t="s">
        <v>1259</v>
      </c>
      <c r="E4" s="27" t="s">
        <v>1260</v>
      </c>
      <c r="F4" s="27" t="s">
        <v>1261</v>
      </c>
      <c r="G4" s="27" t="s">
        <v>1262</v>
      </c>
      <c r="H4" s="27" t="s">
        <v>1263</v>
      </c>
      <c r="I4" s="27" t="s">
        <v>1264</v>
      </c>
      <c r="J4" s="27" t="s">
        <v>1265</v>
      </c>
      <c r="K4" s="27" t="s">
        <v>1266</v>
      </c>
      <c r="L4" s="27" t="s">
        <v>1267</v>
      </c>
      <c r="M4" s="27" t="s">
        <v>1268</v>
      </c>
      <c r="N4" s="27" t="s">
        <v>1269</v>
      </c>
      <c r="O4" s="27" t="s">
        <v>1270</v>
      </c>
      <c r="P4" s="27" t="s">
        <v>1271</v>
      </c>
      <c r="Q4" s="27" t="s">
        <v>1272</v>
      </c>
      <c r="R4" s="28" t="s">
        <v>1273</v>
      </c>
    </row>
    <row r="5" spans="1:18" ht="84" customHeight="1">
      <c r="A5" s="31">
        <v>1</v>
      </c>
      <c r="B5" s="32" t="s">
        <v>586</v>
      </c>
      <c r="C5" s="32" t="s">
        <v>1274</v>
      </c>
      <c r="D5" s="29" t="s">
        <v>1275</v>
      </c>
      <c r="E5" s="29" t="s">
        <v>1276</v>
      </c>
      <c r="F5" s="29" t="s">
        <v>1277</v>
      </c>
      <c r="G5" s="29" t="s">
        <v>1278</v>
      </c>
      <c r="H5" s="37">
        <v>25</v>
      </c>
      <c r="I5" s="37">
        <f>H5*30</f>
        <v>750</v>
      </c>
      <c r="J5" s="37">
        <v>20</v>
      </c>
      <c r="K5" s="37">
        <f>J5*30</f>
        <v>600</v>
      </c>
      <c r="L5" s="37">
        <v>330</v>
      </c>
      <c r="M5" s="37">
        <v>210</v>
      </c>
      <c r="N5" s="37">
        <v>120</v>
      </c>
      <c r="O5" s="38">
        <f>L5/K5</f>
        <v>0.55000000000000004</v>
      </c>
      <c r="P5" s="32">
        <v>3</v>
      </c>
      <c r="Q5" s="29" t="s">
        <v>1279</v>
      </c>
      <c r="R5" s="43" t="str">
        <f>IF(AND(L5&lt;K5,L5=M5+N5),"적정","재검토")</f>
        <v>적정</v>
      </c>
    </row>
    <row r="6" spans="1:18" ht="84" customHeight="1">
      <c r="A6" s="33">
        <v>2</v>
      </c>
      <c r="B6" s="34" t="s">
        <v>648</v>
      </c>
      <c r="C6" s="34" t="s">
        <v>1280</v>
      </c>
      <c r="D6" s="21" t="s">
        <v>1281</v>
      </c>
      <c r="E6" s="21" t="s">
        <v>1282</v>
      </c>
      <c r="F6" s="21" t="s">
        <v>1283</v>
      </c>
      <c r="G6" s="21" t="s">
        <v>1284</v>
      </c>
      <c r="H6" s="39">
        <v>30</v>
      </c>
      <c r="I6" s="39">
        <f>H6*30</f>
        <v>900</v>
      </c>
      <c r="J6" s="39">
        <v>25</v>
      </c>
      <c r="K6" s="39">
        <f>J6*30</f>
        <v>750</v>
      </c>
      <c r="L6" s="39">
        <v>420</v>
      </c>
      <c r="M6" s="39">
        <v>210</v>
      </c>
      <c r="N6" s="39">
        <v>210</v>
      </c>
      <c r="O6" s="40">
        <f>L6/K6</f>
        <v>0.56000000000000005</v>
      </c>
      <c r="P6" s="34">
        <v>3</v>
      </c>
      <c r="Q6" s="21" t="s">
        <v>1285</v>
      </c>
      <c r="R6" s="44" t="str">
        <f>IF(AND(L6&lt;K6,L6=M6+N6),"적정","재검토")</f>
        <v>적정</v>
      </c>
    </row>
    <row r="7" spans="1:18" ht="84" customHeight="1">
      <c r="A7" s="33">
        <v>3</v>
      </c>
      <c r="B7" s="34" t="s">
        <v>729</v>
      </c>
      <c r="C7" s="34" t="s">
        <v>1286</v>
      </c>
      <c r="D7" s="21" t="s">
        <v>1287</v>
      </c>
      <c r="E7" s="21" t="s">
        <v>1288</v>
      </c>
      <c r="F7" s="21" t="s">
        <v>1289</v>
      </c>
      <c r="G7" s="21" t="s">
        <v>1290</v>
      </c>
      <c r="H7" s="39">
        <v>35</v>
      </c>
      <c r="I7" s="39">
        <f>H7*30</f>
        <v>1050</v>
      </c>
      <c r="J7" s="39">
        <v>26</v>
      </c>
      <c r="K7" s="39">
        <f>J7*30</f>
        <v>780</v>
      </c>
      <c r="L7" s="39">
        <v>450</v>
      </c>
      <c r="M7" s="39">
        <v>120</v>
      </c>
      <c r="N7" s="39">
        <v>330</v>
      </c>
      <c r="O7" s="40">
        <f>L7/K7</f>
        <v>0.57692307692307687</v>
      </c>
      <c r="P7" s="34">
        <v>3</v>
      </c>
      <c r="Q7" s="21" t="s">
        <v>1291</v>
      </c>
      <c r="R7" s="44" t="str">
        <f>IF(AND(L7&lt;K7,L7=M7+N7),"적정","재검토")</f>
        <v>적정</v>
      </c>
    </row>
    <row r="8" spans="1:18" ht="84" customHeight="1">
      <c r="A8" s="33">
        <v>4</v>
      </c>
      <c r="B8" s="34" t="s">
        <v>896</v>
      </c>
      <c r="C8" s="34" t="s">
        <v>1292</v>
      </c>
      <c r="D8" s="21" t="s">
        <v>1293</v>
      </c>
      <c r="E8" s="21" t="s">
        <v>1294</v>
      </c>
      <c r="F8" s="21" t="s">
        <v>1295</v>
      </c>
      <c r="G8" s="21" t="s">
        <v>1296</v>
      </c>
      <c r="H8" s="39">
        <v>40</v>
      </c>
      <c r="I8" s="39">
        <f>H8*30</f>
        <v>1200</v>
      </c>
      <c r="J8" s="39">
        <v>28</v>
      </c>
      <c r="K8" s="39">
        <f>J8*30</f>
        <v>840</v>
      </c>
      <c r="L8" s="39">
        <v>510</v>
      </c>
      <c r="M8" s="39">
        <v>300</v>
      </c>
      <c r="N8" s="39">
        <v>210</v>
      </c>
      <c r="O8" s="40">
        <f>L8/K8</f>
        <v>0.6071428571428571</v>
      </c>
      <c r="P8" s="34">
        <v>1</v>
      </c>
      <c r="Q8" s="21" t="s">
        <v>1297</v>
      </c>
      <c r="R8" s="44" t="str">
        <f>IF(AND(L8&lt;K8,L8=M8+N8),"적정","재검토")</f>
        <v>적정</v>
      </c>
    </row>
    <row r="9" spans="1:18" ht="84" customHeight="1">
      <c r="A9" s="35">
        <v>5</v>
      </c>
      <c r="B9" s="36" t="s">
        <v>1044</v>
      </c>
      <c r="C9" s="36" t="s">
        <v>1298</v>
      </c>
      <c r="D9" s="30" t="s">
        <v>1299</v>
      </c>
      <c r="E9" s="30" t="s">
        <v>1300</v>
      </c>
      <c r="F9" s="30" t="s">
        <v>1301</v>
      </c>
      <c r="G9" s="30" t="s">
        <v>1302</v>
      </c>
      <c r="H9" s="41">
        <v>50</v>
      </c>
      <c r="I9" s="41">
        <f>H9*30</f>
        <v>1500</v>
      </c>
      <c r="J9" s="41">
        <v>32</v>
      </c>
      <c r="K9" s="41">
        <f>J9*30</f>
        <v>960</v>
      </c>
      <c r="L9" s="41">
        <v>570</v>
      </c>
      <c r="M9" s="41">
        <v>180</v>
      </c>
      <c r="N9" s="41">
        <v>390</v>
      </c>
      <c r="O9" s="42">
        <f>L9/K9</f>
        <v>0.59375</v>
      </c>
      <c r="P9" s="36">
        <v>1</v>
      </c>
      <c r="Q9" s="30" t="s">
        <v>1303</v>
      </c>
      <c r="R9" s="45" t="str">
        <f>IF(AND(L9&lt;K9,L9=M9+N9),"적정","재검토")</f>
        <v>적정</v>
      </c>
    </row>
    <row r="11" spans="1:18" ht="42" customHeight="1">
      <c r="A11" s="157" t="s">
        <v>1304</v>
      </c>
      <c r="B11" s="157"/>
      <c r="C11" s="157"/>
      <c r="D11" s="157"/>
      <c r="E11" s="157"/>
      <c r="F11" s="157"/>
      <c r="G11" s="157"/>
      <c r="H11" s="157"/>
      <c r="I11" s="157"/>
      <c r="J11" s="157"/>
      <c r="K11" s="157"/>
      <c r="L11" s="157"/>
      <c r="M11" s="157"/>
      <c r="N11" s="157"/>
      <c r="O11" s="157"/>
      <c r="P11" s="157"/>
      <c r="Q11" s="157"/>
      <c r="R11" s="157"/>
    </row>
  </sheetData>
  <mergeCells count="3">
    <mergeCell ref="A1:R1"/>
    <mergeCell ref="A2:R2"/>
    <mergeCell ref="A11:R11"/>
  </mergeCells>
  <phoneticPr fontId="12" type="noConversion"/>
  <conditionalFormatting sqref="O5:O9">
    <cfRule type="colorScale" priority="1">
      <colorScale>
        <cfvo type="min"/>
        <cfvo type="percentile" val="50"/>
        <cfvo type="max"/>
        <color rgb="FFC6E0B4"/>
        <color rgb="FFFFE699"/>
        <color rgb="FFF4B183"/>
      </colorScale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밸런스 문서</vt:lpstr>
      <vt:lpstr>밸런스 팩터</vt:lpstr>
      <vt:lpstr>작성 기준</vt:lpstr>
      <vt:lpstr>밸런스 곡선</vt:lpstr>
      <vt:lpstr>보스 설계 요약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FullName</cp:lastModifiedBy>
  <dcterms:created xsi:type="dcterms:W3CDTF">2026-07-28T04:59:19Z</dcterms:created>
  <dcterms:modified xsi:type="dcterms:W3CDTF">2026-07-28T06:50:54Z</dcterms:modified>
</cp:coreProperties>
</file>